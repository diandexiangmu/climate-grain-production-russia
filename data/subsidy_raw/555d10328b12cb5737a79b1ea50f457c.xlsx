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showInkAnnotation="0" codeName="ЭтаКнига" defaultThemeVersion="124226"/>
  <bookViews>
    <workbookView xWindow="0" yWindow="0" windowWidth="23040" windowHeight="9285" tabRatio="815" firstSheet="5" activeTab="5"/>
  </bookViews>
  <sheets>
    <sheet name="data_1" sheetId="1" state="hidden" r:id="rId1"/>
    <sheet name="1.4 (1.4.1-1.4.2)" sheetId="16" state="hidden" r:id="rId2"/>
    <sheet name="Направления" sheetId="100" state="hidden" r:id="rId3"/>
    <sheet name="dataФО" sheetId="102" state="hidden" r:id="rId4"/>
    <sheet name="Списки" sheetId="101" state="hidden" r:id="rId5"/>
    <sheet name="Итого" sheetId="81" r:id="rId6"/>
    <sheet name="1" sheetId="98" r:id="rId7"/>
    <sheet name="1,1" sheetId="88" r:id="rId8"/>
    <sheet name="1,2" sheetId="87" r:id="rId9"/>
    <sheet name="1,3" sheetId="89" r:id="rId10"/>
    <sheet name="1,4" sheetId="86" r:id="rId11"/>
    <sheet name="1,5" sheetId="90" r:id="rId12"/>
    <sheet name="1,6" sheetId="33" r:id="rId13"/>
    <sheet name="2" sheetId="93" r:id="rId14"/>
    <sheet name="3" sheetId="106" r:id="rId15"/>
  </sheets>
  <definedNames>
    <definedName name="_FilterDatabase" localSheetId="6" hidden="1">'1'!$C$12:$R$105</definedName>
    <definedName name="_FilterDatabase" localSheetId="7" hidden="1">'1,1'!#REF!</definedName>
    <definedName name="_FilterDatabase" localSheetId="8" hidden="1">'1,2'!$AG$13:$AX$105</definedName>
    <definedName name="_FilterDatabase" localSheetId="9" hidden="1">'1,3'!$AG$13:$AX$105</definedName>
    <definedName name="_FilterDatabase" localSheetId="10" hidden="1">'1,4'!$AG$13:$AX$105</definedName>
    <definedName name="_FilterDatabase" localSheetId="11" hidden="1">'1,5'!$S$13:$AX$105</definedName>
    <definedName name="_FilterDatabase" localSheetId="14" hidden="1">'3'!$C$13:$R$105</definedName>
    <definedName name="_FilterDatabase" localSheetId="0" hidden="1">data_1!$AH$13:$QO$108</definedName>
    <definedName name="_FilterDatabase" localSheetId="5" hidden="1">Итого!$D$13:$S$105</definedName>
    <definedName name="_FilterDatabase" localSheetId="4" hidden="1">Списки!$Q$1:$R$1049</definedName>
    <definedName name="date">data_1!$D$2</definedName>
    <definedName name="Print_Area" localSheetId="1">'1.4 (1.4.1-1.4.2)'!$A$2:$BG$109</definedName>
    <definedName name="Print_Titles" localSheetId="1">'1.4 (1.4.1-1.4.2)'!$B:$C,'1.4 (1.4.1-1.4.2)'!$7:$12</definedName>
    <definedName name="ЕдиницаВыбор">Списки!$H$17:$H$19</definedName>
    <definedName name="ЕдиницаДоведение">#REF!</definedName>
    <definedName name="ЕдиницаМатрица">Списки!$H$17:$I$19</definedName>
    <definedName name="_xlnm.Print_Titles" localSheetId="6">'1'!$B:$B,'1'!$7:$11</definedName>
    <definedName name="_xlnm.Print_Titles" localSheetId="7">'1,1'!$B:$B,'1,1'!$7:$11</definedName>
    <definedName name="_xlnm.Print_Titles" localSheetId="8">'1,2'!$B:$B,'1,2'!$7:$11</definedName>
    <definedName name="_xlnm.Print_Titles" localSheetId="9">'1,3'!$B:$B,'1,3'!$7:$11</definedName>
    <definedName name="_xlnm.Print_Titles" localSheetId="10">'1,4'!$B:$B,'1,4'!$7:$11</definedName>
    <definedName name="_xlnm.Print_Titles" localSheetId="11">'1,5'!$B:$B,'1,5'!$7:$11</definedName>
    <definedName name="_xlnm.Print_Titles" localSheetId="12">'1,6'!$B:$B,'1,6'!$7:$11</definedName>
    <definedName name="_xlnm.Print_Titles" localSheetId="13">'2'!$B:$B,'2'!$7:$11</definedName>
    <definedName name="_xlnm.Print_Titles" localSheetId="14">'3'!$B:$B,'3'!$7:$11</definedName>
    <definedName name="_xlnm.Print_Titles" localSheetId="5">Итого!$C:$C,Итого!$7:$11</definedName>
    <definedName name="КОЛ01704">data_1!$Z$14:$Z$108</definedName>
    <definedName name="КОЛ01705">data_1!$AA$14:$AA$108</definedName>
    <definedName name="КОЛ01706">data_1!$AB$14:$AB$108</definedName>
    <definedName name="КОЛ01707">data_1!$AC$14:$AC$108</definedName>
    <definedName name="КОЛ01708">data_1!$AD$14:$AD$108</definedName>
    <definedName name="КОЛ01709">data_1!$AE$14:$AE$108</definedName>
    <definedName name="КОЛ01710">data_1!$AG$14:$AG$108</definedName>
    <definedName name="КОЛ01711">data_1!$AH$14:$AH$108</definedName>
    <definedName name="КОЛ01712">data_1!$AI$14:$AI$108</definedName>
    <definedName name="КОЛ01713">data_1!$AJ$14:$AJ$108</definedName>
    <definedName name="КОЛ01714">data_1!$AK$14:$AK$108</definedName>
    <definedName name="КОЛ01715">data_1!$AL$14:$AL$108</definedName>
    <definedName name="КОЛ01716">data_1!$AM$14:$AM$108</definedName>
    <definedName name="КОЛ01719">data_1!$AO$13:$AO$108</definedName>
    <definedName name="КОЛ01721">data_1!$AN$14:$AN$108</definedName>
    <definedName name="КОЛ01723">data_1!$AQ$14:$AQ$108</definedName>
    <definedName name="КОЛ01751">data_1!$AP$13:$AP$108</definedName>
    <definedName name="КОЛ01752">data_1!$AF$14:$AF$108</definedName>
    <definedName name="КОЛ04504">data_1!$DL$14:$DL$108</definedName>
    <definedName name="КОЛ04505">data_1!$DM$14:$DM$108</definedName>
    <definedName name="КОЛ04506">data_1!$DN$14:$DN$108</definedName>
    <definedName name="КОЛ04507">data_1!$DO$14:$DO$108</definedName>
    <definedName name="КОЛ04508">data_1!$DP$14:$DP$108</definedName>
    <definedName name="КОЛ04509">data_1!$DQ$14:$DQ$108</definedName>
    <definedName name="КОЛ04510">data_1!$DS$14:$DS$108</definedName>
    <definedName name="КОЛ04511">data_1!$DT$14:$DT$108</definedName>
    <definedName name="КОЛ04512">data_1!$DU$14:$DU$108</definedName>
    <definedName name="КОЛ04513">data_1!$DV$14:$DV$108</definedName>
    <definedName name="КОЛ04514">data_1!$DW$14:$DW$108</definedName>
    <definedName name="КОЛ04515">data_1!$DX$14:$DX$108</definedName>
    <definedName name="КОЛ04516">data_1!$DY$14:$DY$108</definedName>
    <definedName name="КОЛ04519">data_1!$EA$14:$EA$108</definedName>
    <definedName name="КОЛ04521">data_1!$DZ$14:$DZ$108</definedName>
    <definedName name="КОЛ04523">data_1!$EC$14:$EC$108</definedName>
    <definedName name="КОЛ04551">data_1!$EB$14:$EB$108</definedName>
    <definedName name="КОЛ04552">data_1!$DR$14:$DR$108</definedName>
    <definedName name="КОЛ04904">data_1!$GX$14:$GX$108</definedName>
    <definedName name="КОЛ04905">data_1!$GY$14:$GY$108</definedName>
    <definedName name="КОЛ04906">data_1!$GZ$14:$GZ$108</definedName>
    <definedName name="КОЛ04907">data_1!$HA$14:$HA$108</definedName>
    <definedName name="КОЛ04908">data_1!$HB$14:$HB$108</definedName>
    <definedName name="КОЛ04909">data_1!$HC$14:$HC$108</definedName>
    <definedName name="КОЛ04910">data_1!$HE$14:$HE$108</definedName>
    <definedName name="КОЛ04911">data_1!$HF$14:$HF$108</definedName>
    <definedName name="КОЛ04912">data_1!$HG$14:$HG$108</definedName>
    <definedName name="КОЛ04913">data_1!$HH$14:$HH$108</definedName>
    <definedName name="КОЛ04914">data_1!$HI$14:$HI$108</definedName>
    <definedName name="КОЛ04915">data_1!$HJ$14:$HJ$108</definedName>
    <definedName name="КОЛ04916">data_1!$HK$14:$HK$108</definedName>
    <definedName name="КОЛ04919">data_1!$HM$14:$HM$108</definedName>
    <definedName name="КОЛ04921">data_1!$HL$14:$HL$108</definedName>
    <definedName name="КОЛ04923">data_1!$HO$14:$HO$108</definedName>
    <definedName name="КОЛ04951">data_1!$HN$14:$HN$108</definedName>
    <definedName name="КОЛ04952">data_1!$HD$14:$HD$108</definedName>
    <definedName name="КОЛ05104">data_1!$IH$14:$IH$108</definedName>
    <definedName name="КОЛ05105">data_1!$II$14:$II$108</definedName>
    <definedName name="КОЛ05106">data_1!$IJ$14:$IJ$108</definedName>
    <definedName name="КОЛ05107">data_1!$IK$14:$IK$108</definedName>
    <definedName name="КОЛ05108">data_1!$IL$14:$IL$108</definedName>
    <definedName name="КОЛ05109">data_1!$IM$14:$IM$108</definedName>
    <definedName name="КОЛ05110">data_1!$IO$14:$IO$108</definedName>
    <definedName name="КОЛ05111">data_1!$IP$14:$IP$108</definedName>
    <definedName name="КОЛ05112">data_1!$IQ$14:$IQ$108</definedName>
    <definedName name="КОЛ05113">data_1!$IR$14:$IR$108</definedName>
    <definedName name="КОЛ05114">data_1!$IS$14:$IS$108</definedName>
    <definedName name="КОЛ05115">data_1!$IT$14:$IT$108</definedName>
    <definedName name="КОЛ05116">data_1!$IU$14:$IU$108</definedName>
    <definedName name="КОЛ05119">data_1!$IW$14:$IW$108</definedName>
    <definedName name="КОЛ05121">data_1!$IV$14:$IV$108</definedName>
    <definedName name="КОЛ05123">data_1!$IY$14:$IY$108</definedName>
    <definedName name="КОЛ05151">data_1!$IX$14:$IX$108</definedName>
    <definedName name="КОЛ05152">data_1!$IN$14:$IN$108</definedName>
    <definedName name="КОЛ05204">data_1!$JR$14:$JR$108</definedName>
    <definedName name="КОЛ05205">data_1!$JS$14:$JS$108</definedName>
    <definedName name="КОЛ05206">data_1!$JT$14:$JT$108</definedName>
    <definedName name="КОЛ05207">data_1!$JU$14:$JU$108</definedName>
    <definedName name="КОЛ05208">data_1!$JV$14:$JV$108</definedName>
    <definedName name="КОЛ05209">data_1!$JW$14:$JW$108</definedName>
    <definedName name="КОЛ05210">data_1!$JY$14:$JY$108</definedName>
    <definedName name="КОЛ05211">data_1!$JZ$14:$JZ$108</definedName>
    <definedName name="КОЛ05212">data_1!$KA$14:$KA$108</definedName>
    <definedName name="КОЛ05213">data_1!$KB$14:$KB$108</definedName>
    <definedName name="КОЛ05214">data_1!$KC$14:$KC$108</definedName>
    <definedName name="КОЛ05215">data_1!$KD$14:$KD$108</definedName>
    <definedName name="КОЛ05216">data_1!$KE$14:$KE$108</definedName>
    <definedName name="КОЛ05219">data_1!$KG$14:$KG$108</definedName>
    <definedName name="КОЛ05221">data_1!$KF$14:$KF$108</definedName>
    <definedName name="КОЛ05223">data_1!$KI$14:$KI$108</definedName>
    <definedName name="КОЛ05251">data_1!$KH$14:$KH$108</definedName>
    <definedName name="КОЛ05252">data_1!$JX$14:$JX$108</definedName>
    <definedName name="КОЛ05304">data_1!$LB$14:$LB$108</definedName>
    <definedName name="КОЛ05305">data_1!$LC$14:$LC$108</definedName>
    <definedName name="КОЛ05306">data_1!$LD$14:$LD$108</definedName>
    <definedName name="КОЛ05307">data_1!$LE$14:$LE$108</definedName>
    <definedName name="КОЛ05308">data_1!$LF$14:$LF$108</definedName>
    <definedName name="КОЛ05309">data_1!$LG$14:$LG$108</definedName>
    <definedName name="КОЛ05310">data_1!$LI$14:$LI$108</definedName>
    <definedName name="КОЛ05311">data_1!$LJ$14:$LJ$108</definedName>
    <definedName name="КОЛ05312">data_1!$LK$14:$LK$108</definedName>
    <definedName name="КОЛ05313">data_1!$LL$14:$LL$108</definedName>
    <definedName name="КОЛ05314">data_1!$LM$14:$LM$108</definedName>
    <definedName name="КОЛ05315">data_1!$LN$14:$LN$108</definedName>
    <definedName name="КОЛ05316">data_1!$LO$14:$LO$108</definedName>
    <definedName name="КОЛ05319">data_1!$LQ$14:$LQ$108</definedName>
    <definedName name="КОЛ05321">data_1!$LP$14:$LP$108</definedName>
    <definedName name="КОЛ05323">data_1!$LS$14:$LS$108</definedName>
    <definedName name="КОЛ05351">data_1!$LR$14:$LR$108</definedName>
    <definedName name="КОЛ05352">data_1!$LH$14:$LH$108</definedName>
    <definedName name="КОЛ05404">data_1!$ML$14:$ML$108</definedName>
    <definedName name="КОЛ05405">data_1!$MM$14:$MM$108</definedName>
    <definedName name="КОЛ05406">data_1!$MN$14:$MN$108</definedName>
    <definedName name="КОЛ05407">data_1!$MO$14:$MO$108</definedName>
    <definedName name="КОЛ05408">data_1!$MP$14:$MP$108</definedName>
    <definedName name="КОЛ05409">data_1!$MQ$14:$MQ$108</definedName>
    <definedName name="КОЛ05410">data_1!$MS$14:$MS$108</definedName>
    <definedName name="КОЛ05411">data_1!$MT$14:$MT$108</definedName>
    <definedName name="КОЛ05412">data_1!$MU$14:$MU$108</definedName>
    <definedName name="КОЛ05413">data_1!$MV$14:$MV$108</definedName>
    <definedName name="КОЛ05414">data_1!$MW$14:$MW$108</definedName>
    <definedName name="КОЛ05415">data_1!$MX$14:$MX$108</definedName>
    <definedName name="КОЛ05416">data_1!$MY$14:$MY$108</definedName>
    <definedName name="КОЛ05419">data_1!$NA$14:$NA$108</definedName>
    <definedName name="КОЛ05421">data_1!$MZ$14:$MZ$108</definedName>
    <definedName name="КОЛ05423">data_1!$NC$14:$NC$108</definedName>
    <definedName name="КОЛ05451">data_1!$NB$14:$NB$108</definedName>
    <definedName name="КОЛ05452">data_1!$MR$14:$MR$108</definedName>
    <definedName name="КОЛ05504">data_1!$NV$14:$NV$108</definedName>
    <definedName name="КОЛ05505">data_1!$NW$14:$NW$108</definedName>
    <definedName name="КОЛ05506">data_1!$NX$14:$NX$108</definedName>
    <definedName name="КОЛ05507">data_1!$NY$14:$NY$108</definedName>
    <definedName name="КОЛ05508">data_1!$NZ$14:$NZ$108</definedName>
    <definedName name="КОЛ05509">data_1!$OA$14:$OA$108</definedName>
    <definedName name="КОЛ05510">data_1!$OC$14:$OC$108</definedName>
    <definedName name="КОЛ05511">data_1!$OD$14:$OD$108</definedName>
    <definedName name="КОЛ05512">data_1!$OE$14:$OE$108</definedName>
    <definedName name="КОЛ05513">data_1!$OF$14:$OF$108</definedName>
    <definedName name="КОЛ05514">data_1!$OG$14:$OG$108</definedName>
    <definedName name="КОЛ05515">data_1!$OH$14:$OH$108</definedName>
    <definedName name="КОЛ05516">data_1!$OI$14:$OI$108</definedName>
    <definedName name="КОЛ05519">data_1!$OK$14:$OK$108</definedName>
    <definedName name="КОЛ05521">data_1!$OJ$14:$OJ$108</definedName>
    <definedName name="КОЛ05523">data_1!$OM$14:$OM$108</definedName>
    <definedName name="КОЛ05551">data_1!$OL$14:$OL$108</definedName>
    <definedName name="КОЛ05552">data_1!$OB$14:$OB$108</definedName>
    <definedName name="КОЛ06004">data_1!$PF$14:$PF$108</definedName>
    <definedName name="КОЛ06005">data_1!$PG$14:$PG$108</definedName>
    <definedName name="КОЛ06006">data_1!$PH$14:$PH$108</definedName>
    <definedName name="КОЛ06007">data_1!$PI$14:$PI$108</definedName>
    <definedName name="КОЛ06008">data_1!$PJ$14:$PJ$108</definedName>
    <definedName name="КОЛ06009">data_1!$PK$14:$PK$108</definedName>
    <definedName name="КОЛ06010">data_1!$PM$14:$PM$108</definedName>
    <definedName name="КОЛ06011">data_1!$PN$14:$PN$108</definedName>
    <definedName name="КОЛ06012">data_1!$PO$14:$PO$108</definedName>
    <definedName name="КОЛ06013">data_1!$PP$14:$PP$108</definedName>
    <definedName name="КОЛ06014">data_1!$PQ$14:$PQ$108</definedName>
    <definedName name="КОЛ06015">data_1!$PR$14:$PR$108</definedName>
    <definedName name="КОЛ06016">data_1!$PS$14:$PS$108</definedName>
    <definedName name="КОЛ06019">data_1!$PU$14:$PU$108</definedName>
    <definedName name="КОЛ06021">data_1!$PT$14:$PT$108</definedName>
    <definedName name="КОЛ06023">data_1!$PW$14:$PW$108</definedName>
    <definedName name="КОЛ06051">data_1!$PV$14:$PV$108</definedName>
    <definedName name="КОЛ06052">data_1!$PL$14:$PL$108</definedName>
    <definedName name="КОЛ06204">data_1!$BJ$14:$BJ$108</definedName>
    <definedName name="КОЛ06205">data_1!$BK$13:$BK$108</definedName>
    <definedName name="КОЛ06206">data_1!$BL$14:$BL$108</definedName>
    <definedName name="КОЛ06207">data_1!$BM$14:$BM$108</definedName>
    <definedName name="КОЛ06208">data_1!$BN$14:$BN$108</definedName>
    <definedName name="КОЛ06209">data_1!$BO$14:$BO$108</definedName>
    <definedName name="КОЛ06210">data_1!$BQ$14:$BQ$108</definedName>
    <definedName name="КОЛ06211">data_1!$BR$14:$BR$108</definedName>
    <definedName name="КОЛ06212">data_1!$BS$14:$BS$108</definedName>
    <definedName name="КОЛ06213">data_1!$BT$14:$BT$108</definedName>
    <definedName name="КОЛ06214">data_1!$BU$14:$BU$108</definedName>
    <definedName name="КОЛ06215">data_1!$BV$14:$BV$108</definedName>
    <definedName name="КОЛ06216">data_1!$BW$14:$BW$108</definedName>
    <definedName name="КОЛ06219">data_1!$BY$14:$BY$108</definedName>
    <definedName name="КОЛ06221">data_1!$BX$14:$BX$108</definedName>
    <definedName name="КОЛ06223">data_1!$CA$14:$CA$108</definedName>
    <definedName name="КОЛ06251">data_1!$BZ$14:$BZ$108</definedName>
    <definedName name="КОЛ06252">data_1!$BP$14:$BP$108</definedName>
    <definedName name="КОЛ07504">data_1!$EV$14:$EV$108</definedName>
    <definedName name="КОЛ07505">data_1!$EW$14:$EW$108</definedName>
    <definedName name="КОЛ07506">data_1!$EX$14:$EX$108</definedName>
    <definedName name="КОЛ07507">data_1!$EY$14:$EY$108</definedName>
    <definedName name="КОЛ07508">data_1!$EZ$14:$EZ$108</definedName>
    <definedName name="КОЛ07509">data_1!$FA$14:$FA$108</definedName>
    <definedName name="КОЛ07510">data_1!$FC$14:$FC$108</definedName>
    <definedName name="КОЛ07511">data_1!$FD$14:$FD$108</definedName>
    <definedName name="КОЛ07512">data_1!$FE$14:$FE$108</definedName>
    <definedName name="КОЛ07513">data_1!$FF$14:$FF$108</definedName>
    <definedName name="КОЛ07514">data_1!$FG$14:$FG$108</definedName>
    <definedName name="КОЛ07515">data_1!$FH$14:$FH$108</definedName>
    <definedName name="КОЛ07516">data_1!$FI$14:$FI$108</definedName>
    <definedName name="КОЛ07519">data_1!$FK$14:$FK$108</definedName>
    <definedName name="КОЛ07521">data_1!$FJ$14:$FJ$108</definedName>
    <definedName name="КОЛ07523">data_1!$FM$14:$FM$108</definedName>
    <definedName name="КОЛ07551">data_1!$FL$14:$FL$108</definedName>
    <definedName name="КОЛ07552">data_1!$FB$14:$FB$108</definedName>
    <definedName name="КОЛ1020">data_1!$F$14:$F$108</definedName>
    <definedName name="КОЛ1704">data_1!$H$14:$H$108</definedName>
    <definedName name="КОЛ1705">data_1!$I$14:$I$108</definedName>
    <definedName name="КОЛ1706">data_1!$J$14:$J$108</definedName>
    <definedName name="КОЛ1707">data_1!$K$14:$K$108</definedName>
    <definedName name="КОЛ1708">data_1!$L$14:$L$108</definedName>
    <definedName name="КОЛ1709">data_1!$M$14:$M$108</definedName>
    <definedName name="КОЛ1710">data_1!$O$14:$O$108</definedName>
    <definedName name="КОЛ1711">data_1!$P$14:$P$108</definedName>
    <definedName name="КОЛ1712">data_1!$Q$14:$Q$108</definedName>
    <definedName name="КОЛ1713">data_1!$R$14:$R$108</definedName>
    <definedName name="КОЛ1714">data_1!$S$14:$S$108</definedName>
    <definedName name="КОЛ1715">data_1!$T$14:$T$108</definedName>
    <definedName name="КОЛ1716">data_1!$U$14:$U$108</definedName>
    <definedName name="КОЛ1719">data_1!$W$14:$W$108</definedName>
    <definedName name="КОЛ1721">data_1!$V$14:$V$108</definedName>
    <definedName name="КОЛ1723">data_1!$Y$14:$Y$108</definedName>
    <definedName name="КОЛ1751">data_1!$X$14:$X$108</definedName>
    <definedName name="КОЛ1752">data_1!$N$14:$N$108</definedName>
    <definedName name="КОЛ3704">data_1!$CB$14:$CB$108</definedName>
    <definedName name="КОЛ3705">data_1!$CC$14:$CC$108</definedName>
    <definedName name="КОЛ3706">data_1!$CD$14:$CD$108</definedName>
    <definedName name="КОЛ3707">data_1!$CE$14:$CE$108</definedName>
    <definedName name="КОЛ3708">data_1!$CF$14:$CF$108</definedName>
    <definedName name="КОЛ3709">data_1!$CG$14:$CG$108</definedName>
    <definedName name="КОЛ3710">data_1!$CI$14:$CI$108</definedName>
    <definedName name="КОЛ3711">data_1!$CJ$14:$CJ$108</definedName>
    <definedName name="КОЛ3712">data_1!$CK$14:$CK$108</definedName>
    <definedName name="КОЛ3713">data_1!$CL$14:$CL$108</definedName>
    <definedName name="КОЛ3714">data_1!$CM$14:$CM$108</definedName>
    <definedName name="КОЛ3715">data_1!$CN$14:$CN$108</definedName>
    <definedName name="КОЛ3716">data_1!$CO$14:$CO$108</definedName>
    <definedName name="КОЛ3719">data_1!$CQ$14:$CQ$108</definedName>
    <definedName name="КОЛ3721">data_1!$CP$14:$CP$108</definedName>
    <definedName name="КОЛ3723">data_1!$CS$14:$CS$108</definedName>
    <definedName name="КОЛ3751">data_1!$CR$14:$CR$108</definedName>
    <definedName name="КОЛ3752">data_1!$CH$14:$CH$108</definedName>
    <definedName name="КОЛ4504">data_1!$CT$14:$CT$108</definedName>
    <definedName name="КОЛ4505">data_1!$CU$14:$CU$108</definedName>
    <definedName name="КОЛ4506">data_1!$CV$14:$CV$108</definedName>
    <definedName name="КОЛ4507">data_1!$CW$14:$CW$108</definedName>
    <definedName name="КОЛ4508">data_1!$CX$14:$CX$108</definedName>
    <definedName name="КОЛ4509">data_1!$CY$14:$CY$108</definedName>
    <definedName name="КОЛ4510">data_1!$DA$14:$DA$108</definedName>
    <definedName name="КОЛ4511">data_1!$DB$14:$DB$108</definedName>
    <definedName name="КОЛ4512">data_1!$DC$14:$DC$108</definedName>
    <definedName name="КОЛ4513">data_1!$DD$14:$DD$108</definedName>
    <definedName name="КОЛ4514">data_1!$DE$14:$DE$108</definedName>
    <definedName name="КОЛ4515">data_1!$DF$14:$DF$108</definedName>
    <definedName name="КОЛ4516">data_1!$DG$14:$DG$108</definedName>
    <definedName name="КОЛ4519">data_1!$DI$14:$DI$108</definedName>
    <definedName name="КОЛ4521">data_1!$DH$14:$DH$108</definedName>
    <definedName name="КОЛ4523">data_1!$DK$14:$DK$108</definedName>
    <definedName name="КОЛ4551">data_1!$DJ$14:$DJ$108</definedName>
    <definedName name="КОЛ4552">data_1!$CZ$14:$CZ$108</definedName>
    <definedName name="КОЛ4904">data_1!$GF$14:$GF$108</definedName>
    <definedName name="КОЛ4905">data_1!$GG$14:$GG$108</definedName>
    <definedName name="КОЛ4906">data_1!$GH$14:$GH$108</definedName>
    <definedName name="КОЛ4907">data_1!$GI$14:$GI$108</definedName>
    <definedName name="КОЛ4908">data_1!$GJ$14:$GJ$108</definedName>
    <definedName name="КОЛ4909">data_1!$GK$14:$GK$108</definedName>
    <definedName name="КОЛ4910">data_1!$GM$14:$GM$108</definedName>
    <definedName name="КОЛ4911">data_1!$GN$14:$GN$108</definedName>
    <definedName name="КОЛ4912">data_1!$GO$14:$GO$108</definedName>
    <definedName name="КОЛ4913">data_1!$GP$14:$GP$108</definedName>
    <definedName name="КОЛ4914">data_1!$GQ$14:$GQ$108</definedName>
    <definedName name="КОЛ4915">data_1!$GR$14:$GR$108</definedName>
    <definedName name="КОЛ4916">data_1!$GS$14:$GS$108</definedName>
    <definedName name="КОЛ4919">data_1!$GU$14:$GU$108</definedName>
    <definedName name="КОЛ4921">data_1!$GT$14:$GT$108</definedName>
    <definedName name="КОЛ4923">data_1!$GW$14:$GW$108</definedName>
    <definedName name="КОЛ4951">data_1!$GV$14:$GV$108</definedName>
    <definedName name="КОЛ4952">data_1!$GL$14:$GL$108</definedName>
    <definedName name="КОЛ5104">data_1!$HP$14:$HP$108</definedName>
    <definedName name="КОЛ5105">data_1!$HQ$14:$HQ$108</definedName>
    <definedName name="КОЛ5106">data_1!$HR$14:$HR$108</definedName>
    <definedName name="КОЛ5107">data_1!$HS$14:$HS$108</definedName>
    <definedName name="КОЛ5108">data_1!$HT$14:$HT$108</definedName>
    <definedName name="КОЛ5109">data_1!$HU$14:$HU$108</definedName>
    <definedName name="КОЛ5110">data_1!$HW$14:$HW$108</definedName>
    <definedName name="КОЛ5111">data_1!$HX$14:$HX$108</definedName>
    <definedName name="КОЛ5112">data_1!$HY$14:$HY$108</definedName>
    <definedName name="КОЛ5113">data_1!$HZ$14:$HZ$108</definedName>
    <definedName name="КОЛ5114">data_1!$IA$14:$IA$108</definedName>
    <definedName name="КОЛ5115">data_1!$IB$14:$IB$108</definedName>
    <definedName name="КОЛ5116">data_1!$IC$14:$IC$108</definedName>
    <definedName name="КОЛ5119">data_1!$IE$14:$IE$108</definedName>
    <definedName name="КОЛ5121">data_1!$ID$14:$ID$108</definedName>
    <definedName name="КОЛ5123">data_1!$IG$14:$IG$108</definedName>
    <definedName name="КОЛ5151">data_1!$IF$14:$IF$108</definedName>
    <definedName name="КОЛ5152">data_1!$HV$14:$HV$108</definedName>
    <definedName name="КОЛ5204">data_1!$IZ$14:$IZ$108</definedName>
    <definedName name="КОЛ5205">data_1!$JA$14:$JA$108</definedName>
    <definedName name="КОЛ5206">data_1!$JB$14:$JB$108</definedName>
    <definedName name="КОЛ5207">data_1!$JC$14:$JC$108</definedName>
    <definedName name="КОЛ5208">data_1!$JD$14:$JD$108</definedName>
    <definedName name="КОЛ5209">data_1!$JE$14:$JE$108</definedName>
    <definedName name="КОЛ5210">data_1!$JG$14:$JG$108</definedName>
    <definedName name="КОЛ5211">data_1!$JH$14:$JH$108</definedName>
    <definedName name="КОЛ5212">data_1!$JI$14:$JI$108</definedName>
    <definedName name="КОЛ5213">data_1!$JJ$14:$JJ$108</definedName>
    <definedName name="КОЛ5214">data_1!$JK$14:$JK$108</definedName>
    <definedName name="КОЛ5215">data_1!$JL$14:$JL$108</definedName>
    <definedName name="КОЛ5216">data_1!$JM$14:$JM$108</definedName>
    <definedName name="КОЛ5219">data_1!$JO$14:$JO$108</definedName>
    <definedName name="КОЛ5221">data_1!$JN$14:$JN$108</definedName>
    <definedName name="КОЛ5223">data_1!$JQ$14:$JQ$108</definedName>
    <definedName name="КОЛ5251">data_1!$JP$14:$JP$108</definedName>
    <definedName name="КОЛ5252">data_1!$JF$14:$JF$108</definedName>
    <definedName name="КОЛ5304">data_1!$KJ$14:$KJ$108</definedName>
    <definedName name="КОЛ5305">data_1!$KK$14:$KK$108</definedName>
    <definedName name="КОЛ5306">data_1!$KL$14:$KL$108</definedName>
    <definedName name="КОЛ5307">data_1!$KM$14:$KM$108</definedName>
    <definedName name="КОЛ5308">data_1!$KN$14:$KN$108</definedName>
    <definedName name="КОЛ5309">data_1!$KO$14:$KO$108</definedName>
    <definedName name="КОЛ5310">data_1!$KQ$14:$KQ$108</definedName>
    <definedName name="КОЛ5311">data_1!$KR$14:$KR$108</definedName>
    <definedName name="КОЛ5312">data_1!$KS$14:$KS$108</definedName>
    <definedName name="КОЛ5313">data_1!$KT$14:$KT$108</definedName>
    <definedName name="КОЛ5314">data_1!$KU$14:$KU$108</definedName>
    <definedName name="КОЛ5315">data_1!$KV$14:$KV$108</definedName>
    <definedName name="КОЛ5316">data_1!$KW$14:$KW$108</definedName>
    <definedName name="КОЛ5319">data_1!$KY$14:$KY$108</definedName>
    <definedName name="КОЛ5321">data_1!$KX$14:$KX$108</definedName>
    <definedName name="КОЛ5323">data_1!$LA$14:$LA$108</definedName>
    <definedName name="КОЛ5351">data_1!$KZ$14:$KZ$108</definedName>
    <definedName name="КОЛ5352">data_1!$KP$14:$KP$108</definedName>
    <definedName name="КОЛ5404">data_1!$LT$14:$LT$108</definedName>
    <definedName name="КОЛ5405">data_1!$LU$14:$LU$108</definedName>
    <definedName name="КОЛ5406">data_1!$LV$14:$LV$108</definedName>
    <definedName name="КОЛ5407">data_1!$LW$14:$LW$108</definedName>
    <definedName name="КОЛ5408">data_1!$LX$14:$LX$108</definedName>
    <definedName name="КОЛ5409">data_1!$LY$14:$LY$108</definedName>
    <definedName name="КОЛ5410">data_1!$MA$14:$MA$108</definedName>
    <definedName name="КОЛ5411">data_1!$MB$14:$MB$108</definedName>
    <definedName name="КОЛ5412">data_1!$MC$14:$MC$108</definedName>
    <definedName name="КОЛ5413">data_1!$MD$14:$MD$108</definedName>
    <definedName name="КОЛ5414">data_1!$ME$14:$ME$108</definedName>
    <definedName name="КОЛ5415">data_1!$MF$14:$MF$108</definedName>
    <definedName name="КОЛ5416">data_1!$MG$14:$MG$108</definedName>
    <definedName name="КОЛ5419">data_1!$MI$14:$MI$108</definedName>
    <definedName name="КОЛ5421">data_1!$MH$14:$MH$108</definedName>
    <definedName name="КОЛ5423">data_1!$MK$14:$MK$108</definedName>
    <definedName name="КОЛ5451">data_1!$MJ$14:$MJ$108</definedName>
    <definedName name="КОЛ5452">data_1!$LZ$14:$LZ$108</definedName>
    <definedName name="КОЛ5504">data_1!$ND$14:$ND$108</definedName>
    <definedName name="КОЛ5505">data_1!$NE$14:$NE$108</definedName>
    <definedName name="КОЛ5506">data_1!$NF$14:$NF$108</definedName>
    <definedName name="КОЛ5507">data_1!$NG$14:$NG$108</definedName>
    <definedName name="КОЛ5508">data_1!$NH$14:$NH$108</definedName>
    <definedName name="КОЛ5509">data_1!$NI$14:$NI$108</definedName>
    <definedName name="КОЛ5510">data_1!$NK$14:$NK$108</definedName>
    <definedName name="КОЛ5511">data_1!$NL$14:$NL$108</definedName>
    <definedName name="КОЛ5512">data_1!$NM$14:$NM$108</definedName>
    <definedName name="КОЛ5513">data_1!$NN$14:$NN$108</definedName>
    <definedName name="КОЛ5514">data_1!$NO$14:$NO$108</definedName>
    <definedName name="КОЛ5515">data_1!$NP$14:$NP$108</definedName>
    <definedName name="КОЛ5516">data_1!$NQ$14:$NQ$108</definedName>
    <definedName name="КОЛ5519">data_1!$NS$14:$NS$108</definedName>
    <definedName name="КОЛ5521">data_1!$NR$14:$NR$108</definedName>
    <definedName name="КОЛ5523">data_1!$NU$14:$NU$108</definedName>
    <definedName name="КОЛ5551">data_1!$NT$14:$NT$108</definedName>
    <definedName name="КОЛ5552">data_1!$NJ$14:$NJ$108</definedName>
    <definedName name="КОЛ5704">data_1!$PX$14:$PX$108</definedName>
    <definedName name="КОЛ5705">data_1!$PY$14:$PY$108</definedName>
    <definedName name="КОЛ5706">data_1!$PZ$14:$PZ$108</definedName>
    <definedName name="КОЛ5707">data_1!$QA$14:$QA$108</definedName>
    <definedName name="КОЛ5708">data_1!$QB$14:$QB$108</definedName>
    <definedName name="КОЛ5709">data_1!$QC$14:$QC$108</definedName>
    <definedName name="КОЛ5710">data_1!$QE$14:$QE$108</definedName>
    <definedName name="КОЛ5711">data_1!$QF$14:$QF$108</definedName>
    <definedName name="КОЛ5712">data_1!$QG$14:$QG$108</definedName>
    <definedName name="КОЛ5713">data_1!$QH$14:$QH$108</definedName>
    <definedName name="КОЛ5714">data_1!$QI$14:$QI$108</definedName>
    <definedName name="КОЛ5715">data_1!$QJ$14:$QJ$108</definedName>
    <definedName name="КОЛ5716">data_1!$QK$14:$QK$108</definedName>
    <definedName name="КОЛ5719">data_1!$QM$14:$QM$108</definedName>
    <definedName name="КОЛ5721">data_1!$QL$14:$QL$108</definedName>
    <definedName name="КОЛ5723">data_1!$QO$14:$QO$108</definedName>
    <definedName name="КОЛ5751">data_1!$QN$14:$QN$108</definedName>
    <definedName name="КОЛ5752">data_1!$QD$14:$QD$108</definedName>
    <definedName name="КОЛ6004">data_1!$ON$14:$ON$108</definedName>
    <definedName name="КОЛ6005">data_1!$OO$14:$OO$108</definedName>
    <definedName name="КОЛ6006">data_1!$OP$14:$OP$108</definedName>
    <definedName name="КОЛ6007">data_1!$OQ$14:$OQ$108</definedName>
    <definedName name="КОЛ6008">data_1!$OR$14:$OR$108</definedName>
    <definedName name="КОЛ6009">data_1!$OS$14:$OS$108</definedName>
    <definedName name="КОЛ6010">data_1!$OU$14:$OU$108</definedName>
    <definedName name="КОЛ6011">data_1!$OV$14:$OV$108</definedName>
    <definedName name="КОЛ6012">data_1!$OW$14:$OW$108</definedName>
    <definedName name="КОЛ6013">data_1!$OX$14:$OX$108</definedName>
    <definedName name="КОЛ6014">data_1!$OY$14:$OY$108</definedName>
    <definedName name="КОЛ6015">data_1!$OZ$14:$OZ$108</definedName>
    <definedName name="КОЛ6016">data_1!$PA$14:$PA$108</definedName>
    <definedName name="КОЛ6019">data_1!$PC$14:$PC$108</definedName>
    <definedName name="КОЛ6021">data_1!$PB$14:$PB$108</definedName>
    <definedName name="КОЛ6023">data_1!$PE$14:$PE$108</definedName>
    <definedName name="КОЛ6051">data_1!$PD$14:$PD$108</definedName>
    <definedName name="КОЛ6052">data_1!$OT$14:$OT$108</definedName>
    <definedName name="КОЛ6104">data_1!$FN$14:$FN$108</definedName>
    <definedName name="КОЛ6105">data_1!$FO$14:$FO$108</definedName>
    <definedName name="КОЛ6106">data_1!$FP$14:$FP$108</definedName>
    <definedName name="КОЛ6107">data_1!$FQ$14:$FQ$108</definedName>
    <definedName name="КОЛ6108">data_1!$FR$14:$FR$108</definedName>
    <definedName name="КОЛ6109">data_1!$FS$14:$FS$108</definedName>
    <definedName name="КОЛ6110">data_1!$FU$14:$FU$108</definedName>
    <definedName name="КОЛ6111">data_1!$FV$14:$FV$108</definedName>
    <definedName name="КОЛ6112">data_1!$FW$14:$FW$108</definedName>
    <definedName name="КОЛ6113">data_1!$FX$14:$FX$108</definedName>
    <definedName name="КОЛ6114">data_1!$FY$14:$FY$108</definedName>
    <definedName name="КОЛ6115">data_1!$FZ$14:$FZ$108</definedName>
    <definedName name="КОЛ6116">data_1!$GA$14:$GA$108</definedName>
    <definedName name="КОЛ6119">data_1!$GC$14:$GC$108</definedName>
    <definedName name="КОЛ6121">data_1!$GB$14:$GB$108</definedName>
    <definedName name="КОЛ6123">data_1!$GE$14:$GE$108</definedName>
    <definedName name="КОЛ6151">data_1!$GD$14:$GD$108</definedName>
    <definedName name="КОЛ6152">data_1!$FT$14:$FT$108</definedName>
    <definedName name="КОЛ6204">data_1!$AR$14:$AR$108</definedName>
    <definedName name="КОЛ6205">data_1!$AS$14:$AS$108</definedName>
    <definedName name="КОЛ6206">data_1!$AT$14:$AT$108</definedName>
    <definedName name="КОЛ6207">data_1!$AU$14:$AU$108</definedName>
    <definedName name="КОЛ6208">data_1!$AV$14:$AV$108</definedName>
    <definedName name="КОЛ6209">data_1!$AW$14:$AW$108</definedName>
    <definedName name="КОЛ6210">data_1!$AY$14:$AY$108</definedName>
    <definedName name="КОЛ6211">data_1!$AZ$14:$AZ$108</definedName>
    <definedName name="КОЛ6212">data_1!$BA$14:$BA$108</definedName>
    <definedName name="КОЛ6213">data_1!$BB$14:$BB$108</definedName>
    <definedName name="КОЛ6214">data_1!$BC$14:$BC$108</definedName>
    <definedName name="КОЛ6215">data_1!$BD$14:$BD$108</definedName>
    <definedName name="КОЛ6216">data_1!$BE$14:$BE$108</definedName>
    <definedName name="КОЛ6219">data_1!$BG$14:$BG$108</definedName>
    <definedName name="КОЛ6221">data_1!$BF$14:$BF$108</definedName>
    <definedName name="КОЛ6223">data_1!$BI$14:$BI$108</definedName>
    <definedName name="КОЛ6251">data_1!$BH$14:$BH$108</definedName>
    <definedName name="КОЛ6252">data_1!$AX$14:$AX$108</definedName>
    <definedName name="КОЛ7504">data_1!$ED$14:$ED$108</definedName>
    <definedName name="КОЛ7505">data_1!$EE$14:$EE$108</definedName>
    <definedName name="КОЛ7506">data_1!$EF$14:$EF$108</definedName>
    <definedName name="КОЛ7507">data_1!$EG$14:$EG$108</definedName>
    <definedName name="КОЛ7508">data_1!$EH$14:$EH$108</definedName>
    <definedName name="КОЛ7509">data_1!$EI$14:$EI$108</definedName>
    <definedName name="КОЛ7510">data_1!$EK$14:$EK$108</definedName>
    <definedName name="КОЛ7511">data_1!$EL$14:$EL$108</definedName>
    <definedName name="КОЛ7512">data_1!$EM$14:$EM$108</definedName>
    <definedName name="КОЛ7513">data_1!$EN$14:$EN$108</definedName>
    <definedName name="КОЛ7514">data_1!$EO$14:$EO$108</definedName>
    <definedName name="КОЛ7515">data_1!$EP$14:$EP$108</definedName>
    <definedName name="КОЛ7516">data_1!$EQ$14:$EQ$108</definedName>
    <definedName name="КОЛ7519">data_1!$ES$14:$ES$108</definedName>
    <definedName name="КОЛ7521">data_1!$ER$14:$ER$108</definedName>
    <definedName name="КОЛ7523">data_1!$EU$14:$EU$108</definedName>
    <definedName name="КОЛ7551">data_1!$ET$14:$ET$108</definedName>
    <definedName name="КОЛ7552">data_1!$EJ$14:$EJ$108</definedName>
    <definedName name="КолонкиМатрица">Списки!$Q$3:$R$454</definedName>
    <definedName name="МассивИтоговФО">dataФО!$F$13:$QO$23</definedName>
    <definedName name="_xlnm.Print_Area" localSheetId="7">'1,1'!$A$1:$R$105</definedName>
    <definedName name="_xlnm.Print_Area" localSheetId="12">'1,6'!$A$1:$R$105</definedName>
    <definedName name="_xlnm.Print_Area" localSheetId="14">'3'!$A$1:$R$105</definedName>
    <definedName name="_xlnm.Print_Area" localSheetId="5">Итого!$A$1:$S$105</definedName>
    <definedName name="Размерность">Итого!#REF!</definedName>
    <definedName name="РегионыВыбор">Списки!$B$3:$B$87</definedName>
    <definedName name="РегионыМатрица">Списки!$B$3:$D$87</definedName>
    <definedName name="ФОвыбор">Списки!$K$17:$K$24</definedName>
    <definedName name="ФОматрица">Списки!$H$3:$M$13</definedName>
  </definedNames>
  <calcPr calcId="145621"/>
</workbook>
</file>

<file path=xl/calcChain.xml><?xml version="1.0" encoding="utf-8"?>
<calcChain xmlns="http://schemas.openxmlformats.org/spreadsheetml/2006/main">
  <c r="FM23" i="102" l="1"/>
  <c r="FL23" i="102"/>
  <c r="FK23" i="102"/>
  <c r="FJ23" i="102"/>
  <c r="FI23" i="102"/>
  <c r="FH23" i="102"/>
  <c r="FG23" i="102"/>
  <c r="FF23" i="102"/>
  <c r="FE23" i="102"/>
  <c r="FD23" i="102"/>
  <c r="FC23" i="102"/>
  <c r="FB23" i="102"/>
  <c r="FA23" i="102"/>
  <c r="EZ23" i="102"/>
  <c r="EY23" i="102"/>
  <c r="EX23" i="102"/>
  <c r="EW23" i="102"/>
  <c r="EV23" i="102"/>
  <c r="FM22" i="102"/>
  <c r="FL22" i="102"/>
  <c r="FK22" i="102"/>
  <c r="FJ22" i="102"/>
  <c r="FI22" i="102"/>
  <c r="FH22" i="102"/>
  <c r="FG22" i="102"/>
  <c r="FF22" i="102"/>
  <c r="FE22" i="102"/>
  <c r="FD22" i="102"/>
  <c r="FC22" i="102"/>
  <c r="FB22" i="102"/>
  <c r="FA22" i="102"/>
  <c r="EZ22" i="102"/>
  <c r="EY22" i="102"/>
  <c r="EX22" i="102"/>
  <c r="EW22" i="102"/>
  <c r="EV22" i="102"/>
  <c r="FM21" i="102"/>
  <c r="FL21" i="102"/>
  <c r="FK21" i="102"/>
  <c r="FJ21" i="102"/>
  <c r="FI21" i="102"/>
  <c r="FH21" i="102"/>
  <c r="FG21" i="102"/>
  <c r="FF21" i="102"/>
  <c r="FE21" i="102"/>
  <c r="FD21" i="102"/>
  <c r="FC21" i="102"/>
  <c r="FB21" i="102"/>
  <c r="FA21" i="102"/>
  <c r="EZ21" i="102"/>
  <c r="EY21" i="102"/>
  <c r="EX21" i="102"/>
  <c r="EW21" i="102"/>
  <c r="EV21" i="102"/>
  <c r="FM20" i="102"/>
  <c r="FL20" i="102"/>
  <c r="FK20" i="102"/>
  <c r="FJ20" i="102"/>
  <c r="FI20" i="102"/>
  <c r="FH20" i="102"/>
  <c r="FG20" i="102"/>
  <c r="FF20" i="102"/>
  <c r="FE20" i="102"/>
  <c r="FD20" i="102"/>
  <c r="FC20" i="102"/>
  <c r="FB20" i="102"/>
  <c r="FA20" i="102"/>
  <c r="EZ20" i="102"/>
  <c r="EY20" i="102"/>
  <c r="EX20" i="102"/>
  <c r="EW20" i="102"/>
  <c r="EV20" i="102"/>
  <c r="FM19" i="102"/>
  <c r="FL19" i="102"/>
  <c r="FK19" i="102"/>
  <c r="FJ19" i="102"/>
  <c r="FI19" i="102"/>
  <c r="FH19" i="102"/>
  <c r="FG19" i="102"/>
  <c r="FF19" i="102"/>
  <c r="FE19" i="102"/>
  <c r="FD19" i="102"/>
  <c r="FC19" i="102"/>
  <c r="FB19" i="102"/>
  <c r="FA19" i="102"/>
  <c r="EZ19" i="102"/>
  <c r="EY19" i="102"/>
  <c r="EX19" i="102"/>
  <c r="EW19" i="102"/>
  <c r="EV19" i="102"/>
  <c r="FM18" i="102"/>
  <c r="FL18" i="102"/>
  <c r="FK18" i="102"/>
  <c r="FJ18" i="102"/>
  <c r="FI18" i="102"/>
  <c r="FH18" i="102"/>
  <c r="FG18" i="102"/>
  <c r="FF18" i="102"/>
  <c r="FE18" i="102"/>
  <c r="FD18" i="102"/>
  <c r="FC18" i="102"/>
  <c r="FB18" i="102"/>
  <c r="FA18" i="102"/>
  <c r="EZ18" i="102"/>
  <c r="EY18" i="102"/>
  <c r="EX18" i="102"/>
  <c r="EW18" i="102"/>
  <c r="EV18" i="102"/>
  <c r="FM17" i="102"/>
  <c r="FL17" i="102"/>
  <c r="FK17" i="102"/>
  <c r="FJ17" i="102"/>
  <c r="FI17" i="102"/>
  <c r="FH17" i="102"/>
  <c r="FG17" i="102"/>
  <c r="FF17" i="102"/>
  <c r="FE17" i="102"/>
  <c r="FD17" i="102"/>
  <c r="FC17" i="102"/>
  <c r="FB17" i="102"/>
  <c r="FA17" i="102"/>
  <c r="EZ17" i="102"/>
  <c r="EY17" i="102"/>
  <c r="EX17" i="102"/>
  <c r="EW17" i="102"/>
  <c r="EV17" i="102"/>
  <c r="FM16" i="102"/>
  <c r="FL16" i="102"/>
  <c r="FK16" i="102"/>
  <c r="FJ16" i="102"/>
  <c r="FI16" i="102"/>
  <c r="FH16" i="102"/>
  <c r="FG16" i="102"/>
  <c r="FF16" i="102"/>
  <c r="FE16" i="102"/>
  <c r="FD16" i="102"/>
  <c r="FC16" i="102"/>
  <c r="FB16" i="102"/>
  <c r="FA16" i="102"/>
  <c r="EZ16" i="102"/>
  <c r="EY16" i="102"/>
  <c r="EX16" i="102"/>
  <c r="EW16" i="102"/>
  <c r="EV16" i="102"/>
  <c r="FM15" i="102"/>
  <c r="FL15" i="102"/>
  <c r="FK15" i="102"/>
  <c r="FK14" i="102" s="1"/>
  <c r="FJ15" i="102"/>
  <c r="FJ14" i="102" s="1"/>
  <c r="FI15" i="102"/>
  <c r="FH15" i="102"/>
  <c r="FG15" i="102"/>
  <c r="FG14" i="102" s="1"/>
  <c r="FF15" i="102"/>
  <c r="FF14" i="102" s="1"/>
  <c r="FE15" i="102"/>
  <c r="FD15" i="102"/>
  <c r="FC15" i="102"/>
  <c r="FC14" i="102" s="1"/>
  <c r="FB15" i="102"/>
  <c r="FB14" i="102" s="1"/>
  <c r="FA15" i="102"/>
  <c r="EZ15" i="102"/>
  <c r="EY15" i="102"/>
  <c r="EY14" i="102" s="1"/>
  <c r="EX15" i="102"/>
  <c r="EX14" i="102" s="1"/>
  <c r="EW15" i="102"/>
  <c r="EV15" i="102"/>
  <c r="FM14" i="102"/>
  <c r="FL14" i="102"/>
  <c r="FM13" i="102"/>
  <c r="FL13" i="102"/>
  <c r="FK13" i="102"/>
  <c r="FJ13" i="102"/>
  <c r="FI13" i="102"/>
  <c r="FH13" i="102"/>
  <c r="FG13" i="102"/>
  <c r="FF13" i="102"/>
  <c r="FE13" i="102"/>
  <c r="FD13" i="102"/>
  <c r="FC13" i="102"/>
  <c r="FB13" i="102"/>
  <c r="FA13" i="102"/>
  <c r="EZ13" i="102"/>
  <c r="EY13" i="102"/>
  <c r="EX13" i="102"/>
  <c r="EW13" i="102"/>
  <c r="EV13" i="102"/>
  <c r="EC23" i="102"/>
  <c r="EB23" i="102"/>
  <c r="EA23" i="102"/>
  <c r="DZ23" i="102"/>
  <c r="DY23" i="102"/>
  <c r="DX23" i="102"/>
  <c r="DW23" i="102"/>
  <c r="DV23" i="102"/>
  <c r="DU23" i="102"/>
  <c r="DT23" i="102"/>
  <c r="DS23" i="102"/>
  <c r="DR23" i="102"/>
  <c r="DQ23" i="102"/>
  <c r="DP23" i="102"/>
  <c r="DO23" i="102"/>
  <c r="DN23" i="102"/>
  <c r="DM23" i="102"/>
  <c r="DL23" i="102"/>
  <c r="EC22" i="102"/>
  <c r="EB22" i="102"/>
  <c r="EA22" i="102"/>
  <c r="DZ22" i="102"/>
  <c r="DY22" i="102"/>
  <c r="DX22" i="102"/>
  <c r="DW22" i="102"/>
  <c r="DV22" i="102"/>
  <c r="DU22" i="102"/>
  <c r="DT22" i="102"/>
  <c r="DS22" i="102"/>
  <c r="DR22" i="102"/>
  <c r="DQ22" i="102"/>
  <c r="DP22" i="102"/>
  <c r="DO22" i="102"/>
  <c r="DN22" i="102"/>
  <c r="DM22" i="102"/>
  <c r="DL22" i="102"/>
  <c r="EC21" i="102"/>
  <c r="EB21" i="102"/>
  <c r="EA21" i="102"/>
  <c r="DZ21" i="102"/>
  <c r="DY21" i="102"/>
  <c r="DX21" i="102"/>
  <c r="DW21" i="102"/>
  <c r="DV21" i="102"/>
  <c r="DU21" i="102"/>
  <c r="DT21" i="102"/>
  <c r="DS21" i="102"/>
  <c r="DR21" i="102"/>
  <c r="DQ21" i="102"/>
  <c r="DP21" i="102"/>
  <c r="DO21" i="102"/>
  <c r="DN21" i="102"/>
  <c r="DM21" i="102"/>
  <c r="DL21" i="102"/>
  <c r="EC20" i="102"/>
  <c r="EB20" i="102"/>
  <c r="EA20" i="102"/>
  <c r="DZ20" i="102"/>
  <c r="DY20" i="102"/>
  <c r="DX20" i="102"/>
  <c r="DW20" i="102"/>
  <c r="DV20" i="102"/>
  <c r="DU20" i="102"/>
  <c r="DT20" i="102"/>
  <c r="DS20" i="102"/>
  <c r="DR20" i="102"/>
  <c r="DQ20" i="102"/>
  <c r="DP20" i="102"/>
  <c r="DO20" i="102"/>
  <c r="DN20" i="102"/>
  <c r="DM20" i="102"/>
  <c r="DL20" i="102"/>
  <c r="EC19" i="102"/>
  <c r="EB19" i="102"/>
  <c r="EA19" i="102"/>
  <c r="DZ19" i="102"/>
  <c r="DY19" i="102"/>
  <c r="DX19" i="102"/>
  <c r="DW19" i="102"/>
  <c r="DV19" i="102"/>
  <c r="DU19" i="102"/>
  <c r="DT19" i="102"/>
  <c r="DS19" i="102"/>
  <c r="DR19" i="102"/>
  <c r="DQ19" i="102"/>
  <c r="DP19" i="102"/>
  <c r="DO19" i="102"/>
  <c r="DN19" i="102"/>
  <c r="DM19" i="102"/>
  <c r="DL19" i="102"/>
  <c r="EC18" i="102"/>
  <c r="EB18" i="102"/>
  <c r="EA18" i="102"/>
  <c r="DZ18" i="102"/>
  <c r="DY18" i="102"/>
  <c r="DX18" i="102"/>
  <c r="DW18" i="102"/>
  <c r="DV18" i="102"/>
  <c r="DU18" i="102"/>
  <c r="DT18" i="102"/>
  <c r="DS18" i="102"/>
  <c r="DR18" i="102"/>
  <c r="DQ18" i="102"/>
  <c r="DP18" i="102"/>
  <c r="DO18" i="102"/>
  <c r="DN18" i="102"/>
  <c r="DM18" i="102"/>
  <c r="DL18" i="102"/>
  <c r="EC17" i="102"/>
  <c r="EB17" i="102"/>
  <c r="EA17" i="102"/>
  <c r="DZ17" i="102"/>
  <c r="DY17" i="102"/>
  <c r="DX17" i="102"/>
  <c r="DW17" i="102"/>
  <c r="DV17" i="102"/>
  <c r="DU17" i="102"/>
  <c r="DT17" i="102"/>
  <c r="DS17" i="102"/>
  <c r="DR17" i="102"/>
  <c r="DQ17" i="102"/>
  <c r="DP17" i="102"/>
  <c r="DO17" i="102"/>
  <c r="DN17" i="102"/>
  <c r="DM17" i="102"/>
  <c r="DL17" i="102"/>
  <c r="EC16" i="102"/>
  <c r="EB16" i="102"/>
  <c r="EA16" i="102"/>
  <c r="DZ16" i="102"/>
  <c r="DY16" i="102"/>
  <c r="DX16" i="102"/>
  <c r="DW16" i="102"/>
  <c r="DV16" i="102"/>
  <c r="DU16" i="102"/>
  <c r="DT16" i="102"/>
  <c r="DS16" i="102"/>
  <c r="DR16" i="102"/>
  <c r="DQ16" i="102"/>
  <c r="DP16" i="102"/>
  <c r="DO16" i="102"/>
  <c r="DN16" i="102"/>
  <c r="DM16" i="102"/>
  <c r="DL16" i="102"/>
  <c r="EC15" i="102"/>
  <c r="EC14" i="102" s="1"/>
  <c r="EB15" i="102"/>
  <c r="EA15" i="102"/>
  <c r="DZ15" i="102"/>
  <c r="DY15" i="102"/>
  <c r="DX15" i="102"/>
  <c r="DW15" i="102"/>
  <c r="DV15" i="102"/>
  <c r="DU15" i="102"/>
  <c r="DT15" i="102"/>
  <c r="DS15" i="102"/>
  <c r="DR15" i="102"/>
  <c r="DR14" i="102" s="1"/>
  <c r="DQ15" i="102"/>
  <c r="DP15" i="102"/>
  <c r="DO15" i="102"/>
  <c r="DN15" i="102"/>
  <c r="DM15" i="102"/>
  <c r="DL15" i="102"/>
  <c r="EC13" i="102"/>
  <c r="EB13" i="102"/>
  <c r="EA13" i="102"/>
  <c r="DZ13" i="102"/>
  <c r="DY13" i="102"/>
  <c r="DX13" i="102"/>
  <c r="DW13" i="102"/>
  <c r="DV13" i="102"/>
  <c r="DU13" i="102"/>
  <c r="DT13" i="102"/>
  <c r="DS13" i="102"/>
  <c r="DR13" i="102"/>
  <c r="DQ13" i="102"/>
  <c r="DP13" i="102"/>
  <c r="DO13" i="102"/>
  <c r="DN13" i="102"/>
  <c r="DM13" i="102"/>
  <c r="DL13" i="102"/>
  <c r="AQ23" i="102"/>
  <c r="AP23" i="102"/>
  <c r="AO23" i="102"/>
  <c r="AN23" i="102"/>
  <c r="AM23" i="102"/>
  <c r="AL23" i="102"/>
  <c r="AK23" i="102"/>
  <c r="AJ23" i="102"/>
  <c r="AI23" i="102"/>
  <c r="AH23" i="102"/>
  <c r="AG23" i="102"/>
  <c r="AF23" i="102"/>
  <c r="AE23" i="102"/>
  <c r="AD23" i="102"/>
  <c r="AC23" i="102"/>
  <c r="AB23" i="102"/>
  <c r="AA23" i="102"/>
  <c r="Z23" i="102"/>
  <c r="AQ22" i="102"/>
  <c r="AP22" i="102"/>
  <c r="AO22" i="102"/>
  <c r="AN22" i="102"/>
  <c r="AM22" i="102"/>
  <c r="AL22" i="102"/>
  <c r="AK22" i="102"/>
  <c r="AJ22" i="102"/>
  <c r="AI22" i="102"/>
  <c r="AH22" i="102"/>
  <c r="AG22" i="102"/>
  <c r="AF22" i="102"/>
  <c r="AE22" i="102"/>
  <c r="AD22" i="102"/>
  <c r="AC22" i="102"/>
  <c r="AB22" i="102"/>
  <c r="AA22" i="102"/>
  <c r="Z22" i="102"/>
  <c r="AQ21" i="102"/>
  <c r="AP21" i="102"/>
  <c r="AO21" i="102"/>
  <c r="AN21" i="102"/>
  <c r="AM21" i="102"/>
  <c r="AL21" i="102"/>
  <c r="AK21" i="102"/>
  <c r="AJ21" i="102"/>
  <c r="AI21" i="102"/>
  <c r="AH21" i="102"/>
  <c r="AG21" i="102"/>
  <c r="AF21" i="102"/>
  <c r="AE21" i="102"/>
  <c r="AD21" i="102"/>
  <c r="AC21" i="102"/>
  <c r="AB21" i="102"/>
  <c r="AA21" i="102"/>
  <c r="Z21" i="102"/>
  <c r="AQ20" i="102"/>
  <c r="AP20" i="102"/>
  <c r="AO20" i="102"/>
  <c r="AN20" i="102"/>
  <c r="AM20" i="102"/>
  <c r="AL20" i="102"/>
  <c r="AK20" i="102"/>
  <c r="AJ20" i="102"/>
  <c r="AI20" i="102"/>
  <c r="AH20" i="102"/>
  <c r="AG20" i="102"/>
  <c r="AF20" i="102"/>
  <c r="AE20" i="102"/>
  <c r="AD20" i="102"/>
  <c r="AC20" i="102"/>
  <c r="AB20" i="102"/>
  <c r="AA20" i="102"/>
  <c r="Z20" i="102"/>
  <c r="AQ19" i="102"/>
  <c r="AP19" i="102"/>
  <c r="AO19" i="102"/>
  <c r="AN19" i="102"/>
  <c r="AM19" i="102"/>
  <c r="AL19" i="102"/>
  <c r="AK19" i="102"/>
  <c r="AJ19" i="102"/>
  <c r="AI19" i="102"/>
  <c r="AH19" i="102"/>
  <c r="AG19" i="102"/>
  <c r="AF19" i="102"/>
  <c r="AE19" i="102"/>
  <c r="AD19" i="102"/>
  <c r="AC19" i="102"/>
  <c r="AB19" i="102"/>
  <c r="AA19" i="102"/>
  <c r="Z19" i="102"/>
  <c r="AQ18" i="102"/>
  <c r="AP18" i="102"/>
  <c r="AO18" i="102"/>
  <c r="AN18" i="102"/>
  <c r="AM18" i="102"/>
  <c r="AL18" i="102"/>
  <c r="AK18" i="102"/>
  <c r="AJ18" i="102"/>
  <c r="AI18" i="102"/>
  <c r="AH18" i="102"/>
  <c r="AG18" i="102"/>
  <c r="AF18" i="102"/>
  <c r="AE18" i="102"/>
  <c r="AD18" i="102"/>
  <c r="AC18" i="102"/>
  <c r="AB18" i="102"/>
  <c r="AA18" i="102"/>
  <c r="Z18" i="102"/>
  <c r="AQ17" i="102"/>
  <c r="AP17" i="102"/>
  <c r="AO17" i="102"/>
  <c r="AN17" i="102"/>
  <c r="AM17" i="102"/>
  <c r="AL17" i="102"/>
  <c r="AK17" i="102"/>
  <c r="AJ17" i="102"/>
  <c r="AI17" i="102"/>
  <c r="AH17" i="102"/>
  <c r="AG17" i="102"/>
  <c r="AF17" i="102"/>
  <c r="AE17" i="102"/>
  <c r="AD17" i="102"/>
  <c r="AC17" i="102"/>
  <c r="AB17" i="102"/>
  <c r="AA17" i="102"/>
  <c r="Z17" i="102"/>
  <c r="AQ16" i="102"/>
  <c r="AP16" i="102"/>
  <c r="AO16" i="102"/>
  <c r="AN16" i="102"/>
  <c r="AM16" i="102"/>
  <c r="AL16" i="102"/>
  <c r="AK16" i="102"/>
  <c r="AJ16" i="102"/>
  <c r="AI16" i="102"/>
  <c r="AH16" i="102"/>
  <c r="AG16" i="102"/>
  <c r="AF16" i="102"/>
  <c r="AE16" i="102"/>
  <c r="AD16" i="102"/>
  <c r="AC16" i="102"/>
  <c r="AB16" i="102"/>
  <c r="AA16" i="102"/>
  <c r="Z16" i="102"/>
  <c r="AQ15" i="102"/>
  <c r="AP15" i="102"/>
  <c r="AO15" i="102"/>
  <c r="AO14" i="102" s="1"/>
  <c r="AN15" i="102"/>
  <c r="AM15" i="102"/>
  <c r="AL15" i="102"/>
  <c r="AK15" i="102"/>
  <c r="AJ15" i="102"/>
  <c r="AI15" i="102"/>
  <c r="AH15" i="102"/>
  <c r="AG15" i="102"/>
  <c r="AF15" i="102"/>
  <c r="AE15" i="102"/>
  <c r="AD15" i="102"/>
  <c r="AC15" i="102"/>
  <c r="AB15" i="102"/>
  <c r="AA15" i="102"/>
  <c r="Z15" i="102"/>
  <c r="AQ13" i="102"/>
  <c r="AP13" i="102"/>
  <c r="AO13" i="102"/>
  <c r="AN13" i="102"/>
  <c r="AM13" i="102"/>
  <c r="AL13" i="102"/>
  <c r="AK13" i="102"/>
  <c r="AJ13" i="102"/>
  <c r="AI13" i="102"/>
  <c r="AH13" i="102"/>
  <c r="AG13" i="102"/>
  <c r="AF13" i="102"/>
  <c r="AE13" i="102"/>
  <c r="AD13" i="102"/>
  <c r="AC13" i="102"/>
  <c r="AB13" i="102"/>
  <c r="AA13" i="102"/>
  <c r="Z13" i="102"/>
  <c r="CA23" i="102"/>
  <c r="BZ23" i="102"/>
  <c r="BY23" i="102"/>
  <c r="BX23" i="102"/>
  <c r="BW23" i="102"/>
  <c r="BV23" i="102"/>
  <c r="BU23" i="102"/>
  <c r="BT23" i="102"/>
  <c r="BS23" i="102"/>
  <c r="BR23" i="102"/>
  <c r="BQ23" i="102"/>
  <c r="BP23" i="102"/>
  <c r="BO23" i="102"/>
  <c r="BN23" i="102"/>
  <c r="BM23" i="102"/>
  <c r="BL23" i="102"/>
  <c r="BK23" i="102"/>
  <c r="BJ23" i="102"/>
  <c r="CA22" i="102"/>
  <c r="BZ22" i="102"/>
  <c r="BY22" i="102"/>
  <c r="BX22" i="102"/>
  <c r="BW22" i="102"/>
  <c r="BV22" i="102"/>
  <c r="BU22" i="102"/>
  <c r="BT22" i="102"/>
  <c r="BS22" i="102"/>
  <c r="BR22" i="102"/>
  <c r="BQ22" i="102"/>
  <c r="BP22" i="102"/>
  <c r="BO22" i="102"/>
  <c r="BN22" i="102"/>
  <c r="BM22" i="102"/>
  <c r="BL22" i="102"/>
  <c r="BK22" i="102"/>
  <c r="BJ22" i="102"/>
  <c r="CA21" i="102"/>
  <c r="BZ21" i="102"/>
  <c r="BY21" i="102"/>
  <c r="BX21" i="102"/>
  <c r="BW21" i="102"/>
  <c r="BV21" i="102"/>
  <c r="BU21" i="102"/>
  <c r="BT21" i="102"/>
  <c r="BS21" i="102"/>
  <c r="BR21" i="102"/>
  <c r="BQ21" i="102"/>
  <c r="BP21" i="102"/>
  <c r="BO21" i="102"/>
  <c r="BN21" i="102"/>
  <c r="BM21" i="102"/>
  <c r="BL21" i="102"/>
  <c r="BK21" i="102"/>
  <c r="BJ21" i="102"/>
  <c r="CA20" i="102"/>
  <c r="BZ20" i="102"/>
  <c r="BY20" i="102"/>
  <c r="BX20" i="102"/>
  <c r="BW20" i="102"/>
  <c r="BV20" i="102"/>
  <c r="BU20" i="102"/>
  <c r="BT20" i="102"/>
  <c r="BS20" i="102"/>
  <c r="BR20" i="102"/>
  <c r="BQ20" i="102"/>
  <c r="BP20" i="102"/>
  <c r="BO20" i="102"/>
  <c r="BN20" i="102"/>
  <c r="BM20" i="102"/>
  <c r="BL20" i="102"/>
  <c r="BK20" i="102"/>
  <c r="BJ20" i="102"/>
  <c r="CA19" i="102"/>
  <c r="BZ19" i="102"/>
  <c r="BY19" i="102"/>
  <c r="BX19" i="102"/>
  <c r="BW19" i="102"/>
  <c r="BV19" i="102"/>
  <c r="BU19" i="102"/>
  <c r="BT19" i="102"/>
  <c r="BS19" i="102"/>
  <c r="BR19" i="102"/>
  <c r="BQ19" i="102"/>
  <c r="BP19" i="102"/>
  <c r="BO19" i="102"/>
  <c r="BN19" i="102"/>
  <c r="BM19" i="102"/>
  <c r="BL19" i="102"/>
  <c r="BK19" i="102"/>
  <c r="BJ19" i="102"/>
  <c r="CA18" i="102"/>
  <c r="BZ18" i="102"/>
  <c r="BY18" i="102"/>
  <c r="BX18" i="102"/>
  <c r="BW18" i="102"/>
  <c r="BV18" i="102"/>
  <c r="BU18" i="102"/>
  <c r="BT18" i="102"/>
  <c r="BS18" i="102"/>
  <c r="BR18" i="102"/>
  <c r="BQ18" i="102"/>
  <c r="BP18" i="102"/>
  <c r="BO18" i="102"/>
  <c r="BN18" i="102"/>
  <c r="BM18" i="102"/>
  <c r="BL18" i="102"/>
  <c r="BK18" i="102"/>
  <c r="BJ18" i="102"/>
  <c r="CA17" i="102"/>
  <c r="BZ17" i="102"/>
  <c r="BY17" i="102"/>
  <c r="BX17" i="102"/>
  <c r="BW17" i="102"/>
  <c r="BV17" i="102"/>
  <c r="BU17" i="102"/>
  <c r="BT17" i="102"/>
  <c r="BS17" i="102"/>
  <c r="BR17" i="102"/>
  <c r="BQ17" i="102"/>
  <c r="BP17" i="102"/>
  <c r="BO17" i="102"/>
  <c r="BN17" i="102"/>
  <c r="BM17" i="102"/>
  <c r="BL17" i="102"/>
  <c r="BK17" i="102"/>
  <c r="BJ17" i="102"/>
  <c r="CA16" i="102"/>
  <c r="BZ16" i="102"/>
  <c r="BY16" i="102"/>
  <c r="BX16" i="102"/>
  <c r="BW16" i="102"/>
  <c r="BV16" i="102"/>
  <c r="BU16" i="102"/>
  <c r="BT16" i="102"/>
  <c r="BS16" i="102"/>
  <c r="BR16" i="102"/>
  <c r="BQ16" i="102"/>
  <c r="BP16" i="102"/>
  <c r="BO16" i="102"/>
  <c r="BN16" i="102"/>
  <c r="BM16" i="102"/>
  <c r="BL16" i="102"/>
  <c r="BK16" i="102"/>
  <c r="BJ16" i="102"/>
  <c r="CA15" i="102"/>
  <c r="BZ15" i="102"/>
  <c r="BZ14" i="102" s="1"/>
  <c r="BY15" i="102"/>
  <c r="BX15" i="102"/>
  <c r="BW15" i="102"/>
  <c r="BV15" i="102"/>
  <c r="BU15" i="102"/>
  <c r="BT15" i="102"/>
  <c r="BS15" i="102"/>
  <c r="BR15" i="102"/>
  <c r="BQ15" i="102"/>
  <c r="BP15" i="102"/>
  <c r="BO15" i="102"/>
  <c r="BN15" i="102"/>
  <c r="BM15" i="102"/>
  <c r="BL15" i="102"/>
  <c r="BK15" i="102"/>
  <c r="BJ15" i="102"/>
  <c r="CA13" i="102"/>
  <c r="BZ13" i="102"/>
  <c r="BY13" i="102"/>
  <c r="BX13" i="102"/>
  <c r="BW13" i="102"/>
  <c r="BV13" i="102"/>
  <c r="BU13" i="102"/>
  <c r="BT13" i="102"/>
  <c r="BS13" i="102"/>
  <c r="BR13" i="102"/>
  <c r="BQ13" i="102"/>
  <c r="BP13" i="102"/>
  <c r="BO13" i="102"/>
  <c r="BN13" i="102"/>
  <c r="BM13" i="102"/>
  <c r="BL13" i="102"/>
  <c r="BK13" i="102"/>
  <c r="BJ13" i="102"/>
  <c r="EV14" i="102" l="1"/>
  <c r="EW14" i="102"/>
  <c r="EA14" i="102"/>
  <c r="FA14" i="102"/>
  <c r="FE14" i="102"/>
  <c r="FI14" i="102"/>
  <c r="AP14" i="102"/>
  <c r="EB14" i="102"/>
  <c r="EZ14" i="102"/>
  <c r="FD14" i="102"/>
  <c r="FH14" i="102"/>
  <c r="DP14" i="102"/>
  <c r="BO14" i="102"/>
  <c r="DM14" i="102"/>
  <c r="DQ14" i="102"/>
  <c r="DU14" i="102"/>
  <c r="DY14" i="102"/>
  <c r="DS14" i="102"/>
  <c r="Z14" i="102"/>
  <c r="AL14" i="102"/>
  <c r="DX14" i="102"/>
  <c r="AC14" i="102"/>
  <c r="AG14" i="102"/>
  <c r="AK14" i="102"/>
  <c r="BJ14" i="102"/>
  <c r="BR14" i="102"/>
  <c r="AD14" i="102"/>
  <c r="AH14" i="102"/>
  <c r="DN14" i="102"/>
  <c r="DV14" i="102"/>
  <c r="DZ14" i="102"/>
  <c r="DL14" i="102"/>
  <c r="DT14" i="102"/>
  <c r="DO14" i="102"/>
  <c r="DW14" i="102"/>
  <c r="BK14" i="102"/>
  <c r="BS14" i="102"/>
  <c r="BW14" i="102"/>
  <c r="CA14" i="102"/>
  <c r="AB14" i="102"/>
  <c r="AF14" i="102"/>
  <c r="AJ14" i="102"/>
  <c r="AN14" i="102"/>
  <c r="AA14" i="102"/>
  <c r="AE14" i="102"/>
  <c r="AI14" i="102"/>
  <c r="AM14" i="102"/>
  <c r="AQ14" i="102"/>
  <c r="BL14" i="102"/>
  <c r="BP14" i="102"/>
  <c r="BT14" i="102"/>
  <c r="BX14" i="102"/>
  <c r="BN14" i="102"/>
  <c r="BV14" i="102"/>
  <c r="BM14" i="102"/>
  <c r="BQ14" i="102"/>
  <c r="BU14" i="102"/>
  <c r="BY14" i="102"/>
  <c r="FM13" i="1" l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G18" i="102" l="1"/>
  <c r="H18" i="102"/>
  <c r="I18" i="102"/>
  <c r="J18" i="102"/>
  <c r="K18" i="102"/>
  <c r="L18" i="102"/>
  <c r="M18" i="102"/>
  <c r="N18" i="102"/>
  <c r="O18" i="102"/>
  <c r="P18" i="102"/>
  <c r="Q18" i="102"/>
  <c r="R18" i="102"/>
  <c r="S18" i="102"/>
  <c r="T18" i="102"/>
  <c r="U18" i="102"/>
  <c r="V18" i="102"/>
  <c r="W18" i="102"/>
  <c r="X18" i="102"/>
  <c r="Y18" i="102"/>
  <c r="AR18" i="102"/>
  <c r="AS18" i="102"/>
  <c r="AT18" i="102"/>
  <c r="AU18" i="102"/>
  <c r="AV18" i="102"/>
  <c r="AW18" i="102"/>
  <c r="AX18" i="102"/>
  <c r="AY18" i="102"/>
  <c r="AZ18" i="102"/>
  <c r="BA18" i="102"/>
  <c r="BB18" i="102"/>
  <c r="BC18" i="102"/>
  <c r="BD18" i="102"/>
  <c r="BE18" i="102"/>
  <c r="BF18" i="102"/>
  <c r="BG18" i="102"/>
  <c r="BH18" i="102"/>
  <c r="BI18" i="102"/>
  <c r="CB18" i="102"/>
  <c r="CC18" i="102"/>
  <c r="CD18" i="102"/>
  <c r="CE18" i="102"/>
  <c r="CF18" i="102"/>
  <c r="CG18" i="102"/>
  <c r="CH18" i="102"/>
  <c r="CI18" i="102"/>
  <c r="CJ18" i="102"/>
  <c r="CK18" i="102"/>
  <c r="CL18" i="102"/>
  <c r="CM18" i="102"/>
  <c r="CN18" i="102"/>
  <c r="CO18" i="102"/>
  <c r="CP18" i="102"/>
  <c r="CQ18" i="102"/>
  <c r="CR18" i="102"/>
  <c r="CS18" i="102"/>
  <c r="CT18" i="102"/>
  <c r="CU18" i="102"/>
  <c r="CV18" i="102"/>
  <c r="CW18" i="102"/>
  <c r="CX18" i="102"/>
  <c r="CY18" i="102"/>
  <c r="CZ18" i="102"/>
  <c r="DA18" i="102"/>
  <c r="DB18" i="102"/>
  <c r="DC18" i="102"/>
  <c r="DD18" i="102"/>
  <c r="DE18" i="102"/>
  <c r="DF18" i="102"/>
  <c r="DG18" i="102"/>
  <c r="DH18" i="102"/>
  <c r="DI18" i="102"/>
  <c r="DJ18" i="102"/>
  <c r="DK18" i="102"/>
  <c r="ED18" i="102"/>
  <c r="EE18" i="102"/>
  <c r="EF18" i="102"/>
  <c r="EG18" i="102"/>
  <c r="EH18" i="102"/>
  <c r="EI18" i="102"/>
  <c r="EJ18" i="102"/>
  <c r="EK18" i="102"/>
  <c r="EL18" i="102"/>
  <c r="EM18" i="102"/>
  <c r="EN18" i="102"/>
  <c r="EO18" i="102"/>
  <c r="EP18" i="102"/>
  <c r="EQ18" i="102"/>
  <c r="ER18" i="102"/>
  <c r="ES18" i="102"/>
  <c r="ET18" i="102"/>
  <c r="EU18" i="102"/>
  <c r="FN18" i="102"/>
  <c r="FO18" i="102"/>
  <c r="FP18" i="102"/>
  <c r="FQ18" i="102"/>
  <c r="FR18" i="102"/>
  <c r="FS18" i="102"/>
  <c r="FT18" i="102"/>
  <c r="FU18" i="102"/>
  <c r="FV18" i="102"/>
  <c r="FW18" i="102"/>
  <c r="FX18" i="102"/>
  <c r="FY18" i="102"/>
  <c r="FZ18" i="102"/>
  <c r="GA18" i="102"/>
  <c r="GB18" i="102"/>
  <c r="GC18" i="102"/>
  <c r="GD18" i="102"/>
  <c r="GE18" i="102"/>
  <c r="GF18" i="102"/>
  <c r="GG18" i="102"/>
  <c r="GH18" i="102"/>
  <c r="GI18" i="102"/>
  <c r="GJ18" i="102"/>
  <c r="GK18" i="102"/>
  <c r="GL18" i="102"/>
  <c r="GM18" i="102"/>
  <c r="GN18" i="102"/>
  <c r="GO18" i="102"/>
  <c r="GP18" i="102"/>
  <c r="GQ18" i="102"/>
  <c r="GR18" i="102"/>
  <c r="GS18" i="102"/>
  <c r="GT18" i="102"/>
  <c r="GU18" i="102"/>
  <c r="GV18" i="102"/>
  <c r="GW18" i="102"/>
  <c r="GX18" i="102"/>
  <c r="GY18" i="102"/>
  <c r="GZ18" i="102"/>
  <c r="HA18" i="102"/>
  <c r="HB18" i="102"/>
  <c r="HC18" i="102"/>
  <c r="HD18" i="102"/>
  <c r="HE18" i="102"/>
  <c r="HF18" i="102"/>
  <c r="HG18" i="102"/>
  <c r="HH18" i="102"/>
  <c r="HI18" i="102"/>
  <c r="HJ18" i="102"/>
  <c r="HK18" i="102"/>
  <c r="HL18" i="102"/>
  <c r="HM18" i="102"/>
  <c r="HN18" i="102"/>
  <c r="HO18" i="102"/>
  <c r="HP18" i="102"/>
  <c r="HQ18" i="102"/>
  <c r="HR18" i="102"/>
  <c r="HS18" i="102"/>
  <c r="HT18" i="102"/>
  <c r="HU18" i="102"/>
  <c r="HV18" i="102"/>
  <c r="HW18" i="102"/>
  <c r="HX18" i="102"/>
  <c r="HY18" i="102"/>
  <c r="HZ18" i="102"/>
  <c r="IA18" i="102"/>
  <c r="IB18" i="102"/>
  <c r="IC18" i="102"/>
  <c r="ID18" i="102"/>
  <c r="IE18" i="102"/>
  <c r="IF18" i="102"/>
  <c r="IG18" i="102"/>
  <c r="IH18" i="102"/>
  <c r="II18" i="102"/>
  <c r="IJ18" i="102"/>
  <c r="IK18" i="102"/>
  <c r="IL18" i="102"/>
  <c r="IM18" i="102"/>
  <c r="IN18" i="102"/>
  <c r="IO18" i="102"/>
  <c r="IP18" i="102"/>
  <c r="IQ18" i="102"/>
  <c r="IR18" i="102"/>
  <c r="IS18" i="102"/>
  <c r="IT18" i="102"/>
  <c r="IU18" i="102"/>
  <c r="IV18" i="102"/>
  <c r="IW18" i="102"/>
  <c r="IX18" i="102"/>
  <c r="IY18" i="102"/>
  <c r="IZ18" i="102"/>
  <c r="JA18" i="102"/>
  <c r="JB18" i="102"/>
  <c r="JC18" i="102"/>
  <c r="JD18" i="102"/>
  <c r="JE18" i="102"/>
  <c r="JF18" i="102"/>
  <c r="JG18" i="102"/>
  <c r="JH18" i="102"/>
  <c r="JI18" i="102"/>
  <c r="JJ18" i="102"/>
  <c r="JK18" i="102"/>
  <c r="JL18" i="102"/>
  <c r="JM18" i="102"/>
  <c r="JN18" i="102"/>
  <c r="JO18" i="102"/>
  <c r="JP18" i="102"/>
  <c r="JQ18" i="102"/>
  <c r="JR18" i="102"/>
  <c r="JS18" i="102"/>
  <c r="JT18" i="102"/>
  <c r="JU18" i="102"/>
  <c r="JV18" i="102"/>
  <c r="JW18" i="102"/>
  <c r="JX18" i="102"/>
  <c r="JY18" i="102"/>
  <c r="JZ18" i="102"/>
  <c r="KA18" i="102"/>
  <c r="KB18" i="102"/>
  <c r="KC18" i="102"/>
  <c r="KD18" i="102"/>
  <c r="KE18" i="102"/>
  <c r="KF18" i="102"/>
  <c r="KG18" i="102"/>
  <c r="KH18" i="102"/>
  <c r="KI18" i="102"/>
  <c r="KJ18" i="102"/>
  <c r="KK18" i="102"/>
  <c r="KL18" i="102"/>
  <c r="KM18" i="102"/>
  <c r="KN18" i="102"/>
  <c r="KO18" i="102"/>
  <c r="KP18" i="102"/>
  <c r="KQ18" i="102"/>
  <c r="KR18" i="102"/>
  <c r="KS18" i="102"/>
  <c r="KT18" i="102"/>
  <c r="KU18" i="102"/>
  <c r="KV18" i="102"/>
  <c r="KW18" i="102"/>
  <c r="KX18" i="102"/>
  <c r="KY18" i="102"/>
  <c r="KZ18" i="102"/>
  <c r="LA18" i="102"/>
  <c r="LB18" i="102"/>
  <c r="LC18" i="102"/>
  <c r="LD18" i="102"/>
  <c r="LE18" i="102"/>
  <c r="LF18" i="102"/>
  <c r="LG18" i="102"/>
  <c r="LH18" i="102"/>
  <c r="LI18" i="102"/>
  <c r="LJ18" i="102"/>
  <c r="LK18" i="102"/>
  <c r="LL18" i="102"/>
  <c r="LM18" i="102"/>
  <c r="LN18" i="102"/>
  <c r="LO18" i="102"/>
  <c r="LP18" i="102"/>
  <c r="LQ18" i="102"/>
  <c r="LR18" i="102"/>
  <c r="LS18" i="102"/>
  <c r="LT18" i="102"/>
  <c r="LU18" i="102"/>
  <c r="LV18" i="102"/>
  <c r="LW18" i="102"/>
  <c r="LX18" i="102"/>
  <c r="LY18" i="102"/>
  <c r="LZ18" i="102"/>
  <c r="MA18" i="102"/>
  <c r="MB18" i="102"/>
  <c r="MC18" i="102"/>
  <c r="MD18" i="102"/>
  <c r="ME18" i="102"/>
  <c r="MF18" i="102"/>
  <c r="MG18" i="102"/>
  <c r="MH18" i="102"/>
  <c r="MI18" i="102"/>
  <c r="MJ18" i="102"/>
  <c r="MK18" i="102"/>
  <c r="ML18" i="102"/>
  <c r="MM18" i="102"/>
  <c r="MN18" i="102"/>
  <c r="MO18" i="102"/>
  <c r="MP18" i="102"/>
  <c r="MQ18" i="102"/>
  <c r="MR18" i="102"/>
  <c r="MS18" i="102"/>
  <c r="MT18" i="102"/>
  <c r="MU18" i="102"/>
  <c r="MV18" i="102"/>
  <c r="MW18" i="102"/>
  <c r="MX18" i="102"/>
  <c r="MY18" i="102"/>
  <c r="MZ18" i="102"/>
  <c r="NA18" i="102"/>
  <c r="NB18" i="102"/>
  <c r="NC18" i="102"/>
  <c r="ND18" i="102"/>
  <c r="NE18" i="102"/>
  <c r="NF18" i="102"/>
  <c r="NG18" i="102"/>
  <c r="NH18" i="102"/>
  <c r="NI18" i="102"/>
  <c r="NJ18" i="102"/>
  <c r="NK18" i="102"/>
  <c r="NL18" i="102"/>
  <c r="NM18" i="102"/>
  <c r="NN18" i="102"/>
  <c r="NO18" i="102"/>
  <c r="NP18" i="102"/>
  <c r="NQ18" i="102"/>
  <c r="NR18" i="102"/>
  <c r="NS18" i="102"/>
  <c r="NT18" i="102"/>
  <c r="NU18" i="102"/>
  <c r="NV18" i="102"/>
  <c r="NW18" i="102"/>
  <c r="NX18" i="102"/>
  <c r="NY18" i="102"/>
  <c r="NZ18" i="102"/>
  <c r="OA18" i="102"/>
  <c r="OB18" i="102"/>
  <c r="OC18" i="102"/>
  <c r="OD18" i="102"/>
  <c r="OE18" i="102"/>
  <c r="OF18" i="102"/>
  <c r="OG18" i="102"/>
  <c r="OH18" i="102"/>
  <c r="OI18" i="102"/>
  <c r="OJ18" i="102"/>
  <c r="OK18" i="102"/>
  <c r="OL18" i="102"/>
  <c r="OM18" i="102"/>
  <c r="ON18" i="102"/>
  <c r="OO18" i="102"/>
  <c r="OP18" i="102"/>
  <c r="OQ18" i="102"/>
  <c r="OR18" i="102"/>
  <c r="OS18" i="102"/>
  <c r="OT18" i="102"/>
  <c r="OU18" i="102"/>
  <c r="OV18" i="102"/>
  <c r="OW18" i="102"/>
  <c r="OX18" i="102"/>
  <c r="OY18" i="102"/>
  <c r="OZ18" i="102"/>
  <c r="PA18" i="102"/>
  <c r="PB18" i="102"/>
  <c r="PC18" i="102"/>
  <c r="PD18" i="102"/>
  <c r="PE18" i="102"/>
  <c r="PF18" i="102"/>
  <c r="PG18" i="102"/>
  <c r="PH18" i="102"/>
  <c r="PI18" i="102"/>
  <c r="PJ18" i="102"/>
  <c r="PK18" i="102"/>
  <c r="PL18" i="102"/>
  <c r="PM18" i="102"/>
  <c r="PN18" i="102"/>
  <c r="PO18" i="102"/>
  <c r="PP18" i="102"/>
  <c r="PQ18" i="102"/>
  <c r="PR18" i="102"/>
  <c r="PS18" i="102"/>
  <c r="PT18" i="102"/>
  <c r="PU18" i="102"/>
  <c r="PV18" i="102"/>
  <c r="PW18" i="102"/>
  <c r="PX18" i="102"/>
  <c r="PY18" i="102"/>
  <c r="PZ18" i="102"/>
  <c r="QA18" i="102"/>
  <c r="QB18" i="102"/>
  <c r="QC18" i="102"/>
  <c r="QD18" i="102"/>
  <c r="QE18" i="102"/>
  <c r="QF18" i="102"/>
  <c r="QG18" i="102"/>
  <c r="QH18" i="102"/>
  <c r="QI18" i="102"/>
  <c r="QJ18" i="102"/>
  <c r="QK18" i="102"/>
  <c r="QL18" i="102"/>
  <c r="QM18" i="102"/>
  <c r="QN18" i="102"/>
  <c r="QO18" i="102"/>
  <c r="F18" i="102"/>
  <c r="QO13" i="102" l="1"/>
  <c r="QN13" i="102"/>
  <c r="QM13" i="102"/>
  <c r="QL13" i="102"/>
  <c r="QK13" i="102"/>
  <c r="QJ13" i="102"/>
  <c r="QI13" i="102"/>
  <c r="QH13" i="102"/>
  <c r="QG13" i="102"/>
  <c r="QF13" i="102"/>
  <c r="QE13" i="102"/>
  <c r="QD13" i="102"/>
  <c r="QC13" i="102"/>
  <c r="QB13" i="102"/>
  <c r="QA13" i="102"/>
  <c r="PZ13" i="102"/>
  <c r="PY13" i="102"/>
  <c r="PX13" i="102"/>
  <c r="PW13" i="102"/>
  <c r="PV13" i="102"/>
  <c r="PU13" i="102"/>
  <c r="PT13" i="102"/>
  <c r="PS13" i="102"/>
  <c r="PR13" i="102"/>
  <c r="PQ13" i="102"/>
  <c r="PP13" i="102"/>
  <c r="PO13" i="102"/>
  <c r="PN13" i="102"/>
  <c r="PM13" i="102"/>
  <c r="PL13" i="102"/>
  <c r="PK13" i="102"/>
  <c r="PJ13" i="102"/>
  <c r="PI13" i="102"/>
  <c r="PH13" i="102"/>
  <c r="PG13" i="102"/>
  <c r="PF13" i="102"/>
  <c r="PE13" i="102"/>
  <c r="PD13" i="102"/>
  <c r="PC13" i="102"/>
  <c r="PB13" i="102"/>
  <c r="PA13" i="102"/>
  <c r="OZ13" i="102"/>
  <c r="OY13" i="102"/>
  <c r="OX13" i="102"/>
  <c r="OW13" i="102"/>
  <c r="OV13" i="102"/>
  <c r="OU13" i="102"/>
  <c r="OT13" i="102"/>
  <c r="OS13" i="102"/>
  <c r="OR13" i="102"/>
  <c r="OQ13" i="102"/>
  <c r="OP13" i="102"/>
  <c r="OO13" i="102"/>
  <c r="ON13" i="102"/>
  <c r="OM13" i="102"/>
  <c r="OL13" i="102"/>
  <c r="OK13" i="102"/>
  <c r="OJ13" i="102"/>
  <c r="OI13" i="102"/>
  <c r="OH13" i="102"/>
  <c r="OG13" i="102"/>
  <c r="OF13" i="102"/>
  <c r="OE13" i="102"/>
  <c r="OD13" i="102"/>
  <c r="OC13" i="102"/>
  <c r="OB13" i="102"/>
  <c r="OA13" i="102"/>
  <c r="NZ13" i="102"/>
  <c r="NY13" i="102"/>
  <c r="NX13" i="102"/>
  <c r="NW13" i="102"/>
  <c r="NV13" i="102"/>
  <c r="NU13" i="102"/>
  <c r="NT13" i="102"/>
  <c r="NS13" i="102"/>
  <c r="NR13" i="102"/>
  <c r="NQ13" i="102"/>
  <c r="NP13" i="102"/>
  <c r="NO13" i="102"/>
  <c r="NN13" i="102"/>
  <c r="NM13" i="102"/>
  <c r="NL13" i="102"/>
  <c r="NK13" i="102"/>
  <c r="NJ13" i="102"/>
  <c r="NI13" i="102"/>
  <c r="NH13" i="102"/>
  <c r="NG13" i="102"/>
  <c r="NF13" i="102"/>
  <c r="NE13" i="102"/>
  <c r="ND13" i="102"/>
  <c r="NC13" i="102"/>
  <c r="NB13" i="102"/>
  <c r="NA13" i="102"/>
  <c r="MZ13" i="102"/>
  <c r="MY13" i="102"/>
  <c r="MX13" i="102"/>
  <c r="MW13" i="102"/>
  <c r="MV13" i="102"/>
  <c r="MU13" i="102"/>
  <c r="MT13" i="102"/>
  <c r="MS13" i="102"/>
  <c r="MR13" i="102"/>
  <c r="MQ13" i="102"/>
  <c r="MP13" i="102"/>
  <c r="MO13" i="102"/>
  <c r="MN13" i="102"/>
  <c r="MM13" i="102"/>
  <c r="ML13" i="102"/>
  <c r="MK13" i="102"/>
  <c r="MJ13" i="102"/>
  <c r="MI13" i="102"/>
  <c r="MH13" i="102"/>
  <c r="MG13" i="102"/>
  <c r="MF13" i="102"/>
  <c r="ME13" i="102"/>
  <c r="MD13" i="102"/>
  <c r="MC13" i="102"/>
  <c r="MB13" i="102"/>
  <c r="MA13" i="102"/>
  <c r="LZ13" i="102"/>
  <c r="LY13" i="102"/>
  <c r="LX13" i="102"/>
  <c r="LW13" i="102"/>
  <c r="LV13" i="102"/>
  <c r="LU13" i="102"/>
  <c r="LT13" i="102"/>
  <c r="LS13" i="102"/>
  <c r="LR13" i="102"/>
  <c r="LQ13" i="102"/>
  <c r="LP13" i="102"/>
  <c r="LO13" i="102"/>
  <c r="LN13" i="102"/>
  <c r="LM13" i="102"/>
  <c r="LL13" i="102"/>
  <c r="LK13" i="102"/>
  <c r="LJ13" i="102"/>
  <c r="LI13" i="102"/>
  <c r="LH13" i="102"/>
  <c r="LG13" i="102"/>
  <c r="LF13" i="102"/>
  <c r="LE13" i="102"/>
  <c r="LD13" i="102"/>
  <c r="LC13" i="102"/>
  <c r="LB13" i="102"/>
  <c r="LA13" i="102"/>
  <c r="KZ13" i="102"/>
  <c r="KY13" i="102"/>
  <c r="KX13" i="102"/>
  <c r="KW13" i="102"/>
  <c r="KV13" i="102"/>
  <c r="KU13" i="102"/>
  <c r="KT13" i="102"/>
  <c r="KS13" i="102"/>
  <c r="KR13" i="102"/>
  <c r="KQ13" i="102"/>
  <c r="KP13" i="102"/>
  <c r="KO13" i="102"/>
  <c r="KN13" i="102"/>
  <c r="KM13" i="102"/>
  <c r="KL13" i="102"/>
  <c r="KK13" i="102"/>
  <c r="KJ13" i="102"/>
  <c r="KI13" i="102"/>
  <c r="KH13" i="102"/>
  <c r="KG13" i="102"/>
  <c r="KF13" i="102"/>
  <c r="KE13" i="102"/>
  <c r="KD13" i="102"/>
  <c r="KC13" i="102"/>
  <c r="KB13" i="102"/>
  <c r="KA13" i="102"/>
  <c r="JZ13" i="102"/>
  <c r="JY13" i="102"/>
  <c r="JX13" i="102"/>
  <c r="JW13" i="102"/>
  <c r="JV13" i="102"/>
  <c r="JU13" i="102"/>
  <c r="JT13" i="102"/>
  <c r="JS13" i="102"/>
  <c r="JR13" i="102"/>
  <c r="JQ13" i="102"/>
  <c r="JP13" i="102"/>
  <c r="JO13" i="102"/>
  <c r="JN13" i="102"/>
  <c r="JM13" i="102"/>
  <c r="JL13" i="102"/>
  <c r="JK13" i="102"/>
  <c r="JJ13" i="102"/>
  <c r="JI13" i="102"/>
  <c r="JH13" i="102"/>
  <c r="JG13" i="102"/>
  <c r="JF13" i="102"/>
  <c r="JE13" i="102"/>
  <c r="JD13" i="102"/>
  <c r="JC13" i="102"/>
  <c r="JB13" i="102"/>
  <c r="JA13" i="102"/>
  <c r="IZ13" i="102"/>
  <c r="IY13" i="102"/>
  <c r="IX13" i="102"/>
  <c r="IW13" i="102"/>
  <c r="IV13" i="102"/>
  <c r="IU13" i="102"/>
  <c r="IT13" i="102"/>
  <c r="IS13" i="102"/>
  <c r="IR13" i="102"/>
  <c r="IQ13" i="102"/>
  <c r="IP13" i="102"/>
  <c r="IO13" i="102"/>
  <c r="IN13" i="102"/>
  <c r="IM13" i="102"/>
  <c r="IL13" i="102"/>
  <c r="IK13" i="102"/>
  <c r="IJ13" i="102"/>
  <c r="II13" i="102"/>
  <c r="IH13" i="102"/>
  <c r="IG13" i="102"/>
  <c r="IF13" i="102"/>
  <c r="IE13" i="102"/>
  <c r="ID13" i="102"/>
  <c r="IC13" i="102"/>
  <c r="IB13" i="102"/>
  <c r="IA13" i="102"/>
  <c r="HZ13" i="102"/>
  <c r="HY13" i="102"/>
  <c r="HX13" i="102"/>
  <c r="HW13" i="102"/>
  <c r="HV13" i="102"/>
  <c r="HU13" i="102"/>
  <c r="HT13" i="102"/>
  <c r="HS13" i="102"/>
  <c r="HR13" i="102"/>
  <c r="HQ13" i="102"/>
  <c r="HP13" i="102"/>
  <c r="HO13" i="102"/>
  <c r="HN13" i="102"/>
  <c r="HM13" i="102"/>
  <c r="HL13" i="102"/>
  <c r="HK13" i="102"/>
  <c r="HJ13" i="102"/>
  <c r="HI13" i="102"/>
  <c r="HH13" i="102"/>
  <c r="HG13" i="102"/>
  <c r="HF13" i="102"/>
  <c r="HE13" i="102"/>
  <c r="HD13" i="102"/>
  <c r="HC13" i="102"/>
  <c r="HB13" i="102"/>
  <c r="HA13" i="102"/>
  <c r="GZ13" i="102"/>
  <c r="GY13" i="102"/>
  <c r="GX13" i="102"/>
  <c r="GW13" i="102"/>
  <c r="GV13" i="102"/>
  <c r="GU13" i="102"/>
  <c r="GT13" i="102"/>
  <c r="GS13" i="102"/>
  <c r="GR13" i="102"/>
  <c r="GQ13" i="102"/>
  <c r="GP13" i="102"/>
  <c r="GO13" i="102"/>
  <c r="GN13" i="102"/>
  <c r="GM13" i="102"/>
  <c r="GL13" i="102"/>
  <c r="GK13" i="102"/>
  <c r="GJ13" i="102"/>
  <c r="GI13" i="102"/>
  <c r="GH13" i="102"/>
  <c r="GG13" i="102"/>
  <c r="GF13" i="102"/>
  <c r="GE13" i="102"/>
  <c r="GD13" i="102"/>
  <c r="GC13" i="102"/>
  <c r="GB13" i="102"/>
  <c r="GA13" i="102"/>
  <c r="FZ13" i="102"/>
  <c r="FY13" i="102"/>
  <c r="FX13" i="102"/>
  <c r="FW13" i="102"/>
  <c r="FV13" i="102"/>
  <c r="FU13" i="102"/>
  <c r="FT13" i="102"/>
  <c r="FS13" i="102"/>
  <c r="FR13" i="102"/>
  <c r="FQ13" i="102"/>
  <c r="FP13" i="102"/>
  <c r="FO13" i="102"/>
  <c r="FN13" i="102"/>
  <c r="EU13" i="102"/>
  <c r="ET13" i="102"/>
  <c r="ES13" i="102"/>
  <c r="ER13" i="102"/>
  <c r="EQ13" i="102"/>
  <c r="EP13" i="102"/>
  <c r="EO13" i="102"/>
  <c r="EN13" i="102"/>
  <c r="EM13" i="102"/>
  <c r="EL13" i="102"/>
  <c r="EK13" i="102"/>
  <c r="EJ13" i="102"/>
  <c r="EI13" i="102"/>
  <c r="EH13" i="102"/>
  <c r="EG13" i="102"/>
  <c r="EF13" i="102"/>
  <c r="EE13" i="102"/>
  <c r="ED13" i="102"/>
  <c r="DK13" i="102"/>
  <c r="DJ13" i="102"/>
  <c r="DI13" i="102"/>
  <c r="DH13" i="102"/>
  <c r="DG13" i="102"/>
  <c r="DF13" i="102"/>
  <c r="DE13" i="102"/>
  <c r="DD13" i="102"/>
  <c r="DC13" i="102"/>
  <c r="DB13" i="102"/>
  <c r="DA13" i="102"/>
  <c r="CZ13" i="102"/>
  <c r="CY13" i="102"/>
  <c r="CX13" i="102"/>
  <c r="CW13" i="102"/>
  <c r="CV13" i="102"/>
  <c r="CU13" i="102"/>
  <c r="CT13" i="102"/>
  <c r="CS13" i="102"/>
  <c r="CR13" i="102"/>
  <c r="CQ13" i="102"/>
  <c r="CP13" i="102"/>
  <c r="CO13" i="102"/>
  <c r="CN13" i="102"/>
  <c r="CM13" i="102"/>
  <c r="CL13" i="102"/>
  <c r="CK13" i="102"/>
  <c r="CJ13" i="102"/>
  <c r="CI13" i="102"/>
  <c r="CH13" i="102"/>
  <c r="CG13" i="102"/>
  <c r="CF13" i="102"/>
  <c r="CE13" i="102"/>
  <c r="CD13" i="102"/>
  <c r="CC13" i="102"/>
  <c r="CB13" i="102"/>
  <c r="BI13" i="102"/>
  <c r="BH13" i="102"/>
  <c r="BG13" i="102"/>
  <c r="BF13" i="102"/>
  <c r="BE13" i="102"/>
  <c r="BD13" i="102"/>
  <c r="BC13" i="102"/>
  <c r="BB13" i="102"/>
  <c r="BA13" i="102"/>
  <c r="AZ13" i="102"/>
  <c r="AY13" i="102"/>
  <c r="AX13" i="102"/>
  <c r="AW13" i="102"/>
  <c r="AV13" i="102"/>
  <c r="AU13" i="102"/>
  <c r="AT13" i="102"/>
  <c r="AS13" i="102"/>
  <c r="AR13" i="102"/>
  <c r="Y13" i="102"/>
  <c r="X13" i="102"/>
  <c r="W13" i="102"/>
  <c r="V13" i="102"/>
  <c r="U13" i="102"/>
  <c r="T13" i="102"/>
  <c r="S13" i="102"/>
  <c r="R13" i="102"/>
  <c r="Q13" i="102"/>
  <c r="P13" i="102"/>
  <c r="O13" i="102"/>
  <c r="N13" i="102"/>
  <c r="M13" i="102"/>
  <c r="L13" i="102"/>
  <c r="K13" i="102"/>
  <c r="J13" i="102"/>
  <c r="I13" i="102"/>
  <c r="H13" i="102"/>
  <c r="PX15" i="102" l="1"/>
  <c r="PY15" i="102"/>
  <c r="PZ15" i="102"/>
  <c r="QA15" i="102"/>
  <c r="QB15" i="102"/>
  <c r="QC15" i="102"/>
  <c r="QD15" i="102"/>
  <c r="QE15" i="102"/>
  <c r="QF15" i="102"/>
  <c r="QG15" i="102"/>
  <c r="QH15" i="102"/>
  <c r="QI15" i="102"/>
  <c r="QJ15" i="102"/>
  <c r="QK15" i="102"/>
  <c r="QL15" i="102"/>
  <c r="QM15" i="102"/>
  <c r="QN15" i="102"/>
  <c r="QO15" i="102"/>
  <c r="PX16" i="102"/>
  <c r="PY16" i="102"/>
  <c r="PZ16" i="102"/>
  <c r="QA16" i="102"/>
  <c r="QB16" i="102"/>
  <c r="QC16" i="102"/>
  <c r="QD16" i="102"/>
  <c r="QE16" i="102"/>
  <c r="QF16" i="102"/>
  <c r="QG16" i="102"/>
  <c r="QH16" i="102"/>
  <c r="QI16" i="102"/>
  <c r="QJ16" i="102"/>
  <c r="QK16" i="102"/>
  <c r="QL16" i="102"/>
  <c r="QM16" i="102"/>
  <c r="QN16" i="102"/>
  <c r="QO16" i="102"/>
  <c r="PX17" i="102"/>
  <c r="PY17" i="102"/>
  <c r="PZ17" i="102"/>
  <c r="QA17" i="102"/>
  <c r="QB17" i="102"/>
  <c r="QC17" i="102"/>
  <c r="QD17" i="102"/>
  <c r="QE17" i="102"/>
  <c r="QF17" i="102"/>
  <c r="QG17" i="102"/>
  <c r="QH17" i="102"/>
  <c r="QI17" i="102"/>
  <c r="QJ17" i="102"/>
  <c r="QK17" i="102"/>
  <c r="QL17" i="102"/>
  <c r="QM17" i="102"/>
  <c r="QN17" i="102"/>
  <c r="QO17" i="102"/>
  <c r="PX19" i="102"/>
  <c r="PY19" i="102"/>
  <c r="PZ19" i="102"/>
  <c r="QA19" i="102"/>
  <c r="QB19" i="102"/>
  <c r="QC19" i="102"/>
  <c r="QD19" i="102"/>
  <c r="QE19" i="102"/>
  <c r="QF19" i="102"/>
  <c r="QG19" i="102"/>
  <c r="QH19" i="102"/>
  <c r="QI19" i="102"/>
  <c r="QJ19" i="102"/>
  <c r="QK19" i="102"/>
  <c r="QL19" i="102"/>
  <c r="QM19" i="102"/>
  <c r="QN19" i="102"/>
  <c r="QO19" i="102"/>
  <c r="PX20" i="102"/>
  <c r="PY20" i="102"/>
  <c r="PZ20" i="102"/>
  <c r="QA20" i="102"/>
  <c r="QB20" i="102"/>
  <c r="QC20" i="102"/>
  <c r="QD20" i="102"/>
  <c r="QE20" i="102"/>
  <c r="QF20" i="102"/>
  <c r="QG20" i="102"/>
  <c r="QH20" i="102"/>
  <c r="QI20" i="102"/>
  <c r="QJ20" i="102"/>
  <c r="QK20" i="102"/>
  <c r="QL20" i="102"/>
  <c r="QM20" i="102"/>
  <c r="QN20" i="102"/>
  <c r="QO20" i="102"/>
  <c r="PX21" i="102"/>
  <c r="PY21" i="102"/>
  <c r="PZ21" i="102"/>
  <c r="QA21" i="102"/>
  <c r="QB21" i="102"/>
  <c r="QC21" i="102"/>
  <c r="QD21" i="102"/>
  <c r="QE21" i="102"/>
  <c r="QF21" i="102"/>
  <c r="QG21" i="102"/>
  <c r="QH21" i="102"/>
  <c r="QI21" i="102"/>
  <c r="QJ21" i="102"/>
  <c r="QK21" i="102"/>
  <c r="QL21" i="102"/>
  <c r="QM21" i="102"/>
  <c r="QN21" i="102"/>
  <c r="QO21" i="102"/>
  <c r="PX22" i="102"/>
  <c r="PY22" i="102"/>
  <c r="PZ22" i="102"/>
  <c r="QA22" i="102"/>
  <c r="QB22" i="102"/>
  <c r="QC22" i="102"/>
  <c r="QD22" i="102"/>
  <c r="QE22" i="102"/>
  <c r="QF22" i="102"/>
  <c r="QG22" i="102"/>
  <c r="QH22" i="102"/>
  <c r="QI22" i="102"/>
  <c r="QJ22" i="102"/>
  <c r="QK22" i="102"/>
  <c r="QL22" i="102"/>
  <c r="QM22" i="102"/>
  <c r="QN22" i="102"/>
  <c r="QO22" i="102"/>
  <c r="PX23" i="102"/>
  <c r="PY23" i="102"/>
  <c r="PZ23" i="102"/>
  <c r="QA23" i="102"/>
  <c r="QB23" i="102"/>
  <c r="QC23" i="102"/>
  <c r="QD23" i="102"/>
  <c r="QE23" i="102"/>
  <c r="QF23" i="102"/>
  <c r="QG23" i="102"/>
  <c r="QH23" i="102"/>
  <c r="QI23" i="102"/>
  <c r="QJ23" i="102"/>
  <c r="QK23" i="102"/>
  <c r="QL23" i="102"/>
  <c r="QM23" i="102"/>
  <c r="QO23" i="102"/>
  <c r="CB15" i="102"/>
  <c r="CC15" i="102"/>
  <c r="CD15" i="102"/>
  <c r="CE15" i="102"/>
  <c r="CF15" i="102"/>
  <c r="CG15" i="102"/>
  <c r="CH15" i="102"/>
  <c r="CI15" i="102"/>
  <c r="CJ15" i="102"/>
  <c r="CK15" i="102"/>
  <c r="CL15" i="102"/>
  <c r="CM15" i="102"/>
  <c r="CN15" i="102"/>
  <c r="CO15" i="102"/>
  <c r="CP15" i="102"/>
  <c r="CQ15" i="102"/>
  <c r="CR15" i="102"/>
  <c r="CS15" i="102"/>
  <c r="CT15" i="102"/>
  <c r="CU15" i="102"/>
  <c r="CV15" i="102"/>
  <c r="CW15" i="102"/>
  <c r="CX15" i="102"/>
  <c r="CY15" i="102"/>
  <c r="CZ15" i="102"/>
  <c r="DA15" i="102"/>
  <c r="DB15" i="102"/>
  <c r="DC15" i="102"/>
  <c r="DD15" i="102"/>
  <c r="DE15" i="102"/>
  <c r="DF15" i="102"/>
  <c r="DG15" i="102"/>
  <c r="DH15" i="102"/>
  <c r="DI15" i="102"/>
  <c r="DJ15" i="102"/>
  <c r="DK15" i="102"/>
  <c r="ED15" i="102"/>
  <c r="EE15" i="102"/>
  <c r="EF15" i="102"/>
  <c r="EG15" i="102"/>
  <c r="EH15" i="102"/>
  <c r="EI15" i="102"/>
  <c r="EJ15" i="102"/>
  <c r="EK15" i="102"/>
  <c r="EL15" i="102"/>
  <c r="EM15" i="102"/>
  <c r="EN15" i="102"/>
  <c r="EO15" i="102"/>
  <c r="EP15" i="102"/>
  <c r="EQ15" i="102"/>
  <c r="ER15" i="102"/>
  <c r="ES15" i="102"/>
  <c r="ET15" i="102"/>
  <c r="EU15" i="102"/>
  <c r="FN15" i="102"/>
  <c r="FO15" i="102"/>
  <c r="FP15" i="102"/>
  <c r="FQ15" i="102"/>
  <c r="FR15" i="102"/>
  <c r="FS15" i="102"/>
  <c r="FT15" i="102"/>
  <c r="FU15" i="102"/>
  <c r="FV15" i="102"/>
  <c r="FW15" i="102"/>
  <c r="FX15" i="102"/>
  <c r="FY15" i="102"/>
  <c r="FZ15" i="102"/>
  <c r="GA15" i="102"/>
  <c r="GB15" i="102"/>
  <c r="GC15" i="102"/>
  <c r="GD15" i="102"/>
  <c r="GE15" i="102"/>
  <c r="GF15" i="102"/>
  <c r="GG15" i="102"/>
  <c r="GH15" i="102"/>
  <c r="GI15" i="102"/>
  <c r="GJ15" i="102"/>
  <c r="GK15" i="102"/>
  <c r="GL15" i="102"/>
  <c r="GM15" i="102"/>
  <c r="GN15" i="102"/>
  <c r="GO15" i="102"/>
  <c r="GP15" i="102"/>
  <c r="GQ15" i="102"/>
  <c r="GR15" i="102"/>
  <c r="GS15" i="102"/>
  <c r="GT15" i="102"/>
  <c r="GU15" i="102"/>
  <c r="GV15" i="102"/>
  <c r="GW15" i="102"/>
  <c r="GX15" i="102"/>
  <c r="GY15" i="102"/>
  <c r="GZ15" i="102"/>
  <c r="HA15" i="102"/>
  <c r="HB15" i="102"/>
  <c r="HC15" i="102"/>
  <c r="HD15" i="102"/>
  <c r="HE15" i="102"/>
  <c r="HF15" i="102"/>
  <c r="HG15" i="102"/>
  <c r="HH15" i="102"/>
  <c r="HI15" i="102"/>
  <c r="HJ15" i="102"/>
  <c r="HK15" i="102"/>
  <c r="HL15" i="102"/>
  <c r="HM15" i="102"/>
  <c r="HN15" i="102"/>
  <c r="HO15" i="102"/>
  <c r="HP15" i="102"/>
  <c r="HQ15" i="102"/>
  <c r="HR15" i="102"/>
  <c r="HS15" i="102"/>
  <c r="HT15" i="102"/>
  <c r="HU15" i="102"/>
  <c r="HV15" i="102"/>
  <c r="HW15" i="102"/>
  <c r="HX15" i="102"/>
  <c r="HY15" i="102"/>
  <c r="HZ15" i="102"/>
  <c r="IA15" i="102"/>
  <c r="IB15" i="102"/>
  <c r="IC15" i="102"/>
  <c r="ID15" i="102"/>
  <c r="IE15" i="102"/>
  <c r="IF15" i="102"/>
  <c r="IG15" i="102"/>
  <c r="IH15" i="102"/>
  <c r="II15" i="102"/>
  <c r="IJ15" i="102"/>
  <c r="IK15" i="102"/>
  <c r="IL15" i="102"/>
  <c r="IM15" i="102"/>
  <c r="IN15" i="102"/>
  <c r="IO15" i="102"/>
  <c r="IP15" i="102"/>
  <c r="IQ15" i="102"/>
  <c r="IR15" i="102"/>
  <c r="IS15" i="102"/>
  <c r="IT15" i="102"/>
  <c r="IU15" i="102"/>
  <c r="IV15" i="102"/>
  <c r="IW15" i="102"/>
  <c r="IX15" i="102"/>
  <c r="IY15" i="102"/>
  <c r="IZ15" i="102"/>
  <c r="JA15" i="102"/>
  <c r="JB15" i="102"/>
  <c r="JC15" i="102"/>
  <c r="JD15" i="102"/>
  <c r="JE15" i="102"/>
  <c r="JF15" i="102"/>
  <c r="JG15" i="102"/>
  <c r="JH15" i="102"/>
  <c r="JI15" i="102"/>
  <c r="JJ15" i="102"/>
  <c r="JK15" i="102"/>
  <c r="JL15" i="102"/>
  <c r="JM15" i="102"/>
  <c r="JN15" i="102"/>
  <c r="JO15" i="102"/>
  <c r="JP15" i="102"/>
  <c r="JQ15" i="102"/>
  <c r="JR15" i="102"/>
  <c r="JS15" i="102"/>
  <c r="JT15" i="102"/>
  <c r="JU15" i="102"/>
  <c r="JV15" i="102"/>
  <c r="JW15" i="102"/>
  <c r="JX15" i="102"/>
  <c r="JY15" i="102"/>
  <c r="JZ15" i="102"/>
  <c r="KA15" i="102"/>
  <c r="KB15" i="102"/>
  <c r="KC15" i="102"/>
  <c r="KD15" i="102"/>
  <c r="KE15" i="102"/>
  <c r="KF15" i="102"/>
  <c r="KG15" i="102"/>
  <c r="KH15" i="102"/>
  <c r="KI15" i="102"/>
  <c r="KJ15" i="102"/>
  <c r="KK15" i="102"/>
  <c r="KL15" i="102"/>
  <c r="KM15" i="102"/>
  <c r="KN15" i="102"/>
  <c r="KO15" i="102"/>
  <c r="KP15" i="102"/>
  <c r="KQ15" i="102"/>
  <c r="KR15" i="102"/>
  <c r="KS15" i="102"/>
  <c r="KT15" i="102"/>
  <c r="KU15" i="102"/>
  <c r="KV15" i="102"/>
  <c r="KW15" i="102"/>
  <c r="KX15" i="102"/>
  <c r="KY15" i="102"/>
  <c r="KZ15" i="102"/>
  <c r="LA15" i="102"/>
  <c r="LB15" i="102"/>
  <c r="LC15" i="102"/>
  <c r="LD15" i="102"/>
  <c r="LE15" i="102"/>
  <c r="LF15" i="102"/>
  <c r="LG15" i="102"/>
  <c r="LH15" i="102"/>
  <c r="LI15" i="102"/>
  <c r="LJ15" i="102"/>
  <c r="LK15" i="102"/>
  <c r="LL15" i="102"/>
  <c r="LM15" i="102"/>
  <c r="LN15" i="102"/>
  <c r="LO15" i="102"/>
  <c r="LP15" i="102"/>
  <c r="LQ15" i="102"/>
  <c r="LR15" i="102"/>
  <c r="LS15" i="102"/>
  <c r="LT15" i="102"/>
  <c r="LU15" i="102"/>
  <c r="LV15" i="102"/>
  <c r="LW15" i="102"/>
  <c r="LX15" i="102"/>
  <c r="LY15" i="102"/>
  <c r="LZ15" i="102"/>
  <c r="MA15" i="102"/>
  <c r="MB15" i="102"/>
  <c r="MC15" i="102"/>
  <c r="MD15" i="102"/>
  <c r="ME15" i="102"/>
  <c r="MF15" i="102"/>
  <c r="MG15" i="102"/>
  <c r="MH15" i="102"/>
  <c r="MI15" i="102"/>
  <c r="MJ15" i="102"/>
  <c r="MK15" i="102"/>
  <c r="ML15" i="102"/>
  <c r="MM15" i="102"/>
  <c r="MN15" i="102"/>
  <c r="MO15" i="102"/>
  <c r="MP15" i="102"/>
  <c r="MQ15" i="102"/>
  <c r="MR15" i="102"/>
  <c r="MS15" i="102"/>
  <c r="MT15" i="102"/>
  <c r="MU15" i="102"/>
  <c r="MV15" i="102"/>
  <c r="MW15" i="102"/>
  <c r="MX15" i="102"/>
  <c r="MY15" i="102"/>
  <c r="MZ15" i="102"/>
  <c r="NA15" i="102"/>
  <c r="NB15" i="102"/>
  <c r="NC15" i="102"/>
  <c r="ND15" i="102"/>
  <c r="NE15" i="102"/>
  <c r="NF15" i="102"/>
  <c r="NG15" i="102"/>
  <c r="NH15" i="102"/>
  <c r="NI15" i="102"/>
  <c r="NJ15" i="102"/>
  <c r="NK15" i="102"/>
  <c r="NL15" i="102"/>
  <c r="NM15" i="102"/>
  <c r="NN15" i="102"/>
  <c r="NO15" i="102"/>
  <c r="NP15" i="102"/>
  <c r="NQ15" i="102"/>
  <c r="NR15" i="102"/>
  <c r="NS15" i="102"/>
  <c r="NT15" i="102"/>
  <c r="NU15" i="102"/>
  <c r="NV15" i="102"/>
  <c r="NW15" i="102"/>
  <c r="NX15" i="102"/>
  <c r="NY15" i="102"/>
  <c r="NZ15" i="102"/>
  <c r="OA15" i="102"/>
  <c r="OB15" i="102"/>
  <c r="OC15" i="102"/>
  <c r="OD15" i="102"/>
  <c r="OE15" i="102"/>
  <c r="OF15" i="102"/>
  <c r="OG15" i="102"/>
  <c r="OH15" i="102"/>
  <c r="OI15" i="102"/>
  <c r="OJ15" i="102"/>
  <c r="OK15" i="102"/>
  <c r="OL15" i="102"/>
  <c r="OM15" i="102"/>
  <c r="ON15" i="102"/>
  <c r="OO15" i="102"/>
  <c r="OP15" i="102"/>
  <c r="OQ15" i="102"/>
  <c r="OR15" i="102"/>
  <c r="OS15" i="102"/>
  <c r="OT15" i="102"/>
  <c r="OU15" i="102"/>
  <c r="OV15" i="102"/>
  <c r="OW15" i="102"/>
  <c r="OX15" i="102"/>
  <c r="OY15" i="102"/>
  <c r="OZ15" i="102"/>
  <c r="PA15" i="102"/>
  <c r="PB15" i="102"/>
  <c r="PC15" i="102"/>
  <c r="PD15" i="102"/>
  <c r="PE15" i="102"/>
  <c r="PF15" i="102"/>
  <c r="PG15" i="102"/>
  <c r="PH15" i="102"/>
  <c r="PI15" i="102"/>
  <c r="PJ15" i="102"/>
  <c r="PK15" i="102"/>
  <c r="PL15" i="102"/>
  <c r="PM15" i="102"/>
  <c r="PN15" i="102"/>
  <c r="PO15" i="102"/>
  <c r="PP15" i="102"/>
  <c r="PQ15" i="102"/>
  <c r="PR15" i="102"/>
  <c r="PS15" i="102"/>
  <c r="PT15" i="102"/>
  <c r="PU15" i="102"/>
  <c r="PV15" i="102"/>
  <c r="PW15" i="102"/>
  <c r="CB16" i="102"/>
  <c r="CC16" i="102"/>
  <c r="CD16" i="102"/>
  <c r="CE16" i="102"/>
  <c r="CF16" i="102"/>
  <c r="CG16" i="102"/>
  <c r="CH16" i="102"/>
  <c r="CI16" i="102"/>
  <c r="CJ16" i="102"/>
  <c r="CK16" i="102"/>
  <c r="CL16" i="102"/>
  <c r="CM16" i="102"/>
  <c r="CN16" i="102"/>
  <c r="CO16" i="102"/>
  <c r="CP16" i="102"/>
  <c r="CQ16" i="102"/>
  <c r="CR16" i="102"/>
  <c r="CS16" i="102"/>
  <c r="CT16" i="102"/>
  <c r="CU16" i="102"/>
  <c r="CV16" i="102"/>
  <c r="CW16" i="102"/>
  <c r="CX16" i="102"/>
  <c r="CY16" i="102"/>
  <c r="CZ16" i="102"/>
  <c r="DA16" i="102"/>
  <c r="DB16" i="102"/>
  <c r="DC16" i="102"/>
  <c r="DD16" i="102"/>
  <c r="DE16" i="102"/>
  <c r="DF16" i="102"/>
  <c r="DG16" i="102"/>
  <c r="DH16" i="102"/>
  <c r="DI16" i="102"/>
  <c r="DJ16" i="102"/>
  <c r="DK16" i="102"/>
  <c r="ED16" i="102"/>
  <c r="EE16" i="102"/>
  <c r="EF16" i="102"/>
  <c r="EG16" i="102"/>
  <c r="EH16" i="102"/>
  <c r="EI16" i="102"/>
  <c r="EJ16" i="102"/>
  <c r="EK16" i="102"/>
  <c r="EL16" i="102"/>
  <c r="EM16" i="102"/>
  <c r="EN16" i="102"/>
  <c r="EO16" i="102"/>
  <c r="EP16" i="102"/>
  <c r="EQ16" i="102"/>
  <c r="ER16" i="102"/>
  <c r="ES16" i="102"/>
  <c r="ET16" i="102"/>
  <c r="EU16" i="102"/>
  <c r="FN16" i="102"/>
  <c r="FO16" i="102"/>
  <c r="FP16" i="102"/>
  <c r="FQ16" i="102"/>
  <c r="FR16" i="102"/>
  <c r="FS16" i="102"/>
  <c r="FT16" i="102"/>
  <c r="FU16" i="102"/>
  <c r="FV16" i="102"/>
  <c r="FW16" i="102"/>
  <c r="FX16" i="102"/>
  <c r="FY16" i="102"/>
  <c r="FZ16" i="102"/>
  <c r="GA16" i="102"/>
  <c r="GB16" i="102"/>
  <c r="GC16" i="102"/>
  <c r="GD16" i="102"/>
  <c r="GE16" i="102"/>
  <c r="GF16" i="102"/>
  <c r="GG16" i="102"/>
  <c r="GH16" i="102"/>
  <c r="GI16" i="102"/>
  <c r="GJ16" i="102"/>
  <c r="GK16" i="102"/>
  <c r="GL16" i="102"/>
  <c r="GM16" i="102"/>
  <c r="GN16" i="102"/>
  <c r="GO16" i="102"/>
  <c r="GP16" i="102"/>
  <c r="GQ16" i="102"/>
  <c r="GR16" i="102"/>
  <c r="GS16" i="102"/>
  <c r="GT16" i="102"/>
  <c r="GU16" i="102"/>
  <c r="GV16" i="102"/>
  <c r="GW16" i="102"/>
  <c r="GX16" i="102"/>
  <c r="GY16" i="102"/>
  <c r="GZ16" i="102"/>
  <c r="HA16" i="102"/>
  <c r="HB16" i="102"/>
  <c r="HC16" i="102"/>
  <c r="HD16" i="102"/>
  <c r="HE16" i="102"/>
  <c r="HF16" i="102"/>
  <c r="HG16" i="102"/>
  <c r="HH16" i="102"/>
  <c r="HI16" i="102"/>
  <c r="HJ16" i="102"/>
  <c r="HK16" i="102"/>
  <c r="HL16" i="102"/>
  <c r="HM16" i="102"/>
  <c r="HN16" i="102"/>
  <c r="HO16" i="102"/>
  <c r="HP16" i="102"/>
  <c r="HQ16" i="102"/>
  <c r="HR16" i="102"/>
  <c r="HS16" i="102"/>
  <c r="HT16" i="102"/>
  <c r="HU16" i="102"/>
  <c r="HV16" i="102"/>
  <c r="HW16" i="102"/>
  <c r="HX16" i="102"/>
  <c r="HY16" i="102"/>
  <c r="HZ16" i="102"/>
  <c r="IA16" i="102"/>
  <c r="IB16" i="102"/>
  <c r="IC16" i="102"/>
  <c r="ID16" i="102"/>
  <c r="IE16" i="102"/>
  <c r="IF16" i="102"/>
  <c r="IG16" i="102"/>
  <c r="IH16" i="102"/>
  <c r="II16" i="102"/>
  <c r="IJ16" i="102"/>
  <c r="IK16" i="102"/>
  <c r="IL16" i="102"/>
  <c r="IM16" i="102"/>
  <c r="IN16" i="102"/>
  <c r="IO16" i="102"/>
  <c r="IP16" i="102"/>
  <c r="IQ16" i="102"/>
  <c r="IR16" i="102"/>
  <c r="IS16" i="102"/>
  <c r="IT16" i="102"/>
  <c r="IU16" i="102"/>
  <c r="IV16" i="102"/>
  <c r="IW16" i="102"/>
  <c r="IX16" i="102"/>
  <c r="IY16" i="102"/>
  <c r="IZ16" i="102"/>
  <c r="JA16" i="102"/>
  <c r="JB16" i="102"/>
  <c r="JC16" i="102"/>
  <c r="JD16" i="102"/>
  <c r="JE16" i="102"/>
  <c r="JF16" i="102"/>
  <c r="JG16" i="102"/>
  <c r="JH16" i="102"/>
  <c r="JI16" i="102"/>
  <c r="JJ16" i="102"/>
  <c r="JK16" i="102"/>
  <c r="JL16" i="102"/>
  <c r="JM16" i="102"/>
  <c r="JN16" i="102"/>
  <c r="JO16" i="102"/>
  <c r="JP16" i="102"/>
  <c r="JQ16" i="102"/>
  <c r="JR16" i="102"/>
  <c r="JS16" i="102"/>
  <c r="JT16" i="102"/>
  <c r="JU16" i="102"/>
  <c r="JV16" i="102"/>
  <c r="JW16" i="102"/>
  <c r="JX16" i="102"/>
  <c r="JY16" i="102"/>
  <c r="JZ16" i="102"/>
  <c r="KA16" i="102"/>
  <c r="KB16" i="102"/>
  <c r="KC16" i="102"/>
  <c r="KD16" i="102"/>
  <c r="KE16" i="102"/>
  <c r="KF16" i="102"/>
  <c r="KG16" i="102"/>
  <c r="KH16" i="102"/>
  <c r="KI16" i="102"/>
  <c r="KJ16" i="102"/>
  <c r="KK16" i="102"/>
  <c r="KL16" i="102"/>
  <c r="KM16" i="102"/>
  <c r="KN16" i="102"/>
  <c r="KO16" i="102"/>
  <c r="KP16" i="102"/>
  <c r="KQ16" i="102"/>
  <c r="KR16" i="102"/>
  <c r="KS16" i="102"/>
  <c r="KT16" i="102"/>
  <c r="KU16" i="102"/>
  <c r="KV16" i="102"/>
  <c r="KW16" i="102"/>
  <c r="KX16" i="102"/>
  <c r="KY16" i="102"/>
  <c r="KZ16" i="102"/>
  <c r="LA16" i="102"/>
  <c r="LB16" i="102"/>
  <c r="LC16" i="102"/>
  <c r="LD16" i="102"/>
  <c r="LE16" i="102"/>
  <c r="LF16" i="102"/>
  <c r="LG16" i="102"/>
  <c r="LH16" i="102"/>
  <c r="LI16" i="102"/>
  <c r="LJ16" i="102"/>
  <c r="LK16" i="102"/>
  <c r="LL16" i="102"/>
  <c r="LM16" i="102"/>
  <c r="LN16" i="102"/>
  <c r="LO16" i="102"/>
  <c r="LP16" i="102"/>
  <c r="LQ16" i="102"/>
  <c r="LR16" i="102"/>
  <c r="LS16" i="102"/>
  <c r="LT16" i="102"/>
  <c r="LU16" i="102"/>
  <c r="LV16" i="102"/>
  <c r="LW16" i="102"/>
  <c r="LX16" i="102"/>
  <c r="LY16" i="102"/>
  <c r="LZ16" i="102"/>
  <c r="MA16" i="102"/>
  <c r="MB16" i="102"/>
  <c r="MC16" i="102"/>
  <c r="MD16" i="102"/>
  <c r="ME16" i="102"/>
  <c r="MF16" i="102"/>
  <c r="MG16" i="102"/>
  <c r="MH16" i="102"/>
  <c r="MI16" i="102"/>
  <c r="MJ16" i="102"/>
  <c r="MK16" i="102"/>
  <c r="ML16" i="102"/>
  <c r="MM16" i="102"/>
  <c r="MN16" i="102"/>
  <c r="MO16" i="102"/>
  <c r="MP16" i="102"/>
  <c r="MQ16" i="102"/>
  <c r="MR16" i="102"/>
  <c r="MS16" i="102"/>
  <c r="MT16" i="102"/>
  <c r="MU16" i="102"/>
  <c r="MV16" i="102"/>
  <c r="MW16" i="102"/>
  <c r="MX16" i="102"/>
  <c r="MY16" i="102"/>
  <c r="MZ16" i="102"/>
  <c r="NA16" i="102"/>
  <c r="NB16" i="102"/>
  <c r="NC16" i="102"/>
  <c r="ND16" i="102"/>
  <c r="NE16" i="102"/>
  <c r="NF16" i="102"/>
  <c r="NG16" i="102"/>
  <c r="NH16" i="102"/>
  <c r="NI16" i="102"/>
  <c r="NJ16" i="102"/>
  <c r="NK16" i="102"/>
  <c r="NL16" i="102"/>
  <c r="NM16" i="102"/>
  <c r="NN16" i="102"/>
  <c r="NO16" i="102"/>
  <c r="NP16" i="102"/>
  <c r="NQ16" i="102"/>
  <c r="NR16" i="102"/>
  <c r="NS16" i="102"/>
  <c r="NT16" i="102"/>
  <c r="NU16" i="102"/>
  <c r="NV16" i="102"/>
  <c r="NW16" i="102"/>
  <c r="NX16" i="102"/>
  <c r="NY16" i="102"/>
  <c r="NZ16" i="102"/>
  <c r="OA16" i="102"/>
  <c r="OB16" i="102"/>
  <c r="OC16" i="102"/>
  <c r="OD16" i="102"/>
  <c r="OE16" i="102"/>
  <c r="OF16" i="102"/>
  <c r="OG16" i="102"/>
  <c r="OH16" i="102"/>
  <c r="OI16" i="102"/>
  <c r="OJ16" i="102"/>
  <c r="OK16" i="102"/>
  <c r="OL16" i="102"/>
  <c r="OM16" i="102"/>
  <c r="ON16" i="102"/>
  <c r="OO16" i="102"/>
  <c r="OP16" i="102"/>
  <c r="OQ16" i="102"/>
  <c r="OR16" i="102"/>
  <c r="OS16" i="102"/>
  <c r="OT16" i="102"/>
  <c r="OU16" i="102"/>
  <c r="OV16" i="102"/>
  <c r="OW16" i="102"/>
  <c r="OX16" i="102"/>
  <c r="OY16" i="102"/>
  <c r="OZ16" i="102"/>
  <c r="PA16" i="102"/>
  <c r="PB16" i="102"/>
  <c r="PC16" i="102"/>
  <c r="PD16" i="102"/>
  <c r="PE16" i="102"/>
  <c r="PF16" i="102"/>
  <c r="PG16" i="102"/>
  <c r="PH16" i="102"/>
  <c r="PI16" i="102"/>
  <c r="PJ16" i="102"/>
  <c r="PK16" i="102"/>
  <c r="PL16" i="102"/>
  <c r="PM16" i="102"/>
  <c r="PN16" i="102"/>
  <c r="PO16" i="102"/>
  <c r="PP16" i="102"/>
  <c r="PQ16" i="102"/>
  <c r="PR16" i="102"/>
  <c r="PS16" i="102"/>
  <c r="PT16" i="102"/>
  <c r="PU16" i="102"/>
  <c r="PV16" i="102"/>
  <c r="PW16" i="102"/>
  <c r="CB17" i="102"/>
  <c r="CC17" i="102"/>
  <c r="CD17" i="102"/>
  <c r="CE17" i="102"/>
  <c r="CF17" i="102"/>
  <c r="CG17" i="102"/>
  <c r="CH17" i="102"/>
  <c r="CI17" i="102"/>
  <c r="CJ17" i="102"/>
  <c r="CK17" i="102"/>
  <c r="CL17" i="102"/>
  <c r="CM17" i="102"/>
  <c r="CN17" i="102"/>
  <c r="CO17" i="102"/>
  <c r="CP17" i="102"/>
  <c r="CQ17" i="102"/>
  <c r="CR17" i="102"/>
  <c r="CS17" i="102"/>
  <c r="CT17" i="102"/>
  <c r="CU17" i="102"/>
  <c r="CV17" i="102"/>
  <c r="CW17" i="102"/>
  <c r="CX17" i="102"/>
  <c r="CY17" i="102"/>
  <c r="CZ17" i="102"/>
  <c r="DA17" i="102"/>
  <c r="DB17" i="102"/>
  <c r="DC17" i="102"/>
  <c r="DD17" i="102"/>
  <c r="DE17" i="102"/>
  <c r="DF17" i="102"/>
  <c r="DG17" i="102"/>
  <c r="DH17" i="102"/>
  <c r="DI17" i="102"/>
  <c r="DJ17" i="102"/>
  <c r="DK17" i="102"/>
  <c r="ED17" i="102"/>
  <c r="EE17" i="102"/>
  <c r="EF17" i="102"/>
  <c r="EG17" i="102"/>
  <c r="EH17" i="102"/>
  <c r="EI17" i="102"/>
  <c r="EJ17" i="102"/>
  <c r="EK17" i="102"/>
  <c r="EL17" i="102"/>
  <c r="EM17" i="102"/>
  <c r="EN17" i="102"/>
  <c r="EO17" i="102"/>
  <c r="EP17" i="102"/>
  <c r="EQ17" i="102"/>
  <c r="ER17" i="102"/>
  <c r="ES17" i="102"/>
  <c r="ET17" i="102"/>
  <c r="EU17" i="102"/>
  <c r="FN17" i="102"/>
  <c r="FO17" i="102"/>
  <c r="FP17" i="102"/>
  <c r="FQ17" i="102"/>
  <c r="FR17" i="102"/>
  <c r="FS17" i="102"/>
  <c r="FT17" i="102"/>
  <c r="FU17" i="102"/>
  <c r="FV17" i="102"/>
  <c r="FW17" i="102"/>
  <c r="FX17" i="102"/>
  <c r="FY17" i="102"/>
  <c r="FZ17" i="102"/>
  <c r="GA17" i="102"/>
  <c r="GB17" i="102"/>
  <c r="GC17" i="102"/>
  <c r="GD17" i="102"/>
  <c r="GE17" i="102"/>
  <c r="GF17" i="102"/>
  <c r="GG17" i="102"/>
  <c r="GH17" i="102"/>
  <c r="GI17" i="102"/>
  <c r="GJ17" i="102"/>
  <c r="GK17" i="102"/>
  <c r="GL17" i="102"/>
  <c r="GM17" i="102"/>
  <c r="GN17" i="102"/>
  <c r="GO17" i="102"/>
  <c r="GP17" i="102"/>
  <c r="GQ17" i="102"/>
  <c r="GR17" i="102"/>
  <c r="GS17" i="102"/>
  <c r="GT17" i="102"/>
  <c r="GU17" i="102"/>
  <c r="GV17" i="102"/>
  <c r="GW17" i="102"/>
  <c r="GX17" i="102"/>
  <c r="GY17" i="102"/>
  <c r="GZ17" i="102"/>
  <c r="HA17" i="102"/>
  <c r="HB17" i="102"/>
  <c r="HC17" i="102"/>
  <c r="HD17" i="102"/>
  <c r="HE17" i="102"/>
  <c r="HF17" i="102"/>
  <c r="HG17" i="102"/>
  <c r="HH17" i="102"/>
  <c r="HI17" i="102"/>
  <c r="HJ17" i="102"/>
  <c r="HK17" i="102"/>
  <c r="HL17" i="102"/>
  <c r="HM17" i="102"/>
  <c r="HN17" i="102"/>
  <c r="HO17" i="102"/>
  <c r="HP17" i="102"/>
  <c r="HQ17" i="102"/>
  <c r="HR17" i="102"/>
  <c r="HS17" i="102"/>
  <c r="HT17" i="102"/>
  <c r="HU17" i="102"/>
  <c r="HV17" i="102"/>
  <c r="HW17" i="102"/>
  <c r="HX17" i="102"/>
  <c r="HY17" i="102"/>
  <c r="HZ17" i="102"/>
  <c r="IA17" i="102"/>
  <c r="IB17" i="102"/>
  <c r="IC17" i="102"/>
  <c r="ID17" i="102"/>
  <c r="IE17" i="102"/>
  <c r="IF17" i="102"/>
  <c r="IG17" i="102"/>
  <c r="IH17" i="102"/>
  <c r="II17" i="102"/>
  <c r="IJ17" i="102"/>
  <c r="IK17" i="102"/>
  <c r="IL17" i="102"/>
  <c r="IM17" i="102"/>
  <c r="IN17" i="102"/>
  <c r="IO17" i="102"/>
  <c r="IP17" i="102"/>
  <c r="IQ17" i="102"/>
  <c r="IR17" i="102"/>
  <c r="IS17" i="102"/>
  <c r="IT17" i="102"/>
  <c r="IU17" i="102"/>
  <c r="IV17" i="102"/>
  <c r="IW17" i="102"/>
  <c r="IX17" i="102"/>
  <c r="IY17" i="102"/>
  <c r="IZ17" i="102"/>
  <c r="JA17" i="102"/>
  <c r="JB17" i="102"/>
  <c r="JC17" i="102"/>
  <c r="JD17" i="102"/>
  <c r="JE17" i="102"/>
  <c r="JF17" i="102"/>
  <c r="JG17" i="102"/>
  <c r="JH17" i="102"/>
  <c r="JI17" i="102"/>
  <c r="JJ17" i="102"/>
  <c r="JK17" i="102"/>
  <c r="JL17" i="102"/>
  <c r="JM17" i="102"/>
  <c r="JN17" i="102"/>
  <c r="JO17" i="102"/>
  <c r="JP17" i="102"/>
  <c r="JQ17" i="102"/>
  <c r="JR17" i="102"/>
  <c r="JS17" i="102"/>
  <c r="JT17" i="102"/>
  <c r="JU17" i="102"/>
  <c r="JV17" i="102"/>
  <c r="JW17" i="102"/>
  <c r="JX17" i="102"/>
  <c r="JY17" i="102"/>
  <c r="JZ17" i="102"/>
  <c r="KA17" i="102"/>
  <c r="KB17" i="102"/>
  <c r="KC17" i="102"/>
  <c r="KD17" i="102"/>
  <c r="KE17" i="102"/>
  <c r="KF17" i="102"/>
  <c r="KG17" i="102"/>
  <c r="KH17" i="102"/>
  <c r="KI17" i="102"/>
  <c r="KJ17" i="102"/>
  <c r="KK17" i="102"/>
  <c r="KL17" i="102"/>
  <c r="KM17" i="102"/>
  <c r="KN17" i="102"/>
  <c r="KO17" i="102"/>
  <c r="KP17" i="102"/>
  <c r="KQ17" i="102"/>
  <c r="KR17" i="102"/>
  <c r="KS17" i="102"/>
  <c r="KT17" i="102"/>
  <c r="KU17" i="102"/>
  <c r="KV17" i="102"/>
  <c r="KW17" i="102"/>
  <c r="KX17" i="102"/>
  <c r="KY17" i="102"/>
  <c r="KZ17" i="102"/>
  <c r="LA17" i="102"/>
  <c r="LB17" i="102"/>
  <c r="LC17" i="102"/>
  <c r="LD17" i="102"/>
  <c r="LE17" i="102"/>
  <c r="LF17" i="102"/>
  <c r="LG17" i="102"/>
  <c r="LH17" i="102"/>
  <c r="LI17" i="102"/>
  <c r="LJ17" i="102"/>
  <c r="LK17" i="102"/>
  <c r="LL17" i="102"/>
  <c r="LM17" i="102"/>
  <c r="LN17" i="102"/>
  <c r="LO17" i="102"/>
  <c r="LP17" i="102"/>
  <c r="LQ17" i="102"/>
  <c r="LR17" i="102"/>
  <c r="LS17" i="102"/>
  <c r="LT17" i="102"/>
  <c r="LU17" i="102"/>
  <c r="LV17" i="102"/>
  <c r="LW17" i="102"/>
  <c r="LX17" i="102"/>
  <c r="LY17" i="102"/>
  <c r="LZ17" i="102"/>
  <c r="MA17" i="102"/>
  <c r="MB17" i="102"/>
  <c r="MC17" i="102"/>
  <c r="MD17" i="102"/>
  <c r="ME17" i="102"/>
  <c r="MF17" i="102"/>
  <c r="MG17" i="102"/>
  <c r="MH17" i="102"/>
  <c r="MI17" i="102"/>
  <c r="MJ17" i="102"/>
  <c r="MK17" i="102"/>
  <c r="ML17" i="102"/>
  <c r="MM17" i="102"/>
  <c r="MN17" i="102"/>
  <c r="MO17" i="102"/>
  <c r="MP17" i="102"/>
  <c r="MQ17" i="102"/>
  <c r="MR17" i="102"/>
  <c r="MS17" i="102"/>
  <c r="MT17" i="102"/>
  <c r="MU17" i="102"/>
  <c r="MV17" i="102"/>
  <c r="MW17" i="102"/>
  <c r="MX17" i="102"/>
  <c r="MY17" i="102"/>
  <c r="MZ17" i="102"/>
  <c r="NA17" i="102"/>
  <c r="NB17" i="102"/>
  <c r="NC17" i="102"/>
  <c r="ND17" i="102"/>
  <c r="NE17" i="102"/>
  <c r="NF17" i="102"/>
  <c r="NG17" i="102"/>
  <c r="NH17" i="102"/>
  <c r="NI17" i="102"/>
  <c r="NJ17" i="102"/>
  <c r="NK17" i="102"/>
  <c r="NL17" i="102"/>
  <c r="NM17" i="102"/>
  <c r="NN17" i="102"/>
  <c r="NO17" i="102"/>
  <c r="NP17" i="102"/>
  <c r="NQ17" i="102"/>
  <c r="NR17" i="102"/>
  <c r="NS17" i="102"/>
  <c r="NT17" i="102"/>
  <c r="NU17" i="102"/>
  <c r="NV17" i="102"/>
  <c r="NW17" i="102"/>
  <c r="NX17" i="102"/>
  <c r="NY17" i="102"/>
  <c r="NZ17" i="102"/>
  <c r="OA17" i="102"/>
  <c r="OB17" i="102"/>
  <c r="OC17" i="102"/>
  <c r="OD17" i="102"/>
  <c r="OE17" i="102"/>
  <c r="OF17" i="102"/>
  <c r="OG17" i="102"/>
  <c r="OH17" i="102"/>
  <c r="OI17" i="102"/>
  <c r="OJ17" i="102"/>
  <c r="OK17" i="102"/>
  <c r="OL17" i="102"/>
  <c r="OM17" i="102"/>
  <c r="ON17" i="102"/>
  <c r="OO17" i="102"/>
  <c r="OP17" i="102"/>
  <c r="OQ17" i="102"/>
  <c r="OR17" i="102"/>
  <c r="OS17" i="102"/>
  <c r="OT17" i="102"/>
  <c r="OU17" i="102"/>
  <c r="OV17" i="102"/>
  <c r="OW17" i="102"/>
  <c r="OX17" i="102"/>
  <c r="OY17" i="102"/>
  <c r="OZ17" i="102"/>
  <c r="PA17" i="102"/>
  <c r="PB17" i="102"/>
  <c r="PC17" i="102"/>
  <c r="PD17" i="102"/>
  <c r="PE17" i="102"/>
  <c r="PF17" i="102"/>
  <c r="PG17" i="102"/>
  <c r="PH17" i="102"/>
  <c r="PI17" i="102"/>
  <c r="PJ17" i="102"/>
  <c r="PK17" i="102"/>
  <c r="PL17" i="102"/>
  <c r="PM17" i="102"/>
  <c r="PN17" i="102"/>
  <c r="PO17" i="102"/>
  <c r="PP17" i="102"/>
  <c r="PQ17" i="102"/>
  <c r="PR17" i="102"/>
  <c r="PS17" i="102"/>
  <c r="PT17" i="102"/>
  <c r="PU17" i="102"/>
  <c r="PV17" i="102"/>
  <c r="PW17" i="102"/>
  <c r="CB19" i="102"/>
  <c r="CC19" i="102"/>
  <c r="CD19" i="102"/>
  <c r="CE19" i="102"/>
  <c r="CF19" i="102"/>
  <c r="CG19" i="102"/>
  <c r="CH19" i="102"/>
  <c r="CI19" i="102"/>
  <c r="CJ19" i="102"/>
  <c r="CK19" i="102"/>
  <c r="CL19" i="102"/>
  <c r="CM19" i="102"/>
  <c r="CN19" i="102"/>
  <c r="CO19" i="102"/>
  <c r="CP19" i="102"/>
  <c r="CQ19" i="102"/>
  <c r="CR19" i="102"/>
  <c r="CS19" i="102"/>
  <c r="CT19" i="102"/>
  <c r="CU19" i="102"/>
  <c r="CV19" i="102"/>
  <c r="CW19" i="102"/>
  <c r="CX19" i="102"/>
  <c r="CY19" i="102"/>
  <c r="CZ19" i="102"/>
  <c r="DA19" i="102"/>
  <c r="DB19" i="102"/>
  <c r="DC19" i="102"/>
  <c r="DD19" i="102"/>
  <c r="DE19" i="102"/>
  <c r="DF19" i="102"/>
  <c r="DG19" i="102"/>
  <c r="DH19" i="102"/>
  <c r="DI19" i="102"/>
  <c r="DJ19" i="102"/>
  <c r="DK19" i="102"/>
  <c r="ED19" i="102"/>
  <c r="EE19" i="102"/>
  <c r="EF19" i="102"/>
  <c r="EG19" i="102"/>
  <c r="EH19" i="102"/>
  <c r="EI19" i="102"/>
  <c r="EJ19" i="102"/>
  <c r="EK19" i="102"/>
  <c r="EL19" i="102"/>
  <c r="EM19" i="102"/>
  <c r="EN19" i="102"/>
  <c r="EO19" i="102"/>
  <c r="EP19" i="102"/>
  <c r="EQ19" i="102"/>
  <c r="ER19" i="102"/>
  <c r="ES19" i="102"/>
  <c r="ET19" i="102"/>
  <c r="EU19" i="102"/>
  <c r="FN19" i="102"/>
  <c r="FO19" i="102"/>
  <c r="FP19" i="102"/>
  <c r="FQ19" i="102"/>
  <c r="FR19" i="102"/>
  <c r="FS19" i="102"/>
  <c r="FT19" i="102"/>
  <c r="FU19" i="102"/>
  <c r="FV19" i="102"/>
  <c r="FW19" i="102"/>
  <c r="FX19" i="102"/>
  <c r="FY19" i="102"/>
  <c r="FZ19" i="102"/>
  <c r="GA19" i="102"/>
  <c r="GB19" i="102"/>
  <c r="GC19" i="102"/>
  <c r="GD19" i="102"/>
  <c r="GE19" i="102"/>
  <c r="GF19" i="102"/>
  <c r="GG19" i="102"/>
  <c r="GH19" i="102"/>
  <c r="GI19" i="102"/>
  <c r="GJ19" i="102"/>
  <c r="GK19" i="102"/>
  <c r="GL19" i="102"/>
  <c r="GM19" i="102"/>
  <c r="GN19" i="102"/>
  <c r="GO19" i="102"/>
  <c r="GP19" i="102"/>
  <c r="GQ19" i="102"/>
  <c r="GR19" i="102"/>
  <c r="GS19" i="102"/>
  <c r="GT19" i="102"/>
  <c r="GU19" i="102"/>
  <c r="GV19" i="102"/>
  <c r="GW19" i="102"/>
  <c r="GX19" i="102"/>
  <c r="GY19" i="102"/>
  <c r="GZ19" i="102"/>
  <c r="HA19" i="102"/>
  <c r="HB19" i="102"/>
  <c r="HC19" i="102"/>
  <c r="HD19" i="102"/>
  <c r="HE19" i="102"/>
  <c r="HF19" i="102"/>
  <c r="HG19" i="102"/>
  <c r="HH19" i="102"/>
  <c r="HI19" i="102"/>
  <c r="HJ19" i="102"/>
  <c r="HK19" i="102"/>
  <c r="HL19" i="102"/>
  <c r="HM19" i="102"/>
  <c r="HN19" i="102"/>
  <c r="HO19" i="102"/>
  <c r="HP19" i="102"/>
  <c r="HQ19" i="102"/>
  <c r="HR19" i="102"/>
  <c r="HS19" i="102"/>
  <c r="HT19" i="102"/>
  <c r="HU19" i="102"/>
  <c r="HV19" i="102"/>
  <c r="HW19" i="102"/>
  <c r="HX19" i="102"/>
  <c r="HY19" i="102"/>
  <c r="HZ19" i="102"/>
  <c r="IA19" i="102"/>
  <c r="IB19" i="102"/>
  <c r="IC19" i="102"/>
  <c r="ID19" i="102"/>
  <c r="IE19" i="102"/>
  <c r="IF19" i="102"/>
  <c r="IG19" i="102"/>
  <c r="IH19" i="102"/>
  <c r="II19" i="102"/>
  <c r="IJ19" i="102"/>
  <c r="IK19" i="102"/>
  <c r="IL19" i="102"/>
  <c r="IM19" i="102"/>
  <c r="IN19" i="102"/>
  <c r="IO19" i="102"/>
  <c r="IP19" i="102"/>
  <c r="IQ19" i="102"/>
  <c r="IR19" i="102"/>
  <c r="IS19" i="102"/>
  <c r="IT19" i="102"/>
  <c r="IU19" i="102"/>
  <c r="IV19" i="102"/>
  <c r="IW19" i="102"/>
  <c r="IX19" i="102"/>
  <c r="IY19" i="102"/>
  <c r="IZ19" i="102"/>
  <c r="JA19" i="102"/>
  <c r="JB19" i="102"/>
  <c r="JC19" i="102"/>
  <c r="JD19" i="102"/>
  <c r="JE19" i="102"/>
  <c r="JF19" i="102"/>
  <c r="JG19" i="102"/>
  <c r="JH19" i="102"/>
  <c r="JI19" i="102"/>
  <c r="JJ19" i="102"/>
  <c r="JK19" i="102"/>
  <c r="JL19" i="102"/>
  <c r="JM19" i="102"/>
  <c r="JN19" i="102"/>
  <c r="JO19" i="102"/>
  <c r="JP19" i="102"/>
  <c r="JQ19" i="102"/>
  <c r="JR19" i="102"/>
  <c r="JS19" i="102"/>
  <c r="JT19" i="102"/>
  <c r="JU19" i="102"/>
  <c r="JV19" i="102"/>
  <c r="JW19" i="102"/>
  <c r="JX19" i="102"/>
  <c r="JY19" i="102"/>
  <c r="JZ19" i="102"/>
  <c r="KA19" i="102"/>
  <c r="KB19" i="102"/>
  <c r="KC19" i="102"/>
  <c r="KD19" i="102"/>
  <c r="KE19" i="102"/>
  <c r="KF19" i="102"/>
  <c r="KG19" i="102"/>
  <c r="KH19" i="102"/>
  <c r="KI19" i="102"/>
  <c r="KJ19" i="102"/>
  <c r="KK19" i="102"/>
  <c r="KL19" i="102"/>
  <c r="KM19" i="102"/>
  <c r="KN19" i="102"/>
  <c r="KO19" i="102"/>
  <c r="KP19" i="102"/>
  <c r="KQ19" i="102"/>
  <c r="KR19" i="102"/>
  <c r="KS19" i="102"/>
  <c r="KT19" i="102"/>
  <c r="KU19" i="102"/>
  <c r="KV19" i="102"/>
  <c r="KW19" i="102"/>
  <c r="KX19" i="102"/>
  <c r="KY19" i="102"/>
  <c r="KZ19" i="102"/>
  <c r="LA19" i="102"/>
  <c r="LB19" i="102"/>
  <c r="LC19" i="102"/>
  <c r="LD19" i="102"/>
  <c r="LE19" i="102"/>
  <c r="LF19" i="102"/>
  <c r="LG19" i="102"/>
  <c r="LH19" i="102"/>
  <c r="LI19" i="102"/>
  <c r="LJ19" i="102"/>
  <c r="LK19" i="102"/>
  <c r="LL19" i="102"/>
  <c r="LM19" i="102"/>
  <c r="LN19" i="102"/>
  <c r="LO19" i="102"/>
  <c r="LP19" i="102"/>
  <c r="LQ19" i="102"/>
  <c r="LR19" i="102"/>
  <c r="LS19" i="102"/>
  <c r="LT19" i="102"/>
  <c r="LU19" i="102"/>
  <c r="LV19" i="102"/>
  <c r="LW19" i="102"/>
  <c r="LX19" i="102"/>
  <c r="LY19" i="102"/>
  <c r="LZ19" i="102"/>
  <c r="MA19" i="102"/>
  <c r="MB19" i="102"/>
  <c r="MC19" i="102"/>
  <c r="MD19" i="102"/>
  <c r="ME19" i="102"/>
  <c r="MF19" i="102"/>
  <c r="MG19" i="102"/>
  <c r="MH19" i="102"/>
  <c r="MI19" i="102"/>
  <c r="MJ19" i="102"/>
  <c r="MK19" i="102"/>
  <c r="ML19" i="102"/>
  <c r="MM19" i="102"/>
  <c r="MN19" i="102"/>
  <c r="MO19" i="102"/>
  <c r="MP19" i="102"/>
  <c r="MQ19" i="102"/>
  <c r="MR19" i="102"/>
  <c r="MS19" i="102"/>
  <c r="MT19" i="102"/>
  <c r="MU19" i="102"/>
  <c r="MV19" i="102"/>
  <c r="MW19" i="102"/>
  <c r="MX19" i="102"/>
  <c r="MY19" i="102"/>
  <c r="MZ19" i="102"/>
  <c r="NA19" i="102"/>
  <c r="NB19" i="102"/>
  <c r="NC19" i="102"/>
  <c r="ND19" i="102"/>
  <c r="NE19" i="102"/>
  <c r="NF19" i="102"/>
  <c r="NG19" i="102"/>
  <c r="NH19" i="102"/>
  <c r="NI19" i="102"/>
  <c r="NJ19" i="102"/>
  <c r="NK19" i="102"/>
  <c r="NL19" i="102"/>
  <c r="NM19" i="102"/>
  <c r="NN19" i="102"/>
  <c r="NO19" i="102"/>
  <c r="NP19" i="102"/>
  <c r="NQ19" i="102"/>
  <c r="NR19" i="102"/>
  <c r="NS19" i="102"/>
  <c r="NT19" i="102"/>
  <c r="NU19" i="102"/>
  <c r="NV19" i="102"/>
  <c r="NW19" i="102"/>
  <c r="NX19" i="102"/>
  <c r="NY19" i="102"/>
  <c r="NZ19" i="102"/>
  <c r="OA19" i="102"/>
  <c r="OB19" i="102"/>
  <c r="OC19" i="102"/>
  <c r="OD19" i="102"/>
  <c r="OE19" i="102"/>
  <c r="OF19" i="102"/>
  <c r="OG19" i="102"/>
  <c r="OH19" i="102"/>
  <c r="OI19" i="102"/>
  <c r="OJ19" i="102"/>
  <c r="OK19" i="102"/>
  <c r="OL19" i="102"/>
  <c r="OM19" i="102"/>
  <c r="ON19" i="102"/>
  <c r="OO19" i="102"/>
  <c r="OP19" i="102"/>
  <c r="OQ19" i="102"/>
  <c r="OR19" i="102"/>
  <c r="OS19" i="102"/>
  <c r="OT19" i="102"/>
  <c r="OU19" i="102"/>
  <c r="OV19" i="102"/>
  <c r="OW19" i="102"/>
  <c r="OX19" i="102"/>
  <c r="OY19" i="102"/>
  <c r="OZ19" i="102"/>
  <c r="PA19" i="102"/>
  <c r="PB19" i="102"/>
  <c r="PC19" i="102"/>
  <c r="PD19" i="102"/>
  <c r="PE19" i="102"/>
  <c r="PF19" i="102"/>
  <c r="PG19" i="102"/>
  <c r="PH19" i="102"/>
  <c r="PI19" i="102"/>
  <c r="PJ19" i="102"/>
  <c r="PK19" i="102"/>
  <c r="PL19" i="102"/>
  <c r="PM19" i="102"/>
  <c r="PN19" i="102"/>
  <c r="PO19" i="102"/>
  <c r="PP19" i="102"/>
  <c r="PQ19" i="102"/>
  <c r="PR19" i="102"/>
  <c r="PS19" i="102"/>
  <c r="PT19" i="102"/>
  <c r="PU19" i="102"/>
  <c r="PV19" i="102"/>
  <c r="PW19" i="102"/>
  <c r="CB20" i="102"/>
  <c r="CC20" i="102"/>
  <c r="CD20" i="102"/>
  <c r="CE20" i="102"/>
  <c r="CF20" i="102"/>
  <c r="CG20" i="102"/>
  <c r="CH20" i="102"/>
  <c r="CI20" i="102"/>
  <c r="CJ20" i="102"/>
  <c r="CK20" i="102"/>
  <c r="CL20" i="102"/>
  <c r="CM20" i="102"/>
  <c r="CN20" i="102"/>
  <c r="CO20" i="102"/>
  <c r="CP20" i="102"/>
  <c r="CQ20" i="102"/>
  <c r="CR20" i="102"/>
  <c r="CS20" i="102"/>
  <c r="CT20" i="102"/>
  <c r="CU20" i="102"/>
  <c r="CV20" i="102"/>
  <c r="CW20" i="102"/>
  <c r="CX20" i="102"/>
  <c r="CY20" i="102"/>
  <c r="CZ20" i="102"/>
  <c r="DA20" i="102"/>
  <c r="DB20" i="102"/>
  <c r="DC20" i="102"/>
  <c r="DD20" i="102"/>
  <c r="DE20" i="102"/>
  <c r="DF20" i="102"/>
  <c r="DG20" i="102"/>
  <c r="DH20" i="102"/>
  <c r="DI20" i="102"/>
  <c r="DJ20" i="102"/>
  <c r="DK20" i="102"/>
  <c r="ED20" i="102"/>
  <c r="EE20" i="102"/>
  <c r="EF20" i="102"/>
  <c r="EG20" i="102"/>
  <c r="EH20" i="102"/>
  <c r="EI20" i="102"/>
  <c r="EJ20" i="102"/>
  <c r="EK20" i="102"/>
  <c r="EL20" i="102"/>
  <c r="EM20" i="102"/>
  <c r="EN20" i="102"/>
  <c r="EO20" i="102"/>
  <c r="EP20" i="102"/>
  <c r="EQ20" i="102"/>
  <c r="ER20" i="102"/>
  <c r="ES20" i="102"/>
  <c r="ET20" i="102"/>
  <c r="EU20" i="102"/>
  <c r="FN20" i="102"/>
  <c r="FO20" i="102"/>
  <c r="FP20" i="102"/>
  <c r="FQ20" i="102"/>
  <c r="FR20" i="102"/>
  <c r="FS20" i="102"/>
  <c r="FT20" i="102"/>
  <c r="FU20" i="102"/>
  <c r="FV20" i="102"/>
  <c r="FW20" i="102"/>
  <c r="FX20" i="102"/>
  <c r="FY20" i="102"/>
  <c r="FZ20" i="102"/>
  <c r="GA20" i="102"/>
  <c r="GB20" i="102"/>
  <c r="GC20" i="102"/>
  <c r="GD20" i="102"/>
  <c r="GE20" i="102"/>
  <c r="GF20" i="102"/>
  <c r="GG20" i="102"/>
  <c r="GH20" i="102"/>
  <c r="GI20" i="102"/>
  <c r="GJ20" i="102"/>
  <c r="GK20" i="102"/>
  <c r="GL20" i="102"/>
  <c r="GM20" i="102"/>
  <c r="GN20" i="102"/>
  <c r="GO20" i="102"/>
  <c r="GP20" i="102"/>
  <c r="GQ20" i="102"/>
  <c r="GR20" i="102"/>
  <c r="GS20" i="102"/>
  <c r="GT20" i="102"/>
  <c r="GU20" i="102"/>
  <c r="GV20" i="102"/>
  <c r="GW20" i="102"/>
  <c r="GX20" i="102"/>
  <c r="GY20" i="102"/>
  <c r="GZ20" i="102"/>
  <c r="HA20" i="102"/>
  <c r="HB20" i="102"/>
  <c r="HC20" i="102"/>
  <c r="HD20" i="102"/>
  <c r="HE20" i="102"/>
  <c r="HF20" i="102"/>
  <c r="HG20" i="102"/>
  <c r="HH20" i="102"/>
  <c r="HI20" i="102"/>
  <c r="HJ20" i="102"/>
  <c r="HK20" i="102"/>
  <c r="HL20" i="102"/>
  <c r="HM20" i="102"/>
  <c r="HN20" i="102"/>
  <c r="HO20" i="102"/>
  <c r="HP20" i="102"/>
  <c r="HQ20" i="102"/>
  <c r="HR20" i="102"/>
  <c r="HS20" i="102"/>
  <c r="HT20" i="102"/>
  <c r="HU20" i="102"/>
  <c r="HV20" i="102"/>
  <c r="HW20" i="102"/>
  <c r="HX20" i="102"/>
  <c r="HY20" i="102"/>
  <c r="HZ20" i="102"/>
  <c r="IA20" i="102"/>
  <c r="IB20" i="102"/>
  <c r="IC20" i="102"/>
  <c r="ID20" i="102"/>
  <c r="IE20" i="102"/>
  <c r="IF20" i="102"/>
  <c r="IG20" i="102"/>
  <c r="IH20" i="102"/>
  <c r="II20" i="102"/>
  <c r="IJ20" i="102"/>
  <c r="IK20" i="102"/>
  <c r="IL20" i="102"/>
  <c r="IM20" i="102"/>
  <c r="IN20" i="102"/>
  <c r="IO20" i="102"/>
  <c r="IP20" i="102"/>
  <c r="IQ20" i="102"/>
  <c r="IR20" i="102"/>
  <c r="IS20" i="102"/>
  <c r="IT20" i="102"/>
  <c r="IU20" i="102"/>
  <c r="IV20" i="102"/>
  <c r="IW20" i="102"/>
  <c r="IX20" i="102"/>
  <c r="IY20" i="102"/>
  <c r="IZ20" i="102"/>
  <c r="JA20" i="102"/>
  <c r="JB20" i="102"/>
  <c r="JC20" i="102"/>
  <c r="JD20" i="102"/>
  <c r="JE20" i="102"/>
  <c r="JF20" i="102"/>
  <c r="JG20" i="102"/>
  <c r="JH20" i="102"/>
  <c r="JI20" i="102"/>
  <c r="JJ20" i="102"/>
  <c r="JK20" i="102"/>
  <c r="JL20" i="102"/>
  <c r="JM20" i="102"/>
  <c r="JN20" i="102"/>
  <c r="JO20" i="102"/>
  <c r="JP20" i="102"/>
  <c r="JQ20" i="102"/>
  <c r="JR20" i="102"/>
  <c r="JS20" i="102"/>
  <c r="JT20" i="102"/>
  <c r="JU20" i="102"/>
  <c r="JV20" i="102"/>
  <c r="JW20" i="102"/>
  <c r="JX20" i="102"/>
  <c r="JY20" i="102"/>
  <c r="JZ20" i="102"/>
  <c r="KA20" i="102"/>
  <c r="KB20" i="102"/>
  <c r="KC20" i="102"/>
  <c r="KD20" i="102"/>
  <c r="KE20" i="102"/>
  <c r="KF20" i="102"/>
  <c r="KG20" i="102"/>
  <c r="KH20" i="102"/>
  <c r="KI20" i="102"/>
  <c r="KJ20" i="102"/>
  <c r="KK20" i="102"/>
  <c r="KL20" i="102"/>
  <c r="KM20" i="102"/>
  <c r="KN20" i="102"/>
  <c r="KO20" i="102"/>
  <c r="KP20" i="102"/>
  <c r="KQ20" i="102"/>
  <c r="KR20" i="102"/>
  <c r="KS20" i="102"/>
  <c r="KT20" i="102"/>
  <c r="KU20" i="102"/>
  <c r="KV20" i="102"/>
  <c r="KW20" i="102"/>
  <c r="KX20" i="102"/>
  <c r="KY20" i="102"/>
  <c r="KZ20" i="102"/>
  <c r="LA20" i="102"/>
  <c r="LB20" i="102"/>
  <c r="LC20" i="102"/>
  <c r="LD20" i="102"/>
  <c r="LE20" i="102"/>
  <c r="LF20" i="102"/>
  <c r="LG20" i="102"/>
  <c r="LH20" i="102"/>
  <c r="LI20" i="102"/>
  <c r="LJ20" i="102"/>
  <c r="LK20" i="102"/>
  <c r="LL20" i="102"/>
  <c r="LM20" i="102"/>
  <c r="LN20" i="102"/>
  <c r="LO20" i="102"/>
  <c r="LP20" i="102"/>
  <c r="LQ20" i="102"/>
  <c r="LR20" i="102"/>
  <c r="LS20" i="102"/>
  <c r="LT20" i="102"/>
  <c r="LU20" i="102"/>
  <c r="LV20" i="102"/>
  <c r="LW20" i="102"/>
  <c r="LX20" i="102"/>
  <c r="LY20" i="102"/>
  <c r="LZ20" i="102"/>
  <c r="MA20" i="102"/>
  <c r="MB20" i="102"/>
  <c r="MC20" i="102"/>
  <c r="MD20" i="102"/>
  <c r="ME20" i="102"/>
  <c r="MF20" i="102"/>
  <c r="MG20" i="102"/>
  <c r="MH20" i="102"/>
  <c r="MI20" i="102"/>
  <c r="MJ20" i="102"/>
  <c r="MK20" i="102"/>
  <c r="ML20" i="102"/>
  <c r="MM20" i="102"/>
  <c r="MN20" i="102"/>
  <c r="MO20" i="102"/>
  <c r="MP20" i="102"/>
  <c r="MQ20" i="102"/>
  <c r="MR20" i="102"/>
  <c r="MS20" i="102"/>
  <c r="MT20" i="102"/>
  <c r="MU20" i="102"/>
  <c r="MV20" i="102"/>
  <c r="MW20" i="102"/>
  <c r="MX20" i="102"/>
  <c r="MY20" i="102"/>
  <c r="MZ20" i="102"/>
  <c r="NA20" i="102"/>
  <c r="NB20" i="102"/>
  <c r="NC20" i="102"/>
  <c r="ND20" i="102"/>
  <c r="NE20" i="102"/>
  <c r="NF20" i="102"/>
  <c r="NG20" i="102"/>
  <c r="NH20" i="102"/>
  <c r="NI20" i="102"/>
  <c r="NJ20" i="102"/>
  <c r="NK20" i="102"/>
  <c r="NL20" i="102"/>
  <c r="NM20" i="102"/>
  <c r="NN20" i="102"/>
  <c r="NO20" i="102"/>
  <c r="NP20" i="102"/>
  <c r="NQ20" i="102"/>
  <c r="NR20" i="102"/>
  <c r="NS20" i="102"/>
  <c r="NT20" i="102"/>
  <c r="NU20" i="102"/>
  <c r="NV20" i="102"/>
  <c r="NW20" i="102"/>
  <c r="NX20" i="102"/>
  <c r="NY20" i="102"/>
  <c r="NZ20" i="102"/>
  <c r="OA20" i="102"/>
  <c r="OB20" i="102"/>
  <c r="OC20" i="102"/>
  <c r="OD20" i="102"/>
  <c r="OE20" i="102"/>
  <c r="OF20" i="102"/>
  <c r="OG20" i="102"/>
  <c r="OH20" i="102"/>
  <c r="OI20" i="102"/>
  <c r="OJ20" i="102"/>
  <c r="OK20" i="102"/>
  <c r="OL20" i="102"/>
  <c r="OM20" i="102"/>
  <c r="ON20" i="102"/>
  <c r="OO20" i="102"/>
  <c r="OP20" i="102"/>
  <c r="OQ20" i="102"/>
  <c r="OR20" i="102"/>
  <c r="OS20" i="102"/>
  <c r="OT20" i="102"/>
  <c r="OU20" i="102"/>
  <c r="OV20" i="102"/>
  <c r="OW20" i="102"/>
  <c r="OX20" i="102"/>
  <c r="OY20" i="102"/>
  <c r="OZ20" i="102"/>
  <c r="PA20" i="102"/>
  <c r="PB20" i="102"/>
  <c r="PC20" i="102"/>
  <c r="PD20" i="102"/>
  <c r="PE20" i="102"/>
  <c r="PF20" i="102"/>
  <c r="PG20" i="102"/>
  <c r="PH20" i="102"/>
  <c r="PI20" i="102"/>
  <c r="PJ20" i="102"/>
  <c r="PK20" i="102"/>
  <c r="PL20" i="102"/>
  <c r="PM20" i="102"/>
  <c r="PN20" i="102"/>
  <c r="PO20" i="102"/>
  <c r="PP20" i="102"/>
  <c r="PQ20" i="102"/>
  <c r="PR20" i="102"/>
  <c r="PS20" i="102"/>
  <c r="PT20" i="102"/>
  <c r="PU20" i="102"/>
  <c r="PV20" i="102"/>
  <c r="PW20" i="102"/>
  <c r="CB21" i="102"/>
  <c r="CC21" i="102"/>
  <c r="CD21" i="102"/>
  <c r="CE21" i="102"/>
  <c r="CF21" i="102"/>
  <c r="CG21" i="102"/>
  <c r="CH21" i="102"/>
  <c r="CI21" i="102"/>
  <c r="CJ21" i="102"/>
  <c r="CK21" i="102"/>
  <c r="CL21" i="102"/>
  <c r="CM21" i="102"/>
  <c r="CN21" i="102"/>
  <c r="CO21" i="102"/>
  <c r="CP21" i="102"/>
  <c r="CQ21" i="102"/>
  <c r="CR21" i="102"/>
  <c r="CS21" i="102"/>
  <c r="CT21" i="102"/>
  <c r="CU21" i="102"/>
  <c r="CV21" i="102"/>
  <c r="CW21" i="102"/>
  <c r="CX21" i="102"/>
  <c r="CY21" i="102"/>
  <c r="CZ21" i="102"/>
  <c r="DA21" i="102"/>
  <c r="DB21" i="102"/>
  <c r="DC21" i="102"/>
  <c r="DD21" i="102"/>
  <c r="DE21" i="102"/>
  <c r="DF21" i="102"/>
  <c r="DG21" i="102"/>
  <c r="DH21" i="102"/>
  <c r="DI21" i="102"/>
  <c r="DJ21" i="102"/>
  <c r="DK21" i="102"/>
  <c r="ED21" i="102"/>
  <c r="EE21" i="102"/>
  <c r="EF21" i="102"/>
  <c r="EG21" i="102"/>
  <c r="EH21" i="102"/>
  <c r="EI21" i="102"/>
  <c r="EJ21" i="102"/>
  <c r="EK21" i="102"/>
  <c r="EL21" i="102"/>
  <c r="EM21" i="102"/>
  <c r="EN21" i="102"/>
  <c r="EO21" i="102"/>
  <c r="EP21" i="102"/>
  <c r="EQ21" i="102"/>
  <c r="ER21" i="102"/>
  <c r="ES21" i="102"/>
  <c r="ET21" i="102"/>
  <c r="EU21" i="102"/>
  <c r="FN21" i="102"/>
  <c r="FO21" i="102"/>
  <c r="FP21" i="102"/>
  <c r="FQ21" i="102"/>
  <c r="FR21" i="102"/>
  <c r="FS21" i="102"/>
  <c r="FT21" i="102"/>
  <c r="FU21" i="102"/>
  <c r="FV21" i="102"/>
  <c r="FW21" i="102"/>
  <c r="FX21" i="102"/>
  <c r="FY21" i="102"/>
  <c r="FZ21" i="102"/>
  <c r="GA21" i="102"/>
  <c r="GB21" i="102"/>
  <c r="GC21" i="102"/>
  <c r="GD21" i="102"/>
  <c r="GE21" i="102"/>
  <c r="GF21" i="102"/>
  <c r="GG21" i="102"/>
  <c r="GH21" i="102"/>
  <c r="GI21" i="102"/>
  <c r="GJ21" i="102"/>
  <c r="GK21" i="102"/>
  <c r="GL21" i="102"/>
  <c r="GM21" i="102"/>
  <c r="GN21" i="102"/>
  <c r="GO21" i="102"/>
  <c r="GP21" i="102"/>
  <c r="GQ21" i="102"/>
  <c r="GR21" i="102"/>
  <c r="GS21" i="102"/>
  <c r="GT21" i="102"/>
  <c r="GU21" i="102"/>
  <c r="GV21" i="102"/>
  <c r="GW21" i="102"/>
  <c r="GX21" i="102"/>
  <c r="GY21" i="102"/>
  <c r="GZ21" i="102"/>
  <c r="HA21" i="102"/>
  <c r="HB21" i="102"/>
  <c r="HC21" i="102"/>
  <c r="HD21" i="102"/>
  <c r="HE21" i="102"/>
  <c r="HF21" i="102"/>
  <c r="HG21" i="102"/>
  <c r="HH21" i="102"/>
  <c r="HI21" i="102"/>
  <c r="HJ21" i="102"/>
  <c r="HK21" i="102"/>
  <c r="HL21" i="102"/>
  <c r="HM21" i="102"/>
  <c r="HN21" i="102"/>
  <c r="HO21" i="102"/>
  <c r="HP21" i="102"/>
  <c r="HQ21" i="102"/>
  <c r="HR21" i="102"/>
  <c r="HS21" i="102"/>
  <c r="HT21" i="102"/>
  <c r="HU21" i="102"/>
  <c r="HV21" i="102"/>
  <c r="HW21" i="102"/>
  <c r="HX21" i="102"/>
  <c r="HY21" i="102"/>
  <c r="HZ21" i="102"/>
  <c r="IA21" i="102"/>
  <c r="IB21" i="102"/>
  <c r="IC21" i="102"/>
  <c r="ID21" i="102"/>
  <c r="IE21" i="102"/>
  <c r="IF21" i="102"/>
  <c r="IG21" i="102"/>
  <c r="IH21" i="102"/>
  <c r="II21" i="102"/>
  <c r="IJ21" i="102"/>
  <c r="IK21" i="102"/>
  <c r="IL21" i="102"/>
  <c r="IM21" i="102"/>
  <c r="IN21" i="102"/>
  <c r="IO21" i="102"/>
  <c r="IP21" i="102"/>
  <c r="IQ21" i="102"/>
  <c r="IR21" i="102"/>
  <c r="IS21" i="102"/>
  <c r="IT21" i="102"/>
  <c r="IU21" i="102"/>
  <c r="IV21" i="102"/>
  <c r="IW21" i="102"/>
  <c r="IX21" i="102"/>
  <c r="IY21" i="102"/>
  <c r="IZ21" i="102"/>
  <c r="JA21" i="102"/>
  <c r="JB21" i="102"/>
  <c r="JC21" i="102"/>
  <c r="JD21" i="102"/>
  <c r="JE21" i="102"/>
  <c r="JF21" i="102"/>
  <c r="JG21" i="102"/>
  <c r="JH21" i="102"/>
  <c r="JI21" i="102"/>
  <c r="JJ21" i="102"/>
  <c r="JK21" i="102"/>
  <c r="JL21" i="102"/>
  <c r="JM21" i="102"/>
  <c r="JN21" i="102"/>
  <c r="JO21" i="102"/>
  <c r="JP21" i="102"/>
  <c r="JQ21" i="102"/>
  <c r="JR21" i="102"/>
  <c r="JS21" i="102"/>
  <c r="JT21" i="102"/>
  <c r="JU21" i="102"/>
  <c r="JV21" i="102"/>
  <c r="JW21" i="102"/>
  <c r="JX21" i="102"/>
  <c r="JY21" i="102"/>
  <c r="JZ21" i="102"/>
  <c r="KA21" i="102"/>
  <c r="KB21" i="102"/>
  <c r="KC21" i="102"/>
  <c r="KD21" i="102"/>
  <c r="KE21" i="102"/>
  <c r="KF21" i="102"/>
  <c r="KG21" i="102"/>
  <c r="KH21" i="102"/>
  <c r="KI21" i="102"/>
  <c r="KJ21" i="102"/>
  <c r="KK21" i="102"/>
  <c r="KL21" i="102"/>
  <c r="KM21" i="102"/>
  <c r="KN21" i="102"/>
  <c r="KO21" i="102"/>
  <c r="KP21" i="102"/>
  <c r="KQ21" i="102"/>
  <c r="KR21" i="102"/>
  <c r="KS21" i="102"/>
  <c r="KT21" i="102"/>
  <c r="KU21" i="102"/>
  <c r="KV21" i="102"/>
  <c r="KW21" i="102"/>
  <c r="KX21" i="102"/>
  <c r="KY21" i="102"/>
  <c r="KZ21" i="102"/>
  <c r="LA21" i="102"/>
  <c r="LB21" i="102"/>
  <c r="LC21" i="102"/>
  <c r="LD21" i="102"/>
  <c r="LE21" i="102"/>
  <c r="LF21" i="102"/>
  <c r="LG21" i="102"/>
  <c r="LH21" i="102"/>
  <c r="LI21" i="102"/>
  <c r="LJ21" i="102"/>
  <c r="LK21" i="102"/>
  <c r="LL21" i="102"/>
  <c r="LM21" i="102"/>
  <c r="LN21" i="102"/>
  <c r="LO21" i="102"/>
  <c r="LP21" i="102"/>
  <c r="LQ21" i="102"/>
  <c r="LR21" i="102"/>
  <c r="LS21" i="102"/>
  <c r="LT21" i="102"/>
  <c r="LU21" i="102"/>
  <c r="LV21" i="102"/>
  <c r="LW21" i="102"/>
  <c r="LX21" i="102"/>
  <c r="LY21" i="102"/>
  <c r="LZ21" i="102"/>
  <c r="MA21" i="102"/>
  <c r="MB21" i="102"/>
  <c r="MC21" i="102"/>
  <c r="MD21" i="102"/>
  <c r="ME21" i="102"/>
  <c r="MF21" i="102"/>
  <c r="MG21" i="102"/>
  <c r="MH21" i="102"/>
  <c r="MI21" i="102"/>
  <c r="MJ21" i="102"/>
  <c r="MK21" i="102"/>
  <c r="ML21" i="102"/>
  <c r="MM21" i="102"/>
  <c r="MN21" i="102"/>
  <c r="MO21" i="102"/>
  <c r="MP21" i="102"/>
  <c r="MQ21" i="102"/>
  <c r="MR21" i="102"/>
  <c r="MS21" i="102"/>
  <c r="MT21" i="102"/>
  <c r="MU21" i="102"/>
  <c r="MV21" i="102"/>
  <c r="MW21" i="102"/>
  <c r="MX21" i="102"/>
  <c r="MY21" i="102"/>
  <c r="MZ21" i="102"/>
  <c r="NA21" i="102"/>
  <c r="NB21" i="102"/>
  <c r="NC21" i="102"/>
  <c r="ND21" i="102"/>
  <c r="NE21" i="102"/>
  <c r="NF21" i="102"/>
  <c r="NG21" i="102"/>
  <c r="NH21" i="102"/>
  <c r="NI21" i="102"/>
  <c r="NJ21" i="102"/>
  <c r="NK21" i="102"/>
  <c r="NL21" i="102"/>
  <c r="NM21" i="102"/>
  <c r="NN21" i="102"/>
  <c r="NO21" i="102"/>
  <c r="NP21" i="102"/>
  <c r="NQ21" i="102"/>
  <c r="NR21" i="102"/>
  <c r="NS21" i="102"/>
  <c r="NT21" i="102"/>
  <c r="NU21" i="102"/>
  <c r="NV21" i="102"/>
  <c r="NW21" i="102"/>
  <c r="NX21" i="102"/>
  <c r="NY21" i="102"/>
  <c r="NZ21" i="102"/>
  <c r="OA21" i="102"/>
  <c r="OB21" i="102"/>
  <c r="OC21" i="102"/>
  <c r="OD21" i="102"/>
  <c r="OE21" i="102"/>
  <c r="OF21" i="102"/>
  <c r="OG21" i="102"/>
  <c r="OH21" i="102"/>
  <c r="OI21" i="102"/>
  <c r="OJ21" i="102"/>
  <c r="OK21" i="102"/>
  <c r="OL21" i="102"/>
  <c r="OM21" i="102"/>
  <c r="ON21" i="102"/>
  <c r="OO21" i="102"/>
  <c r="OP21" i="102"/>
  <c r="OQ21" i="102"/>
  <c r="OR21" i="102"/>
  <c r="OS21" i="102"/>
  <c r="OT21" i="102"/>
  <c r="OU21" i="102"/>
  <c r="OV21" i="102"/>
  <c r="OW21" i="102"/>
  <c r="OX21" i="102"/>
  <c r="OY21" i="102"/>
  <c r="OZ21" i="102"/>
  <c r="PA21" i="102"/>
  <c r="PB21" i="102"/>
  <c r="PC21" i="102"/>
  <c r="PD21" i="102"/>
  <c r="PE21" i="102"/>
  <c r="PF21" i="102"/>
  <c r="PG21" i="102"/>
  <c r="PH21" i="102"/>
  <c r="PI21" i="102"/>
  <c r="PJ21" i="102"/>
  <c r="PK21" i="102"/>
  <c r="PL21" i="102"/>
  <c r="PM21" i="102"/>
  <c r="PN21" i="102"/>
  <c r="PO21" i="102"/>
  <c r="PP21" i="102"/>
  <c r="PQ21" i="102"/>
  <c r="PR21" i="102"/>
  <c r="PS21" i="102"/>
  <c r="PT21" i="102"/>
  <c r="PU21" i="102"/>
  <c r="PV21" i="102"/>
  <c r="PW21" i="102"/>
  <c r="CB22" i="102"/>
  <c r="CC22" i="102"/>
  <c r="CD22" i="102"/>
  <c r="CE22" i="102"/>
  <c r="CF22" i="102"/>
  <c r="CG22" i="102"/>
  <c r="CH22" i="102"/>
  <c r="CI22" i="102"/>
  <c r="CJ22" i="102"/>
  <c r="CK22" i="102"/>
  <c r="CL22" i="102"/>
  <c r="CM22" i="102"/>
  <c r="CN22" i="102"/>
  <c r="CO22" i="102"/>
  <c r="CP22" i="102"/>
  <c r="CQ22" i="102"/>
  <c r="CR22" i="102"/>
  <c r="CS22" i="102"/>
  <c r="CT22" i="102"/>
  <c r="CU22" i="102"/>
  <c r="CV22" i="102"/>
  <c r="CW22" i="102"/>
  <c r="CX22" i="102"/>
  <c r="CY22" i="102"/>
  <c r="CZ22" i="102"/>
  <c r="DA22" i="102"/>
  <c r="DB22" i="102"/>
  <c r="DC22" i="102"/>
  <c r="DD22" i="102"/>
  <c r="DE22" i="102"/>
  <c r="DF22" i="102"/>
  <c r="DG22" i="102"/>
  <c r="DH22" i="102"/>
  <c r="DI22" i="102"/>
  <c r="DJ22" i="102"/>
  <c r="DK22" i="102"/>
  <c r="ED22" i="102"/>
  <c r="EE22" i="102"/>
  <c r="EF22" i="102"/>
  <c r="EG22" i="102"/>
  <c r="EH22" i="102"/>
  <c r="EI22" i="102"/>
  <c r="EJ22" i="102"/>
  <c r="EK22" i="102"/>
  <c r="EL22" i="102"/>
  <c r="EM22" i="102"/>
  <c r="EN22" i="102"/>
  <c r="EO22" i="102"/>
  <c r="EP22" i="102"/>
  <c r="EQ22" i="102"/>
  <c r="ER22" i="102"/>
  <c r="ES22" i="102"/>
  <c r="ET22" i="102"/>
  <c r="EU22" i="102"/>
  <c r="FN22" i="102"/>
  <c r="FO22" i="102"/>
  <c r="FP22" i="102"/>
  <c r="FQ22" i="102"/>
  <c r="FR22" i="102"/>
  <c r="FS22" i="102"/>
  <c r="FT22" i="102"/>
  <c r="FU22" i="102"/>
  <c r="FV22" i="102"/>
  <c r="FW22" i="102"/>
  <c r="FX22" i="102"/>
  <c r="FY22" i="102"/>
  <c r="FZ22" i="102"/>
  <c r="GA22" i="102"/>
  <c r="GB22" i="102"/>
  <c r="GC22" i="102"/>
  <c r="GD22" i="102"/>
  <c r="GE22" i="102"/>
  <c r="GF22" i="102"/>
  <c r="GG22" i="102"/>
  <c r="GH22" i="102"/>
  <c r="GI22" i="102"/>
  <c r="GJ22" i="102"/>
  <c r="GK22" i="102"/>
  <c r="GL22" i="102"/>
  <c r="GM22" i="102"/>
  <c r="GN22" i="102"/>
  <c r="GO22" i="102"/>
  <c r="GP22" i="102"/>
  <c r="GQ22" i="102"/>
  <c r="GR22" i="102"/>
  <c r="GS22" i="102"/>
  <c r="GT22" i="102"/>
  <c r="GU22" i="102"/>
  <c r="GV22" i="102"/>
  <c r="GW22" i="102"/>
  <c r="GX22" i="102"/>
  <c r="GY22" i="102"/>
  <c r="GZ22" i="102"/>
  <c r="HA22" i="102"/>
  <c r="HB22" i="102"/>
  <c r="HC22" i="102"/>
  <c r="HD22" i="102"/>
  <c r="HE22" i="102"/>
  <c r="HF22" i="102"/>
  <c r="HG22" i="102"/>
  <c r="HH22" i="102"/>
  <c r="HI22" i="102"/>
  <c r="HJ22" i="102"/>
  <c r="HK22" i="102"/>
  <c r="HL22" i="102"/>
  <c r="HM22" i="102"/>
  <c r="HN22" i="102"/>
  <c r="HO22" i="102"/>
  <c r="HP22" i="102"/>
  <c r="HQ22" i="102"/>
  <c r="HR22" i="102"/>
  <c r="HS22" i="102"/>
  <c r="HT22" i="102"/>
  <c r="HU22" i="102"/>
  <c r="HV22" i="102"/>
  <c r="HW22" i="102"/>
  <c r="HX22" i="102"/>
  <c r="HY22" i="102"/>
  <c r="HZ22" i="102"/>
  <c r="IA22" i="102"/>
  <c r="IB22" i="102"/>
  <c r="IC22" i="102"/>
  <c r="ID22" i="102"/>
  <c r="IE22" i="102"/>
  <c r="IF22" i="102"/>
  <c r="IG22" i="102"/>
  <c r="IH22" i="102"/>
  <c r="II22" i="102"/>
  <c r="IJ22" i="102"/>
  <c r="IK22" i="102"/>
  <c r="IL22" i="102"/>
  <c r="IM22" i="102"/>
  <c r="IN22" i="102"/>
  <c r="IO22" i="102"/>
  <c r="IP22" i="102"/>
  <c r="IQ22" i="102"/>
  <c r="IR22" i="102"/>
  <c r="IS22" i="102"/>
  <c r="IT22" i="102"/>
  <c r="IU22" i="102"/>
  <c r="IV22" i="102"/>
  <c r="IW22" i="102"/>
  <c r="IX22" i="102"/>
  <c r="IY22" i="102"/>
  <c r="IZ22" i="102"/>
  <c r="JA22" i="102"/>
  <c r="JB22" i="102"/>
  <c r="JC22" i="102"/>
  <c r="JD22" i="102"/>
  <c r="JE22" i="102"/>
  <c r="JF22" i="102"/>
  <c r="JG22" i="102"/>
  <c r="JH22" i="102"/>
  <c r="JI22" i="102"/>
  <c r="JJ22" i="102"/>
  <c r="JK22" i="102"/>
  <c r="JL22" i="102"/>
  <c r="JM22" i="102"/>
  <c r="JN22" i="102"/>
  <c r="JO22" i="102"/>
  <c r="JP22" i="102"/>
  <c r="JQ22" i="102"/>
  <c r="JR22" i="102"/>
  <c r="JS22" i="102"/>
  <c r="JT22" i="102"/>
  <c r="JU22" i="102"/>
  <c r="JV22" i="102"/>
  <c r="JW22" i="102"/>
  <c r="JX22" i="102"/>
  <c r="JY22" i="102"/>
  <c r="JZ22" i="102"/>
  <c r="KA22" i="102"/>
  <c r="KB22" i="102"/>
  <c r="KC22" i="102"/>
  <c r="KD22" i="102"/>
  <c r="KE22" i="102"/>
  <c r="KF22" i="102"/>
  <c r="KG22" i="102"/>
  <c r="KH22" i="102"/>
  <c r="KI22" i="102"/>
  <c r="KJ22" i="102"/>
  <c r="KK22" i="102"/>
  <c r="KL22" i="102"/>
  <c r="KM22" i="102"/>
  <c r="KN22" i="102"/>
  <c r="KO22" i="102"/>
  <c r="KP22" i="102"/>
  <c r="KQ22" i="102"/>
  <c r="KR22" i="102"/>
  <c r="KS22" i="102"/>
  <c r="KT22" i="102"/>
  <c r="KU22" i="102"/>
  <c r="KV22" i="102"/>
  <c r="KW22" i="102"/>
  <c r="KX22" i="102"/>
  <c r="KY22" i="102"/>
  <c r="KZ22" i="102"/>
  <c r="LA22" i="102"/>
  <c r="LB22" i="102"/>
  <c r="LC22" i="102"/>
  <c r="LD22" i="102"/>
  <c r="LE22" i="102"/>
  <c r="LF22" i="102"/>
  <c r="LG22" i="102"/>
  <c r="LH22" i="102"/>
  <c r="LI22" i="102"/>
  <c r="LJ22" i="102"/>
  <c r="LK22" i="102"/>
  <c r="LL22" i="102"/>
  <c r="LM22" i="102"/>
  <c r="LN22" i="102"/>
  <c r="LO22" i="102"/>
  <c r="LP22" i="102"/>
  <c r="LQ22" i="102"/>
  <c r="LR22" i="102"/>
  <c r="LS22" i="102"/>
  <c r="LT22" i="102"/>
  <c r="LU22" i="102"/>
  <c r="LV22" i="102"/>
  <c r="LW22" i="102"/>
  <c r="LX22" i="102"/>
  <c r="LY22" i="102"/>
  <c r="LZ22" i="102"/>
  <c r="MA22" i="102"/>
  <c r="MB22" i="102"/>
  <c r="MC22" i="102"/>
  <c r="MD22" i="102"/>
  <c r="ME22" i="102"/>
  <c r="MF22" i="102"/>
  <c r="MG22" i="102"/>
  <c r="MH22" i="102"/>
  <c r="MI22" i="102"/>
  <c r="MJ22" i="102"/>
  <c r="MK22" i="102"/>
  <c r="ML22" i="102"/>
  <c r="MM22" i="102"/>
  <c r="MN22" i="102"/>
  <c r="MO22" i="102"/>
  <c r="MP22" i="102"/>
  <c r="MQ22" i="102"/>
  <c r="MR22" i="102"/>
  <c r="MS22" i="102"/>
  <c r="MT22" i="102"/>
  <c r="MU22" i="102"/>
  <c r="MV22" i="102"/>
  <c r="MW22" i="102"/>
  <c r="MX22" i="102"/>
  <c r="MY22" i="102"/>
  <c r="MZ22" i="102"/>
  <c r="NA22" i="102"/>
  <c r="NB22" i="102"/>
  <c r="NC22" i="102"/>
  <c r="ND22" i="102"/>
  <c r="NE22" i="102"/>
  <c r="NF22" i="102"/>
  <c r="NG22" i="102"/>
  <c r="NH22" i="102"/>
  <c r="NI22" i="102"/>
  <c r="NJ22" i="102"/>
  <c r="NK22" i="102"/>
  <c r="NL22" i="102"/>
  <c r="NM22" i="102"/>
  <c r="NN22" i="102"/>
  <c r="NO22" i="102"/>
  <c r="NP22" i="102"/>
  <c r="NQ22" i="102"/>
  <c r="NR22" i="102"/>
  <c r="NS22" i="102"/>
  <c r="NT22" i="102"/>
  <c r="NU22" i="102"/>
  <c r="NV22" i="102"/>
  <c r="NW22" i="102"/>
  <c r="NX22" i="102"/>
  <c r="NY22" i="102"/>
  <c r="NZ22" i="102"/>
  <c r="OA22" i="102"/>
  <c r="OB22" i="102"/>
  <c r="OC22" i="102"/>
  <c r="OD22" i="102"/>
  <c r="OE22" i="102"/>
  <c r="OF22" i="102"/>
  <c r="OG22" i="102"/>
  <c r="OH22" i="102"/>
  <c r="OI22" i="102"/>
  <c r="OJ22" i="102"/>
  <c r="OK22" i="102"/>
  <c r="OL22" i="102"/>
  <c r="OM22" i="102"/>
  <c r="ON22" i="102"/>
  <c r="OO22" i="102"/>
  <c r="OP22" i="102"/>
  <c r="OQ22" i="102"/>
  <c r="OR22" i="102"/>
  <c r="OS22" i="102"/>
  <c r="OT22" i="102"/>
  <c r="OU22" i="102"/>
  <c r="OV22" i="102"/>
  <c r="OW22" i="102"/>
  <c r="OX22" i="102"/>
  <c r="OY22" i="102"/>
  <c r="OZ22" i="102"/>
  <c r="PA22" i="102"/>
  <c r="PB22" i="102"/>
  <c r="PC22" i="102"/>
  <c r="PD22" i="102"/>
  <c r="PE22" i="102"/>
  <c r="PF22" i="102"/>
  <c r="PG22" i="102"/>
  <c r="PH22" i="102"/>
  <c r="PI22" i="102"/>
  <c r="PJ22" i="102"/>
  <c r="PK22" i="102"/>
  <c r="PL22" i="102"/>
  <c r="PM22" i="102"/>
  <c r="PN22" i="102"/>
  <c r="PO22" i="102"/>
  <c r="PP22" i="102"/>
  <c r="PQ22" i="102"/>
  <c r="PR22" i="102"/>
  <c r="PS22" i="102"/>
  <c r="PT22" i="102"/>
  <c r="PU22" i="102"/>
  <c r="PV22" i="102"/>
  <c r="PW22" i="102"/>
  <c r="CB23" i="102"/>
  <c r="CC23" i="102"/>
  <c r="CD23" i="102"/>
  <c r="CE23" i="102"/>
  <c r="CF23" i="102"/>
  <c r="CG23" i="102"/>
  <c r="CH23" i="102"/>
  <c r="CI23" i="102"/>
  <c r="CJ23" i="102"/>
  <c r="CK23" i="102"/>
  <c r="CL23" i="102"/>
  <c r="CM23" i="102"/>
  <c r="CN23" i="102"/>
  <c r="CO23" i="102"/>
  <c r="CP23" i="102"/>
  <c r="CQ23" i="102"/>
  <c r="CS23" i="102"/>
  <c r="CT23" i="102"/>
  <c r="CU23" i="102"/>
  <c r="CV23" i="102"/>
  <c r="CW23" i="102"/>
  <c r="CX23" i="102"/>
  <c r="CY23" i="102"/>
  <c r="CZ23" i="102"/>
  <c r="DA23" i="102"/>
  <c r="DB23" i="102"/>
  <c r="DC23" i="102"/>
  <c r="DD23" i="102"/>
  <c r="DE23" i="102"/>
  <c r="DF23" i="102"/>
  <c r="DG23" i="102"/>
  <c r="DH23" i="102"/>
  <c r="DI23" i="102"/>
  <c r="DK23" i="102"/>
  <c r="ED23" i="102"/>
  <c r="EE23" i="102"/>
  <c r="EF23" i="102"/>
  <c r="EG23" i="102"/>
  <c r="EH23" i="102"/>
  <c r="EI23" i="102"/>
  <c r="EJ23" i="102"/>
  <c r="EK23" i="102"/>
  <c r="EL23" i="102"/>
  <c r="EM23" i="102"/>
  <c r="EN23" i="102"/>
  <c r="EO23" i="102"/>
  <c r="EP23" i="102"/>
  <c r="EQ23" i="102"/>
  <c r="ER23" i="102"/>
  <c r="ES23" i="102"/>
  <c r="EU23" i="102"/>
  <c r="FN23" i="102"/>
  <c r="FO23" i="102"/>
  <c r="FP23" i="102"/>
  <c r="FQ23" i="102"/>
  <c r="FR23" i="102"/>
  <c r="FS23" i="102"/>
  <c r="FT23" i="102"/>
  <c r="FU23" i="102"/>
  <c r="FV23" i="102"/>
  <c r="FW23" i="102"/>
  <c r="FX23" i="102"/>
  <c r="FY23" i="102"/>
  <c r="FZ23" i="102"/>
  <c r="GA23" i="102"/>
  <c r="GB23" i="102"/>
  <c r="GC23" i="102"/>
  <c r="GE23" i="102"/>
  <c r="GF23" i="102"/>
  <c r="GG23" i="102"/>
  <c r="GH23" i="102"/>
  <c r="GI23" i="102"/>
  <c r="GJ23" i="102"/>
  <c r="GK23" i="102"/>
  <c r="GL23" i="102"/>
  <c r="GM23" i="102"/>
  <c r="GN23" i="102"/>
  <c r="GO23" i="102"/>
  <c r="GP23" i="102"/>
  <c r="GQ23" i="102"/>
  <c r="GR23" i="102"/>
  <c r="GS23" i="102"/>
  <c r="GT23" i="102"/>
  <c r="GU23" i="102"/>
  <c r="GW23" i="102"/>
  <c r="GX23" i="102"/>
  <c r="GY23" i="102"/>
  <c r="GZ23" i="102"/>
  <c r="HA23" i="102"/>
  <c r="HB23" i="102"/>
  <c r="HC23" i="102"/>
  <c r="HD23" i="102"/>
  <c r="HE23" i="102"/>
  <c r="HF23" i="102"/>
  <c r="HG23" i="102"/>
  <c r="HH23" i="102"/>
  <c r="HI23" i="102"/>
  <c r="HJ23" i="102"/>
  <c r="HK23" i="102"/>
  <c r="HL23" i="102"/>
  <c r="HM23" i="102"/>
  <c r="HO23" i="102"/>
  <c r="HP23" i="102"/>
  <c r="HQ23" i="102"/>
  <c r="HR23" i="102"/>
  <c r="HS23" i="102"/>
  <c r="HT23" i="102"/>
  <c r="HU23" i="102"/>
  <c r="HV23" i="102"/>
  <c r="HW23" i="102"/>
  <c r="HX23" i="102"/>
  <c r="HY23" i="102"/>
  <c r="HZ23" i="102"/>
  <c r="IA23" i="102"/>
  <c r="IB23" i="102"/>
  <c r="IC23" i="102"/>
  <c r="ID23" i="102"/>
  <c r="IE23" i="102"/>
  <c r="IG23" i="102"/>
  <c r="IH23" i="102"/>
  <c r="II23" i="102"/>
  <c r="IJ23" i="102"/>
  <c r="IK23" i="102"/>
  <c r="IL23" i="102"/>
  <c r="IM23" i="102"/>
  <c r="IN23" i="102"/>
  <c r="IO23" i="102"/>
  <c r="IP23" i="102"/>
  <c r="IQ23" i="102"/>
  <c r="IR23" i="102"/>
  <c r="IS23" i="102"/>
  <c r="IT23" i="102"/>
  <c r="IU23" i="102"/>
  <c r="IV23" i="102"/>
  <c r="IW23" i="102"/>
  <c r="IY23" i="102"/>
  <c r="IZ23" i="102"/>
  <c r="JA23" i="102"/>
  <c r="JB23" i="102"/>
  <c r="JC23" i="102"/>
  <c r="JD23" i="102"/>
  <c r="JE23" i="102"/>
  <c r="JF23" i="102"/>
  <c r="JG23" i="102"/>
  <c r="JH23" i="102"/>
  <c r="JI23" i="102"/>
  <c r="JJ23" i="102"/>
  <c r="JK23" i="102"/>
  <c r="JL23" i="102"/>
  <c r="JM23" i="102"/>
  <c r="JN23" i="102"/>
  <c r="JO23" i="102"/>
  <c r="JQ23" i="102"/>
  <c r="JR23" i="102"/>
  <c r="JS23" i="102"/>
  <c r="JT23" i="102"/>
  <c r="JU23" i="102"/>
  <c r="JV23" i="102"/>
  <c r="JW23" i="102"/>
  <c r="JX23" i="102"/>
  <c r="JY23" i="102"/>
  <c r="JZ23" i="102"/>
  <c r="KA23" i="102"/>
  <c r="KB23" i="102"/>
  <c r="KC23" i="102"/>
  <c r="KD23" i="102"/>
  <c r="KE23" i="102"/>
  <c r="KF23" i="102"/>
  <c r="KG23" i="102"/>
  <c r="KI23" i="102"/>
  <c r="KJ23" i="102"/>
  <c r="KK23" i="102"/>
  <c r="KL23" i="102"/>
  <c r="KM23" i="102"/>
  <c r="KN23" i="102"/>
  <c r="KO23" i="102"/>
  <c r="KP23" i="102"/>
  <c r="KQ23" i="102"/>
  <c r="KR23" i="102"/>
  <c r="KS23" i="102"/>
  <c r="KT23" i="102"/>
  <c r="KU23" i="102"/>
  <c r="KV23" i="102"/>
  <c r="KW23" i="102"/>
  <c r="KX23" i="102"/>
  <c r="KY23" i="102"/>
  <c r="LA23" i="102"/>
  <c r="LB23" i="102"/>
  <c r="LC23" i="102"/>
  <c r="LD23" i="102"/>
  <c r="LE23" i="102"/>
  <c r="LF23" i="102"/>
  <c r="LG23" i="102"/>
  <c r="LH23" i="102"/>
  <c r="LI23" i="102"/>
  <c r="LJ23" i="102"/>
  <c r="LK23" i="102"/>
  <c r="LL23" i="102"/>
  <c r="LM23" i="102"/>
  <c r="LN23" i="102"/>
  <c r="LO23" i="102"/>
  <c r="LP23" i="102"/>
  <c r="LQ23" i="102"/>
  <c r="LS23" i="102"/>
  <c r="LT23" i="102"/>
  <c r="LU23" i="102"/>
  <c r="LV23" i="102"/>
  <c r="LW23" i="102"/>
  <c r="LX23" i="102"/>
  <c r="LY23" i="102"/>
  <c r="LZ23" i="102"/>
  <c r="MA23" i="102"/>
  <c r="MB23" i="102"/>
  <c r="MC23" i="102"/>
  <c r="MD23" i="102"/>
  <c r="ME23" i="102"/>
  <c r="MF23" i="102"/>
  <c r="MG23" i="102"/>
  <c r="MH23" i="102"/>
  <c r="MI23" i="102"/>
  <c r="MK23" i="102"/>
  <c r="ML23" i="102"/>
  <c r="MM23" i="102"/>
  <c r="MN23" i="102"/>
  <c r="MO23" i="102"/>
  <c r="MP23" i="102"/>
  <c r="MQ23" i="102"/>
  <c r="MR23" i="102"/>
  <c r="MS23" i="102"/>
  <c r="MT23" i="102"/>
  <c r="MU23" i="102"/>
  <c r="MV23" i="102"/>
  <c r="MW23" i="102"/>
  <c r="MX23" i="102"/>
  <c r="MY23" i="102"/>
  <c r="MZ23" i="102"/>
  <c r="NA23" i="102"/>
  <c r="NC23" i="102"/>
  <c r="ND23" i="102"/>
  <c r="NE23" i="102"/>
  <c r="NF23" i="102"/>
  <c r="NG23" i="102"/>
  <c r="NH23" i="102"/>
  <c r="NI23" i="102"/>
  <c r="NJ23" i="102"/>
  <c r="NK23" i="102"/>
  <c r="NL23" i="102"/>
  <c r="NM23" i="102"/>
  <c r="NN23" i="102"/>
  <c r="NO23" i="102"/>
  <c r="NP23" i="102"/>
  <c r="NQ23" i="102"/>
  <c r="NR23" i="102"/>
  <c r="NS23" i="102"/>
  <c r="NU23" i="102"/>
  <c r="NV23" i="102"/>
  <c r="NW23" i="102"/>
  <c r="NX23" i="102"/>
  <c r="NY23" i="102"/>
  <c r="NZ23" i="102"/>
  <c r="OA23" i="102"/>
  <c r="OB23" i="102"/>
  <c r="OC23" i="102"/>
  <c r="OD23" i="102"/>
  <c r="OE23" i="102"/>
  <c r="OF23" i="102"/>
  <c r="OG23" i="102"/>
  <c r="OH23" i="102"/>
  <c r="OI23" i="102"/>
  <c r="OJ23" i="102"/>
  <c r="OK23" i="102"/>
  <c r="OM23" i="102"/>
  <c r="ON23" i="102"/>
  <c r="OO23" i="102"/>
  <c r="OP23" i="102"/>
  <c r="OQ23" i="102"/>
  <c r="OR23" i="102"/>
  <c r="OS23" i="102"/>
  <c r="OT23" i="102"/>
  <c r="OU23" i="102"/>
  <c r="OV23" i="102"/>
  <c r="OW23" i="102"/>
  <c r="OX23" i="102"/>
  <c r="OY23" i="102"/>
  <c r="OZ23" i="102"/>
  <c r="PA23" i="102"/>
  <c r="PB23" i="102"/>
  <c r="PC23" i="102"/>
  <c r="PE23" i="102"/>
  <c r="PF23" i="102"/>
  <c r="PG23" i="102"/>
  <c r="PH23" i="102"/>
  <c r="PI23" i="102"/>
  <c r="PJ23" i="102"/>
  <c r="PK23" i="102"/>
  <c r="PL23" i="102"/>
  <c r="PM23" i="102"/>
  <c r="PN23" i="102"/>
  <c r="PO23" i="102"/>
  <c r="PP23" i="102"/>
  <c r="PQ23" i="102"/>
  <c r="PR23" i="102"/>
  <c r="PS23" i="102"/>
  <c r="PT23" i="102"/>
  <c r="PU23" i="102"/>
  <c r="PW23" i="102"/>
  <c r="KJ14" i="102" l="1"/>
  <c r="CQ14" i="102"/>
  <c r="NO14" i="102"/>
  <c r="GO14" i="102"/>
  <c r="OR14" i="102"/>
  <c r="CD14" i="102"/>
  <c r="PE14" i="102"/>
  <c r="NI14" i="102"/>
  <c r="MG14" i="102"/>
  <c r="LU14" i="102"/>
  <c r="KC14" i="102"/>
  <c r="PO14" i="102"/>
  <c r="PC14" i="102"/>
  <c r="OU14" i="102"/>
  <c r="OM14" i="102"/>
  <c r="NS14" i="102"/>
  <c r="MQ14" i="102"/>
  <c r="MM14" i="102"/>
  <c r="MI14" i="102"/>
  <c r="MA14" i="102"/>
  <c r="LO14" i="102"/>
  <c r="LG14" i="102"/>
  <c r="KY14" i="102"/>
  <c r="KE14" i="102"/>
  <c r="JC14" i="102"/>
  <c r="IY14" i="102"/>
  <c r="IQ14" i="102"/>
  <c r="HG14" i="102"/>
  <c r="GU14" i="102"/>
  <c r="GA14" i="102"/>
  <c r="FS14" i="102"/>
  <c r="EU14" i="102"/>
  <c r="EI14" i="102"/>
  <c r="DE14" i="102"/>
  <c r="CW14" i="102"/>
  <c r="PH14" i="102"/>
  <c r="MN14" i="102"/>
  <c r="LD14" i="102"/>
  <c r="JT14" i="102"/>
  <c r="IZ14" i="102"/>
  <c r="IB14" i="102"/>
  <c r="HD14" i="102"/>
  <c r="GZ14" i="102"/>
  <c r="QJ14" i="102"/>
  <c r="QF14" i="102"/>
  <c r="QB14" i="102"/>
  <c r="PX14" i="102"/>
  <c r="QL14" i="102"/>
  <c r="QH14" i="102"/>
  <c r="QD14" i="102"/>
  <c r="PZ14" i="102"/>
  <c r="OZ14" i="102"/>
  <c r="OJ14" i="102"/>
  <c r="NX14" i="102"/>
  <c r="NH14" i="102"/>
  <c r="MV14" i="102"/>
  <c r="MF14" i="102"/>
  <c r="LL14" i="102"/>
  <c r="KV14" i="102"/>
  <c r="JH14" i="102"/>
  <c r="HP14" i="102"/>
  <c r="GN14" i="102"/>
  <c r="ER14" i="102"/>
  <c r="CT14" i="102"/>
  <c r="CP14" i="102"/>
  <c r="PR14" i="102"/>
  <c r="PW14" i="102"/>
  <c r="PS14" i="102"/>
  <c r="OY14" i="102"/>
  <c r="OE14" i="102"/>
  <c r="NW14" i="102"/>
  <c r="NC14" i="102"/>
  <c r="KA14" i="102"/>
  <c r="HO14" i="102"/>
  <c r="GE14" i="102"/>
  <c r="CG14" i="102"/>
  <c r="PM14" i="102"/>
  <c r="OS14" i="102"/>
  <c r="OC14" i="102"/>
  <c r="NQ14" i="102"/>
  <c r="NA14" i="102"/>
  <c r="MS14" i="102"/>
  <c r="LY14" i="102"/>
  <c r="LE14" i="102"/>
  <c r="KS14" i="102"/>
  <c r="KK14" i="102"/>
  <c r="JI14" i="102"/>
  <c r="IK14" i="102"/>
  <c r="HY14" i="102"/>
  <c r="EO14" i="102"/>
  <c r="EG14" i="102"/>
  <c r="QO14" i="102"/>
  <c r="QK14" i="102"/>
  <c r="QG14" i="102"/>
  <c r="QC14" i="102"/>
  <c r="PY14" i="102"/>
  <c r="QM14" i="102"/>
  <c r="QI14" i="102"/>
  <c r="QE14" i="102"/>
  <c r="QA14" i="102"/>
  <c r="PN14" i="102"/>
  <c r="PJ14" i="102"/>
  <c r="PF14" i="102"/>
  <c r="PB14" i="102"/>
  <c r="OX14" i="102"/>
  <c r="OT14" i="102"/>
  <c r="OP14" i="102"/>
  <c r="OH14" i="102"/>
  <c r="OD14" i="102"/>
  <c r="NZ14" i="102"/>
  <c r="NV14" i="102"/>
  <c r="NR14" i="102"/>
  <c r="NN14" i="102"/>
  <c r="NJ14" i="102"/>
  <c r="NF14" i="102"/>
  <c r="MX14" i="102"/>
  <c r="MT14" i="102"/>
  <c r="MP14" i="102"/>
  <c r="ML14" i="102"/>
  <c r="MH14" i="102"/>
  <c r="MD14" i="102"/>
  <c r="LZ14" i="102"/>
  <c r="LV14" i="102"/>
  <c r="PK14" i="102"/>
  <c r="OI14" i="102"/>
  <c r="NG14" i="102"/>
  <c r="MY14" i="102"/>
  <c r="LK14" i="102"/>
  <c r="KQ14" i="102"/>
  <c r="KI14" i="102"/>
  <c r="JO14" i="102"/>
  <c r="IU14" i="102"/>
  <c r="HW14" i="102"/>
  <c r="CO14" i="102"/>
  <c r="PU14" i="102"/>
  <c r="PQ14" i="102"/>
  <c r="PI14" i="102"/>
  <c r="PA14" i="102"/>
  <c r="OW14" i="102"/>
  <c r="OO14" i="102"/>
  <c r="OK14" i="102"/>
  <c r="OG14" i="102"/>
  <c r="NY14" i="102"/>
  <c r="NU14" i="102"/>
  <c r="NM14" i="102"/>
  <c r="NE14" i="102"/>
  <c r="MW14" i="102"/>
  <c r="MO14" i="102"/>
  <c r="MK14" i="102"/>
  <c r="MC14" i="102"/>
  <c r="LQ14" i="102"/>
  <c r="LM14" i="102"/>
  <c r="LI14" i="102"/>
  <c r="LA14" i="102"/>
  <c r="KW14" i="102"/>
  <c r="KO14" i="102"/>
  <c r="KG14" i="102"/>
  <c r="JY14" i="102"/>
  <c r="JU14" i="102"/>
  <c r="JQ14" i="102"/>
  <c r="JM14" i="102"/>
  <c r="JE14" i="102"/>
  <c r="JA14" i="102"/>
  <c r="IW14" i="102"/>
  <c r="IS14" i="102"/>
  <c r="IO14" i="102"/>
  <c r="IG14" i="102"/>
  <c r="IC14" i="102"/>
  <c r="HU14" i="102"/>
  <c r="HQ14" i="102"/>
  <c r="HM14" i="102"/>
  <c r="HI14" i="102"/>
  <c r="HE14" i="102"/>
  <c r="HA14" i="102"/>
  <c r="GW14" i="102"/>
  <c r="GS14" i="102"/>
  <c r="GK14" i="102"/>
  <c r="GG14" i="102"/>
  <c r="GC14" i="102"/>
  <c r="FY14" i="102"/>
  <c r="FU14" i="102"/>
  <c r="FQ14" i="102"/>
  <c r="ES14" i="102"/>
  <c r="EK14" i="102"/>
  <c r="DK14" i="102"/>
  <c r="DG14" i="102"/>
  <c r="DC14" i="102"/>
  <c r="CY14" i="102"/>
  <c r="CU14" i="102"/>
  <c r="CM14" i="102"/>
  <c r="CI14" i="102"/>
  <c r="CE14" i="102"/>
  <c r="PT14" i="102"/>
  <c r="PP14" i="102"/>
  <c r="PL14" i="102"/>
  <c r="OV14" i="102"/>
  <c r="ON14" i="102"/>
  <c r="OF14" i="102"/>
  <c r="OB14" i="102"/>
  <c r="NP14" i="102"/>
  <c r="NL14" i="102"/>
  <c r="ND14" i="102"/>
  <c r="MZ14" i="102"/>
  <c r="MR14" i="102"/>
  <c r="MB14" i="102"/>
  <c r="LX14" i="102"/>
  <c r="LT14" i="102"/>
  <c r="LP14" i="102"/>
  <c r="LH14" i="102"/>
  <c r="KR14" i="102"/>
  <c r="KN14" i="102"/>
  <c r="KF14" i="102"/>
  <c r="KB14" i="102"/>
  <c r="JX14" i="102"/>
  <c r="JL14" i="102"/>
  <c r="JD14" i="102"/>
  <c r="IV14" i="102"/>
  <c r="IR14" i="102"/>
  <c r="IN14" i="102"/>
  <c r="IJ14" i="102"/>
  <c r="HX14" i="102"/>
  <c r="HT14" i="102"/>
  <c r="HL14" i="102"/>
  <c r="HH14" i="102"/>
  <c r="GR14" i="102"/>
  <c r="GJ14" i="102"/>
  <c r="GF14" i="102"/>
  <c r="GB14" i="102"/>
  <c r="FX14" i="102"/>
  <c r="FT14" i="102"/>
  <c r="FP14" i="102"/>
  <c r="EN14" i="102"/>
  <c r="EJ14" i="102"/>
  <c r="EF14" i="102"/>
  <c r="DF14" i="102"/>
  <c r="DB14" i="102"/>
  <c r="CX14" i="102"/>
  <c r="CL14" i="102"/>
  <c r="CH14" i="102"/>
  <c r="PG14" i="102"/>
  <c r="OQ14" i="102"/>
  <c r="OA14" i="102"/>
  <c r="NK14" i="102"/>
  <c r="MU14" i="102"/>
  <c r="ME14" i="102"/>
  <c r="LW14" i="102"/>
  <c r="LS14" i="102"/>
  <c r="LC14" i="102"/>
  <c r="KU14" i="102"/>
  <c r="KM14" i="102"/>
  <c r="JW14" i="102"/>
  <c r="JS14" i="102"/>
  <c r="JK14" i="102"/>
  <c r="JG14" i="102"/>
  <c r="IM14" i="102"/>
  <c r="II14" i="102"/>
  <c r="IE14" i="102"/>
  <c r="IA14" i="102"/>
  <c r="HS14" i="102"/>
  <c r="HK14" i="102"/>
  <c r="HC14" i="102"/>
  <c r="GY14" i="102"/>
  <c r="GQ14" i="102"/>
  <c r="GM14" i="102"/>
  <c r="GI14" i="102"/>
  <c r="FW14" i="102"/>
  <c r="FO14" i="102"/>
  <c r="EQ14" i="102"/>
  <c r="EM14" i="102"/>
  <c r="EE14" i="102"/>
  <c r="DI14" i="102"/>
  <c r="DA14" i="102"/>
  <c r="CS14" i="102"/>
  <c r="CK14" i="102"/>
  <c r="CC14" i="102"/>
  <c r="LN14" i="102"/>
  <c r="LJ14" i="102"/>
  <c r="LF14" i="102"/>
  <c r="LB14" i="102"/>
  <c r="KX14" i="102"/>
  <c r="KT14" i="102"/>
  <c r="KP14" i="102"/>
  <c r="KL14" i="102"/>
  <c r="KD14" i="102"/>
  <c r="JZ14" i="102"/>
  <c r="JV14" i="102"/>
  <c r="JR14" i="102"/>
  <c r="JN14" i="102"/>
  <c r="JJ14" i="102"/>
  <c r="JF14" i="102"/>
  <c r="JB14" i="102"/>
  <c r="IT14" i="102"/>
  <c r="IP14" i="102"/>
  <c r="IL14" i="102"/>
  <c r="IH14" i="102"/>
  <c r="ID14" i="102"/>
  <c r="HZ14" i="102"/>
  <c r="HV14" i="102"/>
  <c r="HR14" i="102"/>
  <c r="HJ14" i="102"/>
  <c r="HF14" i="102"/>
  <c r="HB14" i="102"/>
  <c r="GX14" i="102"/>
  <c r="GT14" i="102"/>
  <c r="GP14" i="102"/>
  <c r="GL14" i="102"/>
  <c r="GH14" i="102"/>
  <c r="FZ14" i="102"/>
  <c r="FV14" i="102"/>
  <c r="FR14" i="102"/>
  <c r="FN14" i="102"/>
  <c r="EP14" i="102"/>
  <c r="EL14" i="102"/>
  <c r="EH14" i="102"/>
  <c r="ED14" i="102"/>
  <c r="DH14" i="102"/>
  <c r="DD14" i="102"/>
  <c r="CZ14" i="102"/>
  <c r="CV14" i="102"/>
  <c r="CN14" i="102"/>
  <c r="CJ14" i="102"/>
  <c r="CF14" i="102"/>
  <c r="CB14" i="102"/>
  <c r="PW13" i="1" l="1"/>
  <c r="PV13" i="1"/>
  <c r="PU13" i="1"/>
  <c r="PT13" i="1"/>
  <c r="PS13" i="1"/>
  <c r="PR13" i="1"/>
  <c r="PQ13" i="1"/>
  <c r="PP13" i="1"/>
  <c r="PO13" i="1"/>
  <c r="PN13" i="1"/>
  <c r="PM13" i="1"/>
  <c r="PL13" i="1"/>
  <c r="PK13" i="1"/>
  <c r="PJ13" i="1"/>
  <c r="PI13" i="1"/>
  <c r="PH13" i="1"/>
  <c r="PG13" i="1"/>
  <c r="PF13" i="1"/>
  <c r="OM13" i="1"/>
  <c r="OL13" i="1"/>
  <c r="OK13" i="1"/>
  <c r="OJ13" i="1"/>
  <c r="OI13" i="1"/>
  <c r="OH13" i="1"/>
  <c r="OG13" i="1"/>
  <c r="OF13" i="1"/>
  <c r="OE13" i="1"/>
  <c r="OD13" i="1"/>
  <c r="OC13" i="1"/>
  <c r="OB13" i="1"/>
  <c r="OA13" i="1"/>
  <c r="NZ13" i="1"/>
  <c r="NY13" i="1"/>
  <c r="NX13" i="1"/>
  <c r="NW13" i="1"/>
  <c r="NV13" i="1"/>
  <c r="OL23" i="102" l="1"/>
  <c r="OL14" i="102" s="1"/>
  <c r="PV23" i="102"/>
  <c r="PV14" i="102" s="1"/>
  <c r="NC13" i="1"/>
  <c r="NB13" i="1"/>
  <c r="NA13" i="1"/>
  <c r="MZ13" i="1"/>
  <c r="MY13" i="1"/>
  <c r="MX13" i="1"/>
  <c r="MW13" i="1"/>
  <c r="MV13" i="1"/>
  <c r="MU13" i="1"/>
  <c r="MT13" i="1"/>
  <c r="MS13" i="1"/>
  <c r="MR13" i="1"/>
  <c r="MQ13" i="1"/>
  <c r="MP13" i="1"/>
  <c r="MO13" i="1"/>
  <c r="MN13" i="1"/>
  <c r="MM13" i="1"/>
  <c r="ML13" i="1"/>
  <c r="MK13" i="1"/>
  <c r="MJ13" i="1"/>
  <c r="MI13" i="1"/>
  <c r="MH13" i="1"/>
  <c r="MG13" i="1"/>
  <c r="MF13" i="1"/>
  <c r="ME13" i="1"/>
  <c r="MD13" i="1"/>
  <c r="MC13" i="1"/>
  <c r="MB13" i="1"/>
  <c r="MA13" i="1"/>
  <c r="LZ13" i="1"/>
  <c r="LY13" i="1"/>
  <c r="LX13" i="1"/>
  <c r="LW13" i="1"/>
  <c r="LV13" i="1"/>
  <c r="LU13" i="1"/>
  <c r="LT13" i="1"/>
  <c r="LS13" i="1"/>
  <c r="LR13" i="1"/>
  <c r="LQ13" i="1"/>
  <c r="LP13" i="1"/>
  <c r="LO13" i="1"/>
  <c r="LN13" i="1"/>
  <c r="LM13" i="1"/>
  <c r="LL13" i="1"/>
  <c r="LK13" i="1"/>
  <c r="LJ13" i="1"/>
  <c r="LI13" i="1"/>
  <c r="LH13" i="1"/>
  <c r="LG13" i="1"/>
  <c r="LF13" i="1"/>
  <c r="LE13" i="1"/>
  <c r="LD13" i="1"/>
  <c r="LC13" i="1"/>
  <c r="LB13" i="1"/>
  <c r="LA13" i="1"/>
  <c r="KZ13" i="1"/>
  <c r="KY13" i="1"/>
  <c r="KX13" i="1"/>
  <c r="KW13" i="1"/>
  <c r="KV13" i="1"/>
  <c r="KU13" i="1"/>
  <c r="KT13" i="1"/>
  <c r="KS13" i="1"/>
  <c r="KR13" i="1"/>
  <c r="KQ13" i="1"/>
  <c r="KP13" i="1"/>
  <c r="KO13" i="1"/>
  <c r="KN13" i="1"/>
  <c r="KM13" i="1"/>
  <c r="KL13" i="1"/>
  <c r="KK13" i="1"/>
  <c r="KJ13" i="1"/>
  <c r="KI13" i="1"/>
  <c r="KH13" i="1"/>
  <c r="KG13" i="1"/>
  <c r="KF13" i="1"/>
  <c r="KE13" i="1"/>
  <c r="KD13" i="1"/>
  <c r="KC13" i="1"/>
  <c r="KB13" i="1"/>
  <c r="KA13" i="1"/>
  <c r="JZ13" i="1"/>
  <c r="JY13" i="1"/>
  <c r="JX13" i="1"/>
  <c r="JW13" i="1"/>
  <c r="JV13" i="1"/>
  <c r="JU13" i="1"/>
  <c r="JT13" i="1"/>
  <c r="JS13" i="1"/>
  <c r="JR13" i="1"/>
  <c r="JQ13" i="1"/>
  <c r="JP13" i="1"/>
  <c r="JO13" i="1"/>
  <c r="JN13" i="1"/>
  <c r="JM13" i="1"/>
  <c r="JL13" i="1"/>
  <c r="JK13" i="1"/>
  <c r="JJ13" i="1"/>
  <c r="JI13" i="1"/>
  <c r="JH13" i="1"/>
  <c r="JG13" i="1"/>
  <c r="JF13" i="1"/>
  <c r="JE13" i="1"/>
  <c r="JD13" i="1"/>
  <c r="JC13" i="1"/>
  <c r="JB13" i="1"/>
  <c r="JA13" i="1"/>
  <c r="IZ13" i="1"/>
  <c r="IY13" i="1"/>
  <c r="IX13" i="1"/>
  <c r="IW13" i="1"/>
  <c r="IV13" i="1"/>
  <c r="IU13" i="1"/>
  <c r="IT13" i="1"/>
  <c r="IS13" i="1"/>
  <c r="IR13" i="1"/>
  <c r="IQ13" i="1"/>
  <c r="IP13" i="1"/>
  <c r="IO13" i="1"/>
  <c r="IN13" i="1"/>
  <c r="IM13" i="1"/>
  <c r="IL13" i="1"/>
  <c r="IK13" i="1"/>
  <c r="IJ13" i="1"/>
  <c r="II13" i="1"/>
  <c r="IH13" i="1"/>
  <c r="KZ23" i="102" l="1"/>
  <c r="KZ14" i="102" s="1"/>
  <c r="JP23" i="102"/>
  <c r="JP14" i="102" s="1"/>
  <c r="MJ23" i="102"/>
  <c r="MJ14" i="102" s="1"/>
  <c r="IX23" i="102"/>
  <c r="IX14" i="102" s="1"/>
  <c r="LR23" i="102"/>
  <c r="LR14" i="102" s="1"/>
  <c r="KH23" i="102"/>
  <c r="KH14" i="102" s="1"/>
  <c r="NB23" i="102"/>
  <c r="NB14" i="102" s="1"/>
  <c r="HO13" i="1"/>
  <c r="HN13" i="1"/>
  <c r="HM13" i="1"/>
  <c r="HL13" i="1"/>
  <c r="HK13" i="1"/>
  <c r="HJ13" i="1"/>
  <c r="HI13" i="1"/>
  <c r="HH13" i="1"/>
  <c r="HG13" i="1"/>
  <c r="HF13" i="1"/>
  <c r="HE13" i="1"/>
  <c r="HD13" i="1"/>
  <c r="HC13" i="1"/>
  <c r="HB13" i="1"/>
  <c r="HA13" i="1"/>
  <c r="GZ13" i="1"/>
  <c r="GY13" i="1"/>
  <c r="GX13" i="1"/>
  <c r="HN23" i="102" l="1"/>
  <c r="HN14" i="102" s="1"/>
  <c r="G15" i="102"/>
  <c r="H15" i="102"/>
  <c r="I15" i="102"/>
  <c r="J15" i="102"/>
  <c r="K15" i="102"/>
  <c r="L15" i="102"/>
  <c r="M15" i="102"/>
  <c r="N15" i="102"/>
  <c r="O15" i="102"/>
  <c r="P15" i="102"/>
  <c r="Q15" i="102"/>
  <c r="R15" i="102"/>
  <c r="S15" i="102"/>
  <c r="T15" i="102"/>
  <c r="U15" i="102"/>
  <c r="V15" i="102"/>
  <c r="W15" i="102"/>
  <c r="X15" i="102"/>
  <c r="Y15" i="102"/>
  <c r="AR15" i="102"/>
  <c r="AS15" i="102"/>
  <c r="AT15" i="102"/>
  <c r="AU15" i="102"/>
  <c r="AV15" i="102"/>
  <c r="AW15" i="102"/>
  <c r="AX15" i="102"/>
  <c r="AY15" i="102"/>
  <c r="AZ15" i="102"/>
  <c r="BA15" i="102"/>
  <c r="BB15" i="102"/>
  <c r="BC15" i="102"/>
  <c r="BD15" i="102"/>
  <c r="BE15" i="102"/>
  <c r="BF15" i="102"/>
  <c r="BG15" i="102"/>
  <c r="BH15" i="102"/>
  <c r="BI15" i="102"/>
  <c r="G16" i="102"/>
  <c r="H16" i="102"/>
  <c r="I16" i="102"/>
  <c r="J16" i="102"/>
  <c r="K16" i="102"/>
  <c r="L16" i="102"/>
  <c r="M16" i="102"/>
  <c r="N16" i="102"/>
  <c r="O16" i="102"/>
  <c r="P16" i="102"/>
  <c r="Q16" i="102"/>
  <c r="R16" i="102"/>
  <c r="S16" i="102"/>
  <c r="T16" i="102"/>
  <c r="U16" i="102"/>
  <c r="V16" i="102"/>
  <c r="W16" i="102"/>
  <c r="X16" i="102"/>
  <c r="Y16" i="102"/>
  <c r="AR16" i="102"/>
  <c r="AS16" i="102"/>
  <c r="AT16" i="102"/>
  <c r="AU16" i="102"/>
  <c r="AV16" i="102"/>
  <c r="AW16" i="102"/>
  <c r="AX16" i="102"/>
  <c r="AY16" i="102"/>
  <c r="AZ16" i="102"/>
  <c r="BA16" i="102"/>
  <c r="BB16" i="102"/>
  <c r="BC16" i="102"/>
  <c r="BD16" i="102"/>
  <c r="BE16" i="102"/>
  <c r="BF16" i="102"/>
  <c r="BG16" i="102"/>
  <c r="BH16" i="102"/>
  <c r="BI16" i="102"/>
  <c r="G17" i="102"/>
  <c r="H17" i="102"/>
  <c r="I17" i="102"/>
  <c r="J17" i="102"/>
  <c r="K17" i="102"/>
  <c r="L17" i="102"/>
  <c r="M17" i="102"/>
  <c r="N17" i="102"/>
  <c r="O17" i="102"/>
  <c r="P17" i="102"/>
  <c r="Q17" i="102"/>
  <c r="R17" i="102"/>
  <c r="S17" i="102"/>
  <c r="T17" i="102"/>
  <c r="U17" i="102"/>
  <c r="V17" i="102"/>
  <c r="W17" i="102"/>
  <c r="X17" i="102"/>
  <c r="Y17" i="102"/>
  <c r="AR17" i="102"/>
  <c r="AS17" i="102"/>
  <c r="AT17" i="102"/>
  <c r="AU17" i="102"/>
  <c r="AV17" i="102"/>
  <c r="AW17" i="102"/>
  <c r="AX17" i="102"/>
  <c r="AY17" i="102"/>
  <c r="AZ17" i="102"/>
  <c r="BA17" i="102"/>
  <c r="BB17" i="102"/>
  <c r="BC17" i="102"/>
  <c r="BD17" i="102"/>
  <c r="BE17" i="102"/>
  <c r="BF17" i="102"/>
  <c r="BG17" i="102"/>
  <c r="BH17" i="102"/>
  <c r="BI17" i="102"/>
  <c r="G19" i="102"/>
  <c r="H19" i="102"/>
  <c r="I19" i="102"/>
  <c r="J19" i="102"/>
  <c r="K19" i="102"/>
  <c r="L19" i="102"/>
  <c r="M19" i="102"/>
  <c r="N19" i="102"/>
  <c r="O19" i="102"/>
  <c r="P19" i="102"/>
  <c r="Q19" i="102"/>
  <c r="R19" i="102"/>
  <c r="S19" i="102"/>
  <c r="T19" i="102"/>
  <c r="U19" i="102"/>
  <c r="V19" i="102"/>
  <c r="W19" i="102"/>
  <c r="X19" i="102"/>
  <c r="Y19" i="102"/>
  <c r="AR19" i="102"/>
  <c r="AS19" i="102"/>
  <c r="AT19" i="102"/>
  <c r="AU19" i="102"/>
  <c r="AV19" i="102"/>
  <c r="AW19" i="102"/>
  <c r="AX19" i="102"/>
  <c r="AY19" i="102"/>
  <c r="AZ19" i="102"/>
  <c r="BA19" i="102"/>
  <c r="BB19" i="102"/>
  <c r="BC19" i="102"/>
  <c r="BD19" i="102"/>
  <c r="BE19" i="102"/>
  <c r="BF19" i="102"/>
  <c r="BG19" i="102"/>
  <c r="BH19" i="102"/>
  <c r="BI19" i="102"/>
  <c r="G20" i="102"/>
  <c r="H20" i="102"/>
  <c r="I20" i="102"/>
  <c r="J20" i="102"/>
  <c r="K20" i="102"/>
  <c r="L20" i="102"/>
  <c r="M20" i="102"/>
  <c r="N20" i="102"/>
  <c r="O20" i="102"/>
  <c r="P20" i="102"/>
  <c r="Q20" i="102"/>
  <c r="R20" i="102"/>
  <c r="S20" i="102"/>
  <c r="T20" i="102"/>
  <c r="U20" i="102"/>
  <c r="V20" i="102"/>
  <c r="W20" i="102"/>
  <c r="X20" i="102"/>
  <c r="Y20" i="102"/>
  <c r="AR20" i="102"/>
  <c r="AS20" i="102"/>
  <c r="AT20" i="102"/>
  <c r="AU20" i="102"/>
  <c r="AV20" i="102"/>
  <c r="AW20" i="102"/>
  <c r="AX20" i="102"/>
  <c r="AY20" i="102"/>
  <c r="AZ20" i="102"/>
  <c r="BA20" i="102"/>
  <c r="BB20" i="102"/>
  <c r="BC20" i="102"/>
  <c r="BD20" i="102"/>
  <c r="BE20" i="102"/>
  <c r="BF20" i="102"/>
  <c r="BG20" i="102"/>
  <c r="BH20" i="102"/>
  <c r="BI20" i="102"/>
  <c r="G21" i="102"/>
  <c r="H21" i="102"/>
  <c r="I21" i="102"/>
  <c r="J21" i="102"/>
  <c r="K21" i="102"/>
  <c r="L21" i="102"/>
  <c r="M21" i="102"/>
  <c r="N21" i="102"/>
  <c r="O21" i="102"/>
  <c r="P21" i="102"/>
  <c r="Q21" i="102"/>
  <c r="R21" i="102"/>
  <c r="S21" i="102"/>
  <c r="T21" i="102"/>
  <c r="U21" i="102"/>
  <c r="V21" i="102"/>
  <c r="W21" i="102"/>
  <c r="X21" i="102"/>
  <c r="Y21" i="102"/>
  <c r="AR21" i="102"/>
  <c r="AS21" i="102"/>
  <c r="AT21" i="102"/>
  <c r="AU21" i="102"/>
  <c r="AV21" i="102"/>
  <c r="AW21" i="102"/>
  <c r="AX21" i="102"/>
  <c r="AY21" i="102"/>
  <c r="AZ21" i="102"/>
  <c r="BA21" i="102"/>
  <c r="BB21" i="102"/>
  <c r="BC21" i="102"/>
  <c r="BD21" i="102"/>
  <c r="BE21" i="102"/>
  <c r="BF21" i="102"/>
  <c r="BG21" i="102"/>
  <c r="BH21" i="102"/>
  <c r="BI21" i="102"/>
  <c r="G22" i="102"/>
  <c r="H22" i="102"/>
  <c r="I22" i="102"/>
  <c r="J22" i="102"/>
  <c r="K22" i="102"/>
  <c r="L22" i="102"/>
  <c r="M22" i="102"/>
  <c r="N22" i="102"/>
  <c r="O22" i="102"/>
  <c r="P22" i="102"/>
  <c r="Q22" i="102"/>
  <c r="R22" i="102"/>
  <c r="S22" i="102"/>
  <c r="T22" i="102"/>
  <c r="U22" i="102"/>
  <c r="V22" i="102"/>
  <c r="W22" i="102"/>
  <c r="X22" i="102"/>
  <c r="Y22" i="102"/>
  <c r="AR22" i="102"/>
  <c r="AS22" i="102"/>
  <c r="AT22" i="102"/>
  <c r="AU22" i="102"/>
  <c r="AV22" i="102"/>
  <c r="AW22" i="102"/>
  <c r="AX22" i="102"/>
  <c r="AY22" i="102"/>
  <c r="AZ22" i="102"/>
  <c r="BA22" i="102"/>
  <c r="BB22" i="102"/>
  <c r="BC22" i="102"/>
  <c r="BD22" i="102"/>
  <c r="BE22" i="102"/>
  <c r="BF22" i="102"/>
  <c r="BG22" i="102"/>
  <c r="BH22" i="102"/>
  <c r="BI22" i="102"/>
  <c r="G23" i="102"/>
  <c r="H23" i="102"/>
  <c r="I23" i="102"/>
  <c r="J23" i="102"/>
  <c r="K23" i="102"/>
  <c r="L23" i="102"/>
  <c r="M23" i="102"/>
  <c r="N23" i="102"/>
  <c r="O23" i="102"/>
  <c r="P23" i="102"/>
  <c r="Q23" i="102"/>
  <c r="R23" i="102"/>
  <c r="S23" i="102"/>
  <c r="T23" i="102"/>
  <c r="U23" i="102"/>
  <c r="V23" i="102"/>
  <c r="W23" i="102"/>
  <c r="X23" i="102"/>
  <c r="Y23" i="102"/>
  <c r="AR23" i="102"/>
  <c r="AS23" i="102"/>
  <c r="AT23" i="102"/>
  <c r="AU23" i="102"/>
  <c r="AV23" i="102"/>
  <c r="AW23" i="102"/>
  <c r="AX23" i="102"/>
  <c r="AY23" i="102"/>
  <c r="AZ23" i="102"/>
  <c r="BA23" i="102"/>
  <c r="BB23" i="102"/>
  <c r="BC23" i="102"/>
  <c r="BD23" i="102"/>
  <c r="BE23" i="102"/>
  <c r="BF23" i="102"/>
  <c r="BG23" i="102"/>
  <c r="BI23" i="102"/>
  <c r="F23" i="102"/>
  <c r="F22" i="102"/>
  <c r="F21" i="102"/>
  <c r="F20" i="102"/>
  <c r="F19" i="102"/>
  <c r="F17" i="102"/>
  <c r="F16" i="102"/>
  <c r="F15" i="102"/>
  <c r="F14" i="102" l="1"/>
  <c r="BF14" i="102"/>
  <c r="AT14" i="102"/>
  <c r="BB14" i="102"/>
  <c r="AX14" i="102"/>
  <c r="BI14" i="102"/>
  <c r="BE14" i="102"/>
  <c r="BA14" i="102"/>
  <c r="AW14" i="102"/>
  <c r="AS14" i="102"/>
  <c r="W14" i="102"/>
  <c r="S14" i="102"/>
  <c r="O14" i="102"/>
  <c r="K14" i="102"/>
  <c r="G14" i="102"/>
  <c r="BD14" i="102"/>
  <c r="AZ14" i="102"/>
  <c r="AV14" i="102"/>
  <c r="AR14" i="102"/>
  <c r="R14" i="102"/>
  <c r="BG14" i="102"/>
  <c r="BC14" i="102"/>
  <c r="AY14" i="102"/>
  <c r="AU14" i="102"/>
  <c r="V14" i="102"/>
  <c r="N14" i="102"/>
  <c r="J14" i="102"/>
  <c r="Y14" i="102"/>
  <c r="U14" i="102"/>
  <c r="Q14" i="102"/>
  <c r="M14" i="102"/>
  <c r="I14" i="102"/>
  <c r="X14" i="102"/>
  <c r="T14" i="102"/>
  <c r="P14" i="102"/>
  <c r="L14" i="102"/>
  <c r="H14" i="102"/>
  <c r="Y13" i="1" l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EU13" i="1"/>
  <c r="ET13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GE13" i="1"/>
  <c r="GD13" i="1"/>
  <c r="GC13" i="1"/>
  <c r="GB13" i="1"/>
  <c r="GA13" i="1"/>
  <c r="FZ13" i="1"/>
  <c r="FY13" i="1"/>
  <c r="FX13" i="1"/>
  <c r="FW13" i="1"/>
  <c r="FV13" i="1"/>
  <c r="FU13" i="1"/>
  <c r="FT13" i="1"/>
  <c r="FS13" i="1"/>
  <c r="FR13" i="1"/>
  <c r="FQ13" i="1"/>
  <c r="FP13" i="1"/>
  <c r="FO13" i="1"/>
  <c r="FN13" i="1"/>
  <c r="GW13" i="1"/>
  <c r="GV13" i="1"/>
  <c r="GU13" i="1"/>
  <c r="GT13" i="1"/>
  <c r="GS13" i="1"/>
  <c r="GR13" i="1"/>
  <c r="GQ13" i="1"/>
  <c r="GP13" i="1"/>
  <c r="GO13" i="1"/>
  <c r="GN13" i="1"/>
  <c r="GM13" i="1"/>
  <c r="GL13" i="1"/>
  <c r="GK13" i="1"/>
  <c r="GJ13" i="1"/>
  <c r="GI13" i="1"/>
  <c r="GH13" i="1"/>
  <c r="GG13" i="1"/>
  <c r="GF13" i="1"/>
  <c r="IG13" i="1"/>
  <c r="IF13" i="1"/>
  <c r="IE13" i="1"/>
  <c r="ID13" i="1"/>
  <c r="IC13" i="1"/>
  <c r="IB13" i="1"/>
  <c r="IA13" i="1"/>
  <c r="HZ13" i="1"/>
  <c r="HY13" i="1"/>
  <c r="HX13" i="1"/>
  <c r="HW13" i="1"/>
  <c r="HV13" i="1"/>
  <c r="HU13" i="1"/>
  <c r="HT13" i="1"/>
  <c r="HS13" i="1"/>
  <c r="HR13" i="1"/>
  <c r="HQ13" i="1"/>
  <c r="HP13" i="1"/>
  <c r="NU13" i="1"/>
  <c r="NT13" i="1"/>
  <c r="NS13" i="1"/>
  <c r="NR13" i="1"/>
  <c r="NQ13" i="1"/>
  <c r="NP13" i="1"/>
  <c r="NO13" i="1"/>
  <c r="NN13" i="1"/>
  <c r="NM13" i="1"/>
  <c r="NL13" i="1"/>
  <c r="NK13" i="1"/>
  <c r="NJ13" i="1"/>
  <c r="NI13" i="1"/>
  <c r="NH13" i="1"/>
  <c r="NG13" i="1"/>
  <c r="NF13" i="1"/>
  <c r="NE13" i="1"/>
  <c r="ND13" i="1"/>
  <c r="PE13" i="1"/>
  <c r="PD13" i="1"/>
  <c r="PC13" i="1"/>
  <c r="PB13" i="1"/>
  <c r="PA13" i="1"/>
  <c r="OZ13" i="1"/>
  <c r="OY13" i="1"/>
  <c r="OX13" i="1"/>
  <c r="OW13" i="1"/>
  <c r="OV13" i="1"/>
  <c r="OU13" i="1"/>
  <c r="OT13" i="1"/>
  <c r="OS13" i="1"/>
  <c r="OR13" i="1"/>
  <c r="OQ13" i="1"/>
  <c r="OP13" i="1"/>
  <c r="OO13" i="1"/>
  <c r="ON13" i="1"/>
  <c r="QO13" i="1"/>
  <c r="QN13" i="1"/>
  <c r="QM13" i="1"/>
  <c r="QL13" i="1"/>
  <c r="QK13" i="1"/>
  <c r="QJ13" i="1"/>
  <c r="QI13" i="1"/>
  <c r="QH13" i="1"/>
  <c r="QG13" i="1"/>
  <c r="QF13" i="1"/>
  <c r="QE13" i="1"/>
  <c r="QD13" i="1"/>
  <c r="QC13" i="1"/>
  <c r="QB13" i="1"/>
  <c r="QA13" i="1"/>
  <c r="PZ13" i="1"/>
  <c r="PY13" i="1"/>
  <c r="PX13" i="1"/>
  <c r="DJ23" i="102" l="1"/>
  <c r="DJ14" i="102" s="1"/>
  <c r="ET23" i="102"/>
  <c r="ET14" i="102" s="1"/>
  <c r="QN23" i="102"/>
  <c r="QN14" i="102" s="1"/>
  <c r="GV23" i="102"/>
  <c r="GV14" i="102" s="1"/>
  <c r="CR23" i="102"/>
  <c r="CR14" i="102" s="1"/>
  <c r="IF23" i="102"/>
  <c r="IF14" i="102" s="1"/>
  <c r="NT23" i="102"/>
  <c r="NT14" i="102" s="1"/>
  <c r="PD23" i="102"/>
  <c r="PD14" i="102" s="1"/>
  <c r="GD23" i="102"/>
  <c r="GD14" i="102" s="1"/>
  <c r="BH23" i="102"/>
  <c r="BH14" i="102" s="1"/>
  <c r="BE109" i="16"/>
  <c r="BA109" i="16"/>
  <c r="AZ109" i="16"/>
  <c r="AY109" i="16"/>
  <c r="AW109" i="16"/>
  <c r="AV109" i="16"/>
  <c r="AU109" i="16"/>
  <c r="AT109" i="16"/>
  <c r="BC109" i="16" s="1"/>
  <c r="AS109" i="16"/>
  <c r="AQ109" i="16"/>
  <c r="AP109" i="16"/>
  <c r="AM109" i="16"/>
  <c r="AI109" i="16"/>
  <c r="AH109" i="16"/>
  <c r="AG109" i="16"/>
  <c r="AE109" i="16"/>
  <c r="AD109" i="16"/>
  <c r="AC109" i="16"/>
  <c r="AB109" i="16"/>
  <c r="AK109" i="16" s="1"/>
  <c r="AA109" i="16"/>
  <c r="Y109" i="16"/>
  <c r="X109" i="16"/>
  <c r="BE108" i="16"/>
  <c r="BE107" i="16" s="1"/>
  <c r="BA108" i="16"/>
  <c r="BA107" i="16" s="1"/>
  <c r="AZ108" i="16"/>
  <c r="AZ107" i="16" s="1"/>
  <c r="AY108" i="16"/>
  <c r="AY107" i="16" s="1"/>
  <c r="AW108" i="16"/>
  <c r="AW107" i="16" s="1"/>
  <c r="AV108" i="16"/>
  <c r="AV107" i="16" s="1"/>
  <c r="AU108" i="16"/>
  <c r="AU107" i="16" s="1"/>
  <c r="AT108" i="16"/>
  <c r="AT107" i="16" s="1"/>
  <c r="BC107" i="16" s="1"/>
  <c r="AS108" i="16"/>
  <c r="AS107" i="16" s="1"/>
  <c r="AQ108" i="16"/>
  <c r="AQ107" i="16" s="1"/>
  <c r="AP108" i="16"/>
  <c r="AM108" i="16"/>
  <c r="AI108" i="16"/>
  <c r="AH108" i="16"/>
  <c r="AG108" i="16"/>
  <c r="AG107" i="16" s="1"/>
  <c r="AE108" i="16"/>
  <c r="AD108" i="16"/>
  <c r="AD107" i="16" s="1"/>
  <c r="AC108" i="16"/>
  <c r="AC107" i="16" s="1"/>
  <c r="AB108" i="16"/>
  <c r="AK108" i="16" s="1"/>
  <c r="AA108" i="16"/>
  <c r="AA107" i="16" s="1"/>
  <c r="Y108" i="16"/>
  <c r="X108" i="16"/>
  <c r="X107" i="16" s="1"/>
  <c r="P109" i="16" l="1"/>
  <c r="P108" i="16"/>
  <c r="P107" i="16" s="1"/>
  <c r="K109" i="16"/>
  <c r="I109" i="16"/>
  <c r="M109" i="16"/>
  <c r="Q108" i="16"/>
  <c r="G109" i="16"/>
  <c r="L109" i="16"/>
  <c r="K108" i="16"/>
  <c r="K107" i="16" s="1"/>
  <c r="M108" i="16"/>
  <c r="M107" i="16" s="1"/>
  <c r="O108" i="16"/>
  <c r="O107" i="16" s="1"/>
  <c r="J109" i="16"/>
  <c r="S109" i="16" s="1"/>
  <c r="O109" i="16"/>
  <c r="Q109" i="16"/>
  <c r="AR108" i="16"/>
  <c r="L108" i="16"/>
  <c r="L107" i="16" s="1"/>
  <c r="AO108" i="16"/>
  <c r="BC108" i="16"/>
  <c r="Z109" i="16"/>
  <c r="BG109" i="16"/>
  <c r="AH107" i="16"/>
  <c r="BB108" i="16"/>
  <c r="BB109" i="16"/>
  <c r="AB107" i="16"/>
  <c r="AK107" i="16" s="1"/>
  <c r="BF109" i="16"/>
  <c r="AJ109" i="16"/>
  <c r="F109" i="16"/>
  <c r="Y107" i="16"/>
  <c r="AJ107" i="16" s="1"/>
  <c r="G108" i="16"/>
  <c r="G107" i="16" s="1"/>
  <c r="U108" i="16"/>
  <c r="U107" i="16" s="1"/>
  <c r="AM107" i="16"/>
  <c r="AE107" i="16"/>
  <c r="U109" i="16"/>
  <c r="AI107" i="16"/>
  <c r="AP107" i="16"/>
  <c r="BB107" i="16" s="1"/>
  <c r="AJ108" i="16"/>
  <c r="AX109" i="16"/>
  <c r="BD109" i="16" s="1"/>
  <c r="AO109" i="16"/>
  <c r="AF108" i="16"/>
  <c r="F108" i="16"/>
  <c r="F107" i="16" s="1"/>
  <c r="J108" i="16"/>
  <c r="J107" i="16" s="1"/>
  <c r="Z108" i="16"/>
  <c r="Z107" i="16" s="1"/>
  <c r="AX108" i="16"/>
  <c r="AX107" i="16" s="1"/>
  <c r="BF108" i="16"/>
  <c r="BF107" i="16" s="1"/>
  <c r="AF109" i="16"/>
  <c r="AL109" i="16" s="1"/>
  <c r="AN109" i="16"/>
  <c r="AR109" i="16"/>
  <c r="BG108" i="16"/>
  <c r="BG107" i="16" s="1"/>
  <c r="AN108" i="16"/>
  <c r="AN107" i="16" s="1"/>
  <c r="I108" i="16"/>
  <c r="I107" i="16" s="1"/>
  <c r="AF107" i="16" l="1"/>
  <c r="AL107" i="16" s="1"/>
  <c r="AR107" i="16"/>
  <c r="Q107" i="16"/>
  <c r="AO107" i="16"/>
  <c r="R109" i="16"/>
  <c r="W109" i="16"/>
  <c r="N109" i="16"/>
  <c r="T109" i="16" s="1"/>
  <c r="N108" i="16"/>
  <c r="N107" i="16" s="1"/>
  <c r="T107" i="16" s="1"/>
  <c r="H109" i="16"/>
  <c r="V109" i="16"/>
  <c r="V108" i="16"/>
  <c r="V107" i="16" s="1"/>
  <c r="H108" i="16"/>
  <c r="H107" i="16" s="1"/>
  <c r="W108" i="16"/>
  <c r="W107" i="16" s="1"/>
  <c r="BD107" i="16"/>
  <c r="BD108" i="16"/>
  <c r="S107" i="16"/>
  <c r="S108" i="16"/>
  <c r="AL108" i="16"/>
  <c r="R108" i="16"/>
  <c r="R107" i="16"/>
  <c r="T108" i="16" l="1"/>
  <c r="AP106" i="16" l="1"/>
  <c r="AP105" i="16"/>
  <c r="AP104" i="16"/>
  <c r="AP103" i="16"/>
  <c r="AP102" i="16"/>
  <c r="AP101" i="16"/>
  <c r="AP100" i="16"/>
  <c r="AP99" i="16"/>
  <c r="AP98" i="16"/>
  <c r="AP96" i="16"/>
  <c r="AP95" i="16"/>
  <c r="AP94" i="16"/>
  <c r="AP93" i="16"/>
  <c r="AP92" i="16"/>
  <c r="AP91" i="16"/>
  <c r="AP90" i="16"/>
  <c r="AP89" i="16"/>
  <c r="AP88" i="16"/>
  <c r="AP87" i="16"/>
  <c r="AP86" i="16"/>
  <c r="AP85" i="16"/>
  <c r="AP83" i="16"/>
  <c r="AP82" i="16"/>
  <c r="AP81" i="16"/>
  <c r="AP80" i="16"/>
  <c r="AP79" i="16"/>
  <c r="AP78" i="16"/>
  <c r="AP77" i="16" s="1"/>
  <c r="AP76" i="16"/>
  <c r="AP75" i="16"/>
  <c r="AP74" i="16"/>
  <c r="AP73" i="16"/>
  <c r="AP72" i="16"/>
  <c r="AP71" i="16"/>
  <c r="AP70" i="16"/>
  <c r="AP69" i="16"/>
  <c r="AP68" i="16"/>
  <c r="AP67" i="16"/>
  <c r="AP66" i="16"/>
  <c r="AP65" i="16"/>
  <c r="AP64" i="16"/>
  <c r="AP63" i="16"/>
  <c r="AP62" i="16" s="1"/>
  <c r="AP61" i="16"/>
  <c r="AP60" i="16"/>
  <c r="AP59" i="16"/>
  <c r="AP58" i="16"/>
  <c r="AP57" i="16"/>
  <c r="AP56" i="16"/>
  <c r="AP55" i="16"/>
  <c r="AP54" i="16" s="1"/>
  <c r="AP53" i="16"/>
  <c r="AP52" i="16"/>
  <c r="AP51" i="16"/>
  <c r="AP50" i="16"/>
  <c r="AP49" i="16"/>
  <c r="AP48" i="16"/>
  <c r="AP46" i="16"/>
  <c r="AP45" i="16"/>
  <c r="AP44" i="16"/>
  <c r="AP43" i="16"/>
  <c r="AP42" i="16"/>
  <c r="AP41" i="16"/>
  <c r="AP40" i="16"/>
  <c r="AP39" i="16"/>
  <c r="AP38" i="16"/>
  <c r="AP37" i="16"/>
  <c r="AP36" i="16"/>
  <c r="AP34" i="16"/>
  <c r="AP33" i="16"/>
  <c r="AP32" i="16"/>
  <c r="AP31" i="16"/>
  <c r="AP30" i="16"/>
  <c r="AP29" i="16"/>
  <c r="AP28" i="16"/>
  <c r="AP27" i="16"/>
  <c r="AP26" i="16"/>
  <c r="AP25" i="16"/>
  <c r="AP24" i="16"/>
  <c r="AP23" i="16"/>
  <c r="AP22" i="16"/>
  <c r="AP21" i="16"/>
  <c r="AP20" i="16"/>
  <c r="AP19" i="16"/>
  <c r="AP18" i="16"/>
  <c r="AP17" i="16"/>
  <c r="AP16" i="16" s="1"/>
  <c r="X106" i="16"/>
  <c r="X105" i="16"/>
  <c r="X104" i="16"/>
  <c r="X103" i="16"/>
  <c r="X102" i="16"/>
  <c r="X101" i="16"/>
  <c r="X100" i="16"/>
  <c r="X99" i="16"/>
  <c r="X98" i="16"/>
  <c r="X96" i="16"/>
  <c r="X95" i="16"/>
  <c r="X94" i="16"/>
  <c r="X93" i="16"/>
  <c r="X92" i="16"/>
  <c r="X91" i="16"/>
  <c r="X90" i="16"/>
  <c r="X89" i="16"/>
  <c r="X88" i="16"/>
  <c r="X87" i="16"/>
  <c r="X86" i="16"/>
  <c r="X85" i="16"/>
  <c r="X83" i="16"/>
  <c r="X82" i="16"/>
  <c r="X81" i="16"/>
  <c r="X80" i="16"/>
  <c r="X79" i="16"/>
  <c r="X78" i="16"/>
  <c r="X76" i="16"/>
  <c r="X75" i="16"/>
  <c r="X74" i="16"/>
  <c r="X73" i="16"/>
  <c r="X72" i="16"/>
  <c r="X71" i="16"/>
  <c r="X70" i="16"/>
  <c r="X69" i="16"/>
  <c r="X68" i="16"/>
  <c r="X67" i="16"/>
  <c r="X66" i="16"/>
  <c r="X65" i="16"/>
  <c r="X64" i="16"/>
  <c r="X63" i="16"/>
  <c r="X61" i="16"/>
  <c r="X60" i="16"/>
  <c r="X59" i="16"/>
  <c r="X58" i="16"/>
  <c r="X57" i="16"/>
  <c r="X56" i="16"/>
  <c r="X55" i="16"/>
  <c r="X53" i="16"/>
  <c r="X52" i="16"/>
  <c r="X51" i="16"/>
  <c r="X50" i="16"/>
  <c r="X49" i="16"/>
  <c r="X48" i="16"/>
  <c r="X46" i="16"/>
  <c r="X45" i="16"/>
  <c r="X44" i="16"/>
  <c r="X43" i="16"/>
  <c r="X42" i="16"/>
  <c r="X41" i="16"/>
  <c r="X40" i="16"/>
  <c r="X39" i="16"/>
  <c r="X38" i="16"/>
  <c r="X37" i="16"/>
  <c r="X36" i="16"/>
  <c r="X34" i="16"/>
  <c r="X33" i="16"/>
  <c r="X32" i="16"/>
  <c r="X31" i="16"/>
  <c r="X30" i="16"/>
  <c r="X29" i="16"/>
  <c r="X28" i="16"/>
  <c r="X27" i="16"/>
  <c r="X26" i="16"/>
  <c r="X25" i="16"/>
  <c r="X24" i="16"/>
  <c r="X23" i="16"/>
  <c r="X22" i="16"/>
  <c r="X21" i="16"/>
  <c r="X20" i="16"/>
  <c r="X19" i="16"/>
  <c r="X18" i="16"/>
  <c r="X17" i="16"/>
  <c r="X35" i="16" l="1"/>
  <c r="X62" i="16"/>
  <c r="F24" i="16"/>
  <c r="F32" i="16"/>
  <c r="F50" i="16"/>
  <c r="F59" i="16"/>
  <c r="F68" i="16"/>
  <c r="F86" i="16"/>
  <c r="F94" i="16"/>
  <c r="F103" i="16"/>
  <c r="F26" i="16"/>
  <c r="F43" i="16"/>
  <c r="F61" i="16"/>
  <c r="F79" i="16"/>
  <c r="F96" i="16"/>
  <c r="F20" i="16"/>
  <c r="F37" i="16"/>
  <c r="F55" i="16"/>
  <c r="F72" i="16"/>
  <c r="F90" i="16"/>
  <c r="F19" i="16"/>
  <c r="F31" i="16"/>
  <c r="F36" i="16"/>
  <c r="F35" i="16" s="1"/>
  <c r="F49" i="16"/>
  <c r="F53" i="16"/>
  <c r="F67" i="16"/>
  <c r="F71" i="16"/>
  <c r="F85" i="16"/>
  <c r="F84" i="16" s="1"/>
  <c r="F89" i="16"/>
  <c r="F102" i="16"/>
  <c r="F106" i="16"/>
  <c r="F41" i="16"/>
  <c r="F76" i="16"/>
  <c r="AP35" i="16"/>
  <c r="F18" i="16"/>
  <c r="F22" i="16"/>
  <c r="F30" i="16"/>
  <c r="F34" i="16"/>
  <c r="F39" i="16"/>
  <c r="X47" i="16"/>
  <c r="F48" i="16"/>
  <c r="F52" i="16"/>
  <c r="F57" i="16"/>
  <c r="F66" i="16"/>
  <c r="F70" i="16"/>
  <c r="F74" i="16"/>
  <c r="F83" i="16"/>
  <c r="F88" i="16"/>
  <c r="F92" i="16"/>
  <c r="F54" i="16"/>
  <c r="AP47" i="16"/>
  <c r="F101" i="16"/>
  <c r="F105" i="16"/>
  <c r="X97" i="16"/>
  <c r="AP84" i="16"/>
  <c r="AP97" i="16"/>
  <c r="F27" i="16"/>
  <c r="F44" i="16"/>
  <c r="F63" i="16"/>
  <c r="F80" i="16"/>
  <c r="F98" i="16"/>
  <c r="X84" i="16"/>
  <c r="X54" i="16"/>
  <c r="F23" i="16"/>
  <c r="F28" i="16"/>
  <c r="F40" i="16"/>
  <c r="F45" i="16"/>
  <c r="F58" i="16"/>
  <c r="F64" i="16"/>
  <c r="F75" i="16"/>
  <c r="F81" i="16"/>
  <c r="F93" i="16"/>
  <c r="F99" i="16"/>
  <c r="X16" i="16"/>
  <c r="F17" i="16"/>
  <c r="F16" i="16" s="1"/>
  <c r="F21" i="16"/>
  <c r="F25" i="16"/>
  <c r="F29" i="16"/>
  <c r="F33" i="16"/>
  <c r="F38" i="16"/>
  <c r="F42" i="16"/>
  <c r="F46" i="16"/>
  <c r="F51" i="16"/>
  <c r="F56" i="16"/>
  <c r="F60" i="16"/>
  <c r="F65" i="16"/>
  <c r="F69" i="16"/>
  <c r="F73" i="16"/>
  <c r="X77" i="16"/>
  <c r="F78" i="16"/>
  <c r="F82" i="16"/>
  <c r="F87" i="16"/>
  <c r="F91" i="16"/>
  <c r="F95" i="16"/>
  <c r="F100" i="16"/>
  <c r="F104" i="16"/>
  <c r="X14" i="16" l="1"/>
  <c r="AP14" i="16"/>
  <c r="F77" i="16"/>
  <c r="F62" i="16"/>
  <c r="F97" i="16"/>
  <c r="F47" i="16"/>
  <c r="F14" i="16" l="1"/>
  <c r="BE106" i="16" l="1"/>
  <c r="BA106" i="16"/>
  <c r="AZ106" i="16"/>
  <c r="AY106" i="16"/>
  <c r="AW106" i="16"/>
  <c r="AV106" i="16"/>
  <c r="AU106" i="16"/>
  <c r="AT106" i="16"/>
  <c r="BC106" i="16" s="1"/>
  <c r="AS106" i="16"/>
  <c r="AQ106" i="16"/>
  <c r="BB106" i="16" s="1"/>
  <c r="BE105" i="16"/>
  <c r="BA105" i="16"/>
  <c r="AZ105" i="16"/>
  <c r="AY105" i="16"/>
  <c r="AW105" i="16"/>
  <c r="AV105" i="16"/>
  <c r="AU105" i="16"/>
  <c r="AT105" i="16"/>
  <c r="BC105" i="16" s="1"/>
  <c r="AS105" i="16"/>
  <c r="AQ105" i="16"/>
  <c r="BB105" i="16" s="1"/>
  <c r="BE104" i="16"/>
  <c r="BA104" i="16"/>
  <c r="AZ104" i="16"/>
  <c r="AY104" i="16"/>
  <c r="AW104" i="16"/>
  <c r="AV104" i="16"/>
  <c r="AU104" i="16"/>
  <c r="AT104" i="16"/>
  <c r="BC104" i="16" s="1"/>
  <c r="AS104" i="16"/>
  <c r="AQ104" i="16"/>
  <c r="BB104" i="16" s="1"/>
  <c r="BE103" i="16"/>
  <c r="BA103" i="16"/>
  <c r="AZ103" i="16"/>
  <c r="AY103" i="16"/>
  <c r="AW103" i="16"/>
  <c r="AV103" i="16"/>
  <c r="AU103" i="16"/>
  <c r="AT103" i="16"/>
  <c r="BC103" i="16" s="1"/>
  <c r="AS103" i="16"/>
  <c r="AQ103" i="16"/>
  <c r="BB103" i="16" s="1"/>
  <c r="BE102" i="16"/>
  <c r="BA102" i="16"/>
  <c r="AZ102" i="16"/>
  <c r="AY102" i="16"/>
  <c r="AW102" i="16"/>
  <c r="AV102" i="16"/>
  <c r="AU102" i="16"/>
  <c r="AT102" i="16"/>
  <c r="BC102" i="16" s="1"/>
  <c r="AS102" i="16"/>
  <c r="AQ102" i="16"/>
  <c r="BB102" i="16" s="1"/>
  <c r="BE101" i="16"/>
  <c r="BA101" i="16"/>
  <c r="AZ101" i="16"/>
  <c r="AY101" i="16"/>
  <c r="AW101" i="16"/>
  <c r="AV101" i="16"/>
  <c r="AU101" i="16"/>
  <c r="AT101" i="16"/>
  <c r="BC101" i="16" s="1"/>
  <c r="AS101" i="16"/>
  <c r="AQ101" i="16"/>
  <c r="BB101" i="16" s="1"/>
  <c r="BE100" i="16"/>
  <c r="BA100" i="16"/>
  <c r="AZ100" i="16"/>
  <c r="AY100" i="16"/>
  <c r="AW100" i="16"/>
  <c r="AV100" i="16"/>
  <c r="AU100" i="16"/>
  <c r="AT100" i="16"/>
  <c r="BC100" i="16" s="1"/>
  <c r="AS100" i="16"/>
  <c r="AQ100" i="16"/>
  <c r="BB100" i="16" s="1"/>
  <c r="BE99" i="16"/>
  <c r="BA99" i="16"/>
  <c r="AZ99" i="16"/>
  <c r="AY99" i="16"/>
  <c r="AW99" i="16"/>
  <c r="AV99" i="16"/>
  <c r="AU99" i="16"/>
  <c r="AT99" i="16"/>
  <c r="BC99" i="16" s="1"/>
  <c r="AS99" i="16"/>
  <c r="AQ99" i="16"/>
  <c r="BB99" i="16" s="1"/>
  <c r="BE98" i="16"/>
  <c r="BE97" i="16" s="1"/>
  <c r="BA98" i="16"/>
  <c r="BA97" i="16" s="1"/>
  <c r="AZ98" i="16"/>
  <c r="AZ97" i="16" s="1"/>
  <c r="AY98" i="16"/>
  <c r="AW98" i="16"/>
  <c r="AW97" i="16" s="1"/>
  <c r="AV98" i="16"/>
  <c r="AV97" i="16" s="1"/>
  <c r="AU98" i="16"/>
  <c r="AU97" i="16" s="1"/>
  <c r="AT98" i="16"/>
  <c r="AS98" i="16"/>
  <c r="AS97" i="16" s="1"/>
  <c r="AQ98" i="16"/>
  <c r="BE96" i="16"/>
  <c r="BA96" i="16"/>
  <c r="AZ96" i="16"/>
  <c r="AY96" i="16"/>
  <c r="AW96" i="16"/>
  <c r="AV96" i="16"/>
  <c r="AU96" i="16"/>
  <c r="AT96" i="16"/>
  <c r="AS96" i="16"/>
  <c r="AQ96" i="16"/>
  <c r="BB96" i="16" s="1"/>
  <c r="BE95" i="16"/>
  <c r="BA95" i="16"/>
  <c r="AZ95" i="16"/>
  <c r="AY95" i="16"/>
  <c r="AW95" i="16"/>
  <c r="AV95" i="16"/>
  <c r="AU95" i="16"/>
  <c r="AT95" i="16"/>
  <c r="AS95" i="16"/>
  <c r="AQ95" i="16"/>
  <c r="BB95" i="16" s="1"/>
  <c r="BE94" i="16"/>
  <c r="BA94" i="16"/>
  <c r="AZ94" i="16"/>
  <c r="AY94" i="16"/>
  <c r="AW94" i="16"/>
  <c r="AV94" i="16"/>
  <c r="AU94" i="16"/>
  <c r="AT94" i="16"/>
  <c r="BC94" i="16" s="1"/>
  <c r="AS94" i="16"/>
  <c r="AQ94" i="16"/>
  <c r="BB94" i="16" s="1"/>
  <c r="BE93" i="16"/>
  <c r="BA93" i="16"/>
  <c r="AZ93" i="16"/>
  <c r="AY93" i="16"/>
  <c r="AW93" i="16"/>
  <c r="AV93" i="16"/>
  <c r="AU93" i="16"/>
  <c r="AT93" i="16"/>
  <c r="AS93" i="16"/>
  <c r="AQ93" i="16"/>
  <c r="BB93" i="16" s="1"/>
  <c r="BE92" i="16"/>
  <c r="BA92" i="16"/>
  <c r="AZ92" i="16"/>
  <c r="AY92" i="16"/>
  <c r="AW92" i="16"/>
  <c r="AV92" i="16"/>
  <c r="AU92" i="16"/>
  <c r="AT92" i="16"/>
  <c r="BC92" i="16" s="1"/>
  <c r="AS92" i="16"/>
  <c r="AQ92" i="16"/>
  <c r="BB92" i="16" s="1"/>
  <c r="BE91" i="16"/>
  <c r="BA91" i="16"/>
  <c r="AZ91" i="16"/>
  <c r="AY91" i="16"/>
  <c r="AW91" i="16"/>
  <c r="AV91" i="16"/>
  <c r="AU91" i="16"/>
  <c r="AT91" i="16"/>
  <c r="AS91" i="16"/>
  <c r="AQ91" i="16"/>
  <c r="BB91" i="16" s="1"/>
  <c r="BE90" i="16"/>
  <c r="BA90" i="16"/>
  <c r="AZ90" i="16"/>
  <c r="AY90" i="16"/>
  <c r="AW90" i="16"/>
  <c r="AV90" i="16"/>
  <c r="AU90" i="16"/>
  <c r="AT90" i="16"/>
  <c r="BC90" i="16" s="1"/>
  <c r="AS90" i="16"/>
  <c r="AQ90" i="16"/>
  <c r="BB90" i="16" s="1"/>
  <c r="BE89" i="16"/>
  <c r="BA89" i="16"/>
  <c r="AZ89" i="16"/>
  <c r="AY89" i="16"/>
  <c r="AW89" i="16"/>
  <c r="AV89" i="16"/>
  <c r="AU89" i="16"/>
  <c r="AT89" i="16"/>
  <c r="AS89" i="16"/>
  <c r="AQ89" i="16"/>
  <c r="BB89" i="16" s="1"/>
  <c r="BE88" i="16"/>
  <c r="BA88" i="16"/>
  <c r="AZ88" i="16"/>
  <c r="AY88" i="16"/>
  <c r="AW88" i="16"/>
  <c r="AV88" i="16"/>
  <c r="AU88" i="16"/>
  <c r="AT88" i="16"/>
  <c r="BC88" i="16" s="1"/>
  <c r="AS88" i="16"/>
  <c r="AQ88" i="16"/>
  <c r="BB88" i="16" s="1"/>
  <c r="BE87" i="16"/>
  <c r="BA87" i="16"/>
  <c r="AZ87" i="16"/>
  <c r="AY87" i="16"/>
  <c r="AW87" i="16"/>
  <c r="AV87" i="16"/>
  <c r="AU87" i="16"/>
  <c r="AT87" i="16"/>
  <c r="BC87" i="16" s="1"/>
  <c r="AS87" i="16"/>
  <c r="AQ87" i="16"/>
  <c r="BB87" i="16" s="1"/>
  <c r="BE86" i="16"/>
  <c r="BA86" i="16"/>
  <c r="AZ86" i="16"/>
  <c r="AY86" i="16"/>
  <c r="AW86" i="16"/>
  <c r="AV86" i="16"/>
  <c r="AU86" i="16"/>
  <c r="AT86" i="16"/>
  <c r="BC86" i="16" s="1"/>
  <c r="AS86" i="16"/>
  <c r="AQ86" i="16"/>
  <c r="BB86" i="16" s="1"/>
  <c r="BE85" i="16"/>
  <c r="BE84" i="16" s="1"/>
  <c r="BA85" i="16"/>
  <c r="BA84" i="16" s="1"/>
  <c r="AZ85" i="16"/>
  <c r="AY85" i="16"/>
  <c r="AY84" i="16" s="1"/>
  <c r="AW85" i="16"/>
  <c r="AW84" i="16" s="1"/>
  <c r="AV85" i="16"/>
  <c r="AV84" i="16" s="1"/>
  <c r="AU85" i="16"/>
  <c r="AT85" i="16"/>
  <c r="AS85" i="16"/>
  <c r="AQ85" i="16"/>
  <c r="BE83" i="16"/>
  <c r="BA83" i="16"/>
  <c r="AZ83" i="16"/>
  <c r="AY83" i="16"/>
  <c r="AW83" i="16"/>
  <c r="AV83" i="16"/>
  <c r="AU83" i="16"/>
  <c r="AT83" i="16"/>
  <c r="BC83" i="16" s="1"/>
  <c r="AS83" i="16"/>
  <c r="AQ83" i="16"/>
  <c r="BB83" i="16" s="1"/>
  <c r="BE82" i="16"/>
  <c r="BA82" i="16"/>
  <c r="AZ82" i="16"/>
  <c r="AY82" i="16"/>
  <c r="AW82" i="16"/>
  <c r="AV82" i="16"/>
  <c r="AU82" i="16"/>
  <c r="AT82" i="16"/>
  <c r="BC82" i="16" s="1"/>
  <c r="AS82" i="16"/>
  <c r="AQ82" i="16"/>
  <c r="BB82" i="16" s="1"/>
  <c r="BE81" i="16"/>
  <c r="BA81" i="16"/>
  <c r="AZ81" i="16"/>
  <c r="AY81" i="16"/>
  <c r="AW81" i="16"/>
  <c r="AV81" i="16"/>
  <c r="AU81" i="16"/>
  <c r="AT81" i="16"/>
  <c r="AS81" i="16"/>
  <c r="AQ81" i="16"/>
  <c r="BB81" i="16" s="1"/>
  <c r="BE80" i="16"/>
  <c r="BA80" i="16"/>
  <c r="AZ80" i="16"/>
  <c r="AY80" i="16"/>
  <c r="AW80" i="16"/>
  <c r="AV80" i="16"/>
  <c r="AU80" i="16"/>
  <c r="AT80" i="16"/>
  <c r="BC80" i="16" s="1"/>
  <c r="AS80" i="16"/>
  <c r="AQ80" i="16"/>
  <c r="BB80" i="16" s="1"/>
  <c r="BE79" i="16"/>
  <c r="BA79" i="16"/>
  <c r="AZ79" i="16"/>
  <c r="AY79" i="16"/>
  <c r="AW79" i="16"/>
  <c r="AV79" i="16"/>
  <c r="AU79" i="16"/>
  <c r="AT79" i="16"/>
  <c r="BC79" i="16" s="1"/>
  <c r="AS79" i="16"/>
  <c r="AQ79" i="16"/>
  <c r="BB79" i="16" s="1"/>
  <c r="BE78" i="16"/>
  <c r="BE77" i="16" s="1"/>
  <c r="BA78" i="16"/>
  <c r="AZ78" i="16"/>
  <c r="AZ77" i="16" s="1"/>
  <c r="AY78" i="16"/>
  <c r="AY77" i="16" s="1"/>
  <c r="AW78" i="16"/>
  <c r="AW77" i="16" s="1"/>
  <c r="AV78" i="16"/>
  <c r="AU78" i="16"/>
  <c r="AU77" i="16" s="1"/>
  <c r="AT78" i="16"/>
  <c r="AT77" i="16" s="1"/>
  <c r="BC77" i="16" s="1"/>
  <c r="AS78" i="16"/>
  <c r="AQ78" i="16"/>
  <c r="BE76" i="16"/>
  <c r="BA76" i="16"/>
  <c r="AZ76" i="16"/>
  <c r="AY76" i="16"/>
  <c r="AW76" i="16"/>
  <c r="AV76" i="16"/>
  <c r="AU76" i="16"/>
  <c r="AT76" i="16"/>
  <c r="BC76" i="16" s="1"/>
  <c r="AS76" i="16"/>
  <c r="AQ76" i="16"/>
  <c r="BB76" i="16" s="1"/>
  <c r="BE75" i="16"/>
  <c r="BA75" i="16"/>
  <c r="AZ75" i="16"/>
  <c r="AY75" i="16"/>
  <c r="AW75" i="16"/>
  <c r="AV75" i="16"/>
  <c r="AU75" i="16"/>
  <c r="AT75" i="16"/>
  <c r="BC75" i="16" s="1"/>
  <c r="AS75" i="16"/>
  <c r="AQ75" i="16"/>
  <c r="BB75" i="16" s="1"/>
  <c r="BE74" i="16"/>
  <c r="BA74" i="16"/>
  <c r="AZ74" i="16"/>
  <c r="AY74" i="16"/>
  <c r="AW74" i="16"/>
  <c r="AV74" i="16"/>
  <c r="AU74" i="16"/>
  <c r="AT74" i="16"/>
  <c r="BC74" i="16" s="1"/>
  <c r="AS74" i="16"/>
  <c r="AQ74" i="16"/>
  <c r="BB74" i="16" s="1"/>
  <c r="BE73" i="16"/>
  <c r="BA73" i="16"/>
  <c r="AZ73" i="16"/>
  <c r="AY73" i="16"/>
  <c r="AW73" i="16"/>
  <c r="AV73" i="16"/>
  <c r="AU73" i="16"/>
  <c r="AT73" i="16"/>
  <c r="AS73" i="16"/>
  <c r="AQ73" i="16"/>
  <c r="BB73" i="16" s="1"/>
  <c r="BE72" i="16"/>
  <c r="BA72" i="16"/>
  <c r="AZ72" i="16"/>
  <c r="AY72" i="16"/>
  <c r="AW72" i="16"/>
  <c r="AV72" i="16"/>
  <c r="AU72" i="16"/>
  <c r="AT72" i="16"/>
  <c r="BC72" i="16" s="1"/>
  <c r="AS72" i="16"/>
  <c r="AQ72" i="16"/>
  <c r="BB72" i="16" s="1"/>
  <c r="BE71" i="16"/>
  <c r="BA71" i="16"/>
  <c r="AZ71" i="16"/>
  <c r="AY71" i="16"/>
  <c r="AW71" i="16"/>
  <c r="AV71" i="16"/>
  <c r="AU71" i="16"/>
  <c r="AT71" i="16"/>
  <c r="BC71" i="16" s="1"/>
  <c r="AS71" i="16"/>
  <c r="AQ71" i="16"/>
  <c r="BB71" i="16" s="1"/>
  <c r="BE70" i="16"/>
  <c r="BA70" i="16"/>
  <c r="AZ70" i="16"/>
  <c r="AY70" i="16"/>
  <c r="AW70" i="16"/>
  <c r="AV70" i="16"/>
  <c r="AU70" i="16"/>
  <c r="AT70" i="16"/>
  <c r="AS70" i="16"/>
  <c r="AQ70" i="16"/>
  <c r="BB70" i="16" s="1"/>
  <c r="BE69" i="16"/>
  <c r="BA69" i="16"/>
  <c r="AZ69" i="16"/>
  <c r="AY69" i="16"/>
  <c r="AW69" i="16"/>
  <c r="AV69" i="16"/>
  <c r="AU69" i="16"/>
  <c r="AT69" i="16"/>
  <c r="AS69" i="16"/>
  <c r="AQ69" i="16"/>
  <c r="BB69" i="16" s="1"/>
  <c r="BE68" i="16"/>
  <c r="BA68" i="16"/>
  <c r="AZ68" i="16"/>
  <c r="AY68" i="16"/>
  <c r="AW68" i="16"/>
  <c r="AV68" i="16"/>
  <c r="AU68" i="16"/>
  <c r="AT68" i="16"/>
  <c r="BC68" i="16" s="1"/>
  <c r="AS68" i="16"/>
  <c r="AQ68" i="16"/>
  <c r="BB68" i="16" s="1"/>
  <c r="BE67" i="16"/>
  <c r="BA67" i="16"/>
  <c r="AZ67" i="16"/>
  <c r="AY67" i="16"/>
  <c r="AW67" i="16"/>
  <c r="AV67" i="16"/>
  <c r="AU67" i="16"/>
  <c r="AT67" i="16"/>
  <c r="BC67" i="16" s="1"/>
  <c r="AS67" i="16"/>
  <c r="AQ67" i="16"/>
  <c r="BB67" i="16" s="1"/>
  <c r="BE66" i="16"/>
  <c r="BA66" i="16"/>
  <c r="AZ66" i="16"/>
  <c r="AY66" i="16"/>
  <c r="AW66" i="16"/>
  <c r="AV66" i="16"/>
  <c r="AU66" i="16"/>
  <c r="AT66" i="16"/>
  <c r="BC66" i="16" s="1"/>
  <c r="AS66" i="16"/>
  <c r="AQ66" i="16"/>
  <c r="BB66" i="16" s="1"/>
  <c r="BE65" i="16"/>
  <c r="BA65" i="16"/>
  <c r="AZ65" i="16"/>
  <c r="AY65" i="16"/>
  <c r="AW65" i="16"/>
  <c r="AV65" i="16"/>
  <c r="AU65" i="16"/>
  <c r="AT65" i="16"/>
  <c r="AS65" i="16"/>
  <c r="AQ65" i="16"/>
  <c r="BB65" i="16" s="1"/>
  <c r="BE64" i="16"/>
  <c r="BA64" i="16"/>
  <c r="AZ64" i="16"/>
  <c r="AY64" i="16"/>
  <c r="AW64" i="16"/>
  <c r="AV64" i="16"/>
  <c r="AU64" i="16"/>
  <c r="AT64" i="16"/>
  <c r="BC64" i="16" s="1"/>
  <c r="AS64" i="16"/>
  <c r="AQ64" i="16"/>
  <c r="BB64" i="16" s="1"/>
  <c r="BE63" i="16"/>
  <c r="BE62" i="16" s="1"/>
  <c r="BA63" i="16"/>
  <c r="BA62" i="16" s="1"/>
  <c r="AZ63" i="16"/>
  <c r="AY63" i="16"/>
  <c r="AW63" i="16"/>
  <c r="AW62" i="16" s="1"/>
  <c r="AV63" i="16"/>
  <c r="AV62" i="16" s="1"/>
  <c r="AU63" i="16"/>
  <c r="AU62" i="16" s="1"/>
  <c r="AT63" i="16"/>
  <c r="AS63" i="16"/>
  <c r="AQ63" i="16"/>
  <c r="BE61" i="16"/>
  <c r="BA61" i="16"/>
  <c r="AZ61" i="16"/>
  <c r="AY61" i="16"/>
  <c r="AW61" i="16"/>
  <c r="AV61" i="16"/>
  <c r="AU61" i="16"/>
  <c r="AT61" i="16"/>
  <c r="AS61" i="16"/>
  <c r="AQ61" i="16"/>
  <c r="BB61" i="16" s="1"/>
  <c r="BE60" i="16"/>
  <c r="BA60" i="16"/>
  <c r="AZ60" i="16"/>
  <c r="AY60" i="16"/>
  <c r="AW60" i="16"/>
  <c r="AV60" i="16"/>
  <c r="AU60" i="16"/>
  <c r="AT60" i="16"/>
  <c r="AS60" i="16"/>
  <c r="AQ60" i="16"/>
  <c r="BB60" i="16" s="1"/>
  <c r="BE59" i="16"/>
  <c r="BA59" i="16"/>
  <c r="AZ59" i="16"/>
  <c r="AY59" i="16"/>
  <c r="AW59" i="16"/>
  <c r="AV59" i="16"/>
  <c r="AU59" i="16"/>
  <c r="AT59" i="16"/>
  <c r="AS59" i="16"/>
  <c r="AQ59" i="16"/>
  <c r="BB59" i="16" s="1"/>
  <c r="BE58" i="16"/>
  <c r="BA58" i="16"/>
  <c r="AZ58" i="16"/>
  <c r="AY58" i="16"/>
  <c r="AW58" i="16"/>
  <c r="AV58" i="16"/>
  <c r="AU58" i="16"/>
  <c r="AT58" i="16"/>
  <c r="BC58" i="16" s="1"/>
  <c r="AS58" i="16"/>
  <c r="AQ58" i="16"/>
  <c r="BB58" i="16" s="1"/>
  <c r="BE57" i="16"/>
  <c r="BA57" i="16"/>
  <c r="AZ57" i="16"/>
  <c r="AY57" i="16"/>
  <c r="AW57" i="16"/>
  <c r="AV57" i="16"/>
  <c r="AU57" i="16"/>
  <c r="AT57" i="16"/>
  <c r="AS57" i="16"/>
  <c r="AQ57" i="16"/>
  <c r="BB57" i="16" s="1"/>
  <c r="BE56" i="16"/>
  <c r="BA56" i="16"/>
  <c r="AZ56" i="16"/>
  <c r="AY56" i="16"/>
  <c r="AW56" i="16"/>
  <c r="AV56" i="16"/>
  <c r="AU56" i="16"/>
  <c r="AT56" i="16"/>
  <c r="BC56" i="16" s="1"/>
  <c r="AS56" i="16"/>
  <c r="AQ56" i="16"/>
  <c r="BB56" i="16" s="1"/>
  <c r="BE55" i="16"/>
  <c r="BE54" i="16" s="1"/>
  <c r="BA55" i="16"/>
  <c r="BA54" i="16" s="1"/>
  <c r="AZ55" i="16"/>
  <c r="AZ54" i="16" s="1"/>
  <c r="AY55" i="16"/>
  <c r="AW55" i="16"/>
  <c r="AW54" i="16" s="1"/>
  <c r="AV55" i="16"/>
  <c r="AV54" i="16" s="1"/>
  <c r="AU55" i="16"/>
  <c r="AU54" i="16" s="1"/>
  <c r="AT55" i="16"/>
  <c r="AT54" i="16" s="1"/>
  <c r="BC54" i="16" s="1"/>
  <c r="AS55" i="16"/>
  <c r="AS54" i="16" s="1"/>
  <c r="AQ55" i="16"/>
  <c r="BB55" i="16" s="1"/>
  <c r="BE53" i="16"/>
  <c r="BA53" i="16"/>
  <c r="AZ53" i="16"/>
  <c r="AY53" i="16"/>
  <c r="AW53" i="16"/>
  <c r="AV53" i="16"/>
  <c r="AU53" i="16"/>
  <c r="AT53" i="16"/>
  <c r="BC53" i="16" s="1"/>
  <c r="AS53" i="16"/>
  <c r="AQ53" i="16"/>
  <c r="BB53" i="16" s="1"/>
  <c r="BE52" i="16"/>
  <c r="BA52" i="16"/>
  <c r="AZ52" i="16"/>
  <c r="AY52" i="16"/>
  <c r="AW52" i="16"/>
  <c r="AV52" i="16"/>
  <c r="AU52" i="16"/>
  <c r="AT52" i="16"/>
  <c r="BC52" i="16" s="1"/>
  <c r="AS52" i="16"/>
  <c r="AQ52" i="16"/>
  <c r="BB52" i="16" s="1"/>
  <c r="BE51" i="16"/>
  <c r="BA51" i="16"/>
  <c r="AZ51" i="16"/>
  <c r="AY51" i="16"/>
  <c r="AW51" i="16"/>
  <c r="AV51" i="16"/>
  <c r="AU51" i="16"/>
  <c r="AT51" i="16"/>
  <c r="BC51" i="16" s="1"/>
  <c r="AS51" i="16"/>
  <c r="AQ51" i="16"/>
  <c r="BB51" i="16" s="1"/>
  <c r="BE50" i="16"/>
  <c r="BA50" i="16"/>
  <c r="AZ50" i="16"/>
  <c r="AY50" i="16"/>
  <c r="AW50" i="16"/>
  <c r="AV50" i="16"/>
  <c r="AU50" i="16"/>
  <c r="AT50" i="16"/>
  <c r="BC50" i="16" s="1"/>
  <c r="AS50" i="16"/>
  <c r="AQ50" i="16"/>
  <c r="BB50" i="16" s="1"/>
  <c r="BE49" i="16"/>
  <c r="BA49" i="16"/>
  <c r="AZ49" i="16"/>
  <c r="AY49" i="16"/>
  <c r="AW49" i="16"/>
  <c r="AV49" i="16"/>
  <c r="AU49" i="16"/>
  <c r="AT49" i="16"/>
  <c r="AS49" i="16"/>
  <c r="AQ49" i="16"/>
  <c r="BB49" i="16" s="1"/>
  <c r="BE48" i="16"/>
  <c r="BE47" i="16" s="1"/>
  <c r="BA48" i="16"/>
  <c r="AZ48" i="16"/>
  <c r="AZ47" i="16" s="1"/>
  <c r="AY48" i="16"/>
  <c r="AW48" i="16"/>
  <c r="AW47" i="16" s="1"/>
  <c r="AV48" i="16"/>
  <c r="AV47" i="16" s="1"/>
  <c r="AU48" i="16"/>
  <c r="AU47" i="16" s="1"/>
  <c r="AT48" i="16"/>
  <c r="AT47" i="16" s="1"/>
  <c r="BC47" i="16" s="1"/>
  <c r="AS48" i="16"/>
  <c r="AQ48" i="16"/>
  <c r="BE46" i="16"/>
  <c r="BA46" i="16"/>
  <c r="AZ46" i="16"/>
  <c r="AY46" i="16"/>
  <c r="AW46" i="16"/>
  <c r="AV46" i="16"/>
  <c r="AU46" i="16"/>
  <c r="AT46" i="16"/>
  <c r="BC46" i="16" s="1"/>
  <c r="AS46" i="16"/>
  <c r="AQ46" i="16"/>
  <c r="BB46" i="16" s="1"/>
  <c r="BE45" i="16"/>
  <c r="BA45" i="16"/>
  <c r="AZ45" i="16"/>
  <c r="AY45" i="16"/>
  <c r="AW45" i="16"/>
  <c r="AV45" i="16"/>
  <c r="AU45" i="16"/>
  <c r="AT45" i="16"/>
  <c r="BC45" i="16" s="1"/>
  <c r="AS45" i="16"/>
  <c r="AQ45" i="16"/>
  <c r="BB45" i="16" s="1"/>
  <c r="BE44" i="16"/>
  <c r="BA44" i="16"/>
  <c r="AZ44" i="16"/>
  <c r="AY44" i="16"/>
  <c r="AW44" i="16"/>
  <c r="AV44" i="16"/>
  <c r="AU44" i="16"/>
  <c r="AT44" i="16"/>
  <c r="BC44" i="16" s="1"/>
  <c r="AS44" i="16"/>
  <c r="AQ44" i="16"/>
  <c r="BB44" i="16" s="1"/>
  <c r="BE43" i="16"/>
  <c r="BA43" i="16"/>
  <c r="AZ43" i="16"/>
  <c r="AY43" i="16"/>
  <c r="AW43" i="16"/>
  <c r="AV43" i="16"/>
  <c r="AU43" i="16"/>
  <c r="AT43" i="16"/>
  <c r="BC43" i="16" s="1"/>
  <c r="AS43" i="16"/>
  <c r="AQ43" i="16"/>
  <c r="BB43" i="16" s="1"/>
  <c r="BE42" i="16"/>
  <c r="BA42" i="16"/>
  <c r="AZ42" i="16"/>
  <c r="AY42" i="16"/>
  <c r="AW42" i="16"/>
  <c r="AV42" i="16"/>
  <c r="AU42" i="16"/>
  <c r="AT42" i="16"/>
  <c r="AS42" i="16"/>
  <c r="AQ42" i="16"/>
  <c r="BB42" i="16" s="1"/>
  <c r="BE41" i="16"/>
  <c r="BA41" i="16"/>
  <c r="AZ41" i="16"/>
  <c r="AY41" i="16"/>
  <c r="AW41" i="16"/>
  <c r="AV41" i="16"/>
  <c r="AU41" i="16"/>
  <c r="AT41" i="16"/>
  <c r="BC41" i="16" s="1"/>
  <c r="AS41" i="16"/>
  <c r="AQ41" i="16"/>
  <c r="BB41" i="16" s="1"/>
  <c r="BE40" i="16"/>
  <c r="BA40" i="16"/>
  <c r="AZ40" i="16"/>
  <c r="AY40" i="16"/>
  <c r="AW40" i="16"/>
  <c r="AV40" i="16"/>
  <c r="AU40" i="16"/>
  <c r="AT40" i="16"/>
  <c r="BC40" i="16" s="1"/>
  <c r="AS40" i="16"/>
  <c r="AQ40" i="16"/>
  <c r="BB40" i="16" s="1"/>
  <c r="BE39" i="16"/>
  <c r="BA39" i="16"/>
  <c r="AZ39" i="16"/>
  <c r="AY39" i="16"/>
  <c r="AW39" i="16"/>
  <c r="AV39" i="16"/>
  <c r="AU39" i="16"/>
  <c r="AT39" i="16"/>
  <c r="AS39" i="16"/>
  <c r="AQ39" i="16"/>
  <c r="BB39" i="16" s="1"/>
  <c r="BE38" i="16"/>
  <c r="BA38" i="16"/>
  <c r="AZ38" i="16"/>
  <c r="AY38" i="16"/>
  <c r="AW38" i="16"/>
  <c r="AV38" i="16"/>
  <c r="AU38" i="16"/>
  <c r="AT38" i="16"/>
  <c r="BC38" i="16" s="1"/>
  <c r="AS38" i="16"/>
  <c r="AQ38" i="16"/>
  <c r="BB38" i="16" s="1"/>
  <c r="BE37" i="16"/>
  <c r="BA37" i="16"/>
  <c r="AZ37" i="16"/>
  <c r="AY37" i="16"/>
  <c r="AW37" i="16"/>
  <c r="AV37" i="16"/>
  <c r="AU37" i="16"/>
  <c r="AT37" i="16"/>
  <c r="BC37" i="16" s="1"/>
  <c r="AS37" i="16"/>
  <c r="AQ37" i="16"/>
  <c r="BB37" i="16" s="1"/>
  <c r="BE36" i="16"/>
  <c r="BE35" i="16" s="1"/>
  <c r="BA36" i="16"/>
  <c r="BA35" i="16" s="1"/>
  <c r="AZ36" i="16"/>
  <c r="AZ35" i="16" s="1"/>
  <c r="AY36" i="16"/>
  <c r="AW36" i="16"/>
  <c r="AW35" i="16" s="1"/>
  <c r="AV36" i="16"/>
  <c r="AV35" i="16" s="1"/>
  <c r="AU36" i="16"/>
  <c r="AT36" i="16"/>
  <c r="AS36" i="16"/>
  <c r="AS35" i="16" s="1"/>
  <c r="AQ36" i="16"/>
  <c r="BE34" i="16"/>
  <c r="BA34" i="16"/>
  <c r="AZ34" i="16"/>
  <c r="AY34" i="16"/>
  <c r="AW34" i="16"/>
  <c r="AV34" i="16"/>
  <c r="AU34" i="16"/>
  <c r="AT34" i="16"/>
  <c r="BC34" i="16" s="1"/>
  <c r="AS34" i="16"/>
  <c r="AQ34" i="16"/>
  <c r="BB34" i="16" s="1"/>
  <c r="BE33" i="16"/>
  <c r="BA33" i="16"/>
  <c r="AZ33" i="16"/>
  <c r="AY33" i="16"/>
  <c r="AW33" i="16"/>
  <c r="AV33" i="16"/>
  <c r="AU33" i="16"/>
  <c r="AT33" i="16"/>
  <c r="BC33" i="16" s="1"/>
  <c r="AS33" i="16"/>
  <c r="AQ33" i="16"/>
  <c r="BB33" i="16" s="1"/>
  <c r="BE32" i="16"/>
  <c r="BA32" i="16"/>
  <c r="AZ32" i="16"/>
  <c r="AY32" i="16"/>
  <c r="AW32" i="16"/>
  <c r="AV32" i="16"/>
  <c r="AU32" i="16"/>
  <c r="AT32" i="16"/>
  <c r="BC32" i="16" s="1"/>
  <c r="AS32" i="16"/>
  <c r="AQ32" i="16"/>
  <c r="BB32" i="16" s="1"/>
  <c r="BE31" i="16"/>
  <c r="BA31" i="16"/>
  <c r="AZ31" i="16"/>
  <c r="AY31" i="16"/>
  <c r="AW31" i="16"/>
  <c r="AV31" i="16"/>
  <c r="AU31" i="16"/>
  <c r="AT31" i="16"/>
  <c r="BC31" i="16" s="1"/>
  <c r="AS31" i="16"/>
  <c r="AQ31" i="16"/>
  <c r="BB31" i="16" s="1"/>
  <c r="BE30" i="16"/>
  <c r="BA30" i="16"/>
  <c r="AZ30" i="16"/>
  <c r="AY30" i="16"/>
  <c r="AW30" i="16"/>
  <c r="AV30" i="16"/>
  <c r="AU30" i="16"/>
  <c r="AT30" i="16"/>
  <c r="BC30" i="16" s="1"/>
  <c r="AS30" i="16"/>
  <c r="AQ30" i="16"/>
  <c r="BB30" i="16" s="1"/>
  <c r="BE29" i="16"/>
  <c r="BA29" i="16"/>
  <c r="AZ29" i="16"/>
  <c r="AY29" i="16"/>
  <c r="AW29" i="16"/>
  <c r="AV29" i="16"/>
  <c r="AU29" i="16"/>
  <c r="AT29" i="16"/>
  <c r="BC29" i="16" s="1"/>
  <c r="AS29" i="16"/>
  <c r="AQ29" i="16"/>
  <c r="BB29" i="16" s="1"/>
  <c r="BE28" i="16"/>
  <c r="BA28" i="16"/>
  <c r="AZ28" i="16"/>
  <c r="AY28" i="16"/>
  <c r="AW28" i="16"/>
  <c r="AV28" i="16"/>
  <c r="AU28" i="16"/>
  <c r="AT28" i="16"/>
  <c r="BC28" i="16" s="1"/>
  <c r="AS28" i="16"/>
  <c r="AQ28" i="16"/>
  <c r="BB28" i="16" s="1"/>
  <c r="BE27" i="16"/>
  <c r="BA27" i="16"/>
  <c r="AZ27" i="16"/>
  <c r="AY27" i="16"/>
  <c r="AW27" i="16"/>
  <c r="AV27" i="16"/>
  <c r="AU27" i="16"/>
  <c r="AT27" i="16"/>
  <c r="AS27" i="16"/>
  <c r="AQ27" i="16"/>
  <c r="BB27" i="16" s="1"/>
  <c r="BE26" i="16"/>
  <c r="BA26" i="16"/>
  <c r="AZ26" i="16"/>
  <c r="AY26" i="16"/>
  <c r="AW26" i="16"/>
  <c r="AV26" i="16"/>
  <c r="AU26" i="16"/>
  <c r="AT26" i="16"/>
  <c r="BC26" i="16" s="1"/>
  <c r="AS26" i="16"/>
  <c r="AQ26" i="16"/>
  <c r="BB26" i="16" s="1"/>
  <c r="BE25" i="16"/>
  <c r="BA25" i="16"/>
  <c r="AZ25" i="16"/>
  <c r="AY25" i="16"/>
  <c r="AW25" i="16"/>
  <c r="AV25" i="16"/>
  <c r="AU25" i="16"/>
  <c r="AT25" i="16"/>
  <c r="BC25" i="16" s="1"/>
  <c r="AS25" i="16"/>
  <c r="AQ25" i="16"/>
  <c r="BB25" i="16" s="1"/>
  <c r="BE24" i="16"/>
  <c r="BA24" i="16"/>
  <c r="AZ24" i="16"/>
  <c r="AY24" i="16"/>
  <c r="AW24" i="16"/>
  <c r="AV24" i="16"/>
  <c r="AU24" i="16"/>
  <c r="AT24" i="16"/>
  <c r="BC24" i="16" s="1"/>
  <c r="AS24" i="16"/>
  <c r="AQ24" i="16"/>
  <c r="BB24" i="16" s="1"/>
  <c r="BE23" i="16"/>
  <c r="BA23" i="16"/>
  <c r="AZ23" i="16"/>
  <c r="AY23" i="16"/>
  <c r="AW23" i="16"/>
  <c r="AV23" i="16"/>
  <c r="AU23" i="16"/>
  <c r="AT23" i="16"/>
  <c r="BC23" i="16" s="1"/>
  <c r="AS23" i="16"/>
  <c r="AQ23" i="16"/>
  <c r="BB23" i="16" s="1"/>
  <c r="BE22" i="16"/>
  <c r="BA22" i="16"/>
  <c r="AZ22" i="16"/>
  <c r="AY22" i="16"/>
  <c r="AW22" i="16"/>
  <c r="AV22" i="16"/>
  <c r="AU22" i="16"/>
  <c r="AT22" i="16"/>
  <c r="BC22" i="16" s="1"/>
  <c r="AS22" i="16"/>
  <c r="AQ22" i="16"/>
  <c r="BB22" i="16" s="1"/>
  <c r="BE21" i="16"/>
  <c r="BA21" i="16"/>
  <c r="AZ21" i="16"/>
  <c r="AY21" i="16"/>
  <c r="AW21" i="16"/>
  <c r="AV21" i="16"/>
  <c r="AU21" i="16"/>
  <c r="AT21" i="16"/>
  <c r="BC21" i="16" s="1"/>
  <c r="AS21" i="16"/>
  <c r="AQ21" i="16"/>
  <c r="BB21" i="16" s="1"/>
  <c r="BE20" i="16"/>
  <c r="BA20" i="16"/>
  <c r="AZ20" i="16"/>
  <c r="AY20" i="16"/>
  <c r="AW20" i="16"/>
  <c r="AV20" i="16"/>
  <c r="AU20" i="16"/>
  <c r="AT20" i="16"/>
  <c r="BC20" i="16" s="1"/>
  <c r="AS20" i="16"/>
  <c r="AQ20" i="16"/>
  <c r="BB20" i="16" s="1"/>
  <c r="BE19" i="16"/>
  <c r="BA19" i="16"/>
  <c r="AZ19" i="16"/>
  <c r="AY19" i="16"/>
  <c r="AW19" i="16"/>
  <c r="AV19" i="16"/>
  <c r="AU19" i="16"/>
  <c r="AT19" i="16"/>
  <c r="BC19" i="16" s="1"/>
  <c r="AS19" i="16"/>
  <c r="AQ19" i="16"/>
  <c r="BB19" i="16" s="1"/>
  <c r="BE18" i="16"/>
  <c r="BA18" i="16"/>
  <c r="AZ18" i="16"/>
  <c r="AY18" i="16"/>
  <c r="AW18" i="16"/>
  <c r="AV18" i="16"/>
  <c r="AU18" i="16"/>
  <c r="AT18" i="16"/>
  <c r="BC18" i="16" s="1"/>
  <c r="AS18" i="16"/>
  <c r="AQ18" i="16"/>
  <c r="BB18" i="16" s="1"/>
  <c r="BE17" i="16"/>
  <c r="BE16" i="16" s="1"/>
  <c r="BA17" i="16"/>
  <c r="BA16" i="16" s="1"/>
  <c r="AZ17" i="16"/>
  <c r="AZ16" i="16" s="1"/>
  <c r="AY17" i="16"/>
  <c r="AW17" i="16"/>
  <c r="AV17" i="16"/>
  <c r="AV16" i="16" s="1"/>
  <c r="AU17" i="16"/>
  <c r="AT17" i="16"/>
  <c r="AS17" i="16"/>
  <c r="AQ17" i="16"/>
  <c r="AM106" i="16"/>
  <c r="AI106" i="16"/>
  <c r="AH106" i="16"/>
  <c r="AG106" i="16"/>
  <c r="AE106" i="16"/>
  <c r="AD106" i="16"/>
  <c r="AC106" i="16"/>
  <c r="AB106" i="16"/>
  <c r="AA106" i="16"/>
  <c r="Y106" i="16"/>
  <c r="AM105" i="16"/>
  <c r="AI105" i="16"/>
  <c r="AH105" i="16"/>
  <c r="AG105" i="16"/>
  <c r="AE105" i="16"/>
  <c r="AD105" i="16"/>
  <c r="AC105" i="16"/>
  <c r="AB105" i="16"/>
  <c r="AA105" i="16"/>
  <c r="Y105" i="16"/>
  <c r="AJ105" i="16" s="1"/>
  <c r="AM104" i="16"/>
  <c r="AI104" i="16"/>
  <c r="AH104" i="16"/>
  <c r="AG104" i="16"/>
  <c r="AE104" i="16"/>
  <c r="AD104" i="16"/>
  <c r="AC104" i="16"/>
  <c r="AB104" i="16"/>
  <c r="AA104" i="16"/>
  <c r="Y104" i="16"/>
  <c r="AM103" i="16"/>
  <c r="AI103" i="16"/>
  <c r="AH103" i="16"/>
  <c r="AG103" i="16"/>
  <c r="AE103" i="16"/>
  <c r="AD103" i="16"/>
  <c r="AC103" i="16"/>
  <c r="AB103" i="16"/>
  <c r="AA103" i="16"/>
  <c r="Y103" i="16"/>
  <c r="AJ103" i="16" s="1"/>
  <c r="AM102" i="16"/>
  <c r="AI102" i="16"/>
  <c r="AH102" i="16"/>
  <c r="AG102" i="16"/>
  <c r="AE102" i="16"/>
  <c r="AD102" i="16"/>
  <c r="AC102" i="16"/>
  <c r="AB102" i="16"/>
  <c r="AA102" i="16"/>
  <c r="Y102" i="16"/>
  <c r="AJ102" i="16" s="1"/>
  <c r="AM101" i="16"/>
  <c r="AI101" i="16"/>
  <c r="AH101" i="16"/>
  <c r="AG101" i="16"/>
  <c r="AE101" i="16"/>
  <c r="AD101" i="16"/>
  <c r="AC101" i="16"/>
  <c r="AB101" i="16"/>
  <c r="AA101" i="16"/>
  <c r="Y101" i="16"/>
  <c r="AJ101" i="16" s="1"/>
  <c r="AM100" i="16"/>
  <c r="AI100" i="16"/>
  <c r="AH100" i="16"/>
  <c r="AG100" i="16"/>
  <c r="AE100" i="16"/>
  <c r="AD100" i="16"/>
  <c r="AC100" i="16"/>
  <c r="AB100" i="16"/>
  <c r="AA100" i="16"/>
  <c r="Y100" i="16"/>
  <c r="AM99" i="16"/>
  <c r="AI99" i="16"/>
  <c r="AH99" i="16"/>
  <c r="AG99" i="16"/>
  <c r="AE99" i="16"/>
  <c r="AD99" i="16"/>
  <c r="AC99" i="16"/>
  <c r="AB99" i="16"/>
  <c r="AA99" i="16"/>
  <c r="Y99" i="16"/>
  <c r="AJ99" i="16" s="1"/>
  <c r="AM98" i="16"/>
  <c r="AM97" i="16" s="1"/>
  <c r="AI98" i="16"/>
  <c r="AH98" i="16"/>
  <c r="AH97" i="16" s="1"/>
  <c r="AG98" i="16"/>
  <c r="AE98" i="16"/>
  <c r="AD98" i="16"/>
  <c r="AD97" i="16" s="1"/>
  <c r="AC98" i="16"/>
  <c r="AB98" i="16"/>
  <c r="AB97" i="16" s="1"/>
  <c r="AK97" i="16" s="1"/>
  <c r="AA98" i="16"/>
  <c r="Y98" i="16"/>
  <c r="AM96" i="16"/>
  <c r="AI96" i="16"/>
  <c r="AH96" i="16"/>
  <c r="AG96" i="16"/>
  <c r="AE96" i="16"/>
  <c r="AD96" i="16"/>
  <c r="AC96" i="16"/>
  <c r="AB96" i="16"/>
  <c r="AK96" i="16" s="1"/>
  <c r="AA96" i="16"/>
  <c r="Y96" i="16"/>
  <c r="AJ96" i="16" s="1"/>
  <c r="AM95" i="16"/>
  <c r="AI95" i="16"/>
  <c r="AH95" i="16"/>
  <c r="AG95" i="16"/>
  <c r="AE95" i="16"/>
  <c r="AD95" i="16"/>
  <c r="AC95" i="16"/>
  <c r="AB95" i="16"/>
  <c r="AK95" i="16" s="1"/>
  <c r="AA95" i="16"/>
  <c r="Y95" i="16"/>
  <c r="AM94" i="16"/>
  <c r="AI94" i="16"/>
  <c r="AH94" i="16"/>
  <c r="AG94" i="16"/>
  <c r="AE94" i="16"/>
  <c r="AD94" i="16"/>
  <c r="AC94" i="16"/>
  <c r="AB94" i="16"/>
  <c r="AA94" i="16"/>
  <c r="Y94" i="16"/>
  <c r="AJ94" i="16" s="1"/>
  <c r="AM93" i="16"/>
  <c r="AI93" i="16"/>
  <c r="AH93" i="16"/>
  <c r="AG93" i="16"/>
  <c r="AE93" i="16"/>
  <c r="AD93" i="16"/>
  <c r="AC93" i="16"/>
  <c r="AB93" i="16"/>
  <c r="AA93" i="16"/>
  <c r="Y93" i="16"/>
  <c r="AM92" i="16"/>
  <c r="AI92" i="16"/>
  <c r="AH92" i="16"/>
  <c r="AG92" i="16"/>
  <c r="AE92" i="16"/>
  <c r="AD92" i="16"/>
  <c r="AC92" i="16"/>
  <c r="AB92" i="16"/>
  <c r="AK92" i="16" s="1"/>
  <c r="AA92" i="16"/>
  <c r="Y92" i="16"/>
  <c r="AJ92" i="16" s="1"/>
  <c r="AM91" i="16"/>
  <c r="AI91" i="16"/>
  <c r="AH91" i="16"/>
  <c r="AG91" i="16"/>
  <c r="AE91" i="16"/>
  <c r="AD91" i="16"/>
  <c r="AC91" i="16"/>
  <c r="AB91" i="16"/>
  <c r="AA91" i="16"/>
  <c r="Y91" i="16"/>
  <c r="AM90" i="16"/>
  <c r="AI90" i="16"/>
  <c r="AH90" i="16"/>
  <c r="AG90" i="16"/>
  <c r="AE90" i="16"/>
  <c r="AD90" i="16"/>
  <c r="AC90" i="16"/>
  <c r="AB90" i="16"/>
  <c r="AA90" i="16"/>
  <c r="Y90" i="16"/>
  <c r="AJ90" i="16" s="1"/>
  <c r="AM89" i="16"/>
  <c r="AI89" i="16"/>
  <c r="AH89" i="16"/>
  <c r="AG89" i="16"/>
  <c r="AE89" i="16"/>
  <c r="AD89" i="16"/>
  <c r="AC89" i="16"/>
  <c r="AB89" i="16"/>
  <c r="AA89" i="16"/>
  <c r="Y89" i="16"/>
  <c r="AJ89" i="16" s="1"/>
  <c r="AM88" i="16"/>
  <c r="AI88" i="16"/>
  <c r="AH88" i="16"/>
  <c r="AG88" i="16"/>
  <c r="AE88" i="16"/>
  <c r="AD88" i="16"/>
  <c r="AC88" i="16"/>
  <c r="AB88" i="16"/>
  <c r="AA88" i="16"/>
  <c r="Y88" i="16"/>
  <c r="AJ88" i="16" s="1"/>
  <c r="AM87" i="16"/>
  <c r="AI87" i="16"/>
  <c r="AH87" i="16"/>
  <c r="AG87" i="16"/>
  <c r="AE87" i="16"/>
  <c r="AD87" i="16"/>
  <c r="AC87" i="16"/>
  <c r="AB87" i="16"/>
  <c r="AA87" i="16"/>
  <c r="Y87" i="16"/>
  <c r="AJ87" i="16" s="1"/>
  <c r="AM86" i="16"/>
  <c r="AI86" i="16"/>
  <c r="AH86" i="16"/>
  <c r="AG86" i="16"/>
  <c r="AE86" i="16"/>
  <c r="AD86" i="16"/>
  <c r="AC86" i="16"/>
  <c r="AB86" i="16"/>
  <c r="AK86" i="16" s="1"/>
  <c r="AA86" i="16"/>
  <c r="Y86" i="16"/>
  <c r="AJ86" i="16" s="1"/>
  <c r="AM85" i="16"/>
  <c r="AM84" i="16" s="1"/>
  <c r="AI85" i="16"/>
  <c r="AH85" i="16"/>
  <c r="AH84" i="16" s="1"/>
  <c r="AG85" i="16"/>
  <c r="AG84" i="16" s="1"/>
  <c r="AE85" i="16"/>
  <c r="AD85" i="16"/>
  <c r="AC85" i="16"/>
  <c r="AB85" i="16"/>
  <c r="AB84" i="16" s="1"/>
  <c r="AK84" i="16" s="1"/>
  <c r="AA85" i="16"/>
  <c r="Y85" i="16"/>
  <c r="AJ85" i="16" s="1"/>
  <c r="AM83" i="16"/>
  <c r="AI83" i="16"/>
  <c r="AH83" i="16"/>
  <c r="AG83" i="16"/>
  <c r="AE83" i="16"/>
  <c r="AD83" i="16"/>
  <c r="AC83" i="16"/>
  <c r="AB83" i="16"/>
  <c r="AA83" i="16"/>
  <c r="Y83" i="16"/>
  <c r="AM82" i="16"/>
  <c r="AI82" i="16"/>
  <c r="AH82" i="16"/>
  <c r="AG82" i="16"/>
  <c r="AE82" i="16"/>
  <c r="AD82" i="16"/>
  <c r="AC82" i="16"/>
  <c r="AB82" i="16"/>
  <c r="AK82" i="16" s="1"/>
  <c r="AA82" i="16"/>
  <c r="Y82" i="16"/>
  <c r="AM81" i="16"/>
  <c r="AI81" i="16"/>
  <c r="AH81" i="16"/>
  <c r="AG81" i="16"/>
  <c r="AE81" i="16"/>
  <c r="AD81" i="16"/>
  <c r="AC81" i="16"/>
  <c r="AB81" i="16"/>
  <c r="AA81" i="16"/>
  <c r="Y81" i="16"/>
  <c r="AJ81" i="16" s="1"/>
  <c r="AM80" i="16"/>
  <c r="AI80" i="16"/>
  <c r="AH80" i="16"/>
  <c r="AG80" i="16"/>
  <c r="AE80" i="16"/>
  <c r="AD80" i="16"/>
  <c r="AC80" i="16"/>
  <c r="AB80" i="16"/>
  <c r="AA80" i="16"/>
  <c r="Y80" i="16"/>
  <c r="AM79" i="16"/>
  <c r="AI79" i="16"/>
  <c r="AH79" i="16"/>
  <c r="AG79" i="16"/>
  <c r="AE79" i="16"/>
  <c r="AD79" i="16"/>
  <c r="AC79" i="16"/>
  <c r="AB79" i="16"/>
  <c r="AK79" i="16" s="1"/>
  <c r="AA79" i="16"/>
  <c r="Y79" i="16"/>
  <c r="AJ79" i="16" s="1"/>
  <c r="AM78" i="16"/>
  <c r="AI78" i="16"/>
  <c r="AH78" i="16"/>
  <c r="AH77" i="16" s="1"/>
  <c r="AG78" i="16"/>
  <c r="AE78" i="16"/>
  <c r="AD78" i="16"/>
  <c r="AC78" i="16"/>
  <c r="AB78" i="16"/>
  <c r="AA78" i="16"/>
  <c r="AA77" i="16" s="1"/>
  <c r="Y78" i="16"/>
  <c r="AM76" i="16"/>
  <c r="AI76" i="16"/>
  <c r="AH76" i="16"/>
  <c r="AG76" i="16"/>
  <c r="AE76" i="16"/>
  <c r="AD76" i="16"/>
  <c r="AC76" i="16"/>
  <c r="AB76" i="16"/>
  <c r="AA76" i="16"/>
  <c r="Y76" i="16"/>
  <c r="AJ76" i="16" s="1"/>
  <c r="AM75" i="16"/>
  <c r="AI75" i="16"/>
  <c r="AH75" i="16"/>
  <c r="AG75" i="16"/>
  <c r="AE75" i="16"/>
  <c r="AD75" i="16"/>
  <c r="AC75" i="16"/>
  <c r="AB75" i="16"/>
  <c r="AA75" i="16"/>
  <c r="Y75" i="16"/>
  <c r="AM74" i="16"/>
  <c r="AI74" i="16"/>
  <c r="AH74" i="16"/>
  <c r="AG74" i="16"/>
  <c r="AE74" i="16"/>
  <c r="AD74" i="16"/>
  <c r="AC74" i="16"/>
  <c r="AB74" i="16"/>
  <c r="AK74" i="16" s="1"/>
  <c r="AA74" i="16"/>
  <c r="Y74" i="16"/>
  <c r="AJ74" i="16" s="1"/>
  <c r="AM73" i="16"/>
  <c r="AI73" i="16"/>
  <c r="AH73" i="16"/>
  <c r="AG73" i="16"/>
  <c r="AE73" i="16"/>
  <c r="AD73" i="16"/>
  <c r="AC73" i="16"/>
  <c r="AB73" i="16"/>
  <c r="AA73" i="16"/>
  <c r="Y73" i="16"/>
  <c r="AJ73" i="16" s="1"/>
  <c r="AM72" i="16"/>
  <c r="AI72" i="16"/>
  <c r="AH72" i="16"/>
  <c r="AG72" i="16"/>
  <c r="AE72" i="16"/>
  <c r="AD72" i="16"/>
  <c r="AC72" i="16"/>
  <c r="AB72" i="16"/>
  <c r="AA72" i="16"/>
  <c r="Y72" i="16"/>
  <c r="AJ72" i="16" s="1"/>
  <c r="AM71" i="16"/>
  <c r="AI71" i="16"/>
  <c r="AH71" i="16"/>
  <c r="AG71" i="16"/>
  <c r="AE71" i="16"/>
  <c r="AD71" i="16"/>
  <c r="AC71" i="16"/>
  <c r="AB71" i="16"/>
  <c r="AA71" i="16"/>
  <c r="Y71" i="16"/>
  <c r="AM70" i="16"/>
  <c r="AI70" i="16"/>
  <c r="AH70" i="16"/>
  <c r="AG70" i="16"/>
  <c r="AE70" i="16"/>
  <c r="AD70" i="16"/>
  <c r="AC70" i="16"/>
  <c r="AB70" i="16"/>
  <c r="AK70" i="16" s="1"/>
  <c r="AA70" i="16"/>
  <c r="Y70" i="16"/>
  <c r="AJ70" i="16" s="1"/>
  <c r="AM69" i="16"/>
  <c r="AI69" i="16"/>
  <c r="AH69" i="16"/>
  <c r="AG69" i="16"/>
  <c r="AE69" i="16"/>
  <c r="AD69" i="16"/>
  <c r="AC69" i="16"/>
  <c r="AB69" i="16"/>
  <c r="AK69" i="16" s="1"/>
  <c r="AA69" i="16"/>
  <c r="Y69" i="16"/>
  <c r="AM68" i="16"/>
  <c r="AI68" i="16"/>
  <c r="AH68" i="16"/>
  <c r="AG68" i="16"/>
  <c r="AE68" i="16"/>
  <c r="AD68" i="16"/>
  <c r="AC68" i="16"/>
  <c r="AB68" i="16"/>
  <c r="AK68" i="16" s="1"/>
  <c r="AA68" i="16"/>
  <c r="Y68" i="16"/>
  <c r="AJ68" i="16" s="1"/>
  <c r="AM67" i="16"/>
  <c r="AI67" i="16"/>
  <c r="AH67" i="16"/>
  <c r="AG67" i="16"/>
  <c r="AE67" i="16"/>
  <c r="AD67" i="16"/>
  <c r="AC67" i="16"/>
  <c r="AB67" i="16"/>
  <c r="AA67" i="16"/>
  <c r="Y67" i="16"/>
  <c r="AM66" i="16"/>
  <c r="AI66" i="16"/>
  <c r="AH66" i="16"/>
  <c r="AG66" i="16"/>
  <c r="AE66" i="16"/>
  <c r="AD66" i="16"/>
  <c r="AC66" i="16"/>
  <c r="AB66" i="16"/>
  <c r="AA66" i="16"/>
  <c r="Y66" i="16"/>
  <c r="AJ66" i="16" s="1"/>
  <c r="AM65" i="16"/>
  <c r="AI65" i="16"/>
  <c r="AH65" i="16"/>
  <c r="AG65" i="16"/>
  <c r="AE65" i="16"/>
  <c r="AD65" i="16"/>
  <c r="AC65" i="16"/>
  <c r="AB65" i="16"/>
  <c r="AK65" i="16" s="1"/>
  <c r="AA65" i="16"/>
  <c r="Y65" i="16"/>
  <c r="AM64" i="16"/>
  <c r="AI64" i="16"/>
  <c r="AH64" i="16"/>
  <c r="AG64" i="16"/>
  <c r="AE64" i="16"/>
  <c r="AD64" i="16"/>
  <c r="AC64" i="16"/>
  <c r="AB64" i="16"/>
  <c r="AK64" i="16" s="1"/>
  <c r="AA64" i="16"/>
  <c r="Y64" i="16"/>
  <c r="AJ64" i="16" s="1"/>
  <c r="AM63" i="16"/>
  <c r="AI63" i="16"/>
  <c r="AH63" i="16"/>
  <c r="AH62" i="16" s="1"/>
  <c r="AG63" i="16"/>
  <c r="AG62" i="16" s="1"/>
  <c r="AE63" i="16"/>
  <c r="AD63" i="16"/>
  <c r="AC63" i="16"/>
  <c r="AB63" i="16"/>
  <c r="AA63" i="16"/>
  <c r="Y63" i="16"/>
  <c r="AM61" i="16"/>
  <c r="AI61" i="16"/>
  <c r="AH61" i="16"/>
  <c r="AG61" i="16"/>
  <c r="AE61" i="16"/>
  <c r="AD61" i="16"/>
  <c r="AC61" i="16"/>
  <c r="AB61" i="16"/>
  <c r="AK61" i="16" s="1"/>
  <c r="AA61" i="16"/>
  <c r="Y61" i="16"/>
  <c r="AJ61" i="16" s="1"/>
  <c r="AM60" i="16"/>
  <c r="AI60" i="16"/>
  <c r="AH60" i="16"/>
  <c r="AG60" i="16"/>
  <c r="AE60" i="16"/>
  <c r="AD60" i="16"/>
  <c r="AC60" i="16"/>
  <c r="AB60" i="16"/>
  <c r="AA60" i="16"/>
  <c r="Y60" i="16"/>
  <c r="AM59" i="16"/>
  <c r="AI59" i="16"/>
  <c r="AH59" i="16"/>
  <c r="AG59" i="16"/>
  <c r="AE59" i="16"/>
  <c r="AD59" i="16"/>
  <c r="AC59" i="16"/>
  <c r="AB59" i="16"/>
  <c r="AK59" i="16" s="1"/>
  <c r="AA59" i="16"/>
  <c r="Y59" i="16"/>
  <c r="AJ59" i="16" s="1"/>
  <c r="AM58" i="16"/>
  <c r="AI58" i="16"/>
  <c r="AH58" i="16"/>
  <c r="AG58" i="16"/>
  <c r="AE58" i="16"/>
  <c r="AD58" i="16"/>
  <c r="AC58" i="16"/>
  <c r="AB58" i="16"/>
  <c r="AA58" i="16"/>
  <c r="Y58" i="16"/>
  <c r="AJ58" i="16" s="1"/>
  <c r="AM57" i="16"/>
  <c r="AI57" i="16"/>
  <c r="AH57" i="16"/>
  <c r="AG57" i="16"/>
  <c r="AE57" i="16"/>
  <c r="AD57" i="16"/>
  <c r="AC57" i="16"/>
  <c r="AB57" i="16"/>
  <c r="AK57" i="16" s="1"/>
  <c r="AA57" i="16"/>
  <c r="Y57" i="16"/>
  <c r="AJ57" i="16" s="1"/>
  <c r="AM56" i="16"/>
  <c r="AI56" i="16"/>
  <c r="AH56" i="16"/>
  <c r="AG56" i="16"/>
  <c r="AE56" i="16"/>
  <c r="AD56" i="16"/>
  <c r="AC56" i="16"/>
  <c r="AB56" i="16"/>
  <c r="AA56" i="16"/>
  <c r="Y56" i="16"/>
  <c r="AM55" i="16"/>
  <c r="AM54" i="16" s="1"/>
  <c r="AI55" i="16"/>
  <c r="AH55" i="16"/>
  <c r="AH54" i="16" s="1"/>
  <c r="AG55" i="16"/>
  <c r="AE55" i="16"/>
  <c r="AE54" i="16" s="1"/>
  <c r="AD55" i="16"/>
  <c r="AC55" i="16"/>
  <c r="AB55" i="16"/>
  <c r="AA55" i="16"/>
  <c r="Y55" i="16"/>
  <c r="AM53" i="16"/>
  <c r="AI53" i="16"/>
  <c r="AH53" i="16"/>
  <c r="AG53" i="16"/>
  <c r="AE53" i="16"/>
  <c r="AD53" i="16"/>
  <c r="AC53" i="16"/>
  <c r="AB53" i="16"/>
  <c r="AA53" i="16"/>
  <c r="Y53" i="16"/>
  <c r="AM52" i="16"/>
  <c r="AI52" i="16"/>
  <c r="AH52" i="16"/>
  <c r="AG52" i="16"/>
  <c r="AE52" i="16"/>
  <c r="AD52" i="16"/>
  <c r="AC52" i="16"/>
  <c r="AB52" i="16"/>
  <c r="AK52" i="16" s="1"/>
  <c r="AA52" i="16"/>
  <c r="Y52" i="16"/>
  <c r="AJ52" i="16" s="1"/>
  <c r="AM51" i="16"/>
  <c r="AI51" i="16"/>
  <c r="AH51" i="16"/>
  <c r="AG51" i="16"/>
  <c r="AE51" i="16"/>
  <c r="AD51" i="16"/>
  <c r="AC51" i="16"/>
  <c r="AB51" i="16"/>
  <c r="AA51" i="16"/>
  <c r="Y51" i="16"/>
  <c r="AM50" i="16"/>
  <c r="AI50" i="16"/>
  <c r="AH50" i="16"/>
  <c r="AG50" i="16"/>
  <c r="AE50" i="16"/>
  <c r="AD50" i="16"/>
  <c r="AC50" i="16"/>
  <c r="AB50" i="16"/>
  <c r="AK50" i="16" s="1"/>
  <c r="AA50" i="16"/>
  <c r="Y50" i="16"/>
  <c r="AJ50" i="16" s="1"/>
  <c r="AM49" i="16"/>
  <c r="AI49" i="16"/>
  <c r="AH49" i="16"/>
  <c r="AG49" i="16"/>
  <c r="AE49" i="16"/>
  <c r="AD49" i="16"/>
  <c r="AC49" i="16"/>
  <c r="AB49" i="16"/>
  <c r="AA49" i="16"/>
  <c r="Y49" i="16"/>
  <c r="AJ49" i="16" s="1"/>
  <c r="AM48" i="16"/>
  <c r="AI48" i="16"/>
  <c r="AH48" i="16"/>
  <c r="AH47" i="16" s="1"/>
  <c r="AG48" i="16"/>
  <c r="AE48" i="16"/>
  <c r="AD48" i="16"/>
  <c r="AC48" i="16"/>
  <c r="AB48" i="16"/>
  <c r="AK48" i="16" s="1"/>
  <c r="AA48" i="16"/>
  <c r="Y48" i="16"/>
  <c r="AJ48" i="16" s="1"/>
  <c r="AM46" i="16"/>
  <c r="AI46" i="16"/>
  <c r="AH46" i="16"/>
  <c r="AG46" i="16"/>
  <c r="AE46" i="16"/>
  <c r="AD46" i="16"/>
  <c r="AC46" i="16"/>
  <c r="AB46" i="16"/>
  <c r="AK46" i="16" s="1"/>
  <c r="AA46" i="16"/>
  <c r="Y46" i="16"/>
  <c r="AJ46" i="16" s="1"/>
  <c r="AM45" i="16"/>
  <c r="AI45" i="16"/>
  <c r="AH45" i="16"/>
  <c r="AG45" i="16"/>
  <c r="AE45" i="16"/>
  <c r="AD45" i="16"/>
  <c r="AC45" i="16"/>
  <c r="AB45" i="16"/>
  <c r="AK45" i="16" s="1"/>
  <c r="AA45" i="16"/>
  <c r="Y45" i="16"/>
  <c r="AJ45" i="16" s="1"/>
  <c r="AM44" i="16"/>
  <c r="AI44" i="16"/>
  <c r="AH44" i="16"/>
  <c r="AG44" i="16"/>
  <c r="AE44" i="16"/>
  <c r="AD44" i="16"/>
  <c r="AC44" i="16"/>
  <c r="AB44" i="16"/>
  <c r="AA44" i="16"/>
  <c r="Y44" i="16"/>
  <c r="AM43" i="16"/>
  <c r="AI43" i="16"/>
  <c r="AH43" i="16"/>
  <c r="AG43" i="16"/>
  <c r="AE43" i="16"/>
  <c r="AD43" i="16"/>
  <c r="AC43" i="16"/>
  <c r="AB43" i="16"/>
  <c r="AK43" i="16" s="1"/>
  <c r="AA43" i="16"/>
  <c r="Y43" i="16"/>
  <c r="AJ43" i="16" s="1"/>
  <c r="AM42" i="16"/>
  <c r="AI42" i="16"/>
  <c r="AH42" i="16"/>
  <c r="AG42" i="16"/>
  <c r="AE42" i="16"/>
  <c r="AD42" i="16"/>
  <c r="AC42" i="16"/>
  <c r="AB42" i="16"/>
  <c r="AK42" i="16" s="1"/>
  <c r="AA42" i="16"/>
  <c r="Y42" i="16"/>
  <c r="AJ42" i="16" s="1"/>
  <c r="AM41" i="16"/>
  <c r="AI41" i="16"/>
  <c r="AH41" i="16"/>
  <c r="AG41" i="16"/>
  <c r="AE41" i="16"/>
  <c r="AD41" i="16"/>
  <c r="AC41" i="16"/>
  <c r="AB41" i="16"/>
  <c r="AK41" i="16" s="1"/>
  <c r="AA41" i="16"/>
  <c r="Y41" i="16"/>
  <c r="AJ41" i="16" s="1"/>
  <c r="AM40" i="16"/>
  <c r="AI40" i="16"/>
  <c r="AH40" i="16"/>
  <c r="AG40" i="16"/>
  <c r="AE40" i="16"/>
  <c r="AD40" i="16"/>
  <c r="AC40" i="16"/>
  <c r="AB40" i="16"/>
  <c r="AK40" i="16" s="1"/>
  <c r="AA40" i="16"/>
  <c r="Y40" i="16"/>
  <c r="AJ40" i="16" s="1"/>
  <c r="AM39" i="16"/>
  <c r="AI39" i="16"/>
  <c r="AH39" i="16"/>
  <c r="AG39" i="16"/>
  <c r="AE39" i="16"/>
  <c r="AD39" i="16"/>
  <c r="AC39" i="16"/>
  <c r="AB39" i="16"/>
  <c r="AK39" i="16" s="1"/>
  <c r="AA39" i="16"/>
  <c r="Y39" i="16"/>
  <c r="AJ39" i="16" s="1"/>
  <c r="AM38" i="16"/>
  <c r="AI38" i="16"/>
  <c r="AH38" i="16"/>
  <c r="AG38" i="16"/>
  <c r="AE38" i="16"/>
  <c r="AD38" i="16"/>
  <c r="AC38" i="16"/>
  <c r="AB38" i="16"/>
  <c r="AA38" i="16"/>
  <c r="Y38" i="16"/>
  <c r="AJ38" i="16" s="1"/>
  <c r="AM37" i="16"/>
  <c r="AI37" i="16"/>
  <c r="AH37" i="16"/>
  <c r="AG37" i="16"/>
  <c r="AE37" i="16"/>
  <c r="AD37" i="16"/>
  <c r="AC37" i="16"/>
  <c r="AB37" i="16"/>
  <c r="AK37" i="16" s="1"/>
  <c r="AA37" i="16"/>
  <c r="Y37" i="16"/>
  <c r="AJ37" i="16" s="1"/>
  <c r="AM36" i="16"/>
  <c r="AI36" i="16"/>
  <c r="AH36" i="16"/>
  <c r="AH35" i="16" s="1"/>
  <c r="AG36" i="16"/>
  <c r="AE36" i="16"/>
  <c r="AE35" i="16" s="1"/>
  <c r="AD36" i="16"/>
  <c r="AD35" i="16" s="1"/>
  <c r="AC36" i="16"/>
  <c r="AB36" i="16"/>
  <c r="AA36" i="16"/>
  <c r="AA35" i="16" s="1"/>
  <c r="Y36" i="16"/>
  <c r="AM34" i="16"/>
  <c r="AI34" i="16"/>
  <c r="AH34" i="16"/>
  <c r="AG34" i="16"/>
  <c r="AE34" i="16"/>
  <c r="AD34" i="16"/>
  <c r="AC34" i="16"/>
  <c r="AB34" i="16"/>
  <c r="AK34" i="16" s="1"/>
  <c r="AA34" i="16"/>
  <c r="Y34" i="16"/>
  <c r="AJ34" i="16" s="1"/>
  <c r="AM33" i="16"/>
  <c r="AI33" i="16"/>
  <c r="AH33" i="16"/>
  <c r="AG33" i="16"/>
  <c r="AE33" i="16"/>
  <c r="AD33" i="16"/>
  <c r="AC33" i="16"/>
  <c r="AB33" i="16"/>
  <c r="AK33" i="16" s="1"/>
  <c r="AA33" i="16"/>
  <c r="Y33" i="16"/>
  <c r="AJ33" i="16" s="1"/>
  <c r="AM32" i="16"/>
  <c r="AI32" i="16"/>
  <c r="AH32" i="16"/>
  <c r="AG32" i="16"/>
  <c r="AE32" i="16"/>
  <c r="AD32" i="16"/>
  <c r="AC32" i="16"/>
  <c r="AB32" i="16"/>
  <c r="AK32" i="16" s="1"/>
  <c r="AA32" i="16"/>
  <c r="Y32" i="16"/>
  <c r="AJ32" i="16" s="1"/>
  <c r="AM31" i="16"/>
  <c r="AI31" i="16"/>
  <c r="AH31" i="16"/>
  <c r="AG31" i="16"/>
  <c r="AE31" i="16"/>
  <c r="AD31" i="16"/>
  <c r="AC31" i="16"/>
  <c r="AB31" i="16"/>
  <c r="AA31" i="16"/>
  <c r="Y31" i="16"/>
  <c r="AJ31" i="16" s="1"/>
  <c r="AM30" i="16"/>
  <c r="AI30" i="16"/>
  <c r="AH30" i="16"/>
  <c r="AG30" i="16"/>
  <c r="AE30" i="16"/>
  <c r="AD30" i="16"/>
  <c r="AC30" i="16"/>
  <c r="AB30" i="16"/>
  <c r="AA30" i="16"/>
  <c r="Y30" i="16"/>
  <c r="AJ30" i="16" s="1"/>
  <c r="AM29" i="16"/>
  <c r="AI29" i="16"/>
  <c r="AH29" i="16"/>
  <c r="AG29" i="16"/>
  <c r="AE29" i="16"/>
  <c r="AD29" i="16"/>
  <c r="AC29" i="16"/>
  <c r="AB29" i="16"/>
  <c r="AA29" i="16"/>
  <c r="Y29" i="16"/>
  <c r="AJ29" i="16" s="1"/>
  <c r="AM28" i="16"/>
  <c r="AI28" i="16"/>
  <c r="AH28" i="16"/>
  <c r="AG28" i="16"/>
  <c r="AE28" i="16"/>
  <c r="AD28" i="16"/>
  <c r="AC28" i="16"/>
  <c r="AB28" i="16"/>
  <c r="AA28" i="16"/>
  <c r="Y28" i="16"/>
  <c r="AJ28" i="16" s="1"/>
  <c r="AM27" i="16"/>
  <c r="AI27" i="16"/>
  <c r="AH27" i="16"/>
  <c r="AG27" i="16"/>
  <c r="AE27" i="16"/>
  <c r="AD27" i="16"/>
  <c r="AC27" i="16"/>
  <c r="AB27" i="16"/>
  <c r="AA27" i="16"/>
  <c r="Y27" i="16"/>
  <c r="AJ27" i="16" s="1"/>
  <c r="AM26" i="16"/>
  <c r="AI26" i="16"/>
  <c r="AH26" i="16"/>
  <c r="AG26" i="16"/>
  <c r="AE26" i="16"/>
  <c r="AD26" i="16"/>
  <c r="AC26" i="16"/>
  <c r="AB26" i="16"/>
  <c r="AA26" i="16"/>
  <c r="Y26" i="16"/>
  <c r="AJ26" i="16" s="1"/>
  <c r="AM25" i="16"/>
  <c r="AI25" i="16"/>
  <c r="AH25" i="16"/>
  <c r="AG25" i="16"/>
  <c r="AE25" i="16"/>
  <c r="AD25" i="16"/>
  <c r="AC25" i="16"/>
  <c r="AB25" i="16"/>
  <c r="AA25" i="16"/>
  <c r="Y25" i="16"/>
  <c r="AJ25" i="16" s="1"/>
  <c r="AM24" i="16"/>
  <c r="AI24" i="16"/>
  <c r="AH24" i="16"/>
  <c r="AG24" i="16"/>
  <c r="AE24" i="16"/>
  <c r="AD24" i="16"/>
  <c r="AC24" i="16"/>
  <c r="AB24" i="16"/>
  <c r="AA24" i="16"/>
  <c r="Y24" i="16"/>
  <c r="AJ24" i="16" s="1"/>
  <c r="AM23" i="16"/>
  <c r="AI23" i="16"/>
  <c r="AH23" i="16"/>
  <c r="AG23" i="16"/>
  <c r="AE23" i="16"/>
  <c r="AD23" i="16"/>
  <c r="AC23" i="16"/>
  <c r="AB23" i="16"/>
  <c r="AA23" i="16"/>
  <c r="Y23" i="16"/>
  <c r="AJ23" i="16" s="1"/>
  <c r="AM22" i="16"/>
  <c r="AI22" i="16"/>
  <c r="AH22" i="16"/>
  <c r="AG22" i="16"/>
  <c r="AE22" i="16"/>
  <c r="AD22" i="16"/>
  <c r="AC22" i="16"/>
  <c r="AB22" i="16"/>
  <c r="AA22" i="16"/>
  <c r="Y22" i="16"/>
  <c r="AJ22" i="16" s="1"/>
  <c r="AM21" i="16"/>
  <c r="AI21" i="16"/>
  <c r="AH21" i="16"/>
  <c r="AG21" i="16"/>
  <c r="AE21" i="16"/>
  <c r="AD21" i="16"/>
  <c r="AC21" i="16"/>
  <c r="AB21" i="16"/>
  <c r="AA21" i="16"/>
  <c r="Y21" i="16"/>
  <c r="AJ21" i="16" s="1"/>
  <c r="AM20" i="16"/>
  <c r="AI20" i="16"/>
  <c r="AH20" i="16"/>
  <c r="AG20" i="16"/>
  <c r="AE20" i="16"/>
  <c r="AD20" i="16"/>
  <c r="AC20" i="16"/>
  <c r="AB20" i="16"/>
  <c r="AA20" i="16"/>
  <c r="Y20" i="16"/>
  <c r="AJ20" i="16" s="1"/>
  <c r="AM19" i="16"/>
  <c r="AI19" i="16"/>
  <c r="AH19" i="16"/>
  <c r="AG19" i="16"/>
  <c r="AE19" i="16"/>
  <c r="AD19" i="16"/>
  <c r="AC19" i="16"/>
  <c r="AB19" i="16"/>
  <c r="AA19" i="16"/>
  <c r="Y19" i="16"/>
  <c r="AJ19" i="16" s="1"/>
  <c r="AM18" i="16"/>
  <c r="AI18" i="16"/>
  <c r="AH18" i="16"/>
  <c r="AG18" i="16"/>
  <c r="AE18" i="16"/>
  <c r="AD18" i="16"/>
  <c r="AC18" i="16"/>
  <c r="AB18" i="16"/>
  <c r="AA18" i="16"/>
  <c r="Y18" i="16"/>
  <c r="AJ18" i="16" s="1"/>
  <c r="AM17" i="16"/>
  <c r="AI17" i="16"/>
  <c r="AI16" i="16" s="1"/>
  <c r="AH17" i="16"/>
  <c r="AH16" i="16" s="1"/>
  <c r="AG17" i="16"/>
  <c r="AE17" i="16"/>
  <c r="AD17" i="16"/>
  <c r="AD16" i="16" s="1"/>
  <c r="AC17" i="16"/>
  <c r="AB17" i="16"/>
  <c r="AB16" i="16" s="1"/>
  <c r="AA17" i="16"/>
  <c r="Y17" i="16"/>
  <c r="AJ17" i="16" s="1"/>
  <c r="C6" i="16"/>
  <c r="H5" i="16"/>
  <c r="AI77" i="16" l="1"/>
  <c r="AD84" i="16"/>
  <c r="U27" i="16"/>
  <c r="I102" i="16"/>
  <c r="I88" i="16"/>
  <c r="U23" i="16"/>
  <c r="I49" i="16"/>
  <c r="P22" i="16"/>
  <c r="K45" i="16"/>
  <c r="I60" i="16"/>
  <c r="U104" i="16"/>
  <c r="M52" i="16"/>
  <c r="L105" i="16"/>
  <c r="BG52" i="16"/>
  <c r="AE16" i="16"/>
  <c r="M20" i="16"/>
  <c r="U22" i="16"/>
  <c r="K23" i="16"/>
  <c r="P25" i="16"/>
  <c r="P27" i="16"/>
  <c r="M28" i="16"/>
  <c r="U28" i="16"/>
  <c r="U30" i="16"/>
  <c r="U32" i="16"/>
  <c r="I39" i="16"/>
  <c r="K40" i="16"/>
  <c r="K42" i="16"/>
  <c r="P42" i="16"/>
  <c r="M43" i="16"/>
  <c r="K44" i="16"/>
  <c r="P44" i="16"/>
  <c r="K46" i="16"/>
  <c r="P46" i="16"/>
  <c r="K49" i="16"/>
  <c r="M50" i="16"/>
  <c r="K51" i="16"/>
  <c r="P51" i="16"/>
  <c r="I52" i="16"/>
  <c r="U52" i="16"/>
  <c r="P53" i="16"/>
  <c r="M57" i="16"/>
  <c r="U59" i="16"/>
  <c r="I61" i="16"/>
  <c r="U61" i="16"/>
  <c r="M64" i="16"/>
  <c r="U64" i="16"/>
  <c r="K67" i="16"/>
  <c r="K69" i="16"/>
  <c r="M70" i="16"/>
  <c r="U70" i="16"/>
  <c r="P71" i="16"/>
  <c r="U72" i="16"/>
  <c r="K73" i="16"/>
  <c r="M74" i="16"/>
  <c r="K75" i="16"/>
  <c r="P75" i="16"/>
  <c r="I79" i="16"/>
  <c r="U79" i="16"/>
  <c r="K80" i="16"/>
  <c r="P80" i="16"/>
  <c r="U81" i="16"/>
  <c r="K82" i="16"/>
  <c r="I86" i="16"/>
  <c r="M86" i="16"/>
  <c r="U86" i="16"/>
  <c r="K87" i="16"/>
  <c r="P87" i="16"/>
  <c r="M88" i="16"/>
  <c r="U88" i="16"/>
  <c r="P89" i="16"/>
  <c r="I90" i="16"/>
  <c r="M90" i="16"/>
  <c r="U90" i="16"/>
  <c r="I92" i="16"/>
  <c r="M92" i="16"/>
  <c r="U92" i="16"/>
  <c r="K93" i="16"/>
  <c r="P93" i="16"/>
  <c r="K95" i="16"/>
  <c r="P95" i="16"/>
  <c r="I96" i="16"/>
  <c r="U96" i="16"/>
  <c r="I99" i="16"/>
  <c r="M99" i="16"/>
  <c r="U99" i="16"/>
  <c r="K100" i="16"/>
  <c r="U101" i="16"/>
  <c r="K102" i="16"/>
  <c r="P102" i="16"/>
  <c r="I103" i="16"/>
  <c r="M103" i="16"/>
  <c r="U103" i="16"/>
  <c r="K104" i="16"/>
  <c r="M105" i="16"/>
  <c r="U105" i="16"/>
  <c r="P106" i="16"/>
  <c r="M46" i="16"/>
  <c r="M67" i="16"/>
  <c r="M69" i="16"/>
  <c r="M82" i="16"/>
  <c r="M87" i="16"/>
  <c r="M91" i="16"/>
  <c r="M102" i="16"/>
  <c r="BC48" i="16"/>
  <c r="Z17" i="16"/>
  <c r="Z16" i="16" s="1"/>
  <c r="BE14" i="16"/>
  <c r="P24" i="16"/>
  <c r="U38" i="16"/>
  <c r="I42" i="16"/>
  <c r="U44" i="16"/>
  <c r="I56" i="16"/>
  <c r="P68" i="16"/>
  <c r="P72" i="16"/>
  <c r="I73" i="16"/>
  <c r="P76" i="16"/>
  <c r="K81" i="16"/>
  <c r="U89" i="16"/>
  <c r="U93" i="16"/>
  <c r="P101" i="16"/>
  <c r="P103" i="16"/>
  <c r="AF18" i="16"/>
  <c r="AL18" i="16" s="1"/>
  <c r="L19" i="16"/>
  <c r="Q19" i="16"/>
  <c r="L21" i="16"/>
  <c r="O22" i="16"/>
  <c r="L23" i="16"/>
  <c r="Q23" i="16"/>
  <c r="J24" i="16"/>
  <c r="S24" i="16" s="1"/>
  <c r="L25" i="16"/>
  <c r="Q25" i="16"/>
  <c r="J26" i="16"/>
  <c r="S26" i="16" s="1"/>
  <c r="O26" i="16"/>
  <c r="J28" i="16"/>
  <c r="S28" i="16" s="1"/>
  <c r="O30" i="16"/>
  <c r="L31" i="16"/>
  <c r="L33" i="16"/>
  <c r="Q33" i="16"/>
  <c r="O39" i="16"/>
  <c r="L40" i="16"/>
  <c r="Q40" i="16"/>
  <c r="Q42" i="16"/>
  <c r="O43" i="16"/>
  <c r="L44" i="16"/>
  <c r="Q44" i="16"/>
  <c r="O48" i="16"/>
  <c r="L49" i="16"/>
  <c r="Q51" i="16"/>
  <c r="O52" i="16"/>
  <c r="L53" i="16"/>
  <c r="Q56" i="16"/>
  <c r="O59" i="16"/>
  <c r="Q60" i="16"/>
  <c r="L63" i="16"/>
  <c r="Q63" i="16"/>
  <c r="L65" i="16"/>
  <c r="Q65" i="16"/>
  <c r="J66" i="16"/>
  <c r="S66" i="16" s="1"/>
  <c r="O66" i="16"/>
  <c r="L67" i="16"/>
  <c r="Q69" i="16"/>
  <c r="L71" i="16"/>
  <c r="O72" i="16"/>
  <c r="O74" i="16"/>
  <c r="L75" i="16"/>
  <c r="Q75" i="16"/>
  <c r="L80" i="16"/>
  <c r="Q80" i="16"/>
  <c r="J81" i="16"/>
  <c r="S81" i="16" s="1"/>
  <c r="O81" i="16"/>
  <c r="Q82" i="16"/>
  <c r="J83" i="16"/>
  <c r="S83" i="16" s="1"/>
  <c r="O83" i="16"/>
  <c r="Q85" i="16"/>
  <c r="Q87" i="16"/>
  <c r="J88" i="16"/>
  <c r="S88" i="16" s="1"/>
  <c r="O88" i="16"/>
  <c r="J90" i="16"/>
  <c r="S90" i="16" s="1"/>
  <c r="O90" i="16"/>
  <c r="Q91" i="16"/>
  <c r="O92" i="16"/>
  <c r="L93" i="16"/>
  <c r="Q93" i="16"/>
  <c r="J94" i="16"/>
  <c r="S94" i="16" s="1"/>
  <c r="O94" i="16"/>
  <c r="L100" i="16"/>
  <c r="Q100" i="16"/>
  <c r="J101" i="16"/>
  <c r="S101" i="16" s="1"/>
  <c r="O101" i="16"/>
  <c r="L102" i="16"/>
  <c r="L104" i="16"/>
  <c r="Q104" i="16"/>
  <c r="J105" i="16"/>
  <c r="S105" i="16" s="1"/>
  <c r="O105" i="16"/>
  <c r="L106" i="16"/>
  <c r="Q106" i="16"/>
  <c r="AX17" i="16"/>
  <c r="BD17" i="16" s="1"/>
  <c r="AX32" i="16"/>
  <c r="BD32" i="16" s="1"/>
  <c r="AX36" i="16"/>
  <c r="AX37" i="16"/>
  <c r="BD37" i="16" s="1"/>
  <c r="AX44" i="16"/>
  <c r="BD44" i="16" s="1"/>
  <c r="AX48" i="16"/>
  <c r="AX47" i="16" s="1"/>
  <c r="BD47" i="16" s="1"/>
  <c r="J65" i="16"/>
  <c r="S65" i="16" s="1"/>
  <c r="L101" i="16"/>
  <c r="AR83" i="16"/>
  <c r="J59" i="16"/>
  <c r="S59" i="16" s="1"/>
  <c r="AK16" i="16"/>
  <c r="AR66" i="16"/>
  <c r="Y84" i="16"/>
  <c r="AJ84" i="16" s="1"/>
  <c r="AH14" i="16"/>
  <c r="P63" i="16"/>
  <c r="G36" i="16"/>
  <c r="R36" i="16" s="1"/>
  <c r="AJ36" i="16"/>
  <c r="G44" i="16"/>
  <c r="R44" i="16" s="1"/>
  <c r="AJ44" i="16"/>
  <c r="G51" i="16"/>
  <c r="R51" i="16" s="1"/>
  <c r="AJ51" i="16"/>
  <c r="G53" i="16"/>
  <c r="R53" i="16" s="1"/>
  <c r="AJ53" i="16"/>
  <c r="G56" i="16"/>
  <c r="R56" i="16" s="1"/>
  <c r="AJ56" i="16"/>
  <c r="G60" i="16"/>
  <c r="R60" i="16" s="1"/>
  <c r="AJ60" i="16"/>
  <c r="Y62" i="16"/>
  <c r="AJ62" i="16" s="1"/>
  <c r="AJ63" i="16"/>
  <c r="G65" i="16"/>
  <c r="R65" i="16" s="1"/>
  <c r="AJ65" i="16"/>
  <c r="G67" i="16"/>
  <c r="R67" i="16" s="1"/>
  <c r="AJ67" i="16"/>
  <c r="G69" i="16"/>
  <c r="R69" i="16" s="1"/>
  <c r="AJ69" i="16"/>
  <c r="G71" i="16"/>
  <c r="R71" i="16" s="1"/>
  <c r="AJ71" i="16"/>
  <c r="G75" i="16"/>
  <c r="R75" i="16" s="1"/>
  <c r="AJ75" i="16"/>
  <c r="G78" i="16"/>
  <c r="R78" i="16" s="1"/>
  <c r="AJ78" i="16"/>
  <c r="G80" i="16"/>
  <c r="R80" i="16" s="1"/>
  <c r="AJ80" i="16"/>
  <c r="G82" i="16"/>
  <c r="R82" i="16" s="1"/>
  <c r="AJ82" i="16"/>
  <c r="G91" i="16"/>
  <c r="R91" i="16" s="1"/>
  <c r="AJ91" i="16"/>
  <c r="G93" i="16"/>
  <c r="R93" i="16" s="1"/>
  <c r="AJ93" i="16"/>
  <c r="G95" i="16"/>
  <c r="R95" i="16" s="1"/>
  <c r="AJ95" i="16"/>
  <c r="G98" i="16"/>
  <c r="R98" i="16" s="1"/>
  <c r="AJ98" i="16"/>
  <c r="G100" i="16"/>
  <c r="R100" i="16" s="1"/>
  <c r="AJ100" i="16"/>
  <c r="G104" i="16"/>
  <c r="R104" i="16" s="1"/>
  <c r="AJ104" i="16"/>
  <c r="G106" i="16"/>
  <c r="R106" i="16" s="1"/>
  <c r="AJ106" i="16"/>
  <c r="AQ47" i="16"/>
  <c r="BB47" i="16" s="1"/>
  <c r="BB48" i="16"/>
  <c r="AK81" i="16"/>
  <c r="Y97" i="16"/>
  <c r="AJ97" i="16" s="1"/>
  <c r="G50" i="16"/>
  <c r="R50" i="16" s="1"/>
  <c r="I17" i="16"/>
  <c r="I16" i="16" s="1"/>
  <c r="K18" i="16"/>
  <c r="P18" i="16"/>
  <c r="U19" i="16"/>
  <c r="P20" i="16"/>
  <c r="I21" i="16"/>
  <c r="I23" i="16"/>
  <c r="I25" i="16"/>
  <c r="P28" i="16"/>
  <c r="I29" i="16"/>
  <c r="U29" i="16"/>
  <c r="I31" i="16"/>
  <c r="U31" i="16"/>
  <c r="I33" i="16"/>
  <c r="U33" i="16"/>
  <c r="K37" i="16"/>
  <c r="P37" i="16"/>
  <c r="I38" i="16"/>
  <c r="M38" i="16"/>
  <c r="M40" i="16"/>
  <c r="U40" i="16"/>
  <c r="K41" i="16"/>
  <c r="P41" i="16"/>
  <c r="M42" i="16"/>
  <c r="I44" i="16"/>
  <c r="M44" i="16"/>
  <c r="P45" i="16"/>
  <c r="I46" i="16"/>
  <c r="U46" i="16"/>
  <c r="M49" i="16"/>
  <c r="U49" i="16"/>
  <c r="K50" i="16"/>
  <c r="P50" i="16"/>
  <c r="I51" i="16"/>
  <c r="M51" i="16"/>
  <c r="U51" i="16"/>
  <c r="K52" i="16"/>
  <c r="P52" i="16"/>
  <c r="I53" i="16"/>
  <c r="M53" i="16"/>
  <c r="U53" i="16"/>
  <c r="K55" i="16"/>
  <c r="M56" i="16"/>
  <c r="U56" i="16"/>
  <c r="I58" i="16"/>
  <c r="M58" i="16"/>
  <c r="U58" i="16"/>
  <c r="K59" i="16"/>
  <c r="P59" i="16"/>
  <c r="M60" i="16"/>
  <c r="U60" i="16"/>
  <c r="K61" i="16"/>
  <c r="P61" i="16"/>
  <c r="I63" i="16"/>
  <c r="K64" i="16"/>
  <c r="P64" i="16"/>
  <c r="I65" i="16"/>
  <c r="M65" i="16"/>
  <c r="U65" i="16"/>
  <c r="K66" i="16"/>
  <c r="P66" i="16"/>
  <c r="I67" i="16"/>
  <c r="U67" i="16"/>
  <c r="K68" i="16"/>
  <c r="I69" i="16"/>
  <c r="U69" i="16"/>
  <c r="M71" i="16"/>
  <c r="K72" i="16"/>
  <c r="M73" i="16"/>
  <c r="I75" i="16"/>
  <c r="M75" i="16"/>
  <c r="U75" i="16"/>
  <c r="K76" i="16"/>
  <c r="U78" i="16"/>
  <c r="U77" i="16" s="1"/>
  <c r="M80" i="16"/>
  <c r="U80" i="16"/>
  <c r="P81" i="16"/>
  <c r="I82" i="16"/>
  <c r="U82" i="16"/>
  <c r="K83" i="16"/>
  <c r="P83" i="16"/>
  <c r="I85" i="16"/>
  <c r="K86" i="16"/>
  <c r="P86" i="16"/>
  <c r="I87" i="16"/>
  <c r="I89" i="16"/>
  <c r="P90" i="16"/>
  <c r="I91" i="16"/>
  <c r="U91" i="16"/>
  <c r="K92" i="16"/>
  <c r="P92" i="16"/>
  <c r="I93" i="16"/>
  <c r="K94" i="16"/>
  <c r="P94" i="16"/>
  <c r="I95" i="16"/>
  <c r="U95" i="16"/>
  <c r="I98" i="16"/>
  <c r="K99" i="16"/>
  <c r="P99" i="16"/>
  <c r="I100" i="16"/>
  <c r="M100" i="16"/>
  <c r="U100" i="16"/>
  <c r="K101" i="16"/>
  <c r="U102" i="16"/>
  <c r="K103" i="16"/>
  <c r="I104" i="16"/>
  <c r="M104" i="16"/>
  <c r="M106" i="16"/>
  <c r="U106" i="16"/>
  <c r="M96" i="16"/>
  <c r="J48" i="16"/>
  <c r="J25" i="16"/>
  <c r="S25" i="16" s="1"/>
  <c r="Q32" i="16"/>
  <c r="Y54" i="16"/>
  <c r="AJ54" i="16" s="1"/>
  <c r="AJ55" i="16"/>
  <c r="L59" i="16"/>
  <c r="L79" i="16"/>
  <c r="G83" i="16"/>
  <c r="R83" i="16" s="1"/>
  <c r="AJ83" i="16"/>
  <c r="AQ16" i="16"/>
  <c r="BB17" i="16"/>
  <c r="AQ35" i="16"/>
  <c r="BB35" i="16" s="1"/>
  <c r="BB36" i="16"/>
  <c r="AX39" i="16"/>
  <c r="BD39" i="16" s="1"/>
  <c r="AQ62" i="16"/>
  <c r="BB62" i="16" s="1"/>
  <c r="BB63" i="16"/>
  <c r="AQ77" i="16"/>
  <c r="BB77" i="16" s="1"/>
  <c r="BB78" i="16"/>
  <c r="AQ84" i="16"/>
  <c r="BB84" i="16" s="1"/>
  <c r="BB85" i="16"/>
  <c r="AQ97" i="16"/>
  <c r="BB97" i="16" s="1"/>
  <c r="BB98" i="16"/>
  <c r="AX103" i="16"/>
  <c r="BD103" i="16" s="1"/>
  <c r="G23" i="16"/>
  <c r="R23" i="16" s="1"/>
  <c r="G33" i="16"/>
  <c r="R33" i="16" s="1"/>
  <c r="Y16" i="16"/>
  <c r="G25" i="16"/>
  <c r="R25" i="16" s="1"/>
  <c r="G31" i="16"/>
  <c r="R31" i="16" s="1"/>
  <c r="M98" i="16"/>
  <c r="M97" i="16" s="1"/>
  <c r="M85" i="16"/>
  <c r="M84" i="16" s="1"/>
  <c r="M89" i="16"/>
  <c r="M93" i="16"/>
  <c r="M95" i="16"/>
  <c r="M79" i="16"/>
  <c r="M19" i="16"/>
  <c r="M21" i="16"/>
  <c r="M23" i="16"/>
  <c r="M25" i="16"/>
  <c r="M29" i="16"/>
  <c r="M31" i="16"/>
  <c r="M33" i="16"/>
  <c r="M17" i="16"/>
  <c r="M16" i="16" s="1"/>
  <c r="AX57" i="16"/>
  <c r="BD57" i="16" s="1"/>
  <c r="AX59" i="16"/>
  <c r="BD59" i="16" s="1"/>
  <c r="AX60" i="16"/>
  <c r="BD60" i="16" s="1"/>
  <c r="AX64" i="16"/>
  <c r="BD64" i="16" s="1"/>
  <c r="AX69" i="16"/>
  <c r="BD69" i="16" s="1"/>
  <c r="AX71" i="16"/>
  <c r="BD71" i="16" s="1"/>
  <c r="AX72" i="16"/>
  <c r="BD72" i="16" s="1"/>
  <c r="AX76" i="16"/>
  <c r="BD76" i="16" s="1"/>
  <c r="AX80" i="16"/>
  <c r="BD80" i="16" s="1"/>
  <c r="AX81" i="16"/>
  <c r="BD81" i="16" s="1"/>
  <c r="AX83" i="16"/>
  <c r="BD83" i="16" s="1"/>
  <c r="AX86" i="16"/>
  <c r="BD86" i="16" s="1"/>
  <c r="AX87" i="16"/>
  <c r="BD87" i="16" s="1"/>
  <c r="AX93" i="16"/>
  <c r="BD93" i="16" s="1"/>
  <c r="AK66" i="16"/>
  <c r="J92" i="16"/>
  <c r="S92" i="16" s="1"/>
  <c r="L85" i="16"/>
  <c r="AB47" i="16"/>
  <c r="AK47" i="16" s="1"/>
  <c r="L98" i="16"/>
  <c r="AR31" i="16"/>
  <c r="AR46" i="16"/>
  <c r="J96" i="16"/>
  <c r="S96" i="16" s="1"/>
  <c r="Z102" i="16"/>
  <c r="BG37" i="16"/>
  <c r="BG45" i="16"/>
  <c r="AR52" i="16"/>
  <c r="BG59" i="16"/>
  <c r="AR61" i="16"/>
  <c r="BG66" i="16"/>
  <c r="AR68" i="16"/>
  <c r="AR70" i="16"/>
  <c r="AR90" i="16"/>
  <c r="BG92" i="16"/>
  <c r="AR105" i="16"/>
  <c r="BG68" i="16"/>
  <c r="U98" i="16"/>
  <c r="U97" i="16" s="1"/>
  <c r="BG105" i="16"/>
  <c r="K26" i="16"/>
  <c r="K30" i="16"/>
  <c r="U18" i="16"/>
  <c r="I20" i="16"/>
  <c r="P21" i="16"/>
  <c r="M22" i="16"/>
  <c r="P23" i="16"/>
  <c r="I24" i="16"/>
  <c r="M24" i="16"/>
  <c r="I26" i="16"/>
  <c r="M26" i="16"/>
  <c r="U26" i="16"/>
  <c r="K27" i="16"/>
  <c r="I28" i="16"/>
  <c r="I30" i="16"/>
  <c r="M30" i="16"/>
  <c r="I32" i="16"/>
  <c r="M32" i="16"/>
  <c r="M34" i="16"/>
  <c r="U34" i="16"/>
  <c r="M39" i="16"/>
  <c r="U39" i="16"/>
  <c r="P40" i="16"/>
  <c r="I41" i="16"/>
  <c r="M41" i="16"/>
  <c r="I43" i="16"/>
  <c r="U43" i="16"/>
  <c r="I50" i="16"/>
  <c r="I57" i="16"/>
  <c r="M61" i="16"/>
  <c r="I64" i="16"/>
  <c r="K65" i="16"/>
  <c r="K71" i="16"/>
  <c r="P73" i="16"/>
  <c r="I74" i="16"/>
  <c r="U74" i="16"/>
  <c r="AR63" i="16"/>
  <c r="AS62" i="16"/>
  <c r="AO105" i="16"/>
  <c r="Q18" i="16"/>
  <c r="L20" i="16"/>
  <c r="Q20" i="16"/>
  <c r="O23" i="16"/>
  <c r="G24" i="16"/>
  <c r="R24" i="16" s="1"/>
  <c r="L26" i="16"/>
  <c r="J27" i="16"/>
  <c r="S27" i="16" s="1"/>
  <c r="L30" i="16"/>
  <c r="L32" i="16"/>
  <c r="L34" i="16"/>
  <c r="AR38" i="16"/>
  <c r="L41" i="16"/>
  <c r="Q41" i="16"/>
  <c r="O42" i="16"/>
  <c r="L45" i="16"/>
  <c r="Q45" i="16"/>
  <c r="L50" i="16"/>
  <c r="O51" i="16"/>
  <c r="G52" i="16"/>
  <c r="R52" i="16" s="1"/>
  <c r="L52" i="16"/>
  <c r="O53" i="16"/>
  <c r="L55" i="16"/>
  <c r="O56" i="16"/>
  <c r="G57" i="16"/>
  <c r="R57" i="16" s="1"/>
  <c r="BG58" i="16"/>
  <c r="L61" i="16"/>
  <c r="G64" i="16"/>
  <c r="R64" i="16" s="1"/>
  <c r="L66" i="16"/>
  <c r="L68" i="16"/>
  <c r="Q68" i="16"/>
  <c r="Q70" i="16"/>
  <c r="G72" i="16"/>
  <c r="R72" i="16" s="1"/>
  <c r="L72" i="16"/>
  <c r="J73" i="16"/>
  <c r="S73" i="16" s="1"/>
  <c r="L74" i="16"/>
  <c r="Q74" i="16"/>
  <c r="O75" i="16"/>
  <c r="G76" i="16"/>
  <c r="R76" i="16" s="1"/>
  <c r="L76" i="16"/>
  <c r="Q79" i="16"/>
  <c r="G81" i="16"/>
  <c r="R81" i="16" s="1"/>
  <c r="L86" i="16"/>
  <c r="J89" i="16"/>
  <c r="S89" i="16" s="1"/>
  <c r="G90" i="16"/>
  <c r="R90" i="16" s="1"/>
  <c r="L90" i="16"/>
  <c r="AR91" i="16"/>
  <c r="G94" i="16"/>
  <c r="R94" i="16" s="1"/>
  <c r="Q94" i="16"/>
  <c r="O95" i="16"/>
  <c r="L96" i="16"/>
  <c r="G99" i="16"/>
  <c r="R99" i="16" s="1"/>
  <c r="L99" i="16"/>
  <c r="Q99" i="16"/>
  <c r="G103" i="16"/>
  <c r="R103" i="16" s="1"/>
  <c r="Q103" i="16"/>
  <c r="AO21" i="16"/>
  <c r="AN32" i="16"/>
  <c r="AO80" i="16"/>
  <c r="Z93" i="16"/>
  <c r="AF104" i="16"/>
  <c r="AL104" i="16" s="1"/>
  <c r="J18" i="16"/>
  <c r="S18" i="16" s="1"/>
  <c r="O18" i="16"/>
  <c r="G19" i="16"/>
  <c r="R19" i="16" s="1"/>
  <c r="Q21" i="16"/>
  <c r="J22" i="16"/>
  <c r="S22" i="16" s="1"/>
  <c r="L27" i="16"/>
  <c r="G40" i="16"/>
  <c r="R40" i="16" s="1"/>
  <c r="AR71" i="16"/>
  <c r="BC73" i="16"/>
  <c r="J87" i="16"/>
  <c r="S87" i="16" s="1"/>
  <c r="BG19" i="16"/>
  <c r="O19" i="16"/>
  <c r="AR29" i="16"/>
  <c r="BF34" i="16"/>
  <c r="AX70" i="16"/>
  <c r="BD70" i="16" s="1"/>
  <c r="BC27" i="16"/>
  <c r="G37" i="16"/>
  <c r="R37" i="16" s="1"/>
  <c r="Q55" i="16"/>
  <c r="Q54" i="16" s="1"/>
  <c r="Q57" i="16"/>
  <c r="BC78" i="16"/>
  <c r="L18" i="16"/>
  <c r="G20" i="16"/>
  <c r="R20" i="16" s="1"/>
  <c r="L22" i="16"/>
  <c r="J23" i="16"/>
  <c r="S23" i="16" s="1"/>
  <c r="L24" i="16"/>
  <c r="Q24" i="16"/>
  <c r="O27" i="16"/>
  <c r="O29" i="16"/>
  <c r="Q34" i="16"/>
  <c r="L37" i="16"/>
  <c r="G39" i="16"/>
  <c r="R39" i="16" s="1"/>
  <c r="L39" i="16"/>
  <c r="O40" i="16"/>
  <c r="G41" i="16"/>
  <c r="R41" i="16" s="1"/>
  <c r="G45" i="16"/>
  <c r="R45" i="16" s="1"/>
  <c r="O46" i="16"/>
  <c r="G48" i="16"/>
  <c r="R48" i="16" s="1"/>
  <c r="L48" i="16"/>
  <c r="L47" i="16" s="1"/>
  <c r="O49" i="16"/>
  <c r="Q50" i="16"/>
  <c r="L57" i="16"/>
  <c r="O58" i="16"/>
  <c r="Q59" i="16"/>
  <c r="J60" i="16"/>
  <c r="S60" i="16" s="1"/>
  <c r="G61" i="16"/>
  <c r="R61" i="16" s="1"/>
  <c r="Q61" i="16"/>
  <c r="L64" i="16"/>
  <c r="Q64" i="16"/>
  <c r="G66" i="16"/>
  <c r="R66" i="16" s="1"/>
  <c r="J67" i="16"/>
  <c r="S67" i="16" s="1"/>
  <c r="O67" i="16"/>
  <c r="G68" i="16"/>
  <c r="R68" i="16" s="1"/>
  <c r="G70" i="16"/>
  <c r="R70" i="16" s="1"/>
  <c r="L70" i="16"/>
  <c r="O71" i="16"/>
  <c r="BF22" i="16"/>
  <c r="J42" i="16"/>
  <c r="S42" i="16" s="1"/>
  <c r="BC42" i="16"/>
  <c r="G59" i="16"/>
  <c r="R59" i="16" s="1"/>
  <c r="AR40" i="16"/>
  <c r="BF87" i="16"/>
  <c r="J19" i="16"/>
  <c r="S19" i="16" s="1"/>
  <c r="BG43" i="16"/>
  <c r="BA47" i="16"/>
  <c r="O87" i="16"/>
  <c r="Q76" i="16"/>
  <c r="L81" i="16"/>
  <c r="G86" i="16"/>
  <c r="R86" i="16" s="1"/>
  <c r="G74" i="16"/>
  <c r="R74" i="16" s="1"/>
  <c r="J78" i="16"/>
  <c r="G79" i="16"/>
  <c r="R79" i="16" s="1"/>
  <c r="Q81" i="16"/>
  <c r="L83" i="16"/>
  <c r="Q86" i="16"/>
  <c r="L94" i="16"/>
  <c r="G96" i="16"/>
  <c r="R96" i="16" s="1"/>
  <c r="O102" i="16"/>
  <c r="L103" i="16"/>
  <c r="O106" i="16"/>
  <c r="Q17" i="16"/>
  <c r="Q16" i="16" s="1"/>
  <c r="O20" i="16"/>
  <c r="L29" i="16"/>
  <c r="AD47" i="16"/>
  <c r="G49" i="16"/>
  <c r="R49" i="16" s="1"/>
  <c r="AK60" i="16"/>
  <c r="AK83" i="16"/>
  <c r="G89" i="16"/>
  <c r="R89" i="16" s="1"/>
  <c r="L89" i="16"/>
  <c r="G102" i="16"/>
  <c r="R102" i="16" s="1"/>
  <c r="AO22" i="16"/>
  <c r="G28" i="16"/>
  <c r="R28" i="16" s="1"/>
  <c r="J37" i="16"/>
  <c r="S37" i="16" s="1"/>
  <c r="J45" i="16"/>
  <c r="S45" i="16" s="1"/>
  <c r="G55" i="16"/>
  <c r="R55" i="16" s="1"/>
  <c r="G58" i="16"/>
  <c r="R58" i="16" s="1"/>
  <c r="Q78" i="16"/>
  <c r="Q77" i="16" s="1"/>
  <c r="L88" i="16"/>
  <c r="Q95" i="16"/>
  <c r="AN22" i="16"/>
  <c r="G22" i="16"/>
  <c r="R22" i="16" s="1"/>
  <c r="AF22" i="16"/>
  <c r="AL22" i="16" s="1"/>
  <c r="Q22" i="16"/>
  <c r="AK29" i="16"/>
  <c r="J29" i="16"/>
  <c r="S29" i="16" s="1"/>
  <c r="AN34" i="16"/>
  <c r="G34" i="16"/>
  <c r="R34" i="16" s="1"/>
  <c r="AC35" i="16"/>
  <c r="K36" i="16"/>
  <c r="BC39" i="16"/>
  <c r="K106" i="16"/>
  <c r="G32" i="16"/>
  <c r="R32" i="16" s="1"/>
  <c r="K19" i="16"/>
  <c r="J61" i="16"/>
  <c r="S61" i="16" s="1"/>
  <c r="Q27" i="16"/>
  <c r="AF27" i="16"/>
  <c r="AL27" i="16" s="1"/>
  <c r="AO31" i="16"/>
  <c r="AF31" i="16"/>
  <c r="AL31" i="16" s="1"/>
  <c r="Q36" i="16"/>
  <c r="Q35" i="16" s="1"/>
  <c r="AK38" i="16"/>
  <c r="J38" i="16"/>
  <c r="S38" i="16" s="1"/>
  <c r="Q48" i="16"/>
  <c r="Q47" i="16" s="1"/>
  <c r="AI47" i="16"/>
  <c r="J50" i="16"/>
  <c r="S50" i="16" s="1"/>
  <c r="M59" i="16"/>
  <c r="AM62" i="16"/>
  <c r="U63" i="16"/>
  <c r="U62" i="16" s="1"/>
  <c r="Q66" i="16"/>
  <c r="P67" i="16"/>
  <c r="Q71" i="16"/>
  <c r="AE77" i="16"/>
  <c r="M78" i="16"/>
  <c r="M77" i="16" s="1"/>
  <c r="I81" i="16"/>
  <c r="O82" i="16"/>
  <c r="AO82" i="16"/>
  <c r="Q83" i="16"/>
  <c r="AO89" i="16"/>
  <c r="O89" i="16"/>
  <c r="O91" i="16"/>
  <c r="AO91" i="16"/>
  <c r="L92" i="16"/>
  <c r="BC96" i="16"/>
  <c r="AR96" i="16"/>
  <c r="BC98" i="16"/>
  <c r="AT97" i="16"/>
  <c r="BC97" i="16" s="1"/>
  <c r="AR98" i="16"/>
  <c r="G101" i="16"/>
  <c r="R101" i="16" s="1"/>
  <c r="Q101" i="16"/>
  <c r="AF101" i="16"/>
  <c r="AL101" i="16" s="1"/>
  <c r="K105" i="16"/>
  <c r="G27" i="16"/>
  <c r="R27" i="16" s="1"/>
  <c r="G63" i="16"/>
  <c r="R63" i="16" s="1"/>
  <c r="K33" i="16"/>
  <c r="J100" i="16"/>
  <c r="S100" i="16" s="1"/>
  <c r="BC17" i="16"/>
  <c r="AT16" i="16"/>
  <c r="G18" i="16"/>
  <c r="R18" i="16" s="1"/>
  <c r="J21" i="16"/>
  <c r="S21" i="16" s="1"/>
  <c r="AF24" i="16"/>
  <c r="AL24" i="16" s="1"/>
  <c r="O24" i="16"/>
  <c r="AF25" i="16"/>
  <c r="AL25" i="16" s="1"/>
  <c r="O25" i="16"/>
  <c r="BF26" i="16"/>
  <c r="I27" i="16"/>
  <c r="M27" i="16"/>
  <c r="L28" i="16"/>
  <c r="Q28" i="16"/>
  <c r="G29" i="16"/>
  <c r="R29" i="16" s="1"/>
  <c r="P31" i="16"/>
  <c r="O34" i="16"/>
  <c r="I36" i="16"/>
  <c r="U36" i="16"/>
  <c r="U35" i="16" s="1"/>
  <c r="K38" i="16"/>
  <c r="K43" i="16"/>
  <c r="P43" i="16"/>
  <c r="O44" i="16"/>
  <c r="G46" i="16"/>
  <c r="R46" i="16" s="1"/>
  <c r="Q46" i="16"/>
  <c r="I48" i="16"/>
  <c r="M48" i="16"/>
  <c r="M47" i="16" s="1"/>
  <c r="P49" i="16"/>
  <c r="AK53" i="16"/>
  <c r="J53" i="16"/>
  <c r="S53" i="16" s="1"/>
  <c r="AB54" i="16"/>
  <c r="AK54" i="16" s="1"/>
  <c r="J55" i="16"/>
  <c r="S55" i="16" s="1"/>
  <c r="AG54" i="16"/>
  <c r="O55" i="16"/>
  <c r="AK56" i="16"/>
  <c r="J56" i="16"/>
  <c r="S56" i="16" s="1"/>
  <c r="K58" i="16"/>
  <c r="P58" i="16"/>
  <c r="K60" i="16"/>
  <c r="O61" i="16"/>
  <c r="AZ62" i="16"/>
  <c r="O63" i="16"/>
  <c r="I66" i="16"/>
  <c r="M66" i="16"/>
  <c r="U66" i="16"/>
  <c r="J69" i="16"/>
  <c r="S69" i="16" s="1"/>
  <c r="O69" i="16"/>
  <c r="I70" i="16"/>
  <c r="I71" i="16"/>
  <c r="U71" i="16"/>
  <c r="Q72" i="16"/>
  <c r="G73" i="16"/>
  <c r="R73" i="16" s="1"/>
  <c r="L73" i="16"/>
  <c r="Q73" i="16"/>
  <c r="AF73" i="16"/>
  <c r="AL73" i="16" s="1"/>
  <c r="AF78" i="16"/>
  <c r="O78" i="16"/>
  <c r="O79" i="16"/>
  <c r="O80" i="16"/>
  <c r="I83" i="16"/>
  <c r="M83" i="16"/>
  <c r="U83" i="16"/>
  <c r="AU84" i="16"/>
  <c r="K89" i="16"/>
  <c r="K90" i="16"/>
  <c r="K91" i="16"/>
  <c r="I101" i="16"/>
  <c r="M101" i="16"/>
  <c r="J103" i="16"/>
  <c r="S103" i="16" s="1"/>
  <c r="O103" i="16"/>
  <c r="G105" i="16"/>
  <c r="R105" i="16" s="1"/>
  <c r="AF105" i="16"/>
  <c r="AL105" i="16" s="1"/>
  <c r="Q105" i="16"/>
  <c r="I106" i="16"/>
  <c r="J20" i="16"/>
  <c r="S20" i="16" s="1"/>
  <c r="M36" i="16"/>
  <c r="M35" i="16" s="1"/>
  <c r="J41" i="16"/>
  <c r="S41" i="16" s="1"/>
  <c r="J43" i="16"/>
  <c r="S43" i="16" s="1"/>
  <c r="K63" i="16"/>
  <c r="J76" i="16"/>
  <c r="S76" i="16" s="1"/>
  <c r="J79" i="16"/>
  <c r="S79" i="16" s="1"/>
  <c r="J95" i="16"/>
  <c r="S95" i="16" s="1"/>
  <c r="K98" i="16"/>
  <c r="K97" i="16" s="1"/>
  <c r="O31" i="16"/>
  <c r="P55" i="16"/>
  <c r="O85" i="16"/>
  <c r="U85" i="16"/>
  <c r="U84" i="16" s="1"/>
  <c r="AN19" i="16"/>
  <c r="AN21" i="16"/>
  <c r="G21" i="16"/>
  <c r="R21" i="16" s="1"/>
  <c r="AF28" i="16"/>
  <c r="AL28" i="16" s="1"/>
  <c r="O28" i="16"/>
  <c r="AK30" i="16"/>
  <c r="J30" i="16"/>
  <c r="S30" i="16" s="1"/>
  <c r="BC60" i="16"/>
  <c r="AK72" i="16"/>
  <c r="J72" i="16"/>
  <c r="S72" i="16" s="1"/>
  <c r="BG93" i="16"/>
  <c r="I40" i="16"/>
  <c r="O93" i="16"/>
  <c r="P19" i="16"/>
  <c r="AO34" i="16"/>
  <c r="I34" i="16"/>
  <c r="BC36" i="16"/>
  <c r="AT35" i="16"/>
  <c r="BC35" i="16" s="1"/>
  <c r="Q37" i="16"/>
  <c r="AF38" i="16"/>
  <c r="AL38" i="16" s="1"/>
  <c r="O38" i="16"/>
  <c r="J39" i="16"/>
  <c r="S39" i="16" s="1"/>
  <c r="J49" i="16"/>
  <c r="S49" i="16" s="1"/>
  <c r="AK49" i="16"/>
  <c r="J58" i="16"/>
  <c r="S58" i="16" s="1"/>
  <c r="AK58" i="16"/>
  <c r="AO59" i="16"/>
  <c r="I59" i="16"/>
  <c r="O60" i="16"/>
  <c r="M63" i="16"/>
  <c r="M62" i="16" s="1"/>
  <c r="AE62" i="16"/>
  <c r="M81" i="16"/>
  <c r="AK91" i="16"/>
  <c r="J91" i="16"/>
  <c r="S91" i="16" s="1"/>
  <c r="G92" i="16"/>
  <c r="R92" i="16" s="1"/>
  <c r="Q92" i="16"/>
  <c r="P105" i="16"/>
  <c r="K31" i="16"/>
  <c r="L36" i="16"/>
  <c r="L35" i="16" s="1"/>
  <c r="P36" i="16"/>
  <c r="P35" i="16" s="1"/>
  <c r="AO17" i="16"/>
  <c r="AO16" i="16" s="1"/>
  <c r="AA16" i="16"/>
  <c r="U17" i="16"/>
  <c r="U16" i="16" s="1"/>
  <c r="Z18" i="16"/>
  <c r="I18" i="16"/>
  <c r="M18" i="16"/>
  <c r="K20" i="16"/>
  <c r="K21" i="16"/>
  <c r="AF23" i="16"/>
  <c r="AL23" i="16" s="1"/>
  <c r="K24" i="16"/>
  <c r="K25" i="16"/>
  <c r="P26" i="16"/>
  <c r="P32" i="16"/>
  <c r="O36" i="16"/>
  <c r="G38" i="16"/>
  <c r="R38" i="16" s="1"/>
  <c r="Q38" i="16"/>
  <c r="U41" i="16"/>
  <c r="G42" i="16"/>
  <c r="R42" i="16" s="1"/>
  <c r="G43" i="16"/>
  <c r="R43" i="16" s="1"/>
  <c r="L43" i="16"/>
  <c r="Y47" i="16"/>
  <c r="AJ47" i="16" s="1"/>
  <c r="AY47" i="16"/>
  <c r="U48" i="16"/>
  <c r="U47" i="16" s="1"/>
  <c r="BG50" i="16"/>
  <c r="J51" i="16"/>
  <c r="S51" i="16" s="1"/>
  <c r="AK51" i="16"/>
  <c r="Q52" i="16"/>
  <c r="K53" i="16"/>
  <c r="K56" i="16"/>
  <c r="P56" i="16"/>
  <c r="J57" i="16"/>
  <c r="S57" i="16" s="1"/>
  <c r="U57" i="16"/>
  <c r="L58" i="16"/>
  <c r="AK67" i="16"/>
  <c r="AG77" i="16"/>
  <c r="K78" i="16"/>
  <c r="G87" i="16"/>
  <c r="R87" i="16" s="1"/>
  <c r="G88" i="16"/>
  <c r="R88" i="16" s="1"/>
  <c r="Q90" i="16"/>
  <c r="O96" i="16"/>
  <c r="BF96" i="16"/>
  <c r="AK98" i="16"/>
  <c r="J98" i="16"/>
  <c r="O98" i="16"/>
  <c r="AG97" i="16"/>
  <c r="Q102" i="16"/>
  <c r="J104" i="16"/>
  <c r="S104" i="16" s="1"/>
  <c r="G85" i="16"/>
  <c r="R85" i="16" s="1"/>
  <c r="L17" i="16"/>
  <c r="L16" i="16" s="1"/>
  <c r="K22" i="16"/>
  <c r="K32" i="16"/>
  <c r="J46" i="16"/>
  <c r="S46" i="16" s="1"/>
  <c r="J64" i="16"/>
  <c r="S64" i="16" s="1"/>
  <c r="I78" i="16"/>
  <c r="I80" i="16"/>
  <c r="J82" i="16"/>
  <c r="S82" i="16" s="1"/>
  <c r="K85" i="16"/>
  <c r="J99" i="16"/>
  <c r="S99" i="16" s="1"/>
  <c r="O57" i="16"/>
  <c r="P98" i="16"/>
  <c r="P97" i="16" s="1"/>
  <c r="AF17" i="16"/>
  <c r="AL17" i="16" s="1"/>
  <c r="O17" i="16"/>
  <c r="AX18" i="16"/>
  <c r="BD18" i="16" s="1"/>
  <c r="U20" i="16"/>
  <c r="U21" i="16"/>
  <c r="AN24" i="16"/>
  <c r="AX24" i="16"/>
  <c r="BD24" i="16" s="1"/>
  <c r="AN26" i="16"/>
  <c r="AF26" i="16"/>
  <c r="AL26" i="16" s="1"/>
  <c r="Q26" i="16"/>
  <c r="P29" i="16"/>
  <c r="P30" i="16"/>
  <c r="BF30" i="16"/>
  <c r="Q31" i="16"/>
  <c r="AO32" i="16"/>
  <c r="O32" i="16"/>
  <c r="AF33" i="16"/>
  <c r="AL33" i="16" s="1"/>
  <c r="O33" i="16"/>
  <c r="AX34" i="16"/>
  <c r="BD34" i="16" s="1"/>
  <c r="AO37" i="16"/>
  <c r="I37" i="16"/>
  <c r="M37" i="16"/>
  <c r="P38" i="16"/>
  <c r="K39" i="16"/>
  <c r="P39" i="16"/>
  <c r="AX40" i="16"/>
  <c r="BD40" i="16" s="1"/>
  <c r="O41" i="16"/>
  <c r="L42" i="16"/>
  <c r="AX42" i="16"/>
  <c r="BD42" i="16" s="1"/>
  <c r="Q43" i="16"/>
  <c r="J44" i="16"/>
  <c r="S44" i="16" s="1"/>
  <c r="I45" i="16"/>
  <c r="M45" i="16"/>
  <c r="U45" i="16"/>
  <c r="L46" i="16"/>
  <c r="Q49" i="16"/>
  <c r="O50" i="16"/>
  <c r="U50" i="16"/>
  <c r="L51" i="16"/>
  <c r="AR55" i="16"/>
  <c r="L56" i="16"/>
  <c r="Q58" i="16"/>
  <c r="P60" i="16"/>
  <c r="J63" i="16"/>
  <c r="O64" i="16"/>
  <c r="O65" i="16"/>
  <c r="I68" i="16"/>
  <c r="M68" i="16"/>
  <c r="U68" i="16"/>
  <c r="P69" i="16"/>
  <c r="AO70" i="16"/>
  <c r="AF74" i="16"/>
  <c r="AL74" i="16" s="1"/>
  <c r="I76" i="16"/>
  <c r="M76" i="16"/>
  <c r="U76" i="16"/>
  <c r="P78" i="16"/>
  <c r="AX79" i="16"/>
  <c r="BD79" i="16" s="1"/>
  <c r="J80" i="16"/>
  <c r="S80" i="16" s="1"/>
  <c r="P82" i="16"/>
  <c r="AK85" i="16"/>
  <c r="J85" i="16"/>
  <c r="BF85" i="16"/>
  <c r="BF84" i="16" s="1"/>
  <c r="O86" i="16"/>
  <c r="L87" i="16"/>
  <c r="K88" i="16"/>
  <c r="P88" i="16"/>
  <c r="P91" i="16"/>
  <c r="AX94" i="16"/>
  <c r="BD94" i="16" s="1"/>
  <c r="L95" i="16"/>
  <c r="K96" i="16"/>
  <c r="P96" i="16"/>
  <c r="O99" i="16"/>
  <c r="O100" i="16"/>
  <c r="O104" i="16"/>
  <c r="G17" i="16"/>
  <c r="R17" i="16" s="1"/>
  <c r="J17" i="16"/>
  <c r="I22" i="16"/>
  <c r="K28" i="16"/>
  <c r="J74" i="16"/>
  <c r="S74" i="16" s="1"/>
  <c r="I105" i="16"/>
  <c r="P17" i="16"/>
  <c r="P16" i="16" s="1"/>
  <c r="O70" i="16"/>
  <c r="P85" i="16"/>
  <c r="P84" i="16" s="1"/>
  <c r="AO19" i="16"/>
  <c r="Z20" i="16"/>
  <c r="AF20" i="16"/>
  <c r="AL20" i="16" s="1"/>
  <c r="AF21" i="16"/>
  <c r="AL21" i="16" s="1"/>
  <c r="O21" i="16"/>
  <c r="U24" i="16"/>
  <c r="AO25" i="16"/>
  <c r="U25" i="16"/>
  <c r="AO26" i="16"/>
  <c r="AN28" i="16"/>
  <c r="AX28" i="16"/>
  <c r="BD28" i="16" s="1"/>
  <c r="AF29" i="16"/>
  <c r="AL29" i="16" s="1"/>
  <c r="AN30" i="16"/>
  <c r="AF30" i="16"/>
  <c r="AL30" i="16" s="1"/>
  <c r="Q30" i="16"/>
  <c r="AR30" i="16"/>
  <c r="AK31" i="16"/>
  <c r="J31" i="16"/>
  <c r="S31" i="16" s="1"/>
  <c r="AX31" i="16"/>
  <c r="BD31" i="16" s="1"/>
  <c r="P33" i="16"/>
  <c r="K34" i="16"/>
  <c r="P34" i="16"/>
  <c r="BG34" i="16"/>
  <c r="AK36" i="16"/>
  <c r="J36" i="16"/>
  <c r="BF36" i="16"/>
  <c r="BF35" i="16" s="1"/>
  <c r="O37" i="16"/>
  <c r="U37" i="16"/>
  <c r="L38" i="16"/>
  <c r="Q39" i="16"/>
  <c r="BG39" i="16"/>
  <c r="J40" i="16"/>
  <c r="S40" i="16" s="1"/>
  <c r="BG41" i="16"/>
  <c r="U42" i="16"/>
  <c r="AX43" i="16"/>
  <c r="BD43" i="16" s="1"/>
  <c r="O45" i="16"/>
  <c r="K48" i="16"/>
  <c r="P48" i="16"/>
  <c r="P47" i="16" s="1"/>
  <c r="AX49" i="16"/>
  <c r="BD49" i="16" s="1"/>
  <c r="AX51" i="16"/>
  <c r="BD51" i="16" s="1"/>
  <c r="Q53" i="16"/>
  <c r="I55" i="16"/>
  <c r="M55" i="16"/>
  <c r="M54" i="16" s="1"/>
  <c r="U55" i="16"/>
  <c r="U54" i="16" s="1"/>
  <c r="AX56" i="16"/>
  <c r="BD56" i="16" s="1"/>
  <c r="K57" i="16"/>
  <c r="P57" i="16"/>
  <c r="BF59" i="16"/>
  <c r="L60" i="16"/>
  <c r="P65" i="16"/>
  <c r="Q67" i="16"/>
  <c r="O68" i="16"/>
  <c r="BF68" i="16"/>
  <c r="L69" i="16"/>
  <c r="K70" i="16"/>
  <c r="P70" i="16"/>
  <c r="AK71" i="16"/>
  <c r="J71" i="16"/>
  <c r="S71" i="16" s="1"/>
  <c r="I72" i="16"/>
  <c r="M72" i="16"/>
  <c r="O73" i="16"/>
  <c r="U73" i="16"/>
  <c r="K74" i="16"/>
  <c r="P74" i="16"/>
  <c r="J75" i="16"/>
  <c r="S75" i="16" s="1"/>
  <c r="O76" i="16"/>
  <c r="AD77" i="16"/>
  <c r="L78" i="16"/>
  <c r="L77" i="16" s="1"/>
  <c r="K79" i="16"/>
  <c r="P79" i="16"/>
  <c r="BG80" i="16"/>
  <c r="BF81" i="16"/>
  <c r="L82" i="16"/>
  <c r="AR86" i="16"/>
  <c r="U87" i="16"/>
  <c r="Q88" i="16"/>
  <c r="AX88" i="16"/>
  <c r="BD88" i="16" s="1"/>
  <c r="Q89" i="16"/>
  <c r="BG89" i="16"/>
  <c r="AX90" i="16"/>
  <c r="BD90" i="16" s="1"/>
  <c r="L91" i="16"/>
  <c r="AK93" i="16"/>
  <c r="J93" i="16"/>
  <c r="S93" i="16" s="1"/>
  <c r="BF93" i="16"/>
  <c r="I94" i="16"/>
  <c r="M94" i="16"/>
  <c r="U94" i="16"/>
  <c r="Z95" i="16"/>
  <c r="Q96" i="16"/>
  <c r="AI97" i="16"/>
  <c r="Q98" i="16"/>
  <c r="Q97" i="16" s="1"/>
  <c r="P100" i="16"/>
  <c r="AK102" i="16"/>
  <c r="J102" i="16"/>
  <c r="S102" i="16" s="1"/>
  <c r="P104" i="16"/>
  <c r="AK106" i="16"/>
  <c r="J106" i="16"/>
  <c r="G26" i="16"/>
  <c r="R26" i="16" s="1"/>
  <c r="G30" i="16"/>
  <c r="R30" i="16" s="1"/>
  <c r="K17" i="16"/>
  <c r="I19" i="16"/>
  <c r="K29" i="16"/>
  <c r="J32" i="16"/>
  <c r="S32" i="16" s="1"/>
  <c r="J33" i="16"/>
  <c r="S33" i="16" s="1"/>
  <c r="J34" i="16"/>
  <c r="S34" i="16" s="1"/>
  <c r="J52" i="16"/>
  <c r="S52" i="16" s="1"/>
  <c r="J68" i="16"/>
  <c r="S68" i="16" s="1"/>
  <c r="J70" i="16"/>
  <c r="S70" i="16" s="1"/>
  <c r="J86" i="16"/>
  <c r="S86" i="16" s="1"/>
  <c r="Q29" i="16"/>
  <c r="AN25" i="16"/>
  <c r="AN29" i="16"/>
  <c r="AR56" i="16"/>
  <c r="BG56" i="16"/>
  <c r="AR69" i="16"/>
  <c r="BG72" i="16"/>
  <c r="AR72" i="16"/>
  <c r="AX82" i="16"/>
  <c r="BD82" i="16" s="1"/>
  <c r="BG101" i="16"/>
  <c r="AR101" i="16"/>
  <c r="AF102" i="16"/>
  <c r="AL102" i="16" s="1"/>
  <c r="Z19" i="16"/>
  <c r="AF19" i="16"/>
  <c r="AL19" i="16" s="1"/>
  <c r="AN33" i="16"/>
  <c r="BF33" i="16"/>
  <c r="AR49" i="16"/>
  <c r="BC49" i="16"/>
  <c r="AR57" i="16"/>
  <c r="BC57" i="16"/>
  <c r="AR67" i="16"/>
  <c r="AF76" i="16"/>
  <c r="AL76" i="16" s="1"/>
  <c r="AO76" i="16"/>
  <c r="BF88" i="16"/>
  <c r="AK90" i="16"/>
  <c r="AC16" i="16"/>
  <c r="AG16" i="16"/>
  <c r="AM16" i="16"/>
  <c r="AY16" i="16"/>
  <c r="AR19" i="16"/>
  <c r="AO20" i="16"/>
  <c r="AR20" i="16"/>
  <c r="AN23" i="16"/>
  <c r="AO24" i="16"/>
  <c r="AN27" i="16"/>
  <c r="AO28" i="16"/>
  <c r="AO30" i="16"/>
  <c r="AX30" i="16"/>
  <c r="BD30" i="16" s="1"/>
  <c r="AN31" i="16"/>
  <c r="BF32" i="16"/>
  <c r="AX33" i="16"/>
  <c r="BD33" i="16" s="1"/>
  <c r="AB35" i="16"/>
  <c r="AK35" i="16" s="1"/>
  <c r="BG36" i="16"/>
  <c r="BG35" i="16" s="1"/>
  <c r="AR41" i="16"/>
  <c r="AX41" i="16"/>
  <c r="BD41" i="16" s="1"/>
  <c r="AR43" i="16"/>
  <c r="AR44" i="16"/>
  <c r="AM47" i="16"/>
  <c r="AR51" i="16"/>
  <c r="Z59" i="16"/>
  <c r="AK63" i="16"/>
  <c r="AB62" i="16"/>
  <c r="AK62" i="16" s="1"/>
  <c r="BF63" i="16"/>
  <c r="BF62" i="16" s="1"/>
  <c r="AR64" i="16"/>
  <c r="BG64" i="16"/>
  <c r="AN73" i="16"/>
  <c r="AK75" i="16"/>
  <c r="AC77" i="16"/>
  <c r="AZ84" i="16"/>
  <c r="AK94" i="16"/>
  <c r="AN100" i="16"/>
  <c r="AR48" i="16"/>
  <c r="AR47" i="16" s="1"/>
  <c r="BG48" i="16"/>
  <c r="BG47" i="16" s="1"/>
  <c r="AK55" i="16"/>
  <c r="AR60" i="16"/>
  <c r="BG60" i="16"/>
  <c r="AR95" i="16"/>
  <c r="BC95" i="16"/>
  <c r="AK103" i="16"/>
  <c r="AN17" i="16"/>
  <c r="AN16" i="16" s="1"/>
  <c r="BF20" i="16"/>
  <c r="BF29" i="16"/>
  <c r="AR39" i="16"/>
  <c r="AR17" i="16"/>
  <c r="AR16" i="16" s="1"/>
  <c r="AW16" i="16"/>
  <c r="AW14" i="16" s="1"/>
  <c r="AO18" i="16"/>
  <c r="AR18" i="16"/>
  <c r="AX21" i="16"/>
  <c r="BD21" i="16" s="1"/>
  <c r="AO23" i="16"/>
  <c r="BF23" i="16"/>
  <c r="AX25" i="16"/>
  <c r="BD25" i="16" s="1"/>
  <c r="AO27" i="16"/>
  <c r="BF27" i="16"/>
  <c r="AO29" i="16"/>
  <c r="AX29" i="16"/>
  <c r="BD29" i="16" s="1"/>
  <c r="BF31" i="16"/>
  <c r="AF32" i="16"/>
  <c r="AL32" i="16" s="1"/>
  <c r="AR32" i="16"/>
  <c r="BG33" i="16"/>
  <c r="AR34" i="16"/>
  <c r="AU35" i="16"/>
  <c r="AY35" i="16"/>
  <c r="BF37" i="16"/>
  <c r="AR42" i="16"/>
  <c r="AK44" i="16"/>
  <c r="AS47" i="16"/>
  <c r="AR50" i="16"/>
  <c r="BF52" i="16"/>
  <c r="AR58" i="16"/>
  <c r="AR65" i="16"/>
  <c r="BC65" i="16"/>
  <c r="BF66" i="16"/>
  <c r="BC69" i="16"/>
  <c r="AN104" i="16"/>
  <c r="AR45" i="16"/>
  <c r="AX45" i="16"/>
  <c r="BD45" i="16" s="1"/>
  <c r="AX46" i="16"/>
  <c r="BD46" i="16" s="1"/>
  <c r="BF48" i="16"/>
  <c r="BF47" i="16" s="1"/>
  <c r="AX50" i="16"/>
  <c r="BD50" i="16" s="1"/>
  <c r="AR53" i="16"/>
  <c r="AX53" i="16"/>
  <c r="BD53" i="16" s="1"/>
  <c r="BC55" i="16"/>
  <c r="BF56" i="16"/>
  <c r="AX58" i="16"/>
  <c r="BD58" i="16" s="1"/>
  <c r="BC61" i="16"/>
  <c r="BC63" i="16"/>
  <c r="BF64" i="16"/>
  <c r="BF65" i="16"/>
  <c r="BG70" i="16"/>
  <c r="BG71" i="16"/>
  <c r="AN76" i="16"/>
  <c r="BF79" i="16"/>
  <c r="BF83" i="16"/>
  <c r="AR88" i="16"/>
  <c r="Z89" i="16"/>
  <c r="AX89" i="16"/>
  <c r="BD89" i="16" s="1"/>
  <c r="BG90" i="16"/>
  <c r="AR92" i="16"/>
  <c r="AC97" i="16"/>
  <c r="AK99" i="16"/>
  <c r="AR100" i="16"/>
  <c r="AR104" i="16"/>
  <c r="BG104" i="16"/>
  <c r="AR106" i="16"/>
  <c r="BG106" i="16"/>
  <c r="BF50" i="16"/>
  <c r="AX52" i="16"/>
  <c r="BD52" i="16" s="1"/>
  <c r="AX55" i="16"/>
  <c r="BD55" i="16" s="1"/>
  <c r="BF58" i="16"/>
  <c r="Z61" i="16"/>
  <c r="AX66" i="16"/>
  <c r="BD66" i="16" s="1"/>
  <c r="AX68" i="16"/>
  <c r="BD68" i="16" s="1"/>
  <c r="AF71" i="16"/>
  <c r="AL71" i="16" s="1"/>
  <c r="AO73" i="16"/>
  <c r="BF73" i="16"/>
  <c r="AX73" i="16"/>
  <c r="BD73" i="16" s="1"/>
  <c r="BF80" i="16"/>
  <c r="AX85" i="16"/>
  <c r="BD85" i="16" s="1"/>
  <c r="AK87" i="16"/>
  <c r="AK89" i="16"/>
  <c r="AR94" i="16"/>
  <c r="BG94" i="16"/>
  <c r="AO101" i="16"/>
  <c r="Z101" i="16"/>
  <c r="AO106" i="16"/>
  <c r="Z106" i="16"/>
  <c r="AX75" i="16"/>
  <c r="BD75" i="16" s="1"/>
  <c r="BF76" i="16"/>
  <c r="AN79" i="16"/>
  <c r="AF80" i="16"/>
  <c r="AL80" i="16" s="1"/>
  <c r="BG82" i="16"/>
  <c r="BG83" i="16"/>
  <c r="BF89" i="16"/>
  <c r="Z91" i="16"/>
  <c r="BC91" i="16"/>
  <c r="AX92" i="16"/>
  <c r="BD92" i="16" s="1"/>
  <c r="AO93" i="16"/>
  <c r="BF100" i="16"/>
  <c r="AX74" i="16"/>
  <c r="BD74" i="16" s="1"/>
  <c r="BG76" i="16"/>
  <c r="AO86" i="16"/>
  <c r="BG86" i="16"/>
  <c r="BF92" i="16"/>
  <c r="AX96" i="16"/>
  <c r="BD96" i="16" s="1"/>
  <c r="BG98" i="16"/>
  <c r="AX99" i="16"/>
  <c r="BD99" i="16" s="1"/>
  <c r="AF103" i="16"/>
  <c r="AL103" i="16" s="1"/>
  <c r="BG17" i="16"/>
  <c r="BG16" i="16" s="1"/>
  <c r="AK18" i="16"/>
  <c r="BF18" i="16"/>
  <c r="AX20" i="16"/>
  <c r="BD20" i="16" s="1"/>
  <c r="BF21" i="16"/>
  <c r="AK22" i="16"/>
  <c r="Z22" i="16"/>
  <c r="AR22" i="16"/>
  <c r="BG22" i="16"/>
  <c r="AX23" i="16"/>
  <c r="BD23" i="16" s="1"/>
  <c r="BF25" i="16"/>
  <c r="AK26" i="16"/>
  <c r="Z26" i="16"/>
  <c r="AR26" i="16"/>
  <c r="BG26" i="16"/>
  <c r="AX27" i="16"/>
  <c r="BD27" i="16" s="1"/>
  <c r="AU16" i="16"/>
  <c r="AK17" i="16"/>
  <c r="BF17" i="16"/>
  <c r="BF16" i="16" s="1"/>
  <c r="AX19" i="16"/>
  <c r="BD19" i="16" s="1"/>
  <c r="AN20" i="16"/>
  <c r="BG20" i="16"/>
  <c r="AK21" i="16"/>
  <c r="Z21" i="16"/>
  <c r="AR21" i="16"/>
  <c r="BG21" i="16"/>
  <c r="AX22" i="16"/>
  <c r="BD22" i="16" s="1"/>
  <c r="BF24" i="16"/>
  <c r="AK25" i="16"/>
  <c r="Z25" i="16"/>
  <c r="AR25" i="16"/>
  <c r="BG25" i="16"/>
  <c r="AX26" i="16"/>
  <c r="BD26" i="16" s="1"/>
  <c r="BF28" i="16"/>
  <c r="AK20" i="16"/>
  <c r="AK24" i="16"/>
  <c r="Z24" i="16"/>
  <c r="AR24" i="16"/>
  <c r="BG24" i="16"/>
  <c r="AK28" i="16"/>
  <c r="Z28" i="16"/>
  <c r="AR28" i="16"/>
  <c r="BG28" i="16"/>
  <c r="AS16" i="16"/>
  <c r="AN18" i="16"/>
  <c r="BG18" i="16"/>
  <c r="AK19" i="16"/>
  <c r="BF19" i="16"/>
  <c r="AK23" i="16"/>
  <c r="Z23" i="16"/>
  <c r="AR23" i="16"/>
  <c r="BG23" i="16"/>
  <c r="AK27" i="16"/>
  <c r="Z27" i="16"/>
  <c r="AR27" i="16"/>
  <c r="BG27" i="16"/>
  <c r="Z29" i="16"/>
  <c r="BG29" i="16"/>
  <c r="Z30" i="16"/>
  <c r="BG30" i="16"/>
  <c r="Z31" i="16"/>
  <c r="BG31" i="16"/>
  <c r="Z32" i="16"/>
  <c r="BG32" i="16"/>
  <c r="AF34" i="16"/>
  <c r="AL34" i="16" s="1"/>
  <c r="AN36" i="16"/>
  <c r="AN35" i="16" s="1"/>
  <c r="Z37" i="16"/>
  <c r="AR37" i="16"/>
  <c r="AX38" i="16"/>
  <c r="BD38" i="16" s="1"/>
  <c r="AN39" i="16"/>
  <c r="AN41" i="16"/>
  <c r="AN43" i="16"/>
  <c r="AN45" i="16"/>
  <c r="AO48" i="16"/>
  <c r="AO47" i="16" s="1"/>
  <c r="Z48" i="16"/>
  <c r="Z47" i="16" s="1"/>
  <c r="BF49" i="16"/>
  <c r="AO50" i="16"/>
  <c r="Z50" i="16"/>
  <c r="BF51" i="16"/>
  <c r="AO52" i="16"/>
  <c r="Z52" i="16"/>
  <c r="BF53" i="16"/>
  <c r="BF55" i="16"/>
  <c r="BF54" i="16" s="1"/>
  <c r="AO56" i="16"/>
  <c r="Z56" i="16"/>
  <c r="BF57" i="16"/>
  <c r="AO58" i="16"/>
  <c r="Z58" i="16"/>
  <c r="AO60" i="16"/>
  <c r="Z60" i="16"/>
  <c r="AO61" i="16"/>
  <c r="BF61" i="16"/>
  <c r="AO63" i="16"/>
  <c r="Z63" i="16"/>
  <c r="AA62" i="16"/>
  <c r="AX63" i="16"/>
  <c r="BG63" i="16"/>
  <c r="BG62" i="16" s="1"/>
  <c r="BF67" i="16"/>
  <c r="AO68" i="16"/>
  <c r="Z68" i="16"/>
  <c r="AF75" i="16"/>
  <c r="AL75" i="16" s="1"/>
  <c r="BC81" i="16"/>
  <c r="Z82" i="16"/>
  <c r="AR82" i="16"/>
  <c r="BF82" i="16"/>
  <c r="AF85" i="16"/>
  <c r="AO103" i="16"/>
  <c r="Z103" i="16"/>
  <c r="AF106" i="16"/>
  <c r="AL106" i="16" s="1"/>
  <c r="AN106" i="16"/>
  <c r="AX106" i="16"/>
  <c r="BD106" i="16" s="1"/>
  <c r="AR33" i="16"/>
  <c r="Y35" i="16"/>
  <c r="AJ35" i="16" s="1"/>
  <c r="AI35" i="16"/>
  <c r="Z36" i="16"/>
  <c r="Z35" i="16" s="1"/>
  <c r="AR36" i="16"/>
  <c r="AR35" i="16" s="1"/>
  <c r="AF37" i="16"/>
  <c r="AL37" i="16" s="1"/>
  <c r="BF38" i="16"/>
  <c r="BG38" i="16"/>
  <c r="AO39" i="16"/>
  <c r="Z39" i="16"/>
  <c r="BF40" i="16"/>
  <c r="BG40" i="16"/>
  <c r="AO41" i="16"/>
  <c r="Z41" i="16"/>
  <c r="BF42" i="16"/>
  <c r="BG42" i="16"/>
  <c r="AO43" i="16"/>
  <c r="Z43" i="16"/>
  <c r="BF44" i="16"/>
  <c r="BG44" i="16"/>
  <c r="AO45" i="16"/>
  <c r="Z45" i="16"/>
  <c r="BF46" i="16"/>
  <c r="BG46" i="16"/>
  <c r="AA47" i="16"/>
  <c r="AE47" i="16"/>
  <c r="AN49" i="16"/>
  <c r="AN51" i="16"/>
  <c r="AN53" i="16"/>
  <c r="AC54" i="16"/>
  <c r="AY54" i="16"/>
  <c r="AN55" i="16"/>
  <c r="AN54" i="16" s="1"/>
  <c r="AN57" i="16"/>
  <c r="AN61" i="16"/>
  <c r="AO65" i="16"/>
  <c r="Z65" i="16"/>
  <c r="AX65" i="16"/>
  <c r="BD65" i="16" s="1"/>
  <c r="BG65" i="16"/>
  <c r="BF69" i="16"/>
  <c r="BC70" i="16"/>
  <c r="Z71" i="16"/>
  <c r="AO71" i="16"/>
  <c r="BF71" i="16"/>
  <c r="AF72" i="16"/>
  <c r="AL72" i="16" s="1"/>
  <c r="AO72" i="16"/>
  <c r="Y77" i="16"/>
  <c r="AJ77" i="16" s="1"/>
  <c r="AN78" i="16"/>
  <c r="AN77" i="16" s="1"/>
  <c r="AF81" i="16"/>
  <c r="AL81" i="16" s="1"/>
  <c r="AR89" i="16"/>
  <c r="BC89" i="16"/>
  <c r="BG91" i="16"/>
  <c r="AX91" i="16"/>
  <c r="BD91" i="16" s="1"/>
  <c r="AK101" i="16"/>
  <c r="Z33" i="16"/>
  <c r="AF36" i="16"/>
  <c r="AN38" i="16"/>
  <c r="AN40" i="16"/>
  <c r="AN42" i="16"/>
  <c r="AN44" i="16"/>
  <c r="AN46" i="16"/>
  <c r="AO49" i="16"/>
  <c r="Z49" i="16"/>
  <c r="AO51" i="16"/>
  <c r="Z51" i="16"/>
  <c r="AO53" i="16"/>
  <c r="Z53" i="16"/>
  <c r="AO55" i="16"/>
  <c r="AO54" i="16" s="1"/>
  <c r="Z55" i="16"/>
  <c r="Z54" i="16" s="1"/>
  <c r="AO57" i="16"/>
  <c r="Z57" i="16"/>
  <c r="AR59" i="16"/>
  <c r="BC59" i="16"/>
  <c r="AC62" i="16"/>
  <c r="AO64" i="16"/>
  <c r="Z64" i="16"/>
  <c r="AO67" i="16"/>
  <c r="Z67" i="16"/>
  <c r="AX67" i="16"/>
  <c r="BD67" i="16" s="1"/>
  <c r="BG67" i="16"/>
  <c r="AN75" i="16"/>
  <c r="BG75" i="16"/>
  <c r="AR75" i="16"/>
  <c r="AK76" i="16"/>
  <c r="AI84" i="16"/>
  <c r="BF103" i="16"/>
  <c r="AO104" i="16"/>
  <c r="Z104" i="16"/>
  <c r="AO33" i="16"/>
  <c r="Z34" i="16"/>
  <c r="AG35" i="16"/>
  <c r="AM35" i="16"/>
  <c r="AO36" i="16"/>
  <c r="AO35" i="16" s="1"/>
  <c r="AN37" i="16"/>
  <c r="AO38" i="16"/>
  <c r="Z38" i="16"/>
  <c r="BF39" i="16"/>
  <c r="AO40" i="16"/>
  <c r="Z40" i="16"/>
  <c r="BF41" i="16"/>
  <c r="AO42" i="16"/>
  <c r="Z42" i="16"/>
  <c r="BF43" i="16"/>
  <c r="AO44" i="16"/>
  <c r="Z44" i="16"/>
  <c r="BF45" i="16"/>
  <c r="AO46" i="16"/>
  <c r="Z46" i="16"/>
  <c r="AC47" i="16"/>
  <c r="AN48" i="16"/>
  <c r="AN47" i="16" s="1"/>
  <c r="BG49" i="16"/>
  <c r="AN50" i="16"/>
  <c r="BG51" i="16"/>
  <c r="AN52" i="16"/>
  <c r="BG53" i="16"/>
  <c r="AA54" i="16"/>
  <c r="AQ54" i="16"/>
  <c r="BG55" i="16"/>
  <c r="BG54" i="16" s="1"/>
  <c r="AN56" i="16"/>
  <c r="BG57" i="16"/>
  <c r="AN58" i="16"/>
  <c r="BG61" i="16"/>
  <c r="AX61" i="16"/>
  <c r="BD61" i="16" s="1"/>
  <c r="AY62" i="16"/>
  <c r="AO66" i="16"/>
  <c r="Z66" i="16"/>
  <c r="AO69" i="16"/>
  <c r="Z69" i="16"/>
  <c r="AF70" i="16"/>
  <c r="AL70" i="16" s="1"/>
  <c r="BF70" i="16"/>
  <c r="AN71" i="16"/>
  <c r="BG73" i="16"/>
  <c r="AR73" i="16"/>
  <c r="AK78" i="16"/>
  <c r="AB77" i="16"/>
  <c r="BG78" i="16"/>
  <c r="BG77" i="16" s="1"/>
  <c r="AS77" i="16"/>
  <c r="AR78" i="16"/>
  <c r="BC85" i="16"/>
  <c r="AT84" i="16"/>
  <c r="BC84" i="16" s="1"/>
  <c r="Z86" i="16"/>
  <c r="BF86" i="16"/>
  <c r="AN91" i="16"/>
  <c r="AN95" i="16"/>
  <c r="AO98" i="16"/>
  <c r="Z98" i="16"/>
  <c r="AA97" i="16"/>
  <c r="AE97" i="16"/>
  <c r="AO99" i="16"/>
  <c r="Z99" i="16"/>
  <c r="AN101" i="16"/>
  <c r="AF40" i="16"/>
  <c r="AL40" i="16" s="1"/>
  <c r="AF42" i="16"/>
  <c r="AL42" i="16" s="1"/>
  <c r="AF44" i="16"/>
  <c r="AL44" i="16" s="1"/>
  <c r="AF46" i="16"/>
  <c r="AL46" i="16" s="1"/>
  <c r="AF48" i="16"/>
  <c r="AF50" i="16"/>
  <c r="AL50" i="16" s="1"/>
  <c r="AF52" i="16"/>
  <c r="AL52" i="16" s="1"/>
  <c r="AF56" i="16"/>
  <c r="AL56" i="16" s="1"/>
  <c r="AF58" i="16"/>
  <c r="AL58" i="16" s="1"/>
  <c r="AF60" i="16"/>
  <c r="AL60" i="16" s="1"/>
  <c r="AN63" i="16"/>
  <c r="AN62" i="16" s="1"/>
  <c r="AN65" i="16"/>
  <c r="AN67" i="16"/>
  <c r="AN69" i="16"/>
  <c r="Z70" i="16"/>
  <c r="BF72" i="16"/>
  <c r="AK73" i="16"/>
  <c r="AN74" i="16"/>
  <c r="BF75" i="16"/>
  <c r="AX78" i="16"/>
  <c r="BA77" i="16"/>
  <c r="BG79" i="16"/>
  <c r="AR79" i="16"/>
  <c r="AN80" i="16"/>
  <c r="Z81" i="16"/>
  <c r="AO81" i="16"/>
  <c r="AN83" i="16"/>
  <c r="Z85" i="16"/>
  <c r="Z84" i="16" s="1"/>
  <c r="AA84" i="16"/>
  <c r="AO85" i="16"/>
  <c r="AO84" i="16" s="1"/>
  <c r="AE84" i="16"/>
  <c r="AN87" i="16"/>
  <c r="AN96" i="16"/>
  <c r="AF100" i="16"/>
  <c r="AL100" i="16" s="1"/>
  <c r="AX102" i="16"/>
  <c r="BD102" i="16" s="1"/>
  <c r="AF39" i="16"/>
  <c r="AL39" i="16" s="1"/>
  <c r="AF41" i="16"/>
  <c r="AL41" i="16" s="1"/>
  <c r="AF43" i="16"/>
  <c r="AL43" i="16" s="1"/>
  <c r="AF45" i="16"/>
  <c r="AL45" i="16" s="1"/>
  <c r="AG47" i="16"/>
  <c r="AF49" i="16"/>
  <c r="AL49" i="16" s="1"/>
  <c r="AF51" i="16"/>
  <c r="AL51" i="16" s="1"/>
  <c r="AF53" i="16"/>
  <c r="AL53" i="16" s="1"/>
  <c r="AD54" i="16"/>
  <c r="AI54" i="16"/>
  <c r="AF55" i="16"/>
  <c r="AF57" i="16"/>
  <c r="AL57" i="16" s="1"/>
  <c r="AN59" i="16"/>
  <c r="AN60" i="16"/>
  <c r="BF60" i="16"/>
  <c r="AN64" i="16"/>
  <c r="AN66" i="16"/>
  <c r="AN68" i="16"/>
  <c r="BG74" i="16"/>
  <c r="AR74" i="16"/>
  <c r="AF79" i="16"/>
  <c r="AL79" i="16" s="1"/>
  <c r="AK80" i="16"/>
  <c r="AN81" i="16"/>
  <c r="AF82" i="16"/>
  <c r="AL82" i="16" s="1"/>
  <c r="Z83" i="16"/>
  <c r="AO83" i="16"/>
  <c r="AC84" i="16"/>
  <c r="AN85" i="16"/>
  <c r="AN84" i="16" s="1"/>
  <c r="AF86" i="16"/>
  <c r="AL86" i="16" s="1"/>
  <c r="Z87" i="16"/>
  <c r="AO87" i="16"/>
  <c r="BG87" i="16"/>
  <c r="AR87" i="16"/>
  <c r="BG95" i="16"/>
  <c r="AX95" i="16"/>
  <c r="BD95" i="16" s="1"/>
  <c r="AF96" i="16"/>
  <c r="AL96" i="16" s="1"/>
  <c r="AF59" i="16"/>
  <c r="AL59" i="16" s="1"/>
  <c r="AF61" i="16"/>
  <c r="AL61" i="16" s="1"/>
  <c r="AD62" i="16"/>
  <c r="AI62" i="16"/>
  <c r="AT62" i="16"/>
  <c r="BC62" i="16" s="1"/>
  <c r="AF63" i="16"/>
  <c r="AF65" i="16"/>
  <c r="AL65" i="16" s="1"/>
  <c r="AF67" i="16"/>
  <c r="AL67" i="16" s="1"/>
  <c r="AF69" i="16"/>
  <c r="AL69" i="16" s="1"/>
  <c r="BF74" i="16"/>
  <c r="Z75" i="16"/>
  <c r="AO75" i="16"/>
  <c r="AR76" i="16"/>
  <c r="AM77" i="16"/>
  <c r="AV77" i="16"/>
  <c r="AV14" i="16" s="1"/>
  <c r="BF78" i="16"/>
  <c r="BF77" i="16" s="1"/>
  <c r="Z79" i="16"/>
  <c r="AO79" i="16"/>
  <c r="AR80" i="16"/>
  <c r="BG81" i="16"/>
  <c r="AR81" i="16"/>
  <c r="AN82" i="16"/>
  <c r="AF83" i="16"/>
  <c r="AL83" i="16" s="1"/>
  <c r="BG85" i="16"/>
  <c r="BG84" i="16" s="1"/>
  <c r="AR85" i="16"/>
  <c r="AR84" i="16" s="1"/>
  <c r="AS84" i="16"/>
  <c r="AN86" i="16"/>
  <c r="AF87" i="16"/>
  <c r="AL87" i="16" s="1"/>
  <c r="AN88" i="16"/>
  <c r="AF92" i="16"/>
  <c r="AL92" i="16" s="1"/>
  <c r="AO94" i="16"/>
  <c r="Z94" i="16"/>
  <c r="AO95" i="16"/>
  <c r="BF95" i="16"/>
  <c r="AF64" i="16"/>
  <c r="AL64" i="16" s="1"/>
  <c r="AF66" i="16"/>
  <c r="AL66" i="16" s="1"/>
  <c r="AF68" i="16"/>
  <c r="AL68" i="16" s="1"/>
  <c r="AN70" i="16"/>
  <c r="AN72" i="16"/>
  <c r="Z73" i="16"/>
  <c r="Z74" i="16"/>
  <c r="AO74" i="16"/>
  <c r="Z78" i="16"/>
  <c r="Z77" i="16" s="1"/>
  <c r="AO78" i="16"/>
  <c r="AO77" i="16" s="1"/>
  <c r="AK88" i="16"/>
  <c r="AF88" i="16"/>
  <c r="AL88" i="16" s="1"/>
  <c r="AO90" i="16"/>
  <c r="Z90" i="16"/>
  <c r="BF91" i="16"/>
  <c r="AN92" i="16"/>
  <c r="AR93" i="16"/>
  <c r="BC93" i="16"/>
  <c r="AF99" i="16"/>
  <c r="AL99" i="16" s="1"/>
  <c r="BG99" i="16"/>
  <c r="AR99" i="16"/>
  <c r="AO100" i="16"/>
  <c r="Z100" i="16"/>
  <c r="AN102" i="16"/>
  <c r="AK105" i="16"/>
  <c r="Z105" i="16"/>
  <c r="BG69" i="16"/>
  <c r="Z72" i="16"/>
  <c r="Z76" i="16"/>
  <c r="Z80" i="16"/>
  <c r="AO88" i="16"/>
  <c r="Z88" i="16"/>
  <c r="BG88" i="16"/>
  <c r="AF90" i="16"/>
  <c r="AL90" i="16" s="1"/>
  <c r="AN93" i="16"/>
  <c r="AN94" i="16"/>
  <c r="BF94" i="16"/>
  <c r="AO96" i="16"/>
  <c r="Z96" i="16"/>
  <c r="BG96" i="16"/>
  <c r="BF99" i="16"/>
  <c r="AX100" i="16"/>
  <c r="BD100" i="16" s="1"/>
  <c r="BG100" i="16"/>
  <c r="AO102" i="16"/>
  <c r="BG102" i="16"/>
  <c r="AR102" i="16"/>
  <c r="BG103" i="16"/>
  <c r="AR103" i="16"/>
  <c r="AX104" i="16"/>
  <c r="BD104" i="16" s="1"/>
  <c r="AN89" i="16"/>
  <c r="AN90" i="16"/>
  <c r="BF90" i="16"/>
  <c r="AO92" i="16"/>
  <c r="Z92" i="16"/>
  <c r="AF94" i="16"/>
  <c r="AL94" i="16" s="1"/>
  <c r="AF98" i="16"/>
  <c r="AN98" i="16"/>
  <c r="AN97" i="16" s="1"/>
  <c r="AX98" i="16"/>
  <c r="AY97" i="16"/>
  <c r="AK100" i="16"/>
  <c r="AN103" i="16"/>
  <c r="BF105" i="16"/>
  <c r="AF89" i="16"/>
  <c r="AL89" i="16" s="1"/>
  <c r="AF91" i="16"/>
  <c r="AL91" i="16" s="1"/>
  <c r="AF93" i="16"/>
  <c r="AL93" i="16" s="1"/>
  <c r="AF95" i="16"/>
  <c r="AL95" i="16" s="1"/>
  <c r="AN99" i="16"/>
  <c r="BF101" i="16"/>
  <c r="AK104" i="16"/>
  <c r="BF104" i="16"/>
  <c r="AN105" i="16"/>
  <c r="BF98" i="16"/>
  <c r="BF97" i="16" s="1"/>
  <c r="AX101" i="16"/>
  <c r="BD101" i="16" s="1"/>
  <c r="BF102" i="16"/>
  <c r="AX105" i="16"/>
  <c r="BD105" i="16" s="1"/>
  <c r="BF106" i="16"/>
  <c r="AO62" i="16" l="1"/>
  <c r="P54" i="16"/>
  <c r="AR97" i="16"/>
  <c r="L84" i="16"/>
  <c r="Z97" i="16"/>
  <c r="AR77" i="16"/>
  <c r="AF77" i="16"/>
  <c r="AL77" i="16" s="1"/>
  <c r="AO97" i="16"/>
  <c r="P77" i="16"/>
  <c r="AR54" i="16"/>
  <c r="O97" i="16"/>
  <c r="K77" i="16"/>
  <c r="L97" i="16"/>
  <c r="P62" i="16"/>
  <c r="Q62" i="16"/>
  <c r="Z62" i="16"/>
  <c r="BG97" i="16"/>
  <c r="L54" i="16"/>
  <c r="AR62" i="16"/>
  <c r="Q84" i="16"/>
  <c r="L62" i="16"/>
  <c r="BD48" i="16"/>
  <c r="N64" i="16"/>
  <c r="T64" i="16" s="1"/>
  <c r="N50" i="16"/>
  <c r="T50" i="16" s="1"/>
  <c r="N30" i="16"/>
  <c r="T30" i="16" s="1"/>
  <c r="N43" i="16"/>
  <c r="T43" i="16" s="1"/>
  <c r="BA14" i="16"/>
  <c r="N80" i="16"/>
  <c r="T80" i="16" s="1"/>
  <c r="N59" i="16"/>
  <c r="T59" i="16" s="1"/>
  <c r="N42" i="16"/>
  <c r="T42" i="16" s="1"/>
  <c r="N33" i="16"/>
  <c r="T33" i="16" s="1"/>
  <c r="N105" i="16"/>
  <c r="T105" i="16" s="1"/>
  <c r="N20" i="16"/>
  <c r="T20" i="16" s="1"/>
  <c r="N23" i="16"/>
  <c r="T23" i="16" s="1"/>
  <c r="AX16" i="16"/>
  <c r="BD16" i="16" s="1"/>
  <c r="N94" i="16"/>
  <c r="T94" i="16" s="1"/>
  <c r="N88" i="16"/>
  <c r="T88" i="16" s="1"/>
  <c r="N69" i="16"/>
  <c r="T69" i="16" s="1"/>
  <c r="N44" i="16"/>
  <c r="T44" i="16" s="1"/>
  <c r="N76" i="16"/>
  <c r="T76" i="16" s="1"/>
  <c r="N60" i="16"/>
  <c r="T60" i="16" s="1"/>
  <c r="N101" i="16"/>
  <c r="T101" i="16" s="1"/>
  <c r="N40" i="16"/>
  <c r="T40" i="16" s="1"/>
  <c r="N26" i="16"/>
  <c r="T26" i="16" s="1"/>
  <c r="H105" i="16"/>
  <c r="N92" i="16"/>
  <c r="T92" i="16" s="1"/>
  <c r="N83" i="16"/>
  <c r="T83" i="16" s="1"/>
  <c r="N52" i="16"/>
  <c r="T52" i="16" s="1"/>
  <c r="W101" i="16"/>
  <c r="N29" i="16"/>
  <c r="T29" i="16" s="1"/>
  <c r="AX35" i="16"/>
  <c r="BD35" i="16" s="1"/>
  <c r="BD36" i="16"/>
  <c r="AE14" i="16"/>
  <c r="N39" i="16"/>
  <c r="T39" i="16" s="1"/>
  <c r="N93" i="16"/>
  <c r="T93" i="16" s="1"/>
  <c r="W19" i="16"/>
  <c r="H106" i="16"/>
  <c r="N49" i="16"/>
  <c r="T49" i="16" s="1"/>
  <c r="N25" i="16"/>
  <c r="T25" i="16" s="1"/>
  <c r="N66" i="16"/>
  <c r="T66" i="16" s="1"/>
  <c r="N87" i="16"/>
  <c r="T87" i="16" s="1"/>
  <c r="N56" i="16"/>
  <c r="T56" i="16" s="1"/>
  <c r="AD14" i="16"/>
  <c r="N90" i="16"/>
  <c r="T90" i="16" s="1"/>
  <c r="AX84" i="16"/>
  <c r="BD84" i="16" s="1"/>
  <c r="N22" i="16"/>
  <c r="T22" i="16" s="1"/>
  <c r="N75" i="16"/>
  <c r="T75" i="16" s="1"/>
  <c r="G97" i="16"/>
  <c r="R97" i="16" s="1"/>
  <c r="N81" i="16"/>
  <c r="T81" i="16" s="1"/>
  <c r="AI14" i="16"/>
  <c r="N86" i="16"/>
  <c r="T86" i="16" s="1"/>
  <c r="AZ14" i="16"/>
  <c r="N51" i="16"/>
  <c r="T51" i="16" s="1"/>
  <c r="AU14" i="16"/>
  <c r="N89" i="16"/>
  <c r="T89" i="16" s="1"/>
  <c r="N91" i="16"/>
  <c r="T91" i="16" s="1"/>
  <c r="N27" i="16"/>
  <c r="T27" i="16" s="1"/>
  <c r="N19" i="16"/>
  <c r="T19" i="16" s="1"/>
  <c r="AS14" i="16"/>
  <c r="AJ16" i="16"/>
  <c r="Y14" i="16"/>
  <c r="AJ14" i="16" s="1"/>
  <c r="AN14" i="16"/>
  <c r="AG14" i="16"/>
  <c r="BB16" i="16"/>
  <c r="AQ14" i="16"/>
  <c r="BB14" i="16" s="1"/>
  <c r="AM14" i="16"/>
  <c r="M14" i="16"/>
  <c r="BF14" i="16"/>
  <c r="BG14" i="16"/>
  <c r="AC14" i="16"/>
  <c r="N70" i="16"/>
  <c r="T70" i="16" s="1"/>
  <c r="U14" i="16"/>
  <c r="BC16" i="16"/>
  <c r="AT14" i="16"/>
  <c r="BC14" i="16" s="1"/>
  <c r="AB14" i="16"/>
  <c r="AK14" i="16" s="1"/>
  <c r="AY14" i="16"/>
  <c r="AA14" i="16"/>
  <c r="BB54" i="16"/>
  <c r="V23" i="16"/>
  <c r="AF16" i="16"/>
  <c r="N68" i="16"/>
  <c r="T68" i="16" s="1"/>
  <c r="AX54" i="16"/>
  <c r="BD54" i="16" s="1"/>
  <c r="N67" i="16"/>
  <c r="T67" i="16" s="1"/>
  <c r="N41" i="16"/>
  <c r="T41" i="16" s="1"/>
  <c r="N96" i="16"/>
  <c r="T96" i="16" s="1"/>
  <c r="J54" i="16"/>
  <c r="S54" i="16" s="1"/>
  <c r="W104" i="16"/>
  <c r="N31" i="16"/>
  <c r="T31" i="16" s="1"/>
  <c r="W17" i="16"/>
  <c r="W16" i="16" s="1"/>
  <c r="V27" i="16"/>
  <c r="G16" i="16"/>
  <c r="V25" i="16"/>
  <c r="N21" i="16"/>
  <c r="T21" i="16" s="1"/>
  <c r="N53" i="16"/>
  <c r="T53" i="16" s="1"/>
  <c r="W20" i="16"/>
  <c r="N99" i="16"/>
  <c r="T99" i="16" s="1"/>
  <c r="N95" i="16"/>
  <c r="T95" i="16" s="1"/>
  <c r="V80" i="16"/>
  <c r="V64" i="16"/>
  <c r="V30" i="16"/>
  <c r="N28" i="16"/>
  <c r="T28" i="16" s="1"/>
  <c r="N46" i="16"/>
  <c r="T46" i="16" s="1"/>
  <c r="AL78" i="16"/>
  <c r="N102" i="16"/>
  <c r="T102" i="16" s="1"/>
  <c r="N38" i="16"/>
  <c r="T38" i="16" s="1"/>
  <c r="H20" i="16"/>
  <c r="N34" i="16"/>
  <c r="T34" i="16" s="1"/>
  <c r="V19" i="16"/>
  <c r="W106" i="16"/>
  <c r="V70" i="16"/>
  <c r="N58" i="16"/>
  <c r="T58" i="16" s="1"/>
  <c r="V20" i="16"/>
  <c r="V83" i="16"/>
  <c r="N71" i="16"/>
  <c r="T71" i="16" s="1"/>
  <c r="N104" i="16"/>
  <c r="T104" i="16" s="1"/>
  <c r="S106" i="16"/>
  <c r="V68" i="16"/>
  <c r="V37" i="16"/>
  <c r="V31" i="16"/>
  <c r="N24" i="16"/>
  <c r="T24" i="16" s="1"/>
  <c r="V98" i="16"/>
  <c r="V97" i="16" s="1"/>
  <c r="V106" i="16"/>
  <c r="V21" i="16"/>
  <c r="V22" i="16"/>
  <c r="W21" i="16"/>
  <c r="V32" i="16"/>
  <c r="N32" i="16"/>
  <c r="T32" i="16" s="1"/>
  <c r="S63" i="16"/>
  <c r="J62" i="16"/>
  <c r="S62" i="16" s="1"/>
  <c r="V26" i="16"/>
  <c r="V73" i="16"/>
  <c r="N73" i="16"/>
  <c r="T73" i="16" s="1"/>
  <c r="V18" i="16"/>
  <c r="V67" i="16"/>
  <c r="V49" i="16"/>
  <c r="V104" i="16"/>
  <c r="V90" i="16"/>
  <c r="V89" i="16"/>
  <c r="N61" i="16"/>
  <c r="T61" i="16" s="1"/>
  <c r="N82" i="16"/>
  <c r="T82" i="16" s="1"/>
  <c r="N79" i="16"/>
  <c r="T79" i="16" s="1"/>
  <c r="V66" i="16"/>
  <c r="V101" i="16"/>
  <c r="V56" i="16"/>
  <c r="V52" i="16"/>
  <c r="V79" i="16"/>
  <c r="V51" i="16"/>
  <c r="N103" i="16"/>
  <c r="T103" i="16" s="1"/>
  <c r="V28" i="16"/>
  <c r="S48" i="16"/>
  <c r="J47" i="16"/>
  <c r="S47" i="16" s="1"/>
  <c r="V94" i="16"/>
  <c r="V93" i="16"/>
  <c r="V103" i="16"/>
  <c r="V53" i="16"/>
  <c r="H18" i="16"/>
  <c r="V99" i="16"/>
  <c r="N100" i="16"/>
  <c r="T100" i="16" s="1"/>
  <c r="H91" i="16"/>
  <c r="V71" i="16"/>
  <c r="V102" i="16"/>
  <c r="V60" i="16"/>
  <c r="V59" i="16"/>
  <c r="N45" i="16"/>
  <c r="T45" i="16" s="1"/>
  <c r="V95" i="16"/>
  <c r="V42" i="16"/>
  <c r="N72" i="16"/>
  <c r="T72" i="16" s="1"/>
  <c r="V24" i="16"/>
  <c r="V29" i="16"/>
  <c r="W92" i="16"/>
  <c r="H92" i="16"/>
  <c r="W93" i="16"/>
  <c r="H93" i="16"/>
  <c r="W83" i="16"/>
  <c r="H83" i="16"/>
  <c r="W59" i="16"/>
  <c r="H59" i="16"/>
  <c r="G62" i="16"/>
  <c r="R62" i="16" s="1"/>
  <c r="V63" i="16"/>
  <c r="V62" i="16" s="1"/>
  <c r="H98" i="16"/>
  <c r="W98" i="16"/>
  <c r="W97" i="16" s="1"/>
  <c r="I97" i="16"/>
  <c r="V91" i="16"/>
  <c r="V86" i="16"/>
  <c r="S85" i="16"/>
  <c r="J84" i="16"/>
  <c r="S84" i="16" s="1"/>
  <c r="AK77" i="16"/>
  <c r="G47" i="16"/>
  <c r="R47" i="16" s="1"/>
  <c r="V48" i="16"/>
  <c r="V47" i="16" s="1"/>
  <c r="H34" i="16"/>
  <c r="W34" i="16"/>
  <c r="W67" i="16"/>
  <c r="H67" i="16"/>
  <c r="W57" i="16"/>
  <c r="H57" i="16"/>
  <c r="V46" i="16"/>
  <c r="V38" i="16"/>
  <c r="O35" i="16"/>
  <c r="N36" i="16"/>
  <c r="W65" i="16"/>
  <c r="H65" i="16"/>
  <c r="N85" i="16"/>
  <c r="O84" i="16"/>
  <c r="W63" i="16"/>
  <c r="I62" i="16"/>
  <c r="H63" i="16"/>
  <c r="W60" i="16"/>
  <c r="H60" i="16"/>
  <c r="W58" i="16"/>
  <c r="H58" i="16"/>
  <c r="W56" i="16"/>
  <c r="H56" i="16"/>
  <c r="K54" i="16"/>
  <c r="V39" i="16"/>
  <c r="H30" i="16"/>
  <c r="W30" i="16"/>
  <c r="H23" i="16"/>
  <c r="W23" i="16"/>
  <c r="H21" i="16"/>
  <c r="J16" i="16"/>
  <c r="S17" i="16"/>
  <c r="H102" i="16"/>
  <c r="W102" i="16"/>
  <c r="W76" i="16"/>
  <c r="H76" i="16"/>
  <c r="W72" i="16"/>
  <c r="H72" i="16"/>
  <c r="V92" i="16"/>
  <c r="W90" i="16"/>
  <c r="H90" i="16"/>
  <c r="I77" i="16"/>
  <c r="W78" i="16"/>
  <c r="H78" i="16"/>
  <c r="N98" i="16"/>
  <c r="W94" i="16"/>
  <c r="H94" i="16"/>
  <c r="O62" i="16"/>
  <c r="N63" i="16"/>
  <c r="H101" i="16"/>
  <c r="N74" i="16"/>
  <c r="T74" i="16" s="1"/>
  <c r="O54" i="16"/>
  <c r="N55" i="16"/>
  <c r="I84" i="16"/>
  <c r="H85" i="16"/>
  <c r="W85" i="16"/>
  <c r="W84" i="16" s="1"/>
  <c r="V74" i="16"/>
  <c r="V69" i="16"/>
  <c r="O47" i="16"/>
  <c r="N48" i="16"/>
  <c r="S78" i="16"/>
  <c r="J77" i="16"/>
  <c r="S77" i="16" s="1"/>
  <c r="W64" i="16"/>
  <c r="H64" i="16"/>
  <c r="K62" i="16"/>
  <c r="W49" i="16"/>
  <c r="H49" i="16"/>
  <c r="V40" i="16"/>
  <c r="AL36" i="16"/>
  <c r="AF35" i="16"/>
  <c r="G54" i="16"/>
  <c r="R54" i="16" s="1"/>
  <c r="V55" i="16"/>
  <c r="V54" i="16" s="1"/>
  <c r="W45" i="16"/>
  <c r="H45" i="16"/>
  <c r="W41" i="16"/>
  <c r="H41" i="16"/>
  <c r="I35" i="16"/>
  <c r="W36" i="16"/>
  <c r="W35" i="16" s="1"/>
  <c r="H36" i="16"/>
  <c r="H35" i="16" s="1"/>
  <c r="V34" i="16"/>
  <c r="V105" i="16"/>
  <c r="H103" i="16"/>
  <c r="W103" i="16"/>
  <c r="AL85" i="16"/>
  <c r="AF84" i="16"/>
  <c r="AL84" i="16" s="1"/>
  <c r="V45" i="16"/>
  <c r="H31" i="16"/>
  <c r="W31" i="16"/>
  <c r="H104" i="16"/>
  <c r="H24" i="16"/>
  <c r="W24" i="16"/>
  <c r="V33" i="16"/>
  <c r="H19" i="16"/>
  <c r="N18" i="16"/>
  <c r="T18" i="16" s="1"/>
  <c r="W18" i="16"/>
  <c r="AF97" i="16"/>
  <c r="AL97" i="16" s="1"/>
  <c r="AL98" i="16"/>
  <c r="S98" i="16"/>
  <c r="J97" i="16"/>
  <c r="S97" i="16" s="1"/>
  <c r="W96" i="16"/>
  <c r="H96" i="16"/>
  <c r="W88" i="16"/>
  <c r="H88" i="16"/>
  <c r="W80" i="16"/>
  <c r="H80" i="16"/>
  <c r="H100" i="16"/>
  <c r="W100" i="16"/>
  <c r="H73" i="16"/>
  <c r="W73" i="16"/>
  <c r="V88" i="16"/>
  <c r="W79" i="16"/>
  <c r="H79" i="16"/>
  <c r="W75" i="16"/>
  <c r="H75" i="16"/>
  <c r="AF62" i="16"/>
  <c r="AL62" i="16" s="1"/>
  <c r="AL63" i="16"/>
  <c r="H87" i="16"/>
  <c r="W87" i="16"/>
  <c r="AF54" i="16"/>
  <c r="AL54" i="16" s="1"/>
  <c r="AL55" i="16"/>
  <c r="H81" i="16"/>
  <c r="W81" i="16"/>
  <c r="BD78" i="16"/>
  <c r="AX77" i="16"/>
  <c r="BD77" i="16" s="1"/>
  <c r="W70" i="16"/>
  <c r="H70" i="16"/>
  <c r="AF47" i="16"/>
  <c r="AL47" i="16" s="1"/>
  <c r="AL48" i="16"/>
  <c r="H99" i="16"/>
  <c r="W99" i="16"/>
  <c r="W69" i="16"/>
  <c r="H69" i="16"/>
  <c r="W46" i="16"/>
  <c r="H46" i="16"/>
  <c r="W44" i="16"/>
  <c r="H44" i="16"/>
  <c r="W42" i="16"/>
  <c r="H42" i="16"/>
  <c r="W40" i="16"/>
  <c r="H40" i="16"/>
  <c r="W38" i="16"/>
  <c r="H38" i="16"/>
  <c r="K35" i="16"/>
  <c r="W51" i="16"/>
  <c r="H51" i="16"/>
  <c r="K47" i="16"/>
  <c r="H33" i="16"/>
  <c r="W33" i="16"/>
  <c r="V100" i="16"/>
  <c r="V82" i="16"/>
  <c r="W68" i="16"/>
  <c r="H68" i="16"/>
  <c r="BD63" i="16"/>
  <c r="AX62" i="16"/>
  <c r="BD62" i="16" s="1"/>
  <c r="V43" i="16"/>
  <c r="G35" i="16"/>
  <c r="R35" i="16" s="1"/>
  <c r="V36" i="16"/>
  <c r="V35" i="16" s="1"/>
  <c r="H32" i="16"/>
  <c r="W32" i="16"/>
  <c r="H27" i="16"/>
  <c r="W27" i="16"/>
  <c r="K16" i="16"/>
  <c r="H28" i="16"/>
  <c r="W28" i="16"/>
  <c r="N17" i="16"/>
  <c r="O16" i="16"/>
  <c r="H26" i="16"/>
  <c r="W26" i="16"/>
  <c r="AX97" i="16"/>
  <c r="BD97" i="16" s="1"/>
  <c r="BD98" i="16"/>
  <c r="W91" i="16"/>
  <c r="W74" i="16"/>
  <c r="H74" i="16"/>
  <c r="W105" i="16"/>
  <c r="W95" i="16"/>
  <c r="H95" i="16"/>
  <c r="N65" i="16"/>
  <c r="T65" i="16" s="1"/>
  <c r="K84" i="16"/>
  <c r="N57" i="16"/>
  <c r="T57" i="16" s="1"/>
  <c r="V96" i="16"/>
  <c r="V85" i="16"/>
  <c r="V84" i="16" s="1"/>
  <c r="G84" i="16"/>
  <c r="R84" i="16" s="1"/>
  <c r="V81" i="16"/>
  <c r="V65" i="16"/>
  <c r="V87" i="16"/>
  <c r="W86" i="16"/>
  <c r="H86" i="16"/>
  <c r="O77" i="16"/>
  <c r="N78" i="16"/>
  <c r="V72" i="16"/>
  <c r="W66" i="16"/>
  <c r="H66" i="16"/>
  <c r="V58" i="16"/>
  <c r="V50" i="16"/>
  <c r="V75" i="16"/>
  <c r="W55" i="16"/>
  <c r="W54" i="16" s="1"/>
  <c r="I54" i="16"/>
  <c r="H55" i="16"/>
  <c r="H54" i="16" s="1"/>
  <c r="W53" i="16"/>
  <c r="H53" i="16"/>
  <c r="V44" i="16"/>
  <c r="W89" i="16"/>
  <c r="H89" i="16"/>
  <c r="G77" i="16"/>
  <c r="R77" i="16" s="1"/>
  <c r="V78" i="16"/>
  <c r="V77" i="16" s="1"/>
  <c r="H71" i="16"/>
  <c r="W71" i="16"/>
  <c r="V61" i="16"/>
  <c r="V57" i="16"/>
  <c r="W43" i="16"/>
  <c r="H43" i="16"/>
  <c r="W39" i="16"/>
  <c r="H39" i="16"/>
  <c r="N37" i="16"/>
  <c r="T37" i="16" s="1"/>
  <c r="S36" i="16"/>
  <c r="J35" i="16"/>
  <c r="S35" i="16" s="1"/>
  <c r="N106" i="16"/>
  <c r="T106" i="16" s="1"/>
  <c r="W82" i="16"/>
  <c r="H82" i="16"/>
  <c r="V76" i="16"/>
  <c r="W61" i="16"/>
  <c r="H61" i="16"/>
  <c r="W52" i="16"/>
  <c r="H52" i="16"/>
  <c r="W50" i="16"/>
  <c r="H50" i="16"/>
  <c r="W48" i="16"/>
  <c r="W47" i="16" s="1"/>
  <c r="I47" i="16"/>
  <c r="H48" i="16"/>
  <c r="H47" i="16" s="1"/>
  <c r="V41" i="16"/>
  <c r="W37" i="16"/>
  <c r="H37" i="16"/>
  <c r="H29" i="16"/>
  <c r="W29" i="16"/>
  <c r="H17" i="16"/>
  <c r="H16" i="16" s="1"/>
  <c r="H25" i="16"/>
  <c r="W25" i="16"/>
  <c r="V17" i="16"/>
  <c r="V16" i="16" s="1"/>
  <c r="H22" i="16"/>
  <c r="W22" i="16"/>
  <c r="Z14" i="16" l="1"/>
  <c r="P14" i="16"/>
  <c r="AO14" i="16"/>
  <c r="Q14" i="16"/>
  <c r="L14" i="16"/>
  <c r="AR14" i="16"/>
  <c r="H77" i="16"/>
  <c r="H62" i="16"/>
  <c r="H84" i="16"/>
  <c r="W77" i="16"/>
  <c r="W62" i="16"/>
  <c r="H97" i="16"/>
  <c r="I14" i="16"/>
  <c r="V14" i="16"/>
  <c r="J14" i="16"/>
  <c r="S14" i="16" s="1"/>
  <c r="R16" i="16"/>
  <c r="G14" i="16"/>
  <c r="R14" i="16" s="1"/>
  <c r="O14" i="16"/>
  <c r="K14" i="16"/>
  <c r="AL16" i="16"/>
  <c r="AF14" i="16"/>
  <c r="AL14" i="16" s="1"/>
  <c r="AX14" i="16"/>
  <c r="BD14" i="16" s="1"/>
  <c r="N54" i="16"/>
  <c r="T54" i="16" s="1"/>
  <c r="T55" i="16"/>
  <c r="T36" i="16"/>
  <c r="N35" i="16"/>
  <c r="T35" i="16" s="1"/>
  <c r="N77" i="16"/>
  <c r="T77" i="16" s="1"/>
  <c r="T78" i="16"/>
  <c r="AL35" i="16"/>
  <c r="T48" i="16"/>
  <c r="N47" i="16"/>
  <c r="T47" i="16" s="1"/>
  <c r="T63" i="16"/>
  <c r="N62" i="16"/>
  <c r="T62" i="16" s="1"/>
  <c r="S16" i="16"/>
  <c r="T17" i="16"/>
  <c r="N16" i="16"/>
  <c r="T98" i="16"/>
  <c r="N97" i="16"/>
  <c r="T97" i="16" s="1"/>
  <c r="N84" i="16"/>
  <c r="T84" i="16" s="1"/>
  <c r="T85" i="16"/>
  <c r="H14" i="16" l="1"/>
  <c r="W14" i="16"/>
  <c r="N14" i="16"/>
  <c r="T14" i="16" s="1"/>
  <c r="T16" i="16"/>
</calcChain>
</file>

<file path=xl/sharedStrings.xml><?xml version="1.0" encoding="utf-8"?>
<sst xmlns="http://schemas.openxmlformats.org/spreadsheetml/2006/main" count="7676" uniqueCount="1097">
  <si>
    <t>по состояню на</t>
  </si>
  <si>
    <t>037</t>
  </si>
  <si>
    <t>01</t>
  </si>
  <si>
    <t>РОССИЙСКАЯ ФЕДЕРАЦИЯ</t>
  </si>
  <si>
    <t>резерв</t>
  </si>
  <si>
    <t>030</t>
  </si>
  <si>
    <t>02</t>
  </si>
  <si>
    <t>ЦЕНТРАЛЬНЫЙ Ф.О.</t>
  </si>
  <si>
    <t>14000000000</t>
  </si>
  <si>
    <t>03</t>
  </si>
  <si>
    <t>Белгородская область</t>
  </si>
  <si>
    <t>15000000000</t>
  </si>
  <si>
    <t>04</t>
  </si>
  <si>
    <t>Брянская область</t>
  </si>
  <si>
    <t>17000000000</t>
  </si>
  <si>
    <t>05</t>
  </si>
  <si>
    <t>Владимирская область</t>
  </si>
  <si>
    <t>20000000000</t>
  </si>
  <si>
    <t>06</t>
  </si>
  <si>
    <t>Воронежская область</t>
  </si>
  <si>
    <t>24000000000</t>
  </si>
  <si>
    <t>07</t>
  </si>
  <si>
    <t>Ивановская область</t>
  </si>
  <si>
    <t>29000000000</t>
  </si>
  <si>
    <t>08</t>
  </si>
  <si>
    <t>Калужская область</t>
  </si>
  <si>
    <t>34000000000</t>
  </si>
  <si>
    <t>09</t>
  </si>
  <si>
    <t>Костромская область</t>
  </si>
  <si>
    <t>38000000000</t>
  </si>
  <si>
    <t>10</t>
  </si>
  <si>
    <t>Курская область</t>
  </si>
  <si>
    <t>42000000000</t>
  </si>
  <si>
    <t>11</t>
  </si>
  <si>
    <t>Липецкая область</t>
  </si>
  <si>
    <t>46000000000</t>
  </si>
  <si>
    <t>12</t>
  </si>
  <si>
    <t>Московская область</t>
  </si>
  <si>
    <t>45000000000</t>
  </si>
  <si>
    <t>13</t>
  </si>
  <si>
    <t>54000000000</t>
  </si>
  <si>
    <t>14</t>
  </si>
  <si>
    <t>Орловская область</t>
  </si>
  <si>
    <t>61000000000</t>
  </si>
  <si>
    <t>15</t>
  </si>
  <si>
    <t>Рязанская область</t>
  </si>
  <si>
    <t>66000000000</t>
  </si>
  <si>
    <t>16</t>
  </si>
  <si>
    <t>Смоленская область</t>
  </si>
  <si>
    <t>68000000000</t>
  </si>
  <si>
    <t>17</t>
  </si>
  <si>
    <t>Тамбовская область</t>
  </si>
  <si>
    <t>28000000000</t>
  </si>
  <si>
    <t>18</t>
  </si>
  <si>
    <t>Тверская область</t>
  </si>
  <si>
    <t>70000000000</t>
  </si>
  <si>
    <t>19</t>
  </si>
  <si>
    <t>Тульская область</t>
  </si>
  <si>
    <t>78000000000</t>
  </si>
  <si>
    <t>20</t>
  </si>
  <si>
    <t>Ярославская область</t>
  </si>
  <si>
    <t>031</t>
  </si>
  <si>
    <t>21</t>
  </si>
  <si>
    <t>СЕВЕРО-ЗАПАДНЫЙ Ф.О.</t>
  </si>
  <si>
    <t>86000000000</t>
  </si>
  <si>
    <t>22</t>
  </si>
  <si>
    <t>Республика Карелия</t>
  </si>
  <si>
    <t>87000000000</t>
  </si>
  <si>
    <t>23</t>
  </si>
  <si>
    <t>Республика Коми</t>
  </si>
  <si>
    <t>11000000000</t>
  </si>
  <si>
    <t>24</t>
  </si>
  <si>
    <t>Архангельская область</t>
  </si>
  <si>
    <t>11100000000</t>
  </si>
  <si>
    <t>25</t>
  </si>
  <si>
    <t>19000000000</t>
  </si>
  <si>
    <t>26</t>
  </si>
  <si>
    <t>Вологодская область</t>
  </si>
  <si>
    <t>27000000000</t>
  </si>
  <si>
    <t>27</t>
  </si>
  <si>
    <t>Калининградская область</t>
  </si>
  <si>
    <t>41000000000</t>
  </si>
  <si>
    <t>28</t>
  </si>
  <si>
    <t>Ленинградская область</t>
  </si>
  <si>
    <t>40000000000</t>
  </si>
  <si>
    <t>29</t>
  </si>
  <si>
    <t>47000000000</t>
  </si>
  <si>
    <t>30</t>
  </si>
  <si>
    <t>Мурманская область</t>
  </si>
  <si>
    <t>49000000000</t>
  </si>
  <si>
    <t>31</t>
  </si>
  <si>
    <t>Новгородская область</t>
  </si>
  <si>
    <t>58000000000</t>
  </si>
  <si>
    <t>Псковская область</t>
  </si>
  <si>
    <t>032</t>
  </si>
  <si>
    <t>ЮЖНЫЙ Ф.О.</t>
  </si>
  <si>
    <t>79000000000</t>
  </si>
  <si>
    <t>Республика Адыгея</t>
  </si>
  <si>
    <t>85000000000</t>
  </si>
  <si>
    <t>Республика Калмыкия</t>
  </si>
  <si>
    <t>03000000000</t>
  </si>
  <si>
    <t>Краснодарский край</t>
  </si>
  <si>
    <t>12000000000</t>
  </si>
  <si>
    <t>Астраханская область</t>
  </si>
  <si>
    <t>18000000000</t>
  </si>
  <si>
    <t>Волгоградская область</t>
  </si>
  <si>
    <t>60000000000</t>
  </si>
  <si>
    <t>Ростовская область</t>
  </si>
  <si>
    <t>039</t>
  </si>
  <si>
    <t>СЕВЕРО-КАВКАЗСКИЙ Ф.О.</t>
  </si>
  <si>
    <t>82000000000</t>
  </si>
  <si>
    <t>Республика Дагестан</t>
  </si>
  <si>
    <t>26000000000</t>
  </si>
  <si>
    <t>Республика Ингушетия</t>
  </si>
  <si>
    <t>83000000000</t>
  </si>
  <si>
    <t>Кабардино-Балкарская Республика</t>
  </si>
  <si>
    <t>91000000000</t>
  </si>
  <si>
    <t>Карачаево-Черкесская Республика</t>
  </si>
  <si>
    <t>90000000000</t>
  </si>
  <si>
    <t>Республика Северная Осетия - Алания</t>
  </si>
  <si>
    <t>96000000000</t>
  </si>
  <si>
    <t>46</t>
  </si>
  <si>
    <t>Чеченская Республика</t>
  </si>
  <si>
    <t>07000000000</t>
  </si>
  <si>
    <t>47</t>
  </si>
  <si>
    <t>Ставропольский край</t>
  </si>
  <si>
    <t>033</t>
  </si>
  <si>
    <t>48</t>
  </si>
  <si>
    <t>ПРИВОЛЖСКИЙ Ф.О.</t>
  </si>
  <si>
    <t>80000000000</t>
  </si>
  <si>
    <t>49</t>
  </si>
  <si>
    <t>Республика Башкортостан</t>
  </si>
  <si>
    <t>88000000000</t>
  </si>
  <si>
    <t>50</t>
  </si>
  <si>
    <t>Республика Марий Эл</t>
  </si>
  <si>
    <t>89000000000</t>
  </si>
  <si>
    <t>51</t>
  </si>
  <si>
    <t>Республика Мордовия</t>
  </si>
  <si>
    <t>92000000000</t>
  </si>
  <si>
    <t>52</t>
  </si>
  <si>
    <t>Республика Татарстан</t>
  </si>
  <si>
    <t>94000000000</t>
  </si>
  <si>
    <t>53</t>
  </si>
  <si>
    <t>Удмуртская Республика</t>
  </si>
  <si>
    <t>97000000000</t>
  </si>
  <si>
    <t>54</t>
  </si>
  <si>
    <t>Чувашская Республика</t>
  </si>
  <si>
    <t>57000000000</t>
  </si>
  <si>
    <t>55</t>
  </si>
  <si>
    <t>Пермский край</t>
  </si>
  <si>
    <t>33000000000</t>
  </si>
  <si>
    <t>56</t>
  </si>
  <si>
    <t>Кировская область</t>
  </si>
  <si>
    <t>22000000000</t>
  </si>
  <si>
    <t>57</t>
  </si>
  <si>
    <t>Нижегородская область</t>
  </si>
  <si>
    <t>53000000000</t>
  </si>
  <si>
    <t>58</t>
  </si>
  <si>
    <t>Оренбургская область</t>
  </si>
  <si>
    <t>56000000000</t>
  </si>
  <si>
    <t>59</t>
  </si>
  <si>
    <t>Пензенская область</t>
  </si>
  <si>
    <t>36000000000</t>
  </si>
  <si>
    <t>60</t>
  </si>
  <si>
    <t>Самарская область</t>
  </si>
  <si>
    <t>63000000000</t>
  </si>
  <si>
    <t>61</t>
  </si>
  <si>
    <t>Саратовская область</t>
  </si>
  <si>
    <t>73000000000</t>
  </si>
  <si>
    <t>62</t>
  </si>
  <si>
    <t>Ульяновская область</t>
  </si>
  <si>
    <t>034</t>
  </si>
  <si>
    <t>63</t>
  </si>
  <si>
    <t>УРАЛЬСКИЙ Ф.О.</t>
  </si>
  <si>
    <t>37000000000</t>
  </si>
  <si>
    <t>64</t>
  </si>
  <si>
    <t>Курганская область</t>
  </si>
  <si>
    <t>65000000000</t>
  </si>
  <si>
    <t>65</t>
  </si>
  <si>
    <t>Свердловская область</t>
  </si>
  <si>
    <t>71000000000</t>
  </si>
  <si>
    <t>66</t>
  </si>
  <si>
    <t>Тюменская область</t>
  </si>
  <si>
    <t>71100000000</t>
  </si>
  <si>
    <t>67</t>
  </si>
  <si>
    <t>71140000000</t>
  </si>
  <si>
    <t>68</t>
  </si>
  <si>
    <t>75000000000</t>
  </si>
  <si>
    <t>69</t>
  </si>
  <si>
    <t>Челябинская область</t>
  </si>
  <si>
    <t>035</t>
  </si>
  <si>
    <t>70</t>
  </si>
  <si>
    <t>СИБИРСКИЙ Ф.О.</t>
  </si>
  <si>
    <t>84000000000</t>
  </si>
  <si>
    <t>71</t>
  </si>
  <si>
    <t>Республика Алтай</t>
  </si>
  <si>
    <t>81000000000</t>
  </si>
  <si>
    <t>72</t>
  </si>
  <si>
    <t>Республика Бурятия</t>
  </si>
  <si>
    <t>93000000000</t>
  </si>
  <si>
    <t>73</t>
  </si>
  <si>
    <t>Республика Тыва</t>
  </si>
  <si>
    <t>95000000000</t>
  </si>
  <si>
    <t>74</t>
  </si>
  <si>
    <t>Республика Хакасия</t>
  </si>
  <si>
    <t>01000000000</t>
  </si>
  <si>
    <t>75</t>
  </si>
  <si>
    <t>Алтайский край</t>
  </si>
  <si>
    <t>76000000001</t>
  </si>
  <si>
    <t>76</t>
  </si>
  <si>
    <t>Забайкальский край</t>
  </si>
  <si>
    <t>04000000000</t>
  </si>
  <si>
    <t>77</t>
  </si>
  <si>
    <t>Красноярский край</t>
  </si>
  <si>
    <t>25000000000</t>
  </si>
  <si>
    <t>78</t>
  </si>
  <si>
    <t>Иркутская область</t>
  </si>
  <si>
    <t>32000000000</t>
  </si>
  <si>
    <t>79</t>
  </si>
  <si>
    <t>Кемеровская область</t>
  </si>
  <si>
    <t>50000000000</t>
  </si>
  <si>
    <t>80</t>
  </si>
  <si>
    <t>Новосибирская область</t>
  </si>
  <si>
    <t>52000000000</t>
  </si>
  <si>
    <t>81</t>
  </si>
  <si>
    <t>Омская область</t>
  </si>
  <si>
    <t>69000000000</t>
  </si>
  <si>
    <t>82</t>
  </si>
  <si>
    <t>Томская область</t>
  </si>
  <si>
    <t>036</t>
  </si>
  <si>
    <t>83</t>
  </si>
  <si>
    <t>ДАЛЬНЕВОСТОЧНЫЙ Ф.О.</t>
  </si>
  <si>
    <t>98000000000</t>
  </si>
  <si>
    <t>84</t>
  </si>
  <si>
    <t>Республика Саха (Якутия)</t>
  </si>
  <si>
    <t>30000000000</t>
  </si>
  <si>
    <t>85</t>
  </si>
  <si>
    <t>Камчатский край</t>
  </si>
  <si>
    <t>05000000000</t>
  </si>
  <si>
    <t>86</t>
  </si>
  <si>
    <t>Приморский край</t>
  </si>
  <si>
    <t>08000000000</t>
  </si>
  <si>
    <t>87</t>
  </si>
  <si>
    <t>Хабаровский край</t>
  </si>
  <si>
    <t>10000000000</t>
  </si>
  <si>
    <t>88</t>
  </si>
  <si>
    <t>Амурская область</t>
  </si>
  <si>
    <t>44000000000</t>
  </si>
  <si>
    <t>89</t>
  </si>
  <si>
    <t>Магаданская область</t>
  </si>
  <si>
    <t>64000000000</t>
  </si>
  <si>
    <t>90</t>
  </si>
  <si>
    <t>Сахалинская область</t>
  </si>
  <si>
    <t>99000000000</t>
  </si>
  <si>
    <t>Еврейская автономная область</t>
  </si>
  <si>
    <t>77000000000</t>
  </si>
  <si>
    <t>Чукотский автономный округ</t>
  </si>
  <si>
    <t>Остаток средств федерального бюджета на 01.01.2010 г., потребность в котором подтверждена</t>
  </si>
  <si>
    <t>Предусмотрено ср-в на т.г  всего</t>
  </si>
  <si>
    <t>федерального бюджета</t>
  </si>
  <si>
    <t>бюджета субъекта Российской Федерации</t>
  </si>
  <si>
    <t>Получено из федерального бюджета в текущем году на отчетную дату</t>
  </si>
  <si>
    <t>Восстановлено средств федерального бюджета с начала т.г. по различным основаниям</t>
  </si>
  <si>
    <t>Пречислено на отчетную дату  всего</t>
  </si>
  <si>
    <t xml:space="preserve">федерального бюджета </t>
  </si>
  <si>
    <t>Фактический уровень финансирования</t>
  </si>
  <si>
    <t>Возвращено в федеральный бюджет  в текущем году на отчетную дату</t>
  </si>
  <si>
    <t>Остаток средств ф.б на лиц. Счетах</t>
  </si>
  <si>
    <t>Прогноз остатков средств федерального бюджета на 31 декабря т.г.</t>
  </si>
  <si>
    <t>37776П</t>
  </si>
  <si>
    <t>37776К</t>
  </si>
  <si>
    <t>в т.с. За счет остатка</t>
  </si>
  <si>
    <t>Подтверждение восстановления</t>
  </si>
  <si>
    <t>г. Москва</t>
  </si>
  <si>
    <t>Ненецкий АО</t>
  </si>
  <si>
    <t>г. Санкт-Петербург</t>
  </si>
  <si>
    <t>Ханты-Мансийский АО</t>
  </si>
  <si>
    <t>Ямало-Ненецкий АО</t>
  </si>
  <si>
    <t>&lt;Период_1&gt;</t>
  </si>
  <si>
    <t>размерность</t>
  </si>
  <si>
    <t xml:space="preserve"> ИНФОРМАЦИЯ           </t>
  </si>
  <si>
    <t xml:space="preserve">о расходах бюджета субъекта Российской Федерации (местного бюджета), источником финансового </t>
  </si>
  <si>
    <t xml:space="preserve">обеспечения которых является субсидия </t>
  </si>
  <si>
    <t>на</t>
  </si>
  <si>
    <t>№ п/п</t>
  </si>
  <si>
    <t>Наименование субъекта Российской Федерации</t>
  </si>
  <si>
    <t>Статус и период информации на отчетный период</t>
  </si>
  <si>
    <t>Предусмотрено средств на текущий год (согласно заключенных соглашений)</t>
  </si>
  <si>
    <t>Перечислено сельхозтоваропроизводителям на отчетную дату</t>
  </si>
  <si>
    <t>% освоения средств</t>
  </si>
  <si>
    <t>Фактический уровень финансирования за счет средств 
бюджета субъекта Российской Федерации, %</t>
  </si>
  <si>
    <t xml:space="preserve">Остаток средств федерального
бюджета на лицевых счетах на отчетную дату  с учетом текущего финансирования
</t>
  </si>
  <si>
    <t>всего</t>
  </si>
  <si>
    <t>в т.ч. за счет средств</t>
  </si>
  <si>
    <t>в  т.ч. за счет средств</t>
  </si>
  <si>
    <t>бюджета субъекта Российской Федерации (от лимита)</t>
  </si>
  <si>
    <t>нераспределенный резерв</t>
  </si>
  <si>
    <t>г.Москва</t>
  </si>
  <si>
    <t>Ненецкий автономеый округ</t>
  </si>
  <si>
    <t>г.Санкт-Петербург</t>
  </si>
  <si>
    <t>Ханты-Мансийский автономный округ</t>
  </si>
  <si>
    <t>Ямало-Ненецкий автономный округ</t>
  </si>
  <si>
    <t>Остаток средств федерального
бюджета</t>
  </si>
  <si>
    <t>за счет остатка</t>
  </si>
  <si>
    <t xml:space="preserve">гр.16=гр.15/гр.12
</t>
  </si>
  <si>
    <t>гр.18=гр.5+гр.9+
гр.10-гр.13-гр.17</t>
  </si>
  <si>
    <t>гр.19=гр.7-гр.13</t>
  </si>
  <si>
    <t>Страхование</t>
  </si>
  <si>
    <t>Субсидии на возмещение части затрат сельскохозяйственных товаропроизводителей на уплату страховой премии, начисленной по договору сельскохозяйственного страхования в области растениеводства</t>
  </si>
  <si>
    <t xml:space="preserve">Код бюджетной классификации: 04 05 2515040 521 </t>
  </si>
  <si>
    <t>Субсидии на возмещение части затрат сельскохозяйственных товаропроизводителей на уплату страховой премии, начисленной по договору сельскохозяйственного страхования в области животноводства</t>
  </si>
  <si>
    <t>Код бюджетной классификации: 04 05 2525049 521</t>
  </si>
  <si>
    <t>Кассовые выплаты за счет средств федерального бюджета с учетом перечислений на банковский счет  в текущем году на отчетную дату</t>
  </si>
  <si>
    <t>Лимит по распоряжению</t>
  </si>
  <si>
    <t>Остаток средств федерального бюджета на 01.01.2014 г., потребность в котором подтверждена</t>
  </si>
  <si>
    <t>Лимиты согласно распоряжениям Правительства РФ</t>
  </si>
  <si>
    <t>федерального бюджета (от лимита согласно распоряжениям Правительства РФ и подтвержденного остатка)</t>
  </si>
  <si>
    <t>Крымский Ф.О.</t>
  </si>
  <si>
    <t>Республика Крым</t>
  </si>
  <si>
    <t>г. Севастополь</t>
  </si>
  <si>
    <t>Предельный объем финансирования на текущую дату</t>
  </si>
  <si>
    <t>Кассовые расходы на текущую дату</t>
  </si>
  <si>
    <t>Остаток  предельных объемов финансирования</t>
  </si>
  <si>
    <t>1020</t>
  </si>
  <si>
    <t>1022</t>
  </si>
  <si>
    <t>Остаток средств федерального бюджета на 01.01.2016 г., потребность в котором подтверждена</t>
  </si>
  <si>
    <t xml:space="preserve"> ИНФОРМАЦИЯ
о расходах бюджета субъекта Российской Федерации (местного бюджета), источником финансового 
обеспечения которых является субсидия </t>
  </si>
  <si>
    <t>ИТОГО субсидий бюджетам субъектов Российской Федерации</t>
  </si>
  <si>
    <t>на бланке</t>
  </si>
  <si>
    <t>код строки гп</t>
  </si>
  <si>
    <t>название строки бс</t>
  </si>
  <si>
    <t>код строки бс</t>
  </si>
  <si>
    <t>1.1.1.</t>
  </si>
  <si>
    <t>Субсидии на возмещение части процентной ставки по краткосрочным кредитам (займам) на развитие растениеводства, переработки и реализации продукции растениеводства</t>
  </si>
  <si>
    <t xml:space="preserve">04 05 2510450380 521 </t>
  </si>
  <si>
    <t>Короткие Животноводство</t>
  </si>
  <si>
    <t xml:space="preserve">020               </t>
  </si>
  <si>
    <t>1.1.2.</t>
  </si>
  <si>
    <t>Субсидии на возмещение части процентной ставки по краткосрочным кредитам (займам) на развитие животноводства, переработки и реализации продукции животноводства</t>
  </si>
  <si>
    <t xml:space="preserve">04 05 2520650470 521 </t>
  </si>
  <si>
    <t>Короткие Растениеводство</t>
  </si>
  <si>
    <t xml:space="preserve">018               </t>
  </si>
  <si>
    <t>1.1.3.</t>
  </si>
  <si>
    <t>Субсидии на  возмещение части процентной ставки по инвестиционным кредитам (займам) на развитие растениеводства, переработки и развития инфраструктуры и логистического обеспечения рынков продукции растениеводства</t>
  </si>
  <si>
    <t xml:space="preserve">04 05 2510450390 521 </t>
  </si>
  <si>
    <t>Инвестиционные Растениеводство</t>
  </si>
  <si>
    <t xml:space="preserve">019               </t>
  </si>
  <si>
    <t>1.1.4.</t>
  </si>
  <si>
    <t>Субсидии на возмещение части процентной ставки по инвестиционным кредитам (займам) на развитие животноводства, переработки и развития инфраструктуры и логистического обеспечения рынков продукции животноводства</t>
  </si>
  <si>
    <t xml:space="preserve">04 05 2520650480 521 </t>
  </si>
  <si>
    <t>Инвестиционные Животноводство</t>
  </si>
  <si>
    <t xml:space="preserve">021               </t>
  </si>
  <si>
    <t>1.1.5.</t>
  </si>
  <si>
    <t>Субсидии на возмещение части процентной ставки по инвестиционным кредитам на строительство и реконструкцию объектов мясного скотоводства</t>
  </si>
  <si>
    <t xml:space="preserve">04 05 2530350520 521 </t>
  </si>
  <si>
    <t>Инвестиционные Мясное скотоводство</t>
  </si>
  <si>
    <t xml:space="preserve">023               </t>
  </si>
  <si>
    <t>1.1.6.</t>
  </si>
  <si>
    <t>Cубсидии на возмещение части процентной ставки по долгосрочным, среднесрочным и краткосрочным кредитам, взятым малыми формами хозяйствования</t>
  </si>
  <si>
    <t xml:space="preserve">04 05 2540150550 521 </t>
  </si>
  <si>
    <t>Малые формы</t>
  </si>
  <si>
    <t xml:space="preserve">022               </t>
  </si>
  <si>
    <t>1.1.7.</t>
  </si>
  <si>
    <t>Cубсидии на возмещение части процентной ставки по инвестиционным кредитам (займам) на строительство и реконструкцию объектов для молочного скотоводства</t>
  </si>
  <si>
    <t>04 05 25Б0254440 521</t>
  </si>
  <si>
    <t>Инвестиционные молочное скотоводство</t>
  </si>
  <si>
    <t xml:space="preserve">061               </t>
  </si>
  <si>
    <t>1.1.8.</t>
  </si>
  <si>
    <t>Субсидии на возмещение части процентной ставки по краткосрочным кредитам (займам) на развитие молочного скотоводства</t>
  </si>
  <si>
    <t>04 05 25Б0254430 521</t>
  </si>
  <si>
    <t>Короткие молочное скотоводство</t>
  </si>
  <si>
    <t xml:space="preserve">060               </t>
  </si>
  <si>
    <t>1.1.9.</t>
  </si>
  <si>
    <t>Субсидии на возмещение части процентной ставки по краткосрочным кредитам (займам) на переработку продукции растениеводства и животноводства в области развития оптово-распределительных центров</t>
  </si>
  <si>
    <t>04 05 25Д0154500 521</t>
  </si>
  <si>
    <t>Короткие ОРЦ</t>
  </si>
  <si>
    <t xml:space="preserve">072               </t>
  </si>
  <si>
    <t>1.1.10</t>
  </si>
  <si>
    <t>Субсидии на возмещение части процентной ставки по краткосрочным кредитам (займам) на развитие селекционно-генетических и селекционно-семеноводческих центров в подотраслях животноводства и растениеводства</t>
  </si>
  <si>
    <t>04 05 25Г0654480 521</t>
  </si>
  <si>
    <t>Короткие СГЦ</t>
  </si>
  <si>
    <t xml:space="preserve">073               </t>
  </si>
  <si>
    <t>1.1.11</t>
  </si>
  <si>
    <t>Субсидии на возмещение части процентной ставки по инвестиционным кредитам (займам) на развитие оптово-распределительных центров, производства и товаропроводящей инфраструктуры системы социального питания</t>
  </si>
  <si>
    <t>04 05 25Д0154510 521</t>
  </si>
  <si>
    <t>Инвестиционные ОРЦ</t>
  </si>
  <si>
    <t xml:space="preserve">074               </t>
  </si>
  <si>
    <t>1.2.1</t>
  </si>
  <si>
    <t>Субсидии  на поддержку племенного животноводства</t>
  </si>
  <si>
    <t xml:space="preserve">04 05 25Г0250420 521 </t>
  </si>
  <si>
    <t>Племенное животноводство</t>
  </si>
  <si>
    <t xml:space="preserve">008               </t>
  </si>
  <si>
    <t>1.2.2</t>
  </si>
  <si>
    <t>Субсидии на поддержку племенного крупного рогатого скота мясных пород и их помесей</t>
  </si>
  <si>
    <t xml:space="preserve">04 05 2530154530 521 </t>
  </si>
  <si>
    <t>КРС мясных пород и их помесей</t>
  </si>
  <si>
    <t xml:space="preserve">070               </t>
  </si>
  <si>
    <t>1.2.3</t>
  </si>
  <si>
    <t>Субсидии на поддержку племенного крупного рогатого скота мясного направления</t>
  </si>
  <si>
    <t xml:space="preserve">04 05 25Г0450500 521 </t>
  </si>
  <si>
    <t>КРС мясного направления</t>
  </si>
  <si>
    <t xml:space="preserve">009               </t>
  </si>
  <si>
    <t>1.2.4</t>
  </si>
  <si>
    <t>Субсидии на поддержку племенного крупного рогатого скота молочного направления</t>
  </si>
  <si>
    <t xml:space="preserve">04 05 25Г0354460 521 </t>
  </si>
  <si>
    <t>КРС молочного направления</t>
  </si>
  <si>
    <t xml:space="preserve">071               </t>
  </si>
  <si>
    <t>1.2.5.</t>
  </si>
  <si>
    <t>Субсидии на 1 кг реализованного товарного молока (подпрограмма молочного скотоводства)</t>
  </si>
  <si>
    <t>04 05 25Б0150430 521</t>
  </si>
  <si>
    <t xml:space="preserve">054               </t>
  </si>
  <si>
    <t>1.2.6.</t>
  </si>
  <si>
    <t>Субсидии на возмещение части затрат по наращиванию поголовья северных оленей, маралов и мясных табунных лошадей</t>
  </si>
  <si>
    <t xml:space="preserve">04 05 2520250450 521 </t>
  </si>
  <si>
    <t>Северное оленеводство</t>
  </si>
  <si>
    <t xml:space="preserve">012               </t>
  </si>
  <si>
    <t>1.2.7.</t>
  </si>
  <si>
    <t>Субсидии на возмещение части затрат по наращиванию маточного поголовья овец и коз</t>
  </si>
  <si>
    <t xml:space="preserve">04 05 2520150440 521 </t>
  </si>
  <si>
    <t>Овцеводство</t>
  </si>
  <si>
    <t xml:space="preserve">011               </t>
  </si>
  <si>
    <t>1.2.8.</t>
  </si>
  <si>
    <t>Субсидии бюджетам на поддержку производства и реализации тонкорунной и полутонкорунной шерсти</t>
  </si>
  <si>
    <t>04 05 2520954360 521</t>
  </si>
  <si>
    <t>Шерсть (руно)</t>
  </si>
  <si>
    <t xml:space="preserve">063               </t>
  </si>
  <si>
    <t>1.2.9.</t>
  </si>
  <si>
    <t>Субсидии на возмещение части затрат, связанных с поддержкой сельскохозяйственных товаропроизводителей, осуществляющих производство свинины, мяса птицы и яиц, в связи с удорожанием приобретенных кормов</t>
  </si>
  <si>
    <t>04 05 0000058980 521</t>
  </si>
  <si>
    <t>Удорожание кормов</t>
  </si>
  <si>
    <t xml:space="preserve">048               </t>
  </si>
  <si>
    <t>1.2.10.</t>
  </si>
  <si>
    <t>Субсидии на возмещение части затрат на закупку кормов для содержания маточного поголовья крупного рогатого скота</t>
  </si>
  <si>
    <t>Закупка кормов КРС (2012)</t>
  </si>
  <si>
    <t xml:space="preserve">042               </t>
  </si>
  <si>
    <t>1.3.1.</t>
  </si>
  <si>
    <t>Субсидии на поддержку элитного семеноводства</t>
  </si>
  <si>
    <t>04 05 25Г0150310 521</t>
  </si>
  <si>
    <t>Элитное семеноводство</t>
  </si>
  <si>
    <t xml:space="preserve">001               </t>
  </si>
  <si>
    <t>1.3.2.</t>
  </si>
  <si>
    <t>Возмещение части затрат на закладку и уход за виноградниками</t>
  </si>
  <si>
    <t>04 05 2510150320 521</t>
  </si>
  <si>
    <t>Виноградники</t>
  </si>
  <si>
    <t xml:space="preserve">002               </t>
  </si>
  <si>
    <t>1.3.3.</t>
  </si>
  <si>
    <t>Возмещение части затрат на раскорчевку выбывших из эксплуатации старых садов и рекультивацию раскорчеванных площадей</t>
  </si>
  <si>
    <t xml:space="preserve">04 05 2510150330 521 </t>
  </si>
  <si>
    <t>Раскорчевка</t>
  </si>
  <si>
    <t xml:space="preserve">003               </t>
  </si>
  <si>
    <t>1.3.4.</t>
  </si>
  <si>
    <t>Возмещение части затрат на закладку и уход за многолетними плодовыми и ягодными насаждениями</t>
  </si>
  <si>
    <t xml:space="preserve">04 05 2510150340 521 </t>
  </si>
  <si>
    <t>Закладка многолетних насаждений</t>
  </si>
  <si>
    <t xml:space="preserve">004               </t>
  </si>
  <si>
    <t>1.3.5.</t>
  </si>
  <si>
    <t>Субсидии на возмещение части затрат на приобретение семян с учетом доставки в районы Крайнего Севера и приравненные к ним местности</t>
  </si>
  <si>
    <t xml:space="preserve">04 05 2510350360 521 </t>
  </si>
  <si>
    <t>Приобретение семян</t>
  </si>
  <si>
    <t xml:space="preserve">005               </t>
  </si>
  <si>
    <t>1.3.6.</t>
  </si>
  <si>
    <t>Субсидии на производство продукции растениеводства на низкопродуктивной пашне в районах Крайнего Севера и приравненных к ним местностях</t>
  </si>
  <si>
    <t xml:space="preserve">04 05 2510350370 521 </t>
  </si>
  <si>
    <t>Производство продукции растениеводства на Крайнем Севере</t>
  </si>
  <si>
    <t xml:space="preserve">006               </t>
  </si>
  <si>
    <t>1.3.7.</t>
  </si>
  <si>
    <t>Субсидии на оказание несвязанной поддержки сельскохозяйственным товаропроизводителям в области растениеводства</t>
  </si>
  <si>
    <t xml:space="preserve">04 05 2510750410 521 </t>
  </si>
  <si>
    <t>Несвязанная поддержка</t>
  </si>
  <si>
    <t xml:space="preserve">007               </t>
  </si>
  <si>
    <t>1.3.8.</t>
  </si>
  <si>
    <t>Субсидии на поддержку производства льна и конопли</t>
  </si>
  <si>
    <t>Лен и конопля</t>
  </si>
  <si>
    <t xml:space="preserve">040               </t>
  </si>
  <si>
    <t>1.3.9.</t>
  </si>
  <si>
    <t>Субсидии на компенсацию затрат на приобретение средств химической защиты растений (рапс)</t>
  </si>
  <si>
    <t>Хим. зашита (Рапс)</t>
  </si>
  <si>
    <t xml:space="preserve">036               </t>
  </si>
  <si>
    <t>1.4.</t>
  </si>
  <si>
    <t xml:space="preserve">04 05 2510550400 521 </t>
  </si>
  <si>
    <t>Страхование растениеводства</t>
  </si>
  <si>
    <t xml:space="preserve">013               </t>
  </si>
  <si>
    <t>1.5.</t>
  </si>
  <si>
    <t xml:space="preserve">04 05 2520750490 521 </t>
  </si>
  <si>
    <t>Страхование животноводства</t>
  </si>
  <si>
    <t xml:space="preserve">014               </t>
  </si>
  <si>
    <t>1.6.</t>
  </si>
  <si>
    <t>Субсидии на компенсацию затрат на приобретение средств химизации</t>
  </si>
  <si>
    <t>Минеральные удобрения</t>
  </si>
  <si>
    <t xml:space="preserve">041               </t>
  </si>
  <si>
    <t>1.7.</t>
  </si>
  <si>
    <t>Субсидии на поддержку экономически значимых региональных программ в области растениеводства</t>
  </si>
  <si>
    <t xml:space="preserve">04 05 2510150350 521 </t>
  </si>
  <si>
    <t>Экономически значимые Растениеводство</t>
  </si>
  <si>
    <t xml:space="preserve">015               </t>
  </si>
  <si>
    <t>1.8.</t>
  </si>
  <si>
    <t>Субсидии на поддержку экономически значимых региональных программ в области животноводства</t>
  </si>
  <si>
    <t xml:space="preserve">04 05 2520550460 521 </t>
  </si>
  <si>
    <t>Экономически значимые Животноводство</t>
  </si>
  <si>
    <t xml:space="preserve">016               </t>
  </si>
  <si>
    <t>1.9.</t>
  </si>
  <si>
    <t>Субсидии на поддержку экономически значимых региональных программ по развитию мясного скотоводства</t>
  </si>
  <si>
    <t xml:space="preserve">04 05 2530250510 521 </t>
  </si>
  <si>
    <t>Экономически значимые Мясное скотоводство</t>
  </si>
  <si>
    <t xml:space="preserve">017               </t>
  </si>
  <si>
    <t>1.10.</t>
  </si>
  <si>
    <t>Субсидии на возмещение части прямых понесенных затрат на создание и модернизацию объектов тепличных комплексов, а также на приобретение техники и оборудования на цели предоставления субсидий</t>
  </si>
  <si>
    <t>04 05 2590254410 521</t>
  </si>
  <si>
    <t>Субсидии на возмещение части прямых понесенных затрат на создание и модернизацию объектов тепличных комплексов</t>
  </si>
  <si>
    <t xml:space="preserve">064               </t>
  </si>
  <si>
    <t>1.11.</t>
  </si>
  <si>
    <t>Субсидии на возмещение части прямых понесенных затрат на создание и модернизацию объектов плодохранилищ, а также на приобретение техники и оборудования на цели предоставления субсидий</t>
  </si>
  <si>
    <t>04 05 2510154370 521</t>
  </si>
  <si>
    <t>Субсидии на возмещение части прямых понесенных затрат на создание и модернизацию объектов плодохранилищ</t>
  </si>
  <si>
    <t xml:space="preserve">066               </t>
  </si>
  <si>
    <t>1.12.</t>
  </si>
  <si>
    <t>Субсидии на возмещение части прямых понесенных затрат на создание и модернизацию объектов картофелехранилищ и овощехранилищ, а также на приобретение техники и оборудования на цели предоставления субсидий</t>
  </si>
  <si>
    <t>04 05 2590154400 521</t>
  </si>
  <si>
    <t>Субсидии на возмещение части прямых понесенных затрат на создание и модернизацию объектов картофелехранилищ и овощехранилищ</t>
  </si>
  <si>
    <t xml:space="preserve">067               </t>
  </si>
  <si>
    <t>1.13.</t>
  </si>
  <si>
    <t>Субсидии на возмещение части прямых понесенных затрат на создание и модернизацию объектов животноводческих комплексов молочного направления (молочных ферм), а также на приобретение техники и оборудования на цели предоставления субсидий</t>
  </si>
  <si>
    <t>04 05 25Б0154420 521</t>
  </si>
  <si>
    <t xml:space="preserve">Субсидии на возмещение части прямых понесенных затрат на создание и модернизацию объектов животноводческих комплексов молочного направления (молочных </t>
  </si>
  <si>
    <t xml:space="preserve">065               </t>
  </si>
  <si>
    <t>1.14.</t>
  </si>
  <si>
    <t>Субсидии на возмещение части прямых понесенных затрат на создание и модернизацию объектов селекционно-генетических центров в животноводстве и селекционно-семеноводческих центров в растениеводстве, а также на приобретение техники и оборудования на цели предоставления субсидий</t>
  </si>
  <si>
    <t>04 05 25Г0554470 521</t>
  </si>
  <si>
    <t>Субсидии на возмещение части прямых понесенных затрат на создание и модернизацию объектов СГЦ</t>
  </si>
  <si>
    <t xml:space="preserve">068               </t>
  </si>
  <si>
    <t>1.15</t>
  </si>
  <si>
    <t>Субсидии на возмещение части прямых понесенных затрат на создание оптово-распределительных центров, а также на приобретение техники и оборудования на цели предоставления субсидий</t>
  </si>
  <si>
    <t>04 05 25Д0254520 521</t>
  </si>
  <si>
    <t>Субсидии на возмещение части прямых понесенных затрат на создание и модернизацию объектов ОРЦ</t>
  </si>
  <si>
    <t xml:space="preserve">069               </t>
  </si>
  <si>
    <t>Возмещение части затрат крестьянских (фермерских) хозяйств, включая индивидуальных предпринимателей, при оформлении в собственность используемых ими земельных участков из земель сельскохозяйственного назначения</t>
  </si>
  <si>
    <t>Оформление замель в собственность</t>
  </si>
  <si>
    <t xml:space="preserve">ФЦП  "Развитие мелиорации земель сельскохозяйственного назначения России на 2014 - 2020 годы" </t>
  </si>
  <si>
    <t xml:space="preserve">04 05 2580050760 521  </t>
  </si>
  <si>
    <t>ФЦП "Мелиорация земель"</t>
  </si>
  <si>
    <t xml:space="preserve">053               </t>
  </si>
  <si>
    <t>4.1.</t>
  </si>
  <si>
    <t>Субсидии на обеспечение жильем граждан, проживающих и работающих в сельской местности, и на обеспечение жильем молодых семей и молодых специалистов, проживающих и работающих в сельской местности</t>
  </si>
  <si>
    <t>10 03 2570050180 521 
(10 03 0005898 521)</t>
  </si>
  <si>
    <t>ФЦП "Социальное развитие села" (жилье)</t>
  </si>
  <si>
    <t>4.2.</t>
  </si>
  <si>
    <t>Софинансирование объектов капитального строительства госсобственности субъектов Российской Федерации (собственности муниципальных образований) всего, в том числе:</t>
  </si>
  <si>
    <t>05 02 2570050180 522  07 02 2570050180 522  09 02 2570050180 522  11 01 2570050180 522  
(05 02, 07 02, 09 02, 11 01 0000058980 522)</t>
  </si>
  <si>
    <t>ФЦП "Социальное развитие села" (капиталка)</t>
  </si>
  <si>
    <t>4.3.</t>
  </si>
  <si>
    <t>Субсидии на комплексную компактную застройку</t>
  </si>
  <si>
    <t>04 05 2570050180 522 
(04 05 0000058980 522)</t>
  </si>
  <si>
    <t>Комплексная компактная застройка</t>
  </si>
  <si>
    <t>4.4.</t>
  </si>
  <si>
    <t>Субсидии на грантовую поддержку местных инициатив граждан, проживающих в сельской местности</t>
  </si>
  <si>
    <t>04 05 2570050180 521</t>
  </si>
  <si>
    <t xml:space="preserve">034               </t>
  </si>
  <si>
    <t>Субсидии на консультационную помощь</t>
  </si>
  <si>
    <t>Консультационная помощь</t>
  </si>
  <si>
    <t xml:space="preserve">045               </t>
  </si>
  <si>
    <t>Субсидии на поддержку начинающих фермеров</t>
  </si>
  <si>
    <t xml:space="preserve">04 05 2540350530 521 </t>
  </si>
  <si>
    <t>Начинающие фермеры</t>
  </si>
  <si>
    <t xml:space="preserve">024               </t>
  </si>
  <si>
    <t>Субсидии на развитие семейных животноводческих ферм</t>
  </si>
  <si>
    <t xml:space="preserve">04 05 2540450540 521 </t>
  </si>
  <si>
    <t>Развитие семейных животноводческих ферм</t>
  </si>
  <si>
    <t xml:space="preserve">025               </t>
  </si>
  <si>
    <t>Субсидии на грантовую поддержку сельскохозяйственных потребительских кооперативов для развития материально-технической базы</t>
  </si>
  <si>
    <t>04 05 2540554380 500</t>
  </si>
  <si>
    <t>Гранты СПоК</t>
  </si>
  <si>
    <t xml:space="preserve">062               </t>
  </si>
  <si>
    <t>в млн. рублей</t>
  </si>
  <si>
    <t>КРЫМСКИЙ Ф.О.</t>
  </si>
  <si>
    <t>1704</t>
  </si>
  <si>
    <t>1705</t>
  </si>
  <si>
    <t>1706</t>
  </si>
  <si>
    <t>1707</t>
  </si>
  <si>
    <t>1708</t>
  </si>
  <si>
    <t>1709</t>
  </si>
  <si>
    <t>1752</t>
  </si>
  <si>
    <t>1710</t>
  </si>
  <si>
    <t>1711</t>
  </si>
  <si>
    <t>1712</t>
  </si>
  <si>
    <t>1713</t>
  </si>
  <si>
    <t>1714</t>
  </si>
  <si>
    <t>1715</t>
  </si>
  <si>
    <t>1716</t>
  </si>
  <si>
    <t>1721</t>
  </si>
  <si>
    <t>1719</t>
  </si>
  <si>
    <t>1751</t>
  </si>
  <si>
    <t>1723</t>
  </si>
  <si>
    <t>6204</t>
  </si>
  <si>
    <t>6205</t>
  </si>
  <si>
    <t>6206</t>
  </si>
  <si>
    <t>6207</t>
  </si>
  <si>
    <t>6208</t>
  </si>
  <si>
    <t>6209</t>
  </si>
  <si>
    <t>6252</t>
  </si>
  <si>
    <t>6210</t>
  </si>
  <si>
    <t>6211</t>
  </si>
  <si>
    <t>6212</t>
  </si>
  <si>
    <t>6213</t>
  </si>
  <si>
    <t>6214</t>
  </si>
  <si>
    <t>6215</t>
  </si>
  <si>
    <t>6216</t>
  </si>
  <si>
    <t>6221</t>
  </si>
  <si>
    <t>6219</t>
  </si>
  <si>
    <t>6251</t>
  </si>
  <si>
    <t>6223</t>
  </si>
  <si>
    <t>3704</t>
  </si>
  <si>
    <t>3705</t>
  </si>
  <si>
    <t>3706</t>
  </si>
  <si>
    <t>3707</t>
  </si>
  <si>
    <t>3708</t>
  </si>
  <si>
    <t>3709</t>
  </si>
  <si>
    <t>3752</t>
  </si>
  <si>
    <t>3710</t>
  </si>
  <si>
    <t>3711</t>
  </si>
  <si>
    <t>3712</t>
  </si>
  <si>
    <t>3713</t>
  </si>
  <si>
    <t>3714</t>
  </si>
  <si>
    <t>3715</t>
  </si>
  <si>
    <t>3716</t>
  </si>
  <si>
    <t>3721</t>
  </si>
  <si>
    <t>3719</t>
  </si>
  <si>
    <t>3751</t>
  </si>
  <si>
    <t>3723</t>
  </si>
  <si>
    <t>4504</t>
  </si>
  <si>
    <t>4505</t>
  </si>
  <si>
    <t>4506</t>
  </si>
  <si>
    <t>4507</t>
  </si>
  <si>
    <t>4508</t>
  </si>
  <si>
    <t>4509</t>
  </si>
  <si>
    <t>4552</t>
  </si>
  <si>
    <t>4510</t>
  </si>
  <si>
    <t>4511</t>
  </si>
  <si>
    <t>4512</t>
  </si>
  <si>
    <t>4513</t>
  </si>
  <si>
    <t>4514</t>
  </si>
  <si>
    <t>4515</t>
  </si>
  <si>
    <t>4516</t>
  </si>
  <si>
    <t>4521</t>
  </si>
  <si>
    <t>4519</t>
  </si>
  <si>
    <t>4551</t>
  </si>
  <si>
    <t>4523</t>
  </si>
  <si>
    <t>7504</t>
  </si>
  <si>
    <t>7505</t>
  </si>
  <si>
    <t>7506</t>
  </si>
  <si>
    <t>7507</t>
  </si>
  <si>
    <t>7508</t>
  </si>
  <si>
    <t>7509</t>
  </si>
  <si>
    <t>7552</t>
  </si>
  <si>
    <t>7510</t>
  </si>
  <si>
    <t>7511</t>
  </si>
  <si>
    <t>7512</t>
  </si>
  <si>
    <t>7513</t>
  </si>
  <si>
    <t>7514</t>
  </si>
  <si>
    <t>7515</t>
  </si>
  <si>
    <t>7516</t>
  </si>
  <si>
    <t>7521</t>
  </si>
  <si>
    <t>7519</t>
  </si>
  <si>
    <t>7551</t>
  </si>
  <si>
    <t>7523</t>
  </si>
  <si>
    <t>6104</t>
  </si>
  <si>
    <t>6105</t>
  </si>
  <si>
    <t>6106</t>
  </si>
  <si>
    <t>6107</t>
  </si>
  <si>
    <t>6108</t>
  </si>
  <si>
    <t>6109</t>
  </si>
  <si>
    <t>6152</t>
  </si>
  <si>
    <t>6110</t>
  </si>
  <si>
    <t>6111</t>
  </si>
  <si>
    <t>6112</t>
  </si>
  <si>
    <t>6113</t>
  </si>
  <si>
    <t>6114</t>
  </si>
  <si>
    <t>6115</t>
  </si>
  <si>
    <t>6116</t>
  </si>
  <si>
    <t>6121</t>
  </si>
  <si>
    <t>6119</t>
  </si>
  <si>
    <t>6151</t>
  </si>
  <si>
    <t>6123</t>
  </si>
  <si>
    <t>4904</t>
  </si>
  <si>
    <t>4905</t>
  </si>
  <si>
    <t>4906</t>
  </si>
  <si>
    <t>4907</t>
  </si>
  <si>
    <t>4908</t>
  </si>
  <si>
    <t>4909</t>
  </si>
  <si>
    <t>4952</t>
  </si>
  <si>
    <t>4910</t>
  </si>
  <si>
    <t>4911</t>
  </si>
  <si>
    <t>4912</t>
  </si>
  <si>
    <t>4913</t>
  </si>
  <si>
    <t>4914</t>
  </si>
  <si>
    <t>4915</t>
  </si>
  <si>
    <t>4916</t>
  </si>
  <si>
    <t>4921</t>
  </si>
  <si>
    <t>4919</t>
  </si>
  <si>
    <t>4951</t>
  </si>
  <si>
    <t>4923</t>
  </si>
  <si>
    <t>5504</t>
  </si>
  <si>
    <t>5505</t>
  </si>
  <si>
    <t>5506</t>
  </si>
  <si>
    <t>5507</t>
  </si>
  <si>
    <t>5508</t>
  </si>
  <si>
    <t>5509</t>
  </si>
  <si>
    <t>5552</t>
  </si>
  <si>
    <t>5510</t>
  </si>
  <si>
    <t>5511</t>
  </si>
  <si>
    <t>5512</t>
  </si>
  <si>
    <t>5513</t>
  </si>
  <si>
    <t>5514</t>
  </si>
  <si>
    <t>5515</t>
  </si>
  <si>
    <t>5516</t>
  </si>
  <si>
    <t>5521</t>
  </si>
  <si>
    <t>5519</t>
  </si>
  <si>
    <t>5551</t>
  </si>
  <si>
    <t>5523</t>
  </si>
  <si>
    <t>6004</t>
  </si>
  <si>
    <t>6005</t>
  </si>
  <si>
    <t>6006</t>
  </si>
  <si>
    <t>6007</t>
  </si>
  <si>
    <t>6008</t>
  </si>
  <si>
    <t>6009</t>
  </si>
  <si>
    <t>6052</t>
  </si>
  <si>
    <t>6010</t>
  </si>
  <si>
    <t>6011</t>
  </si>
  <si>
    <t>6012</t>
  </si>
  <si>
    <t>6013</t>
  </si>
  <si>
    <t>6014</t>
  </si>
  <si>
    <t>6015</t>
  </si>
  <si>
    <t>6016</t>
  </si>
  <si>
    <t>6021</t>
  </si>
  <si>
    <t>6019</t>
  </si>
  <si>
    <t>6051</t>
  </si>
  <si>
    <t>6023</t>
  </si>
  <si>
    <t>5704</t>
  </si>
  <si>
    <t>5705</t>
  </si>
  <si>
    <t>5706</t>
  </si>
  <si>
    <t>5707</t>
  </si>
  <si>
    <t>5708</t>
  </si>
  <si>
    <t>5709</t>
  </si>
  <si>
    <t>5752</t>
  </si>
  <si>
    <t>5710</t>
  </si>
  <si>
    <t>5711</t>
  </si>
  <si>
    <t>5712</t>
  </si>
  <si>
    <t>5713</t>
  </si>
  <si>
    <t>5714</t>
  </si>
  <si>
    <t>5715</t>
  </si>
  <si>
    <t>5716</t>
  </si>
  <si>
    <t>5721</t>
  </si>
  <si>
    <t>5719</t>
  </si>
  <si>
    <t>5751</t>
  </si>
  <si>
    <t>5723</t>
  </si>
  <si>
    <t>КОЛОНКИ НА ЭТОМ ЛИСТЕ ДОЛЖНЫ ПОЛНОСТЬЮ ПОВТОРЯТЬ ЛИТ DATA_1 (ИНАЧЕ НЕ ПОСЧИТАЕТСЯ ЛИСТ ДОВЕДЕНИЕ ПО ФО)</t>
  </si>
  <si>
    <t>Позиция в матрице ФО (уже все прибавлено</t>
  </si>
  <si>
    <t>Позиция в матрице для Региона (нужно еще +1)</t>
  </si>
  <si>
    <t>номер строки на листе датаФО</t>
  </si>
  <si>
    <t>в рублях</t>
  </si>
  <si>
    <t>в тыс. рублей</t>
  </si>
  <si>
    <t>КОЛ049</t>
  </si>
  <si>
    <t>КОЛ051</t>
  </si>
  <si>
    <t>КОЛ052</t>
  </si>
  <si>
    <t>КОЛ053</t>
  </si>
  <si>
    <t>КОЛ054</t>
  </si>
  <si>
    <t>КОЛ055</t>
  </si>
  <si>
    <t>КОЛ060</t>
  </si>
  <si>
    <t>КОЛ04904</t>
  </si>
  <si>
    <t>КОЛ04905</t>
  </si>
  <si>
    <t>КОЛ04906</t>
  </si>
  <si>
    <t>КОЛ04907</t>
  </si>
  <si>
    <t>КОЛ04908</t>
  </si>
  <si>
    <t>КОЛ04909</t>
  </si>
  <si>
    <t>КОЛ04952</t>
  </si>
  <si>
    <t>КОЛ04910</t>
  </si>
  <si>
    <t>КОЛ04911</t>
  </si>
  <si>
    <t>КОЛ04912</t>
  </si>
  <si>
    <t>КОЛ04913</t>
  </si>
  <si>
    <t>КОЛ04914</t>
  </si>
  <si>
    <t>КОЛ04915</t>
  </si>
  <si>
    <t>КОЛ04916</t>
  </si>
  <si>
    <t>КОЛ04921</t>
  </si>
  <si>
    <t>КОЛ04919</t>
  </si>
  <si>
    <t>КОЛ04951</t>
  </si>
  <si>
    <t>КОЛ04923</t>
  </si>
  <si>
    <t>5104</t>
  </si>
  <si>
    <t>5105</t>
  </si>
  <si>
    <t>5106</t>
  </si>
  <si>
    <t>5107</t>
  </si>
  <si>
    <t>5108</t>
  </si>
  <si>
    <t>5109</t>
  </si>
  <si>
    <t>5152</t>
  </si>
  <si>
    <t>5110</t>
  </si>
  <si>
    <t>5111</t>
  </si>
  <si>
    <t>5112</t>
  </si>
  <si>
    <t>5113</t>
  </si>
  <si>
    <t>5114</t>
  </si>
  <si>
    <t>5115</t>
  </si>
  <si>
    <t>5116</t>
  </si>
  <si>
    <t>5121</t>
  </si>
  <si>
    <t>5119</t>
  </si>
  <si>
    <t>5151</t>
  </si>
  <si>
    <t>5123</t>
  </si>
  <si>
    <t>КОЛ05104</t>
  </si>
  <si>
    <t>КОЛ05105</t>
  </si>
  <si>
    <t>КОЛ05106</t>
  </si>
  <si>
    <t>КОЛ05107</t>
  </si>
  <si>
    <t>КОЛ05108</t>
  </si>
  <si>
    <t>КОЛ05109</t>
  </si>
  <si>
    <t>КОЛ05152</t>
  </si>
  <si>
    <t>КОЛ05110</t>
  </si>
  <si>
    <t>КОЛ05111</t>
  </si>
  <si>
    <t>КОЛ05112</t>
  </si>
  <si>
    <t>КОЛ05113</t>
  </si>
  <si>
    <t>КОЛ05114</t>
  </si>
  <si>
    <t>КОЛ05115</t>
  </si>
  <si>
    <t>КОЛ05116</t>
  </si>
  <si>
    <t>КОЛ05121</t>
  </si>
  <si>
    <t>КОЛ05119</t>
  </si>
  <si>
    <t>КОЛ05151</t>
  </si>
  <si>
    <t>КОЛ05123</t>
  </si>
  <si>
    <t>5204</t>
  </si>
  <si>
    <t>5205</t>
  </si>
  <si>
    <t>5206</t>
  </si>
  <si>
    <t>5207</t>
  </si>
  <si>
    <t>5208</t>
  </si>
  <si>
    <t>5209</t>
  </si>
  <si>
    <t>5252</t>
  </si>
  <si>
    <t>5210</t>
  </si>
  <si>
    <t>5211</t>
  </si>
  <si>
    <t>5212</t>
  </si>
  <si>
    <t>5213</t>
  </si>
  <si>
    <t>5214</t>
  </si>
  <si>
    <t>5215</t>
  </si>
  <si>
    <t>5216</t>
  </si>
  <si>
    <t>5221</t>
  </si>
  <si>
    <t>5219</t>
  </si>
  <si>
    <t>5251</t>
  </si>
  <si>
    <t>5223</t>
  </si>
  <si>
    <t>КОЛ05204</t>
  </si>
  <si>
    <t>КОЛ05205</t>
  </si>
  <si>
    <t>КОЛ05206</t>
  </si>
  <si>
    <t>КОЛ05207</t>
  </si>
  <si>
    <t>КОЛ05208</t>
  </si>
  <si>
    <t>КОЛ05209</t>
  </si>
  <si>
    <t>КОЛ05252</t>
  </si>
  <si>
    <t>КОЛ05210</t>
  </si>
  <si>
    <t>КОЛ05211</t>
  </si>
  <si>
    <t>КОЛ05212</t>
  </si>
  <si>
    <t>КОЛ05213</t>
  </si>
  <si>
    <t>КОЛ05214</t>
  </si>
  <si>
    <t>КОЛ05215</t>
  </si>
  <si>
    <t>КОЛ05216</t>
  </si>
  <si>
    <t>КОЛ05221</t>
  </si>
  <si>
    <t>КОЛ05219</t>
  </si>
  <si>
    <t>КОЛ05251</t>
  </si>
  <si>
    <t>КОЛ05223</t>
  </si>
  <si>
    <t>5304</t>
  </si>
  <si>
    <t>5305</t>
  </si>
  <si>
    <t>5306</t>
  </si>
  <si>
    <t>5307</t>
  </si>
  <si>
    <t>5308</t>
  </si>
  <si>
    <t>5309</t>
  </si>
  <si>
    <t>5352</t>
  </si>
  <si>
    <t>5310</t>
  </si>
  <si>
    <t>5311</t>
  </si>
  <si>
    <t>5312</t>
  </si>
  <si>
    <t>5313</t>
  </si>
  <si>
    <t>5314</t>
  </si>
  <si>
    <t>5315</t>
  </si>
  <si>
    <t>5316</t>
  </si>
  <si>
    <t>5321</t>
  </si>
  <si>
    <t>5319</t>
  </si>
  <si>
    <t>5351</t>
  </si>
  <si>
    <t>5323</t>
  </si>
  <si>
    <t>КОЛ05304</t>
  </si>
  <si>
    <t>КОЛ05305</t>
  </si>
  <si>
    <t>КОЛ05306</t>
  </si>
  <si>
    <t>КОЛ05307</t>
  </si>
  <si>
    <t>КОЛ05308</t>
  </si>
  <si>
    <t>КОЛ05309</t>
  </si>
  <si>
    <t>КОЛ05352</t>
  </si>
  <si>
    <t>КОЛ05310</t>
  </si>
  <si>
    <t>КОЛ05311</t>
  </si>
  <si>
    <t>КОЛ05312</t>
  </si>
  <si>
    <t>КОЛ05313</t>
  </si>
  <si>
    <t>КОЛ05314</t>
  </si>
  <si>
    <t>КОЛ05315</t>
  </si>
  <si>
    <t>КОЛ05316</t>
  </si>
  <si>
    <t>КОЛ05321</t>
  </si>
  <si>
    <t>КОЛ05319</t>
  </si>
  <si>
    <t>КОЛ05351</t>
  </si>
  <si>
    <t>КОЛ05323</t>
  </si>
  <si>
    <t>5404</t>
  </si>
  <si>
    <t>5405</t>
  </si>
  <si>
    <t>5406</t>
  </si>
  <si>
    <t>5407</t>
  </si>
  <si>
    <t>5408</t>
  </si>
  <si>
    <t>5409</t>
  </si>
  <si>
    <t>5452</t>
  </si>
  <si>
    <t>5410</t>
  </si>
  <si>
    <t>5411</t>
  </si>
  <si>
    <t>5412</t>
  </si>
  <si>
    <t>5413</t>
  </si>
  <si>
    <t>5414</t>
  </si>
  <si>
    <t>5415</t>
  </si>
  <si>
    <t>5416</t>
  </si>
  <si>
    <t>5421</t>
  </si>
  <si>
    <t>5419</t>
  </si>
  <si>
    <t>5451</t>
  </si>
  <si>
    <t>5423</t>
  </si>
  <si>
    <t>КОЛ05404</t>
  </si>
  <si>
    <t>КОЛ05405</t>
  </si>
  <si>
    <t>КОЛ05406</t>
  </si>
  <si>
    <t>КОЛ05407</t>
  </si>
  <si>
    <t>КОЛ05408</t>
  </si>
  <si>
    <t>КОЛ05409</t>
  </si>
  <si>
    <t>КОЛ05452</t>
  </si>
  <si>
    <t>КОЛ05410</t>
  </si>
  <si>
    <t>КОЛ05411</t>
  </si>
  <si>
    <t>КОЛ05412</t>
  </si>
  <si>
    <t>КОЛ05413</t>
  </si>
  <si>
    <t>КОЛ05414</t>
  </si>
  <si>
    <t>КОЛ05415</t>
  </si>
  <si>
    <t>КОЛ05416</t>
  </si>
  <si>
    <t>КОЛ05421</t>
  </si>
  <si>
    <t>КОЛ05419</t>
  </si>
  <si>
    <t>КОЛ05451</t>
  </si>
  <si>
    <t>КОЛ05423</t>
  </si>
  <si>
    <t>КОЛ05504</t>
  </si>
  <si>
    <t>КОЛ05505</t>
  </si>
  <si>
    <t>КОЛ05506</t>
  </si>
  <si>
    <t>КОЛ05507</t>
  </si>
  <si>
    <t>КОЛ05508</t>
  </si>
  <si>
    <t>КОЛ05509</t>
  </si>
  <si>
    <t>КОЛ05552</t>
  </si>
  <si>
    <t>КОЛ05510</t>
  </si>
  <si>
    <t>КОЛ05511</t>
  </si>
  <si>
    <t>КОЛ05512</t>
  </si>
  <si>
    <t>КОЛ05513</t>
  </si>
  <si>
    <t>КОЛ05514</t>
  </si>
  <si>
    <t>КОЛ05515</t>
  </si>
  <si>
    <t>КОЛ05516</t>
  </si>
  <si>
    <t>КОЛ05521</t>
  </si>
  <si>
    <t>КОЛ05519</t>
  </si>
  <si>
    <t>КОЛ05551</t>
  </si>
  <si>
    <t>КОЛ05523</t>
  </si>
  <si>
    <t>КОЛ06004</t>
  </si>
  <si>
    <t>КОЛ06005</t>
  </si>
  <si>
    <t>КОЛ06006</t>
  </si>
  <si>
    <t>КОЛ06007</t>
  </si>
  <si>
    <t>КОЛ06008</t>
  </si>
  <si>
    <t>КОЛ06009</t>
  </si>
  <si>
    <t>КОЛ06052</t>
  </si>
  <si>
    <t>КОЛ06010</t>
  </si>
  <si>
    <t>КОЛ06011</t>
  </si>
  <si>
    <t>КОЛ06012</t>
  </si>
  <si>
    <t>КОЛ06013</t>
  </si>
  <si>
    <t>КОЛ06014</t>
  </si>
  <si>
    <t>КОЛ06015</t>
  </si>
  <si>
    <t>КОЛ06016</t>
  </si>
  <si>
    <t>КОЛ06021</t>
  </si>
  <si>
    <t>КОЛ06019</t>
  </si>
  <si>
    <t>КОЛ06051</t>
  </si>
  <si>
    <t>КОЛ06023</t>
  </si>
  <si>
    <t>федерального бюджета (от направлено расходными расписаниями и подтвержденного остатка)</t>
  </si>
  <si>
    <t>4.3. - Субсидии на комплексную компактную застройку, КБК: 04 05 0000058980 522</t>
  </si>
  <si>
    <t>4.2. - Софинансирование объектов капитального строительства госсобственности субъектов Российской Федерации (собственности муниципальных образований) всего, в том числе:, КБК: 11 01 2570050180 522</t>
  </si>
  <si>
    <t>4.2. - Софинансирование объектов капитального строительства госсобственности субъектов Российской Федерации (собственности муниципальных образований) всего, в том числе:, КБК: 09 02 2570050180 522</t>
  </si>
  <si>
    <t>код по ОКАТО</t>
  </si>
  <si>
    <t>порядковый номер на листе data1</t>
  </si>
  <si>
    <t>1.4 - Субсидии на  возмещение части процентной ставки по инвестиционным кредитам (займам) на развитие растениеводства, переработки и развития инфраструктуры и логистического обеспечения рынков продукции растениеводства, КБК: 04 05 25Л0155440 523</t>
  </si>
  <si>
    <t>1.2- Субсидии на повышение продуктивности в молочном скотоводстве КБК: 04 05 25И0155420 521</t>
  </si>
  <si>
    <t>1.1 - Субсидии на оказание несвязанной поддержки сельскохозяйственным товаропроизводителям в области растениеводства, КБК: 04 05 25И155410 523</t>
  </si>
  <si>
    <t>1.3-Субсидии на содействие достижению целевых показателей региональных программ развития агропромышленного комплекса КБК: 04 05 25И0255430 523</t>
  </si>
  <si>
    <t>1.5 - Субсидии на возмещение части прямых понесенных затрат на создание и модернизацию объектов селекционно-генетических центров в животноводстве и селекционно-семеноводческих центров в растениеводстве, а также на приобретение техники и оборудования на цели предоставления субсидий, КБК: 04 0525Л0255450 523</t>
  </si>
  <si>
    <t>1.6-Субсидии на реализацию мероприятий федеральной целевой программы "Развитие мелиорации земель сельскохозяйственного назначения России на 2014 - 2020 годы" , КБК: 04 05 2580050760 521</t>
  </si>
  <si>
    <t xml:space="preserve">2.1 - Субсидии на обеспечение жильем граждан, проживающих и работающих в сельской местности, и на обеспечение жильем молодых семей и молодых специалистов, проживающих и работающих в сельской местности, КБК: 10 03 2570050180 521 </t>
  </si>
  <si>
    <t>2.1 КБК 10 03 0000058000 521</t>
  </si>
  <si>
    <t>2.2 - Софинансирование объектов капитального строительства госсобственности субъектов Российской Федерации (собственности муниципальных образований) всего, в том числе:, КБК: 05 02 2570050180 522</t>
  </si>
  <si>
    <t>2.2.1 - Устойчивое развитие сельских территорий на 2014 - 2017 годы и на период до 2020 года" (ЖКХ), КБК: 05 02 0000058000 522</t>
  </si>
  <si>
    <t>2.2.2 -  ФЦП "Устойчивое развитие сельских территорий на 2014 - 2017 годы и на период до 2020 года" (Образование), КБК: 07 02 2570050180 522</t>
  </si>
  <si>
    <t>2.2.3 - ФЦП "Устойчивое развитие сельских территорий на 2014 - 2017 годы и на период до 2020 года" (Образование):, КБК: 07 02 0000058000 522</t>
  </si>
  <si>
    <t>2.2.4 -Устойчивое развитие сельских территорий на 2014 - 2017 годы и на период до 2020 года" (Медицина), КБК:09 02 2570050180 522</t>
  </si>
  <si>
    <t>2.2.5 - Устойчивое развитие сельских территорий на 2014 - 2017 годы и на период до 2020 года" (Медицина):, КБК: 09 02 0000058000 522</t>
  </si>
  <si>
    <t>2.2.6 - Устойчивое развитие сельских территорий на 2014 - 2017 годы и на период до 2020 года" (Спорт):, КБК: 11 01 2570050180 522</t>
  </si>
  <si>
    <t>2.2.7 - Устойчивое развитие сельских территорий на 2014 - 2017 годы и на период до 2020 года" (Спорт):, КБК: 11 01 0000058000 522</t>
  </si>
  <si>
    <t>2.3.1- Субсидии на комплексную компактную застройку, КБК: 04 05 0000058000 522</t>
  </si>
  <si>
    <t>2.3 - Субсидии на комплексную компактную застройку, КБК: 04 05 2570050180 522</t>
  </si>
  <si>
    <t>2.4. - Субсидии на грантовую поддержку местных инициатив граждан, проживающих в сельской местности, КБК: 04 05 2570050180 521</t>
  </si>
  <si>
    <t xml:space="preserve">3.-Целевые межбюджетные трансферты прошлых лет, полученные из федерального бюджета, КБК: 04 05 0000058000 521 </t>
  </si>
  <si>
    <t>2.5. - Субсидии на грантовую поддержку местных инициатив граждан, проживающих в сельской местности, КБК: 04 05 0000058000 521</t>
  </si>
  <si>
    <t>2.5. - Субсидии на грантовую поддержку местных инициатив граждан, проживающих в сельской местности, КБК:04 05 0000058000 521</t>
  </si>
  <si>
    <t>2.2.1 - Устойчивое развитие сельских территорий на 2014 - 2017 годы и на период до 2020 года" (ЖКХ), КБК: 05 02 0000058000 5222</t>
  </si>
  <si>
    <t>Доведено РБС</t>
  </si>
  <si>
    <t>ё</t>
  </si>
  <si>
    <t>1.5 всего</t>
  </si>
  <si>
    <t>1.4 всего</t>
  </si>
  <si>
    <t>1.3 всего</t>
  </si>
  <si>
    <t>1.2 всего</t>
  </si>
  <si>
    <t>Всего с 1,1 по 1.5</t>
  </si>
  <si>
    <t>1.1 - Субсидии на оказание несвязанной поддержки сельскохозяйственным товаропроизводителям в области растениеводства</t>
  </si>
  <si>
    <t>1.5 - Субсидии на возмещение части прямых понесенных затрат на создание и модернизацию объектов агропромышленного комплекса, а также на приобретение техники и оборудования</t>
  </si>
  <si>
    <t xml:space="preserve">1.6-Субсидии на реализацию мероприятий федеральной целевой программы "Развитие мелиорации земель сельскохозяйственного назначения России на 2014 - 2020 годы"  </t>
  </si>
  <si>
    <t>Субсидии на реализацию мероприятий федеральной целевой программы "Устойчивое развитие сельских территорий на 2014 - 2017 годы и на период до 2020 года" (сумма строк 2.1.-2.4)</t>
  </si>
  <si>
    <t>3 - Целевые межбюджетные трансферты прошлых лет, полученные из федерального бюджета</t>
  </si>
  <si>
    <t>КОЛ017</t>
  </si>
  <si>
    <t xml:space="preserve">1.4.Субсидии на возмещение части процентной ставки по инвестиционным кредитам (займам) в агропромышленном комплексе
</t>
  </si>
  <si>
    <t>КОЛ062</t>
  </si>
  <si>
    <t>1.2- Субсидии на повышение продуктивности в молочном скотоводстве КБК: 04 05 25И015542F 521</t>
  </si>
  <si>
    <t>КОЛ045</t>
  </si>
  <si>
    <t xml:space="preserve">1.3.Субсидии на содействие достижению целевых показателей региональных программ развития агропромышленного комплекса КБК: 04 05 25И025543F 523
</t>
  </si>
  <si>
    <t>КОЛ075</t>
  </si>
  <si>
    <t xml:space="preserve">1.5.Субсидии на возмещение части прямых понесенных затрат на создание и модернизацию объектов агропромышленного комплекса, а также на приобретение техники и оборудования
</t>
  </si>
  <si>
    <t>1.2- Субсидии на повышение продуктивности в молочном скотоводстве 04 05 25И0155420 521</t>
  </si>
  <si>
    <t>1.2- Субсидии на повышение продуктивности в молочном скотоводстве 04 05 25И015542F 521</t>
  </si>
  <si>
    <t>1.3.Субсидии на содействие достижению целевых показателей региональных программ развития агропромышленного комплекса КБК: 04 05 25И025543F 523</t>
  </si>
  <si>
    <t>1.4 - Субсидии на возмещение части процентной ставки по инвестиционным кредитам (займам) в агропромышленном комплексе 04 05 25Л0155440 523</t>
  </si>
  <si>
    <t>1.4.Субсидии на возмещение части процентной ставки по инвестиционным кредитам (займам) в агропромышленном комплексе</t>
  </si>
  <si>
    <t>1.5 - Субсидии на возмещение части прямых понесенных затрат на создание и модернизацию объектов агропромышленного комплекса, а также на приобретение техники и оборудования 04 05 25Л0255450 523</t>
  </si>
  <si>
    <t>КОЛ01704</t>
  </si>
  <si>
    <t>КОЛ01705</t>
  </si>
  <si>
    <t>КОЛ01706</t>
  </si>
  <si>
    <t>КОЛ01707</t>
  </si>
  <si>
    <t>КОЛ01708</t>
  </si>
  <si>
    <t>КОЛ01709</t>
  </si>
  <si>
    <t>КОЛ01752</t>
  </si>
  <si>
    <t>КОЛ01710</t>
  </si>
  <si>
    <t>КОЛ01711</t>
  </si>
  <si>
    <t>КОЛ01712</t>
  </si>
  <si>
    <t>КОЛ01713</t>
  </si>
  <si>
    <t>КОЛ01714</t>
  </si>
  <si>
    <t>КОЛ01715</t>
  </si>
  <si>
    <t>КОЛ01716</t>
  </si>
  <si>
    <t>КОЛ01721</t>
  </si>
  <si>
    <t>КОЛ01719</t>
  </si>
  <si>
    <t>КОЛ01751</t>
  </si>
  <si>
    <t>КОЛ01723</t>
  </si>
  <si>
    <t>КОЛ06204</t>
  </si>
  <si>
    <t>КОЛ06205</t>
  </si>
  <si>
    <t>КОЛ06206</t>
  </si>
  <si>
    <t>КОЛ06207</t>
  </si>
  <si>
    <t>КОЛ06208</t>
  </si>
  <si>
    <t>КОЛ06209</t>
  </si>
  <si>
    <t>КОЛ06252</t>
  </si>
  <si>
    <t>КОЛ06210</t>
  </si>
  <si>
    <t>КОЛ06211</t>
  </si>
  <si>
    <t>КОЛ06212</t>
  </si>
  <si>
    <t>КОЛ06213</t>
  </si>
  <si>
    <t>КОЛ06214</t>
  </si>
  <si>
    <t>КОЛ06215</t>
  </si>
  <si>
    <t>КОЛ06216</t>
  </si>
  <si>
    <t>КОЛ06221</t>
  </si>
  <si>
    <t>КОЛ06219</t>
  </si>
  <si>
    <t>КОЛ06251</t>
  </si>
  <si>
    <t>КОЛ06223</t>
  </si>
  <si>
    <t>КОЛ04504</t>
  </si>
  <si>
    <t>КОЛ04505</t>
  </si>
  <si>
    <t>КОЛ04506</t>
  </si>
  <si>
    <t>КОЛ04507</t>
  </si>
  <si>
    <t>КОЛ04508</t>
  </si>
  <si>
    <t>КОЛ04509</t>
  </si>
  <si>
    <t>КОЛ04552</t>
  </si>
  <si>
    <t>КОЛ04510</t>
  </si>
  <si>
    <t>КОЛ04511</t>
  </si>
  <si>
    <t>КОЛ04512</t>
  </si>
  <si>
    <t>КОЛ04513</t>
  </si>
  <si>
    <t>КОЛ04514</t>
  </si>
  <si>
    <t>КОЛ04515</t>
  </si>
  <si>
    <t>КОЛ04516</t>
  </si>
  <si>
    <t>КОЛ04521</t>
  </si>
  <si>
    <t>КОЛ04519</t>
  </si>
  <si>
    <t>КОЛ04551</t>
  </si>
  <si>
    <t>КОЛ04523</t>
  </si>
  <si>
    <t>КОЛ07504</t>
  </si>
  <si>
    <t>КОЛ07505</t>
  </si>
  <si>
    <t>КОЛ07506</t>
  </si>
  <si>
    <t>КОЛ07507</t>
  </si>
  <si>
    <t>КОЛ07508</t>
  </si>
  <si>
    <t>КОЛ07509</t>
  </si>
  <si>
    <t>КОЛ07552</t>
  </si>
  <si>
    <t>КОЛ07510</t>
  </si>
  <si>
    <t>КОЛ07511</t>
  </si>
  <si>
    <t>КОЛ07512</t>
  </si>
  <si>
    <t>КОЛ07513</t>
  </si>
  <si>
    <t>КОЛ07514</t>
  </si>
  <si>
    <t>КОЛ07515</t>
  </si>
  <si>
    <t>КОЛ07516</t>
  </si>
  <si>
    <t>КОЛ07521</t>
  </si>
  <si>
    <t>КОЛ07519</t>
  </si>
  <si>
    <t>КОЛ07551</t>
  </si>
  <si>
    <t>КОЛ07523</t>
  </si>
  <si>
    <t>Декабрь 2017 г.</t>
  </si>
  <si>
    <t>в млн. руб.</t>
  </si>
  <si>
    <t xml:space="preserve"> </t>
  </si>
  <si>
    <t>за 2017 год</t>
  </si>
  <si>
    <t>Остаток средств федерального бюджета на 01.01.2017 г., потребность в котором подтверждена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</si>
</sst>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[$-F800]dddd\,\ mmmm\ dd\,\ yyyy"/>
    <numFmt numFmtId="166" formatCode="0&quot;.&quot;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indexed="10"/>
      <name val="Arial"/>
      <family val="2"/>
      <charset val="204"/>
    </font>
    <font>
      <u/>
      <sz val="10"/>
      <color indexed="12"/>
      <name val="Arial Cyr"/>
      <charset val="204"/>
    </font>
    <font>
      <b/>
      <sz val="16"/>
      <name val="Times New Roman"/>
      <family val="1"/>
      <charset val="204"/>
    </font>
    <font>
      <b/>
      <u/>
      <sz val="14"/>
      <color indexed="10"/>
      <name val="Arial Cyr"/>
      <charset val="204"/>
    </font>
    <font>
      <sz val="10"/>
      <name val="Times New Roman"/>
      <family val="1"/>
    </font>
    <font>
      <sz val="11"/>
      <name val="Times New Roman"/>
      <family val="1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1"/>
      <color indexed="8"/>
      <name val="Times New Roman"/>
      <family val="1"/>
      <charset val="204"/>
    </font>
    <font>
      <sz val="12"/>
      <name val="Times New Roman"/>
      <family val="1"/>
    </font>
    <font>
      <b/>
      <sz val="12"/>
      <color indexed="8"/>
      <name val="Times New Roman"/>
      <family val="1"/>
      <charset val="204"/>
    </font>
    <font>
      <sz val="11"/>
      <name val="Times New Roman"/>
      <family val="1"/>
      <charset val="204"/>
    </font>
    <font>
      <sz val="11"/>
      <color indexed="10"/>
      <name val="Calibri"/>
      <family val="2"/>
      <charset val="204"/>
    </font>
    <font>
      <b/>
      <sz val="14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2"/>
      <color indexed="8"/>
      <name val="Arial"/>
      <family val="2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2"/>
      <name val="Arial"/>
      <family val="2"/>
      <charset val="204"/>
    </font>
    <font>
      <sz val="12"/>
      <name val="Times New Roman"/>
      <family val="1"/>
      <charset val="204"/>
    </font>
    <font>
      <sz val="12"/>
      <color theme="1"/>
      <name val="Calibri"/>
      <family val="2"/>
      <scheme val="minor"/>
    </font>
    <font>
      <sz val="12"/>
      <color indexed="8"/>
      <name val="Times New Roman"/>
      <family val="2"/>
    </font>
    <font>
      <sz val="8"/>
      <name val="Arial"/>
      <family val="2"/>
    </font>
    <font>
      <b/>
      <sz val="12"/>
      <color indexed="8"/>
      <name val="Times New Roman"/>
      <family val="2"/>
    </font>
    <font>
      <b/>
      <sz val="8"/>
      <name val="Arial"/>
      <family val="2"/>
      <charset val="204"/>
    </font>
    <font>
      <b/>
      <sz val="18"/>
      <color rgb="FFFF0000"/>
      <name val="Calibri"/>
      <family val="2"/>
      <charset val="204"/>
      <scheme val="minor"/>
    </font>
    <font>
      <sz val="6"/>
      <color rgb="FF222222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2" fillId="0" borderId="0"/>
    <xf numFmtId="0" fontId="28" fillId="0" borderId="0"/>
    <xf numFmtId="0" fontId="2" fillId="0" borderId="0"/>
    <xf numFmtId="0" fontId="1" fillId="0" borderId="0"/>
  </cellStyleXfs>
  <cellXfs count="288">
    <xf numFmtId="0" fontId="0" fillId="0" borderId="0" xfId="0"/>
    <xf numFmtId="0" fontId="3" fillId="0" borderId="0" xfId="0" applyFont="1" applyAlignment="1">
      <alignment vertical="top" wrapText="1"/>
    </xf>
    <xf numFmtId="0" fontId="5" fillId="0" borderId="0" xfId="1" applyFont="1" applyAlignment="1" applyProtection="1"/>
    <xf numFmtId="14" fontId="0" fillId="0" borderId="0" xfId="0" applyNumberFormat="1"/>
    <xf numFmtId="0" fontId="6" fillId="0" borderId="0" xfId="1" applyFont="1" applyAlignment="1" applyProtection="1">
      <alignment horizontal="center" vertical="top"/>
    </xf>
    <xf numFmtId="0" fontId="0" fillId="0" borderId="5" xfId="0" applyBorder="1"/>
    <xf numFmtId="0" fontId="0" fillId="0" borderId="8" xfId="0" applyBorder="1"/>
    <xf numFmtId="0" fontId="8" fillId="2" borderId="9" xfId="0" applyNumberFormat="1" applyFont="1" applyFill="1" applyBorder="1" applyAlignment="1">
      <alignment horizontal="center" vertical="top" wrapText="1"/>
    </xf>
    <xf numFmtId="49" fontId="9" fillId="2" borderId="8" xfId="0" applyNumberFormat="1" applyFont="1" applyFill="1" applyBorder="1"/>
    <xf numFmtId="0" fontId="9" fillId="0" borderId="9" xfId="0" applyFont="1" applyBorder="1" applyAlignment="1">
      <alignment horizontal="center"/>
    </xf>
    <xf numFmtId="0" fontId="10" fillId="0" borderId="10" xfId="0" applyFont="1" applyBorder="1" applyAlignment="1">
      <alignment wrapText="1"/>
    </xf>
    <xf numFmtId="0" fontId="9" fillId="0" borderId="11" xfId="0" applyFont="1" applyBorder="1" applyAlignment="1">
      <alignment horizontal="center"/>
    </xf>
    <xf numFmtId="0" fontId="10" fillId="0" borderId="12" xfId="0" applyFont="1" applyBorder="1"/>
    <xf numFmtId="0" fontId="9" fillId="0" borderId="12" xfId="0" applyFont="1" applyBorder="1"/>
    <xf numFmtId="49" fontId="9" fillId="2" borderId="8" xfId="2" applyNumberFormat="1" applyFont="1" applyFill="1" applyBorder="1"/>
    <xf numFmtId="164" fontId="10" fillId="0" borderId="11" xfId="3" applyNumberFormat="1" applyFont="1" applyFill="1" applyBorder="1" applyAlignment="1">
      <alignment vertical="top" wrapText="1"/>
    </xf>
    <xf numFmtId="164" fontId="9" fillId="0" borderId="11" xfId="3" applyNumberFormat="1" applyFont="1" applyFill="1" applyBorder="1" applyAlignment="1">
      <alignment vertical="top" wrapText="1"/>
    </xf>
    <xf numFmtId="164" fontId="10" fillId="0" borderId="11" xfId="3" applyNumberFormat="1" applyFont="1" applyFill="1" applyBorder="1" applyAlignment="1">
      <alignment horizontal="left" vertical="top" wrapText="1"/>
    </xf>
    <xf numFmtId="0" fontId="9" fillId="0" borderId="12" xfId="0" applyFont="1" applyBorder="1" applyAlignment="1">
      <alignment wrapText="1"/>
    </xf>
    <xf numFmtId="49" fontId="9" fillId="2" borderId="14" xfId="0" applyNumberFormat="1" applyFont="1" applyFill="1" applyBorder="1"/>
    <xf numFmtId="0" fontId="9" fillId="0" borderId="16" xfId="0" applyFont="1" applyBorder="1"/>
    <xf numFmtId="0" fontId="8" fillId="3" borderId="0" xfId="0" applyNumberFormat="1" applyFont="1" applyFill="1" applyBorder="1" applyAlignment="1">
      <alignment horizontal="center" vertical="top" wrapText="1"/>
    </xf>
    <xf numFmtId="0" fontId="7" fillId="0" borderId="21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8" fillId="0" borderId="24" xfId="0" applyNumberFormat="1" applyFont="1" applyBorder="1" applyAlignment="1">
      <alignment horizontal="center" vertical="top" wrapText="1"/>
    </xf>
    <xf numFmtId="0" fontId="8" fillId="0" borderId="25" xfId="0" applyNumberFormat="1" applyFont="1" applyBorder="1" applyAlignment="1">
      <alignment horizontal="center" vertical="top" wrapText="1"/>
    </xf>
    <xf numFmtId="0" fontId="8" fillId="2" borderId="10" xfId="0" applyNumberFormat="1" applyFont="1" applyFill="1" applyBorder="1" applyAlignment="1">
      <alignment horizontal="center" vertical="top" wrapText="1"/>
    </xf>
    <xf numFmtId="0" fontId="0" fillId="0" borderId="11" xfId="0" applyBorder="1"/>
    <xf numFmtId="0" fontId="8" fillId="2" borderId="3" xfId="0" applyNumberFormat="1" applyFont="1" applyFill="1" applyBorder="1" applyAlignment="1">
      <alignment horizontal="center" vertical="top" wrapText="1"/>
    </xf>
    <xf numFmtId="0" fontId="0" fillId="0" borderId="15" xfId="0" applyBorder="1"/>
    <xf numFmtId="0" fontId="0" fillId="4" borderId="27" xfId="0" applyFill="1" applyBorder="1"/>
    <xf numFmtId="0" fontId="0" fillId="4" borderId="28" xfId="0" applyFill="1" applyBorder="1"/>
    <xf numFmtId="0" fontId="0" fillId="4" borderId="13" xfId="0" applyFill="1" applyBorder="1"/>
    <xf numFmtId="0" fontId="0" fillId="4" borderId="11" xfId="0" applyFill="1" applyBorder="1"/>
    <xf numFmtId="0" fontId="0" fillId="4" borderId="29" xfId="0" applyFill="1" applyBorder="1"/>
    <xf numFmtId="0" fontId="0" fillId="0" borderId="13" xfId="0" applyBorder="1" applyAlignment="1">
      <alignment wrapText="1"/>
    </xf>
    <xf numFmtId="0" fontId="0" fillId="0" borderId="11" xfId="0" applyBorder="1" applyAlignment="1">
      <alignment wrapText="1"/>
    </xf>
    <xf numFmtId="0" fontId="17" fillId="0" borderId="0" xfId="0" applyFont="1"/>
    <xf numFmtId="0" fontId="0" fillId="0" borderId="0" xfId="0" applyAlignment="1">
      <alignment wrapText="1"/>
    </xf>
    <xf numFmtId="0" fontId="5" fillId="0" borderId="0" xfId="1" applyFont="1" applyAlignment="1" applyProtection="1">
      <alignment horizontal="left" wrapText="1"/>
    </xf>
    <xf numFmtId="0" fontId="19" fillId="0" borderId="0" xfId="0" applyFont="1" applyAlignment="1">
      <alignment wrapText="1"/>
    </xf>
    <xf numFmtId="0" fontId="20" fillId="0" borderId="0" xfId="0" applyFont="1" applyBorder="1" applyAlignment="1">
      <alignment horizontal="right" vertical="center" wrapText="1"/>
    </xf>
    <xf numFmtId="0" fontId="20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vertical="center" wrapText="1"/>
    </xf>
    <xf numFmtId="0" fontId="21" fillId="0" borderId="0" xfId="0" applyFont="1" applyAlignment="1">
      <alignment horizontal="center" vertical="top" wrapText="1"/>
    </xf>
    <xf numFmtId="0" fontId="0" fillId="0" borderId="14" xfId="0" applyBorder="1"/>
    <xf numFmtId="0" fontId="8" fillId="0" borderId="11" xfId="0" applyNumberFormat="1" applyFont="1" applyBorder="1" applyAlignment="1">
      <alignment horizontal="center" vertical="top" wrapText="1"/>
    </xf>
    <xf numFmtId="0" fontId="8" fillId="2" borderId="11" xfId="0" applyNumberFormat="1" applyFont="1" applyFill="1" applyBorder="1" applyAlignment="1">
      <alignment horizontal="center" vertical="top" wrapText="1"/>
    </xf>
    <xf numFmtId="0" fontId="0" fillId="2" borderId="11" xfId="0" applyFill="1" applyBorder="1"/>
    <xf numFmtId="49" fontId="9" fillId="7" borderId="8" xfId="0" applyNumberFormat="1" applyFont="1" applyFill="1" applyBorder="1"/>
    <xf numFmtId="0" fontId="9" fillId="7" borderId="11" xfId="0" applyFont="1" applyFill="1" applyBorder="1" applyAlignment="1">
      <alignment horizontal="center"/>
    </xf>
    <xf numFmtId="0" fontId="10" fillId="7" borderId="11" xfId="0" applyFont="1" applyFill="1" applyBorder="1" applyAlignment="1">
      <alignment wrapText="1"/>
    </xf>
    <xf numFmtId="14" fontId="9" fillId="7" borderId="11" xfId="0" applyNumberFormat="1" applyFont="1" applyFill="1" applyBorder="1" applyAlignment="1">
      <alignment wrapText="1"/>
    </xf>
    <xf numFmtId="4" fontId="23" fillId="7" borderId="11" xfId="0" applyNumberFormat="1" applyFont="1" applyFill="1" applyBorder="1" applyAlignment="1">
      <alignment horizontal="right" vertical="center" wrapText="1"/>
    </xf>
    <xf numFmtId="0" fontId="0" fillId="7" borderId="0" xfId="0" applyFill="1"/>
    <xf numFmtId="0" fontId="24" fillId="8" borderId="11" xfId="0" applyFont="1" applyFill="1" applyBorder="1" applyAlignment="1">
      <alignment vertical="center" wrapText="1"/>
    </xf>
    <xf numFmtId="49" fontId="9" fillId="9" borderId="8" xfId="0" applyNumberFormat="1" applyFont="1" applyFill="1" applyBorder="1"/>
    <xf numFmtId="0" fontId="9" fillId="9" borderId="11" xfId="0" applyFont="1" applyFill="1" applyBorder="1" applyAlignment="1">
      <alignment horizontal="center"/>
    </xf>
    <xf numFmtId="0" fontId="10" fillId="9" borderId="11" xfId="0" applyFont="1" applyFill="1" applyBorder="1"/>
    <xf numFmtId="0" fontId="10" fillId="9" borderId="11" xfId="0" applyFont="1" applyFill="1" applyBorder="1" applyAlignment="1">
      <alignment wrapText="1"/>
    </xf>
    <xf numFmtId="14" fontId="9" fillId="9" borderId="11" xfId="0" applyNumberFormat="1" applyFont="1" applyFill="1" applyBorder="1" applyAlignment="1">
      <alignment wrapText="1"/>
    </xf>
    <xf numFmtId="4" fontId="23" fillId="9" borderId="11" xfId="0" applyNumberFormat="1" applyFont="1" applyFill="1" applyBorder="1" applyAlignment="1">
      <alignment horizontal="right" vertical="center" wrapText="1"/>
    </xf>
    <xf numFmtId="0" fontId="0" fillId="9" borderId="0" xfId="0" applyFill="1"/>
    <xf numFmtId="0" fontId="9" fillId="0" borderId="11" xfId="0" applyFont="1" applyBorder="1"/>
    <xf numFmtId="0" fontId="10" fillId="3" borderId="11" xfId="0" applyFont="1" applyFill="1" applyBorder="1" applyAlignment="1">
      <alignment wrapText="1"/>
    </xf>
    <xf numFmtId="14" fontId="9" fillId="3" borderId="11" xfId="0" applyNumberFormat="1" applyFont="1" applyFill="1" applyBorder="1" applyAlignment="1">
      <alignment wrapText="1"/>
    </xf>
    <xf numFmtId="4" fontId="25" fillId="0" borderId="11" xfId="0" applyNumberFormat="1" applyFont="1" applyBorder="1" applyAlignment="1">
      <alignment horizontal="right" vertical="center" wrapText="1"/>
    </xf>
    <xf numFmtId="4" fontId="23" fillId="10" borderId="11" xfId="0" applyNumberFormat="1" applyFont="1" applyFill="1" applyBorder="1" applyAlignment="1">
      <alignment horizontal="right" vertical="center" wrapText="1"/>
    </xf>
    <xf numFmtId="0" fontId="9" fillId="3" borderId="11" xfId="0" applyNumberFormat="1" applyFont="1" applyFill="1" applyBorder="1" applyAlignment="1">
      <alignment horizontal="center" vertical="top" wrapText="1"/>
    </xf>
    <xf numFmtId="49" fontId="9" fillId="9" borderId="8" xfId="2" applyNumberFormat="1" applyFont="1" applyFill="1" applyBorder="1"/>
    <xf numFmtId="0" fontId="9" fillId="9" borderId="11" xfId="0" applyNumberFormat="1" applyFont="1" applyFill="1" applyBorder="1" applyAlignment="1">
      <alignment horizontal="center" vertical="top" wrapText="1"/>
    </xf>
    <xf numFmtId="164" fontId="10" fillId="9" borderId="11" xfId="3" applyNumberFormat="1" applyFont="1" applyFill="1" applyBorder="1" applyAlignment="1">
      <alignment vertical="top" wrapText="1"/>
    </xf>
    <xf numFmtId="0" fontId="9" fillId="0" borderId="11" xfId="0" applyNumberFormat="1" applyFont="1" applyBorder="1" applyAlignment="1">
      <alignment horizontal="center" vertical="top" wrapText="1"/>
    </xf>
    <xf numFmtId="164" fontId="10" fillId="9" borderId="11" xfId="3" applyNumberFormat="1" applyFont="1" applyFill="1" applyBorder="1" applyAlignment="1">
      <alignment horizontal="left" vertical="top" wrapText="1"/>
    </xf>
    <xf numFmtId="0" fontId="9" fillId="3" borderId="11" xfId="0" applyFont="1" applyFill="1" applyBorder="1" applyAlignment="1">
      <alignment horizontal="center"/>
    </xf>
    <xf numFmtId="0" fontId="9" fillId="0" borderId="11" xfId="0" applyFont="1" applyBorder="1" applyAlignment="1">
      <alignment wrapText="1"/>
    </xf>
    <xf numFmtId="0" fontId="22" fillId="0" borderId="0" xfId="0" applyFont="1" applyAlignment="1"/>
    <xf numFmtId="0" fontId="16" fillId="0" borderId="20" xfId="0" applyFont="1" applyBorder="1" applyAlignment="1">
      <alignment horizontal="center" vertical="top" wrapText="1"/>
    </xf>
    <xf numFmtId="0" fontId="0" fillId="2" borderId="9" xfId="0" applyFill="1" applyBorder="1"/>
    <xf numFmtId="0" fontId="0" fillId="2" borderId="33" xfId="0" applyFill="1" applyBorder="1"/>
    <xf numFmtId="4" fontId="23" fillId="7" borderId="20" xfId="0" applyNumberFormat="1" applyFont="1" applyFill="1" applyBorder="1" applyAlignment="1">
      <alignment horizontal="right" vertical="center" wrapText="1"/>
    </xf>
    <xf numFmtId="0" fontId="16" fillId="0" borderId="11" xfId="0" applyFont="1" applyBorder="1" applyAlignment="1">
      <alignment horizontal="center" vertical="top" wrapText="1"/>
    </xf>
    <xf numFmtId="0" fontId="5" fillId="0" borderId="0" xfId="1" applyFont="1" applyAlignment="1" applyProtection="1">
      <alignment horizontal="center" wrapText="1"/>
    </xf>
    <xf numFmtId="0" fontId="23" fillId="7" borderId="11" xfId="0" applyNumberFormat="1" applyFont="1" applyFill="1" applyBorder="1" applyAlignment="1">
      <alignment horizontal="right" vertical="center" wrapText="1"/>
    </xf>
    <xf numFmtId="0" fontId="16" fillId="0" borderId="11" xfId="0" applyFont="1" applyBorder="1" applyAlignment="1">
      <alignment horizontal="center" vertical="top" wrapText="1"/>
    </xf>
    <xf numFmtId="0" fontId="0" fillId="0" borderId="20" xfId="0" applyBorder="1" applyAlignment="1">
      <alignment wrapText="1"/>
    </xf>
    <xf numFmtId="0" fontId="0" fillId="4" borderId="20" xfId="0" applyFill="1" applyBorder="1"/>
    <xf numFmtId="0" fontId="0" fillId="0" borderId="40" xfId="0" applyBorder="1" applyAlignment="1">
      <alignment wrapText="1"/>
    </xf>
    <xf numFmtId="0" fontId="0" fillId="4" borderId="41" xfId="0" applyFill="1" applyBorder="1"/>
    <xf numFmtId="0" fontId="0" fillId="4" borderId="42" xfId="0" applyFill="1" applyBorder="1"/>
    <xf numFmtId="0" fontId="0" fillId="4" borderId="43" xfId="0" applyFill="1" applyBorder="1"/>
    <xf numFmtId="0" fontId="8" fillId="2" borderId="45" xfId="0" applyNumberFormat="1" applyFont="1" applyFill="1" applyBorder="1" applyAlignment="1">
      <alignment horizontal="center" vertical="top" wrapText="1"/>
    </xf>
    <xf numFmtId="0" fontId="8" fillId="2" borderId="8" xfId="0" applyNumberFormat="1" applyFont="1" applyFill="1" applyBorder="1" applyAlignment="1">
      <alignment horizontal="center" vertical="top" wrapText="1"/>
    </xf>
    <xf numFmtId="0" fontId="0" fillId="4" borderId="10" xfId="0" applyFill="1" applyBorder="1"/>
    <xf numFmtId="0" fontId="0" fillId="4" borderId="12" xfId="0" applyFill="1" applyBorder="1"/>
    <xf numFmtId="0" fontId="8" fillId="2" borderId="44" xfId="0" quotePrefix="1" applyNumberFormat="1" applyFont="1" applyFill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0" fillId="0" borderId="49" xfId="0" applyBorder="1"/>
    <xf numFmtId="0" fontId="16" fillId="0" borderId="11" xfId="0" applyFont="1" applyBorder="1" applyAlignment="1">
      <alignment horizontal="center" vertical="top" wrapText="1"/>
    </xf>
    <xf numFmtId="0" fontId="0" fillId="11" borderId="0" xfId="0" applyFill="1"/>
    <xf numFmtId="0" fontId="27" fillId="3" borderId="11" xfId="0" applyNumberFormat="1" applyFont="1" applyFill="1" applyBorder="1" applyAlignment="1">
      <alignment horizontal="center" vertical="center"/>
    </xf>
    <xf numFmtId="0" fontId="27" fillId="3" borderId="11" xfId="0" applyNumberFormat="1" applyFont="1" applyFill="1" applyBorder="1" applyAlignment="1">
      <alignment horizontal="left" vertical="center" wrapText="1"/>
    </xf>
    <xf numFmtId="0" fontId="27" fillId="3" borderId="11" xfId="0" applyNumberFormat="1" applyFont="1" applyFill="1" applyBorder="1" applyAlignment="1">
      <alignment horizontal="center" vertical="center" wrapText="1"/>
    </xf>
    <xf numFmtId="0" fontId="28" fillId="0" borderId="0" xfId="4" applyAlignment="1">
      <alignment horizontal="left"/>
    </xf>
    <xf numFmtId="0" fontId="28" fillId="0" borderId="0" xfId="4" quotePrefix="1" applyAlignment="1">
      <alignment horizontal="left"/>
    </xf>
    <xf numFmtId="0" fontId="27" fillId="0" borderId="11" xfId="0" applyNumberFormat="1" applyFont="1" applyBorder="1" applyAlignment="1">
      <alignment horizontal="center" vertical="center" wrapText="1"/>
    </xf>
    <xf numFmtId="0" fontId="27" fillId="0" borderId="11" xfId="0" applyNumberFormat="1" applyFont="1" applyBorder="1" applyAlignment="1">
      <alignment horizontal="center" vertical="center"/>
    </xf>
    <xf numFmtId="0" fontId="27" fillId="0" borderId="11" xfId="0" applyNumberFormat="1" applyFont="1" applyBorder="1" applyAlignment="1">
      <alignment horizontal="left" vertical="center" wrapText="1"/>
    </xf>
    <xf numFmtId="0" fontId="0" fillId="12" borderId="0" xfId="0" applyFill="1"/>
    <xf numFmtId="0" fontId="29" fillId="13" borderId="11" xfId="0" applyNumberFormat="1" applyFont="1" applyFill="1" applyBorder="1" applyAlignment="1">
      <alignment horizontal="center" vertical="center"/>
    </xf>
    <xf numFmtId="0" fontId="29" fillId="13" borderId="11" xfId="0" applyNumberFormat="1" applyFont="1" applyFill="1" applyBorder="1" applyAlignment="1">
      <alignment horizontal="left" vertical="center" wrapText="1"/>
    </xf>
    <xf numFmtId="0" fontId="29" fillId="13" borderId="11" xfId="0" applyNumberFormat="1" applyFont="1" applyFill="1" applyBorder="1" applyAlignment="1">
      <alignment horizontal="center" vertical="center" wrapText="1"/>
    </xf>
    <xf numFmtId="0" fontId="27" fillId="13" borderId="11" xfId="0" applyNumberFormat="1" applyFont="1" applyFill="1" applyBorder="1" applyAlignment="1">
      <alignment horizontal="left" vertical="center" wrapText="1"/>
    </xf>
    <xf numFmtId="0" fontId="0" fillId="14" borderId="0" xfId="0" applyFill="1"/>
    <xf numFmtId="166" fontId="29" fillId="3" borderId="11" xfId="0" applyNumberFormat="1" applyFont="1" applyFill="1" applyBorder="1" applyAlignment="1">
      <alignment horizontal="center" vertical="center"/>
    </xf>
    <xf numFmtId="0" fontId="29" fillId="3" borderId="11" xfId="0" applyNumberFormat="1" applyFont="1" applyFill="1" applyBorder="1" applyAlignment="1">
      <alignment horizontal="left" vertical="center" wrapText="1"/>
    </xf>
    <xf numFmtId="0" fontId="29" fillId="3" borderId="11" xfId="0" applyNumberFormat="1" applyFont="1" applyFill="1" applyBorder="1" applyAlignment="1">
      <alignment horizontal="center" vertical="center" wrapText="1"/>
    </xf>
    <xf numFmtId="0" fontId="30" fillId="11" borderId="0" xfId="0" applyFont="1" applyFill="1"/>
    <xf numFmtId="0" fontId="27" fillId="13" borderId="11" xfId="0" applyNumberFormat="1" applyFont="1" applyFill="1" applyBorder="1" applyAlignment="1">
      <alignment horizontal="center" vertical="center"/>
    </xf>
    <xf numFmtId="0" fontId="27" fillId="13" borderId="11" xfId="0" applyNumberFormat="1" applyFont="1" applyFill="1" applyBorder="1" applyAlignment="1">
      <alignment horizontal="center" vertical="center" wrapText="1"/>
    </xf>
    <xf numFmtId="0" fontId="0" fillId="15" borderId="0" xfId="0" applyFill="1"/>
    <xf numFmtId="0" fontId="0" fillId="0" borderId="0" xfId="0" applyNumberFormat="1"/>
    <xf numFmtId="164" fontId="10" fillId="0" borderId="12" xfId="3" applyNumberFormat="1" applyFont="1" applyFill="1" applyBorder="1" applyAlignment="1">
      <alignment horizontal="left" vertical="top" wrapText="1"/>
    </xf>
    <xf numFmtId="0" fontId="10" fillId="0" borderId="11" xfId="0" applyFont="1" applyBorder="1"/>
    <xf numFmtId="164" fontId="10" fillId="0" borderId="12" xfId="3" applyNumberFormat="1" applyFont="1" applyFill="1" applyBorder="1" applyAlignment="1">
      <alignment vertical="top" wrapText="1"/>
    </xf>
    <xf numFmtId="0" fontId="0" fillId="0" borderId="0" xfId="0"/>
    <xf numFmtId="0" fontId="3" fillId="0" borderId="0" xfId="0" applyFont="1" applyAlignment="1">
      <alignment vertical="top" wrapText="1"/>
    </xf>
    <xf numFmtId="0" fontId="5" fillId="0" borderId="0" xfId="1" applyFont="1" applyAlignment="1" applyProtection="1"/>
    <xf numFmtId="0" fontId="6" fillId="0" borderId="0" xfId="1" applyFont="1" applyAlignment="1" applyProtection="1">
      <alignment horizontal="center" vertical="top"/>
    </xf>
    <xf numFmtId="0" fontId="0" fillId="0" borderId="5" xfId="0" applyBorder="1"/>
    <xf numFmtId="0" fontId="0" fillId="0" borderId="8" xfId="0" applyBorder="1"/>
    <xf numFmtId="0" fontId="8" fillId="2" borderId="9" xfId="0" applyNumberFormat="1" applyFont="1" applyFill="1" applyBorder="1" applyAlignment="1">
      <alignment horizontal="center" vertical="top" wrapText="1"/>
    </xf>
    <xf numFmtId="49" fontId="9" fillId="2" borderId="8" xfId="0" applyNumberFormat="1" applyFont="1" applyFill="1" applyBorder="1"/>
    <xf numFmtId="0" fontId="9" fillId="0" borderId="9" xfId="0" applyFont="1" applyBorder="1" applyAlignment="1">
      <alignment horizontal="center"/>
    </xf>
    <xf numFmtId="0" fontId="10" fillId="0" borderId="10" xfId="0" applyFont="1" applyBorder="1" applyAlignment="1">
      <alignment wrapText="1"/>
    </xf>
    <xf numFmtId="0" fontId="9" fillId="0" borderId="11" xfId="0" applyFont="1" applyBorder="1" applyAlignment="1">
      <alignment horizontal="center"/>
    </xf>
    <xf numFmtId="0" fontId="10" fillId="0" borderId="12" xfId="0" applyFont="1" applyBorder="1"/>
    <xf numFmtId="0" fontId="9" fillId="0" borderId="13" xfId="0" applyNumberFormat="1" applyFont="1" applyBorder="1" applyAlignment="1">
      <alignment horizontal="center" vertical="top" wrapText="1"/>
    </xf>
    <xf numFmtId="49" fontId="9" fillId="2" borderId="8" xfId="2" applyNumberFormat="1" applyFont="1" applyFill="1" applyBorder="1"/>
    <xf numFmtId="164" fontId="10" fillId="0" borderId="11" xfId="3" applyNumberFormat="1" applyFont="1" applyFill="1" applyBorder="1" applyAlignment="1">
      <alignment vertical="top" wrapText="1"/>
    </xf>
    <xf numFmtId="164" fontId="10" fillId="0" borderId="11" xfId="3" applyNumberFormat="1" applyFont="1" applyFill="1" applyBorder="1" applyAlignment="1">
      <alignment horizontal="left" vertical="top" wrapText="1"/>
    </xf>
    <xf numFmtId="0" fontId="8" fillId="3" borderId="0" xfId="0" applyNumberFormat="1" applyFont="1" applyFill="1" applyBorder="1" applyAlignment="1">
      <alignment horizontal="center" vertical="top" wrapText="1"/>
    </xf>
    <xf numFmtId="0" fontId="14" fillId="0" borderId="0" xfId="0" applyFont="1" applyBorder="1" applyAlignment="1">
      <alignment horizontal="center" vertical="center" wrapText="1"/>
    </xf>
    <xf numFmtId="0" fontId="8" fillId="0" borderId="24" xfId="0" applyNumberFormat="1" applyFont="1" applyBorder="1" applyAlignment="1">
      <alignment horizontal="center" vertical="top" wrapText="1"/>
    </xf>
    <xf numFmtId="0" fontId="8" fillId="0" borderId="25" xfId="0" applyNumberFormat="1" applyFont="1" applyBorder="1" applyAlignment="1">
      <alignment horizontal="center" vertical="top" wrapText="1"/>
    </xf>
    <xf numFmtId="0" fontId="8" fillId="2" borderId="10" xfId="0" applyNumberFormat="1" applyFont="1" applyFill="1" applyBorder="1" applyAlignment="1">
      <alignment horizontal="center" vertical="top" wrapText="1"/>
    </xf>
    <xf numFmtId="0" fontId="8" fillId="2" borderId="3" xfId="0" applyNumberFormat="1" applyFont="1" applyFill="1" applyBorder="1" applyAlignment="1">
      <alignment horizontal="center" vertical="top" wrapText="1"/>
    </xf>
    <xf numFmtId="0" fontId="0" fillId="4" borderId="13" xfId="0" applyFill="1" applyBorder="1"/>
    <xf numFmtId="0" fontId="9" fillId="0" borderId="11" xfId="0" applyNumberFormat="1" applyFont="1" applyBorder="1" applyAlignment="1">
      <alignment horizontal="center" vertical="top" wrapText="1"/>
    </xf>
    <xf numFmtId="0" fontId="0" fillId="4" borderId="42" xfId="0" applyFill="1" applyBorder="1"/>
    <xf numFmtId="0" fontId="0" fillId="4" borderId="43" xfId="0" applyFill="1" applyBorder="1"/>
    <xf numFmtId="0" fontId="8" fillId="2" borderId="45" xfId="0" applyNumberFormat="1" applyFont="1" applyFill="1" applyBorder="1" applyAlignment="1">
      <alignment horizontal="center" vertical="top" wrapText="1"/>
    </xf>
    <xf numFmtId="0" fontId="8" fillId="2" borderId="8" xfId="0" applyNumberFormat="1" applyFont="1" applyFill="1" applyBorder="1" applyAlignment="1">
      <alignment horizontal="center" vertical="top" wrapText="1"/>
    </xf>
    <xf numFmtId="0" fontId="8" fillId="2" borderId="44" xfId="0" quotePrefix="1" applyNumberFormat="1" applyFont="1" applyFill="1" applyBorder="1" applyAlignment="1">
      <alignment horizontal="center" vertical="top" wrapText="1"/>
    </xf>
    <xf numFmtId="0" fontId="31" fillId="0" borderId="0" xfId="0" applyFont="1"/>
    <xf numFmtId="0" fontId="10" fillId="11" borderId="0" xfId="0" applyFont="1" applyFill="1" applyBorder="1"/>
    <xf numFmtId="0" fontId="0" fillId="0" borderId="12" xfId="0" applyBorder="1"/>
    <xf numFmtId="0" fontId="9" fillId="0" borderId="13" xfId="0" applyFont="1" applyBorder="1" applyAlignment="1">
      <alignment horizontal="center"/>
    </xf>
    <xf numFmtId="0" fontId="0" fillId="0" borderId="0" xfId="0" applyFill="1"/>
    <xf numFmtId="0" fontId="32" fillId="0" borderId="0" xfId="0" applyFont="1"/>
    <xf numFmtId="49" fontId="8" fillId="3" borderId="0" xfId="0" applyNumberFormat="1" applyFont="1" applyFill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7" fillId="0" borderId="17" xfId="0" applyFont="1" applyFill="1" applyBorder="1" applyAlignment="1">
      <alignment horizontal="center" vertical="center" wrapText="1"/>
    </xf>
    <xf numFmtId="0" fontId="14" fillId="0" borderId="18" xfId="0" applyFont="1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0" fillId="0" borderId="45" xfId="0" applyBorder="1"/>
    <xf numFmtId="0" fontId="0" fillId="0" borderId="0" xfId="0" applyAlignment="1">
      <alignment vertical="center"/>
    </xf>
    <xf numFmtId="0" fontId="5" fillId="0" borderId="0" xfId="1" applyFont="1" applyAlignment="1" applyProtection="1">
      <alignment vertical="center"/>
    </xf>
    <xf numFmtId="0" fontId="8" fillId="2" borderId="9" xfId="0" applyNumberFormat="1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3" xfId="0" applyNumberFormat="1" applyFont="1" applyBorder="1" applyAlignment="1">
      <alignment horizontal="center" vertical="center" wrapText="1"/>
    </xf>
    <xf numFmtId="0" fontId="9" fillId="0" borderId="11" xfId="0" applyNumberFormat="1" applyFont="1" applyBorder="1" applyAlignment="1">
      <alignment horizontal="center" vertical="center" wrapText="1"/>
    </xf>
    <xf numFmtId="0" fontId="9" fillId="17" borderId="13" xfId="0" applyFont="1" applyFill="1" applyBorder="1" applyAlignment="1">
      <alignment horizontal="center"/>
    </xf>
    <xf numFmtId="0" fontId="9" fillId="17" borderId="9" xfId="0" applyFont="1" applyFill="1" applyBorder="1" applyAlignment="1">
      <alignment horizontal="center"/>
    </xf>
    <xf numFmtId="0" fontId="9" fillId="17" borderId="9" xfId="0" applyNumberFormat="1" applyFont="1" applyFill="1" applyBorder="1" applyAlignment="1">
      <alignment horizontal="center" vertical="top" wrapText="1"/>
    </xf>
    <xf numFmtId="0" fontId="9" fillId="17" borderId="11" xfId="0" applyNumberFormat="1" applyFont="1" applyFill="1" applyBorder="1" applyAlignment="1">
      <alignment horizontal="center" vertical="top" wrapText="1"/>
    </xf>
    <xf numFmtId="0" fontId="9" fillId="17" borderId="11" xfId="0" applyFont="1" applyFill="1" applyBorder="1" applyAlignment="1">
      <alignment horizontal="center"/>
    </xf>
    <xf numFmtId="0" fontId="10" fillId="0" borderId="0" xfId="0" applyFont="1" applyBorder="1"/>
    <xf numFmtId="0" fontId="9" fillId="0" borderId="0" xfId="0" applyFont="1" applyBorder="1"/>
    <xf numFmtId="164" fontId="9" fillId="0" borderId="12" xfId="3" applyNumberFormat="1" applyFont="1" applyFill="1" applyBorder="1" applyAlignment="1">
      <alignment vertical="top" wrapText="1"/>
    </xf>
    <xf numFmtId="0" fontId="9" fillId="0" borderId="0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9" xfId="0" applyNumberFormat="1" applyFont="1" applyBorder="1" applyAlignment="1">
      <alignment horizontal="center" vertical="center" wrapText="1"/>
    </xf>
    <xf numFmtId="0" fontId="8" fillId="12" borderId="0" xfId="0" applyNumberFormat="1" applyFont="1" applyFill="1" applyBorder="1" applyAlignment="1">
      <alignment horizontal="center" vertical="top" wrapText="1"/>
    </xf>
    <xf numFmtId="49" fontId="8" fillId="12" borderId="0" xfId="0" applyNumberFormat="1" applyFont="1" applyFill="1" applyBorder="1" applyAlignment="1">
      <alignment horizontal="center" vertical="top" wrapText="1"/>
    </xf>
    <xf numFmtId="0" fontId="25" fillId="0" borderId="11" xfId="0" applyFont="1" applyBorder="1"/>
    <xf numFmtId="0" fontId="23" fillId="9" borderId="11" xfId="0" applyFont="1" applyFill="1" applyBorder="1"/>
    <xf numFmtId="164" fontId="23" fillId="9" borderId="11" xfId="3" applyNumberFormat="1" applyFont="1" applyFill="1" applyBorder="1" applyAlignment="1">
      <alignment vertical="top" wrapText="1"/>
    </xf>
    <xf numFmtId="164" fontId="25" fillId="0" borderId="11" xfId="3" applyNumberFormat="1" applyFont="1" applyFill="1" applyBorder="1" applyAlignment="1">
      <alignment vertical="top" wrapText="1"/>
    </xf>
    <xf numFmtId="164" fontId="23" fillId="9" borderId="11" xfId="3" applyNumberFormat="1" applyFont="1" applyFill="1" applyBorder="1" applyAlignment="1">
      <alignment horizontal="left" vertical="top" wrapText="1"/>
    </xf>
    <xf numFmtId="0" fontId="25" fillId="0" borderId="11" xfId="0" applyFont="1" applyBorder="1" applyAlignment="1">
      <alignment wrapText="1"/>
    </xf>
    <xf numFmtId="0" fontId="23" fillId="7" borderId="11" xfId="0" applyFont="1" applyFill="1" applyBorder="1" applyAlignment="1">
      <alignment wrapText="1"/>
    </xf>
    <xf numFmtId="0" fontId="25" fillId="7" borderId="11" xfId="0" applyFont="1" applyFill="1" applyBorder="1" applyAlignment="1">
      <alignment horizontal="center"/>
    </xf>
    <xf numFmtId="0" fontId="25" fillId="9" borderId="11" xfId="0" applyFont="1" applyFill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25" fillId="3" borderId="11" xfId="0" applyNumberFormat="1" applyFont="1" applyFill="1" applyBorder="1" applyAlignment="1">
      <alignment horizontal="center" vertical="top" wrapText="1"/>
    </xf>
    <xf numFmtId="0" fontId="25" fillId="9" borderId="11" xfId="0" applyNumberFormat="1" applyFont="1" applyFill="1" applyBorder="1" applyAlignment="1">
      <alignment horizontal="center" vertical="top" wrapText="1"/>
    </xf>
    <xf numFmtId="0" fontId="25" fillId="0" borderId="11" xfId="0" applyNumberFormat="1" applyFont="1" applyBorder="1" applyAlignment="1">
      <alignment horizontal="center" vertical="top" wrapText="1"/>
    </xf>
    <xf numFmtId="0" fontId="25" fillId="3" borderId="11" xfId="0" applyFont="1" applyFill="1" applyBorder="1" applyAlignment="1">
      <alignment horizontal="center"/>
    </xf>
    <xf numFmtId="0" fontId="25" fillId="0" borderId="9" xfId="0" applyFont="1" applyBorder="1" applyAlignment="1">
      <alignment horizontal="center"/>
    </xf>
    <xf numFmtId="0" fontId="26" fillId="0" borderId="0" xfId="0" applyFont="1"/>
    <xf numFmtId="0" fontId="16" fillId="0" borderId="11" xfId="0" applyFont="1" applyBorder="1" applyAlignment="1">
      <alignment horizontal="center" vertical="top" wrapText="1"/>
    </xf>
    <xf numFmtId="0" fontId="0" fillId="12" borderId="51" xfId="0" applyFill="1" applyBorder="1"/>
    <xf numFmtId="0" fontId="8" fillId="12" borderId="51" xfId="0" applyNumberFormat="1" applyFont="1" applyFill="1" applyBorder="1" applyAlignment="1">
      <alignment horizontal="center" vertical="top" wrapText="1"/>
    </xf>
    <xf numFmtId="0" fontId="0" fillId="12" borderId="52" xfId="0" applyFill="1" applyBorder="1"/>
    <xf numFmtId="0" fontId="0" fillId="0" borderId="0" xfId="0" applyBorder="1"/>
    <xf numFmtId="4" fontId="23" fillId="18" borderId="11" xfId="0" applyNumberFormat="1" applyFont="1" applyFill="1" applyBorder="1" applyAlignment="1">
      <alignment horizontal="right" vertical="center" wrapText="1"/>
    </xf>
    <xf numFmtId="0" fontId="0" fillId="19" borderId="42" xfId="0" applyFill="1" applyBorder="1"/>
    <xf numFmtId="0" fontId="0" fillId="19" borderId="43" xfId="0" applyFill="1" applyBorder="1"/>
    <xf numFmtId="0" fontId="0" fillId="19" borderId="13" xfId="0" applyFill="1" applyBorder="1"/>
    <xf numFmtId="0" fontId="5" fillId="0" borderId="0" xfId="1" applyFont="1" applyAlignment="1" applyProtection="1">
      <alignment horizontal="center" wrapText="1"/>
    </xf>
    <xf numFmtId="165" fontId="18" fillId="0" borderId="0" xfId="0" applyNumberFormat="1" applyFont="1" applyBorder="1" applyAlignment="1">
      <alignment vertical="center" wrapText="1"/>
    </xf>
    <xf numFmtId="0" fontId="18" fillId="0" borderId="0" xfId="0" applyFont="1" applyAlignment="1">
      <alignment wrapText="1"/>
    </xf>
    <xf numFmtId="0" fontId="18" fillId="0" borderId="0" xfId="0" applyFont="1" applyAlignment="1"/>
    <xf numFmtId="0" fontId="5" fillId="0" borderId="0" xfId="1" applyFont="1" applyAlignment="1" applyProtection="1">
      <alignment wrapText="1"/>
    </xf>
    <xf numFmtId="0" fontId="16" fillId="0" borderId="23" xfId="0" applyFont="1" applyBorder="1" applyAlignment="1">
      <alignment horizontal="center" vertical="top" wrapText="1"/>
    </xf>
    <xf numFmtId="0" fontId="16" fillId="0" borderId="21" xfId="0" applyFont="1" applyBorder="1" applyAlignment="1">
      <alignment horizontal="center" vertical="top" wrapText="1"/>
    </xf>
    <xf numFmtId="0" fontId="16" fillId="0" borderId="24" xfId="0" applyFont="1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15" xfId="0" applyFont="1" applyBorder="1" applyAlignment="1">
      <alignment horizontal="center" vertical="top" wrapText="1"/>
    </xf>
    <xf numFmtId="0" fontId="13" fillId="0" borderId="46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7" xfId="0" applyFont="1" applyBorder="1" applyAlignment="1">
      <alignment horizontal="center" wrapText="1"/>
    </xf>
    <xf numFmtId="0" fontId="13" fillId="0" borderId="23" xfId="0" applyFont="1" applyBorder="1" applyAlignment="1">
      <alignment horizontal="center" wrapText="1"/>
    </xf>
    <xf numFmtId="0" fontId="13" fillId="0" borderId="21" xfId="0" applyFont="1" applyBorder="1" applyAlignment="1">
      <alignment horizontal="center" wrapText="1"/>
    </xf>
    <xf numFmtId="0" fontId="13" fillId="0" borderId="24" xfId="0" applyFont="1" applyBorder="1" applyAlignment="1">
      <alignment horizontal="center" wrapText="1"/>
    </xf>
    <xf numFmtId="0" fontId="13" fillId="0" borderId="39" xfId="0" applyFont="1" applyBorder="1" applyAlignment="1">
      <alignment horizontal="center" wrapText="1"/>
    </xf>
    <xf numFmtId="0" fontId="0" fillId="0" borderId="48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25" fillId="0" borderId="12" xfId="0" applyFont="1" applyFill="1" applyBorder="1" applyAlignment="1">
      <alignment horizontal="left" vertical="center" wrapText="1"/>
    </xf>
    <xf numFmtId="0" fontId="25" fillId="0" borderId="19" xfId="0" applyFont="1" applyFill="1" applyBorder="1" applyAlignment="1">
      <alignment horizontal="left" vertical="center" wrapText="1"/>
    </xf>
    <xf numFmtId="0" fontId="25" fillId="0" borderId="20" xfId="0" applyFont="1" applyFill="1" applyBorder="1" applyAlignment="1">
      <alignment horizontal="left" vertical="center" wrapText="1"/>
    </xf>
    <xf numFmtId="0" fontId="16" fillId="0" borderId="22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6" fillId="0" borderId="26" xfId="0" applyFont="1" applyBorder="1" applyAlignment="1">
      <alignment horizontal="center" vertical="top" wrapText="1"/>
    </xf>
    <xf numFmtId="0" fontId="25" fillId="16" borderId="12" xfId="0" applyFont="1" applyFill="1" applyBorder="1" applyAlignment="1">
      <alignment horizontal="left" vertical="center" wrapText="1"/>
    </xf>
    <xf numFmtId="0" fontId="25" fillId="16" borderId="19" xfId="0" applyFont="1" applyFill="1" applyBorder="1" applyAlignment="1">
      <alignment horizontal="left" vertical="center" wrapText="1"/>
    </xf>
    <xf numFmtId="0" fontId="25" fillId="16" borderId="20" xfId="0" applyFont="1" applyFill="1" applyBorder="1" applyAlignment="1">
      <alignment horizontal="left" vertical="center" wrapText="1"/>
    </xf>
    <xf numFmtId="0" fontId="25" fillId="18" borderId="12" xfId="0" applyFont="1" applyFill="1" applyBorder="1" applyAlignment="1">
      <alignment horizontal="left" vertical="center" wrapText="1"/>
    </xf>
    <xf numFmtId="0" fontId="25" fillId="18" borderId="19" xfId="0" applyFont="1" applyFill="1" applyBorder="1" applyAlignment="1">
      <alignment horizontal="left" vertical="center" wrapText="1"/>
    </xf>
    <xf numFmtId="0" fontId="25" fillId="18" borderId="20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top" wrapText="1"/>
    </xf>
    <xf numFmtId="0" fontId="16" fillId="0" borderId="9" xfId="0" applyFont="1" applyBorder="1" applyAlignment="1">
      <alignment horizontal="center" vertical="top" wrapText="1"/>
    </xf>
    <xf numFmtId="0" fontId="15" fillId="8" borderId="35" xfId="0" applyFont="1" applyFill="1" applyBorder="1" applyAlignment="1">
      <alignment horizontal="center" vertical="center" wrapText="1"/>
    </xf>
    <xf numFmtId="0" fontId="15" fillId="8" borderId="19" xfId="0" applyFont="1" applyFill="1" applyBorder="1" applyAlignment="1">
      <alignment horizontal="center" vertical="center" wrapText="1"/>
    </xf>
    <xf numFmtId="0" fontId="15" fillId="8" borderId="20" xfId="0" applyFont="1" applyFill="1" applyBorder="1" applyAlignment="1">
      <alignment horizontal="center" vertical="center" wrapText="1"/>
    </xf>
    <xf numFmtId="0" fontId="22" fillId="6" borderId="36" xfId="0" applyFont="1" applyFill="1" applyBorder="1" applyAlignment="1">
      <alignment horizontal="center" vertical="center" wrapText="1"/>
    </xf>
    <xf numFmtId="0" fontId="22" fillId="6" borderId="37" xfId="0" applyFont="1" applyFill="1" applyBorder="1" applyAlignment="1">
      <alignment horizontal="center" vertical="center" wrapText="1"/>
    </xf>
    <xf numFmtId="0" fontId="22" fillId="6" borderId="38" xfId="0" applyFont="1" applyFill="1" applyBorder="1" applyAlignment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0" fontId="15" fillId="5" borderId="30" xfId="0" applyFont="1" applyFill="1" applyBorder="1" applyAlignment="1">
      <alignment horizontal="center" vertical="center" wrapText="1"/>
    </xf>
    <xf numFmtId="0" fontId="15" fillId="5" borderId="31" xfId="0" applyFont="1" applyFill="1" applyBorder="1" applyAlignment="1">
      <alignment horizontal="center" vertical="center" wrapText="1"/>
    </xf>
    <xf numFmtId="0" fontId="15" fillId="5" borderId="32" xfId="0" applyFont="1" applyFill="1" applyBorder="1" applyAlignment="1">
      <alignment horizontal="center" vertical="center" wrapText="1"/>
    </xf>
    <xf numFmtId="0" fontId="22" fillId="0" borderId="36" xfId="0" applyFont="1" applyFill="1" applyBorder="1" applyAlignment="1">
      <alignment horizontal="center" vertical="center" wrapText="1"/>
    </xf>
    <xf numFmtId="0" fontId="22" fillId="0" borderId="37" xfId="0" applyFont="1" applyFill="1" applyBorder="1" applyAlignment="1">
      <alignment horizontal="center" vertical="center" wrapText="1"/>
    </xf>
    <xf numFmtId="0" fontId="22" fillId="0" borderId="38" xfId="0" applyFont="1" applyFill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top" wrapText="1"/>
    </xf>
    <xf numFmtId="0" fontId="16" fillId="0" borderId="9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5" fillId="0" borderId="0" xfId="1" applyFont="1" applyAlignment="1" applyProtection="1">
      <alignment horizontal="center" wrapText="1"/>
    </xf>
    <xf numFmtId="0" fontId="19" fillId="0" borderId="0" xfId="0" applyFont="1" applyAlignment="1">
      <alignment horizontal="center" wrapText="1"/>
    </xf>
    <xf numFmtId="165" fontId="18" fillId="0" borderId="0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5" fillId="5" borderId="50" xfId="0" applyFont="1" applyFill="1" applyBorder="1" applyAlignment="1">
      <alignment horizontal="left" vertical="center" wrapText="1"/>
    </xf>
    <xf numFmtId="0" fontId="15" fillId="5" borderId="25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6" fillId="0" borderId="28" xfId="0" applyFont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left" vertical="center" wrapText="1"/>
    </xf>
    <xf numFmtId="0" fontId="15" fillId="5" borderId="0" xfId="0" applyFont="1" applyFill="1" applyBorder="1" applyAlignment="1">
      <alignment horizontal="left" vertical="center" wrapText="1"/>
    </xf>
    <xf numFmtId="0" fontId="15" fillId="5" borderId="14" xfId="0" applyFont="1" applyFill="1" applyBorder="1" applyAlignment="1">
      <alignment horizontal="left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</cellXfs>
  <cellStyles count="7">
    <cellStyle name="Гиперссылка" xfId="1" builtinId="8"/>
    <cellStyle name="Обычный" xfId="0" builtinId="0"/>
    <cellStyle name="Обычный 2" xfId="5"/>
    <cellStyle name="Обычный 2 2" xfId="6"/>
    <cellStyle name="Обычный_Входные Депфинансы" xfId="3"/>
    <cellStyle name="Обычный_Лист1" xfId="4"/>
    <cellStyle name="Обычный_ПЭМ" xfId="2"/>
  </cellStyles>
  <dxfs count="0"/>
  <tableStyles count="0" defaultTableStyle="TableStyleMedium2" defaultPivotStyle="PivotStyleMedium9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304800</xdr:colOff>
      <xdr:row>2</xdr:row>
      <xdr:rowOff>28575</xdr:rowOff>
    </xdr:from>
    <xdr:to>
      <xdr:col>14</xdr:col>
      <xdr:colOff>939800</xdr:colOff>
      <xdr:row>3</xdr:row>
      <xdr:rowOff>123825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1127760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285750</xdr:rowOff>
    </xdr:from>
    <xdr:to>
      <xdr:col>14</xdr:col>
      <xdr:colOff>482600</xdr:colOff>
      <xdr:row>3</xdr:row>
      <xdr:rowOff>257175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1097280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285750</xdr:rowOff>
    </xdr:from>
    <xdr:to>
      <xdr:col>14</xdr:col>
      <xdr:colOff>492125</xdr:colOff>
      <xdr:row>3</xdr:row>
      <xdr:rowOff>257175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1097280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276225</xdr:rowOff>
    </xdr:from>
    <xdr:to>
      <xdr:col>14</xdr:col>
      <xdr:colOff>463550</xdr:colOff>
      <xdr:row>3</xdr:row>
      <xdr:rowOff>257175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97280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0</xdr:colOff>
      <xdr:row>2</xdr:row>
      <xdr:rowOff>0</xdr:rowOff>
    </xdr:from>
    <xdr:to>
      <xdr:col>7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318135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13</xdr:col>
      <xdr:colOff>304800</xdr:colOff>
      <xdr:row>2</xdr:row>
      <xdr:rowOff>28575</xdr:rowOff>
    </xdr:from>
    <xdr:to>
      <xdr:col>14</xdr:col>
      <xdr:colOff>939800</xdr:colOff>
      <xdr:row>3</xdr:row>
      <xdr:rowOff>123825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127760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285750</xdr:rowOff>
    </xdr:from>
    <xdr:to>
      <xdr:col>14</xdr:col>
      <xdr:colOff>482600</xdr:colOff>
      <xdr:row>3</xdr:row>
      <xdr:rowOff>257175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1097280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285750</xdr:rowOff>
    </xdr:from>
    <xdr:to>
      <xdr:col>14</xdr:col>
      <xdr:colOff>492125</xdr:colOff>
      <xdr:row>3</xdr:row>
      <xdr:rowOff>257175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097280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276225</xdr:rowOff>
    </xdr:from>
    <xdr:to>
      <xdr:col>14</xdr:col>
      <xdr:colOff>463550</xdr:colOff>
      <xdr:row>3</xdr:row>
      <xdr:rowOff>257175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1097280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0</xdr:colOff>
      <xdr:row>2</xdr:row>
      <xdr:rowOff>0</xdr:rowOff>
    </xdr:from>
    <xdr:to>
      <xdr:col>7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 txBox="1">
          <a:spLocks noChangeArrowheads="1"/>
        </xdr:cNvSpPr>
      </xdr:nvSpPr>
      <xdr:spPr bwMode="auto">
        <a:xfrm>
          <a:off x="318135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31</xdr:col>
      <xdr:colOff>304800</xdr:colOff>
      <xdr:row>2</xdr:row>
      <xdr:rowOff>28575</xdr:rowOff>
    </xdr:from>
    <xdr:to>
      <xdr:col>32</xdr:col>
      <xdr:colOff>939800</xdr:colOff>
      <xdr:row>3</xdr:row>
      <xdr:rowOff>123825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3168015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0</xdr:colOff>
      <xdr:row>2</xdr:row>
      <xdr:rowOff>285750</xdr:rowOff>
    </xdr:from>
    <xdr:to>
      <xdr:col>32</xdr:col>
      <xdr:colOff>482600</xdr:colOff>
      <xdr:row>3</xdr:row>
      <xdr:rowOff>257175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SpPr txBox="1">
          <a:spLocks noChangeArrowheads="1"/>
        </xdr:cNvSpPr>
      </xdr:nvSpPr>
      <xdr:spPr bwMode="auto">
        <a:xfrm>
          <a:off x="3137535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0</xdr:colOff>
      <xdr:row>2</xdr:row>
      <xdr:rowOff>285750</xdr:rowOff>
    </xdr:from>
    <xdr:to>
      <xdr:col>32</xdr:col>
      <xdr:colOff>492125</xdr:colOff>
      <xdr:row>3</xdr:row>
      <xdr:rowOff>257175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3137535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0</xdr:colOff>
      <xdr:row>2</xdr:row>
      <xdr:rowOff>276225</xdr:rowOff>
    </xdr:from>
    <xdr:to>
      <xdr:col>32</xdr:col>
      <xdr:colOff>463550</xdr:colOff>
      <xdr:row>3</xdr:row>
      <xdr:rowOff>257175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SpPr txBox="1">
          <a:spLocks noChangeArrowheads="1"/>
        </xdr:cNvSpPr>
      </xdr:nvSpPr>
      <xdr:spPr bwMode="auto">
        <a:xfrm>
          <a:off x="3137535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0</xdr:colOff>
      <xdr:row>2</xdr:row>
      <xdr:rowOff>0</xdr:rowOff>
    </xdr:from>
    <xdr:to>
      <xdr:col>25</xdr:col>
      <xdr:colOff>0</xdr:colOff>
      <xdr:row>4</xdr:row>
      <xdr:rowOff>363906</xdr:rowOff>
    </xdr:to>
    <xdr:sp macro="" textlink="">
      <xdr:nvSpPr>
        <xdr:cNvPr id="1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SpPr txBox="1">
          <a:spLocks noChangeArrowheads="1"/>
        </xdr:cNvSpPr>
      </xdr:nvSpPr>
      <xdr:spPr bwMode="auto">
        <a:xfrm>
          <a:off x="235839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31</xdr:col>
      <xdr:colOff>304800</xdr:colOff>
      <xdr:row>2</xdr:row>
      <xdr:rowOff>28575</xdr:rowOff>
    </xdr:from>
    <xdr:to>
      <xdr:col>32</xdr:col>
      <xdr:colOff>939800</xdr:colOff>
      <xdr:row>3</xdr:row>
      <xdr:rowOff>123825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SpPr txBox="1">
          <a:spLocks noChangeArrowheads="1"/>
        </xdr:cNvSpPr>
      </xdr:nvSpPr>
      <xdr:spPr bwMode="auto">
        <a:xfrm>
          <a:off x="3168015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0</xdr:colOff>
      <xdr:row>2</xdr:row>
      <xdr:rowOff>285750</xdr:rowOff>
    </xdr:from>
    <xdr:to>
      <xdr:col>32</xdr:col>
      <xdr:colOff>482600</xdr:colOff>
      <xdr:row>3</xdr:row>
      <xdr:rowOff>257175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SpPr txBox="1">
          <a:spLocks noChangeArrowheads="1"/>
        </xdr:cNvSpPr>
      </xdr:nvSpPr>
      <xdr:spPr bwMode="auto">
        <a:xfrm>
          <a:off x="3137535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0</xdr:colOff>
      <xdr:row>2</xdr:row>
      <xdr:rowOff>285750</xdr:rowOff>
    </xdr:from>
    <xdr:to>
      <xdr:col>32</xdr:col>
      <xdr:colOff>492125</xdr:colOff>
      <xdr:row>3</xdr:row>
      <xdr:rowOff>257175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SpPr txBox="1">
          <a:spLocks noChangeArrowheads="1"/>
        </xdr:cNvSpPr>
      </xdr:nvSpPr>
      <xdr:spPr bwMode="auto">
        <a:xfrm>
          <a:off x="3137535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0</xdr:colOff>
      <xdr:row>2</xdr:row>
      <xdr:rowOff>276225</xdr:rowOff>
    </xdr:from>
    <xdr:to>
      <xdr:col>32</xdr:col>
      <xdr:colOff>463550</xdr:colOff>
      <xdr:row>3</xdr:row>
      <xdr:rowOff>257175</xdr:rowOff>
    </xdr:to>
    <xdr:sp macro="" textlink="">
      <xdr:nvSpPr>
        <xdr:cNvPr id="20" name="checksum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SpPr txBox="1">
          <a:spLocks noChangeArrowheads="1"/>
        </xdr:cNvSpPr>
      </xdr:nvSpPr>
      <xdr:spPr bwMode="auto">
        <a:xfrm>
          <a:off x="3137535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49</xdr:col>
      <xdr:colOff>304800</xdr:colOff>
      <xdr:row>2</xdr:row>
      <xdr:rowOff>28575</xdr:rowOff>
    </xdr:from>
    <xdr:to>
      <xdr:col>50</xdr:col>
      <xdr:colOff>939800</xdr:colOff>
      <xdr:row>3</xdr:row>
      <xdr:rowOff>123825</xdr:rowOff>
    </xdr:to>
    <xdr:sp macro="" textlink="">
      <xdr:nvSpPr>
        <xdr:cNvPr id="21" name="checksum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SpPr txBox="1">
          <a:spLocks noChangeArrowheads="1"/>
        </xdr:cNvSpPr>
      </xdr:nvSpPr>
      <xdr:spPr bwMode="auto">
        <a:xfrm>
          <a:off x="5208270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49</xdr:col>
      <xdr:colOff>0</xdr:colOff>
      <xdr:row>2</xdr:row>
      <xdr:rowOff>285750</xdr:rowOff>
    </xdr:from>
    <xdr:to>
      <xdr:col>50</xdr:col>
      <xdr:colOff>482600</xdr:colOff>
      <xdr:row>3</xdr:row>
      <xdr:rowOff>257175</xdr:rowOff>
    </xdr:to>
    <xdr:sp macro="" textlink="">
      <xdr:nvSpPr>
        <xdr:cNvPr id="22" name="checksum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SpPr txBox="1">
          <a:spLocks noChangeArrowheads="1"/>
        </xdr:cNvSpPr>
      </xdr:nvSpPr>
      <xdr:spPr bwMode="auto">
        <a:xfrm>
          <a:off x="5177790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49</xdr:col>
      <xdr:colOff>0</xdr:colOff>
      <xdr:row>2</xdr:row>
      <xdr:rowOff>285750</xdr:rowOff>
    </xdr:from>
    <xdr:to>
      <xdr:col>50</xdr:col>
      <xdr:colOff>492125</xdr:colOff>
      <xdr:row>3</xdr:row>
      <xdr:rowOff>257175</xdr:rowOff>
    </xdr:to>
    <xdr:sp macro="" textlink="">
      <xdr:nvSpPr>
        <xdr:cNvPr id="23" name="checksum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SpPr txBox="1">
          <a:spLocks noChangeArrowheads="1"/>
        </xdr:cNvSpPr>
      </xdr:nvSpPr>
      <xdr:spPr bwMode="auto">
        <a:xfrm>
          <a:off x="5177790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49</xdr:col>
      <xdr:colOff>0</xdr:colOff>
      <xdr:row>2</xdr:row>
      <xdr:rowOff>276225</xdr:rowOff>
    </xdr:from>
    <xdr:to>
      <xdr:col>50</xdr:col>
      <xdr:colOff>463550</xdr:colOff>
      <xdr:row>3</xdr:row>
      <xdr:rowOff>257175</xdr:rowOff>
    </xdr:to>
    <xdr:sp macro="" textlink="">
      <xdr:nvSpPr>
        <xdr:cNvPr id="24" name="checksum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SpPr txBox="1">
          <a:spLocks noChangeArrowheads="1"/>
        </xdr:cNvSpPr>
      </xdr:nvSpPr>
      <xdr:spPr bwMode="auto">
        <a:xfrm>
          <a:off x="5177790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43</xdr:col>
      <xdr:colOff>0</xdr:colOff>
      <xdr:row>2</xdr:row>
      <xdr:rowOff>0</xdr:rowOff>
    </xdr:from>
    <xdr:to>
      <xdr:col>43</xdr:col>
      <xdr:colOff>0</xdr:colOff>
      <xdr:row>4</xdr:row>
      <xdr:rowOff>363906</xdr:rowOff>
    </xdr:to>
    <xdr:sp macro="" textlink="">
      <xdr:nvSpPr>
        <xdr:cNvPr id="25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SpPr txBox="1">
          <a:spLocks noChangeArrowheads="1"/>
        </xdr:cNvSpPr>
      </xdr:nvSpPr>
      <xdr:spPr bwMode="auto">
        <a:xfrm>
          <a:off x="4398645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49</xdr:col>
      <xdr:colOff>304800</xdr:colOff>
      <xdr:row>2</xdr:row>
      <xdr:rowOff>28575</xdr:rowOff>
    </xdr:from>
    <xdr:to>
      <xdr:col>50</xdr:col>
      <xdr:colOff>939800</xdr:colOff>
      <xdr:row>3</xdr:row>
      <xdr:rowOff>123825</xdr:rowOff>
    </xdr:to>
    <xdr:sp macro="" textlink="">
      <xdr:nvSpPr>
        <xdr:cNvPr id="26" name="checksum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SpPr txBox="1">
          <a:spLocks noChangeArrowheads="1"/>
        </xdr:cNvSpPr>
      </xdr:nvSpPr>
      <xdr:spPr bwMode="auto">
        <a:xfrm>
          <a:off x="5208270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49</xdr:col>
      <xdr:colOff>0</xdr:colOff>
      <xdr:row>2</xdr:row>
      <xdr:rowOff>285750</xdr:rowOff>
    </xdr:from>
    <xdr:to>
      <xdr:col>50</xdr:col>
      <xdr:colOff>482600</xdr:colOff>
      <xdr:row>3</xdr:row>
      <xdr:rowOff>257175</xdr:rowOff>
    </xdr:to>
    <xdr:sp macro="" textlink="">
      <xdr:nvSpPr>
        <xdr:cNvPr id="27" name="checksum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SpPr txBox="1">
          <a:spLocks noChangeArrowheads="1"/>
        </xdr:cNvSpPr>
      </xdr:nvSpPr>
      <xdr:spPr bwMode="auto">
        <a:xfrm>
          <a:off x="5177790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49</xdr:col>
      <xdr:colOff>0</xdr:colOff>
      <xdr:row>2</xdr:row>
      <xdr:rowOff>285750</xdr:rowOff>
    </xdr:from>
    <xdr:to>
      <xdr:col>50</xdr:col>
      <xdr:colOff>492125</xdr:colOff>
      <xdr:row>3</xdr:row>
      <xdr:rowOff>257175</xdr:rowOff>
    </xdr:to>
    <xdr:sp macro="" textlink="">
      <xdr:nvSpPr>
        <xdr:cNvPr id="28" name="checksum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SpPr txBox="1">
          <a:spLocks noChangeArrowheads="1"/>
        </xdr:cNvSpPr>
      </xdr:nvSpPr>
      <xdr:spPr bwMode="auto">
        <a:xfrm>
          <a:off x="5177790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49</xdr:col>
      <xdr:colOff>0</xdr:colOff>
      <xdr:row>2</xdr:row>
      <xdr:rowOff>276225</xdr:rowOff>
    </xdr:from>
    <xdr:to>
      <xdr:col>50</xdr:col>
      <xdr:colOff>463550</xdr:colOff>
      <xdr:row>3</xdr:row>
      <xdr:rowOff>257175</xdr:rowOff>
    </xdr:to>
    <xdr:sp macro="" textlink="">
      <xdr:nvSpPr>
        <xdr:cNvPr id="29" name="checksum"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SpPr txBox="1">
          <a:spLocks noChangeArrowheads="1"/>
        </xdr:cNvSpPr>
      </xdr:nvSpPr>
      <xdr:spPr bwMode="auto">
        <a:xfrm>
          <a:off x="5177790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28575</xdr:rowOff>
    </xdr:from>
    <xdr:to>
      <xdr:col>62</xdr:col>
      <xdr:colOff>79375</xdr:colOff>
      <xdr:row>3</xdr:row>
      <xdr:rowOff>123825</xdr:rowOff>
    </xdr:to>
    <xdr:sp macro="" textlink="">
      <xdr:nvSpPr>
        <xdr:cNvPr id="30" name="checksum"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SpPr txBox="1">
          <a:spLocks noChangeArrowheads="1"/>
        </xdr:cNvSpPr>
      </xdr:nvSpPr>
      <xdr:spPr bwMode="auto">
        <a:xfrm>
          <a:off x="7248525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285750</xdr:rowOff>
    </xdr:from>
    <xdr:to>
      <xdr:col>61</xdr:col>
      <xdr:colOff>530225</xdr:colOff>
      <xdr:row>3</xdr:row>
      <xdr:rowOff>257175</xdr:rowOff>
    </xdr:to>
    <xdr:sp macro="" textlink="">
      <xdr:nvSpPr>
        <xdr:cNvPr id="31" name="checksum"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7218045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285750</xdr:rowOff>
    </xdr:from>
    <xdr:to>
      <xdr:col>61</xdr:col>
      <xdr:colOff>539750</xdr:colOff>
      <xdr:row>3</xdr:row>
      <xdr:rowOff>257175</xdr:rowOff>
    </xdr:to>
    <xdr:sp macro="" textlink="">
      <xdr:nvSpPr>
        <xdr:cNvPr id="32" name="checksum"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7218045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276225</xdr:rowOff>
    </xdr:from>
    <xdr:to>
      <xdr:col>61</xdr:col>
      <xdr:colOff>511175</xdr:colOff>
      <xdr:row>3</xdr:row>
      <xdr:rowOff>257175</xdr:rowOff>
    </xdr:to>
    <xdr:sp macro="" textlink="">
      <xdr:nvSpPr>
        <xdr:cNvPr id="33" name="checksum"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7218045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28575</xdr:rowOff>
    </xdr:from>
    <xdr:to>
      <xdr:col>62</xdr:col>
      <xdr:colOff>79375</xdr:colOff>
      <xdr:row>3</xdr:row>
      <xdr:rowOff>123825</xdr:rowOff>
    </xdr:to>
    <xdr:sp macro="" textlink="">
      <xdr:nvSpPr>
        <xdr:cNvPr id="35" name="checksum"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SpPr txBox="1">
          <a:spLocks noChangeArrowheads="1"/>
        </xdr:cNvSpPr>
      </xdr:nvSpPr>
      <xdr:spPr bwMode="auto">
        <a:xfrm>
          <a:off x="7248525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285750</xdr:rowOff>
    </xdr:from>
    <xdr:to>
      <xdr:col>61</xdr:col>
      <xdr:colOff>530225</xdr:colOff>
      <xdr:row>3</xdr:row>
      <xdr:rowOff>257175</xdr:rowOff>
    </xdr:to>
    <xdr:sp macro="" textlink="">
      <xdr:nvSpPr>
        <xdr:cNvPr id="36" name="checksum"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SpPr txBox="1">
          <a:spLocks noChangeArrowheads="1"/>
        </xdr:cNvSpPr>
      </xdr:nvSpPr>
      <xdr:spPr bwMode="auto">
        <a:xfrm>
          <a:off x="7218045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285750</xdr:rowOff>
    </xdr:from>
    <xdr:to>
      <xdr:col>61</xdr:col>
      <xdr:colOff>539750</xdr:colOff>
      <xdr:row>3</xdr:row>
      <xdr:rowOff>257175</xdr:rowOff>
    </xdr:to>
    <xdr:sp macro="" textlink="">
      <xdr:nvSpPr>
        <xdr:cNvPr id="37" name="checksum"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SpPr txBox="1">
          <a:spLocks noChangeArrowheads="1"/>
        </xdr:cNvSpPr>
      </xdr:nvSpPr>
      <xdr:spPr bwMode="auto">
        <a:xfrm>
          <a:off x="7218045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276225</xdr:rowOff>
    </xdr:from>
    <xdr:to>
      <xdr:col>61</xdr:col>
      <xdr:colOff>511175</xdr:colOff>
      <xdr:row>3</xdr:row>
      <xdr:rowOff>257175</xdr:rowOff>
    </xdr:to>
    <xdr:sp macro="" textlink="">
      <xdr:nvSpPr>
        <xdr:cNvPr id="38" name="checksum"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SpPr txBox="1">
          <a:spLocks noChangeArrowheads="1"/>
        </xdr:cNvSpPr>
      </xdr:nvSpPr>
      <xdr:spPr bwMode="auto">
        <a:xfrm>
          <a:off x="7218045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28575</xdr:rowOff>
    </xdr:from>
    <xdr:to>
      <xdr:col>12</xdr:col>
      <xdr:colOff>865867</xdr:colOff>
      <xdr:row>10</xdr:row>
      <xdr:rowOff>366032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285750</xdr:rowOff>
    </xdr:from>
    <xdr:to>
      <xdr:col>12</xdr:col>
      <xdr:colOff>556985</xdr:colOff>
      <xdr:row>8</xdr:row>
      <xdr:rowOff>111579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285750</xdr:rowOff>
    </xdr:from>
    <xdr:to>
      <xdr:col>12</xdr:col>
      <xdr:colOff>576035</xdr:colOff>
      <xdr:row>8</xdr:row>
      <xdr:rowOff>111579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276225</xdr:rowOff>
    </xdr:from>
    <xdr:to>
      <xdr:col>12</xdr:col>
      <xdr:colOff>518885</xdr:colOff>
      <xdr:row>8</xdr:row>
      <xdr:rowOff>111579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0800-00000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2</xdr:row>
      <xdr:rowOff>0</xdr:rowOff>
    </xdr:from>
    <xdr:to>
      <xdr:col>4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10</xdr:col>
      <xdr:colOff>0</xdr:colOff>
      <xdr:row>2</xdr:row>
      <xdr:rowOff>28575</xdr:rowOff>
    </xdr:from>
    <xdr:to>
      <xdr:col>12</xdr:col>
      <xdr:colOff>865867</xdr:colOff>
      <xdr:row>10</xdr:row>
      <xdr:rowOff>366032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0800-00000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285750</xdr:rowOff>
    </xdr:from>
    <xdr:to>
      <xdr:col>12</xdr:col>
      <xdr:colOff>556985</xdr:colOff>
      <xdr:row>8</xdr:row>
      <xdr:rowOff>111579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0800-00000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285750</xdr:rowOff>
    </xdr:from>
    <xdr:to>
      <xdr:col>12</xdr:col>
      <xdr:colOff>576035</xdr:colOff>
      <xdr:row>8</xdr:row>
      <xdr:rowOff>111579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0800-00000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276225</xdr:rowOff>
    </xdr:from>
    <xdr:to>
      <xdr:col>12</xdr:col>
      <xdr:colOff>518885</xdr:colOff>
      <xdr:row>8</xdr:row>
      <xdr:rowOff>111579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0800-00000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2</xdr:row>
      <xdr:rowOff>0</xdr:rowOff>
    </xdr:from>
    <xdr:to>
      <xdr:col>4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800-00000B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19</xdr:col>
      <xdr:colOff>0</xdr:colOff>
      <xdr:row>2</xdr:row>
      <xdr:rowOff>28575</xdr:rowOff>
    </xdr:from>
    <xdr:to>
      <xdr:col>31</xdr:col>
      <xdr:colOff>279400</xdr:colOff>
      <xdr:row>4</xdr:row>
      <xdr:rowOff>9525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555625</xdr:colOff>
      <xdr:row>4</xdr:row>
      <xdr:rowOff>66675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0800-00000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574675</xdr:colOff>
      <xdr:row>4</xdr:row>
      <xdr:rowOff>66675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0800-00000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276225</xdr:rowOff>
    </xdr:from>
    <xdr:to>
      <xdr:col>29</xdr:col>
      <xdr:colOff>517525</xdr:colOff>
      <xdr:row>4</xdr:row>
      <xdr:rowOff>66675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0800-00000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</xdr:rowOff>
    </xdr:from>
    <xdr:to>
      <xdr:col>31</xdr:col>
      <xdr:colOff>279400</xdr:colOff>
      <xdr:row>4</xdr:row>
      <xdr:rowOff>9525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0800-00001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555625</xdr:colOff>
      <xdr:row>4</xdr:row>
      <xdr:rowOff>66675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0800-00001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574675</xdr:colOff>
      <xdr:row>4</xdr:row>
      <xdr:rowOff>66675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0800-00001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276225</xdr:rowOff>
    </xdr:from>
    <xdr:to>
      <xdr:col>29</xdr:col>
      <xdr:colOff>517525</xdr:colOff>
      <xdr:row>4</xdr:row>
      <xdr:rowOff>66675</xdr:rowOff>
    </xdr:to>
    <xdr:sp macro="" textlink="">
      <xdr:nvSpPr>
        <xdr:cNvPr id="20" name="checksum">
          <a:extLst>
            <a:ext uri="{FF2B5EF4-FFF2-40B4-BE49-F238E27FC236}">
              <a16:creationId xmlns:a16="http://schemas.microsoft.com/office/drawing/2014/main" xmlns="" id="{00000000-0008-0000-0800-00001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</xdr:rowOff>
    </xdr:from>
    <xdr:to>
      <xdr:col>31</xdr:col>
      <xdr:colOff>279400</xdr:colOff>
      <xdr:row>4</xdr:row>
      <xdr:rowOff>9525</xdr:rowOff>
    </xdr:to>
    <xdr:sp macro="" textlink="">
      <xdr:nvSpPr>
        <xdr:cNvPr id="22" name="checksum">
          <a:extLst>
            <a:ext uri="{FF2B5EF4-FFF2-40B4-BE49-F238E27FC236}">
              <a16:creationId xmlns:a16="http://schemas.microsoft.com/office/drawing/2014/main" xmlns="" id="{00000000-0008-0000-0800-000016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555625</xdr:colOff>
      <xdr:row>4</xdr:row>
      <xdr:rowOff>66675</xdr:rowOff>
    </xdr:to>
    <xdr:sp macro="" textlink="">
      <xdr:nvSpPr>
        <xdr:cNvPr id="23" name="checksum">
          <a:extLst>
            <a:ext uri="{FF2B5EF4-FFF2-40B4-BE49-F238E27FC236}">
              <a16:creationId xmlns:a16="http://schemas.microsoft.com/office/drawing/2014/main" xmlns="" id="{00000000-0008-0000-0800-00001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574675</xdr:colOff>
      <xdr:row>4</xdr:row>
      <xdr:rowOff>66675</xdr:rowOff>
    </xdr:to>
    <xdr:sp macro="" textlink="">
      <xdr:nvSpPr>
        <xdr:cNvPr id="24" name="checksum">
          <a:extLst>
            <a:ext uri="{FF2B5EF4-FFF2-40B4-BE49-F238E27FC236}">
              <a16:creationId xmlns:a16="http://schemas.microsoft.com/office/drawing/2014/main" xmlns="" id="{00000000-0008-0000-0800-00001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276225</xdr:rowOff>
    </xdr:from>
    <xdr:to>
      <xdr:col>29</xdr:col>
      <xdr:colOff>517525</xdr:colOff>
      <xdr:row>4</xdr:row>
      <xdr:rowOff>66675</xdr:rowOff>
    </xdr:to>
    <xdr:sp macro="" textlink="">
      <xdr:nvSpPr>
        <xdr:cNvPr id="25" name="checksum">
          <a:extLst>
            <a:ext uri="{FF2B5EF4-FFF2-40B4-BE49-F238E27FC236}">
              <a16:creationId xmlns:a16="http://schemas.microsoft.com/office/drawing/2014/main" xmlns="" id="{00000000-0008-0000-0800-00001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</xdr:rowOff>
    </xdr:from>
    <xdr:to>
      <xdr:col>31</xdr:col>
      <xdr:colOff>279400</xdr:colOff>
      <xdr:row>4</xdr:row>
      <xdr:rowOff>9525</xdr:rowOff>
    </xdr:to>
    <xdr:sp macro="" textlink="">
      <xdr:nvSpPr>
        <xdr:cNvPr id="27" name="checksum">
          <a:extLst>
            <a:ext uri="{FF2B5EF4-FFF2-40B4-BE49-F238E27FC236}">
              <a16:creationId xmlns:a16="http://schemas.microsoft.com/office/drawing/2014/main" xmlns="" id="{00000000-0008-0000-0800-00001B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555625</xdr:colOff>
      <xdr:row>4</xdr:row>
      <xdr:rowOff>66675</xdr:rowOff>
    </xdr:to>
    <xdr:sp macro="" textlink="">
      <xdr:nvSpPr>
        <xdr:cNvPr id="28" name="checksum">
          <a:extLst>
            <a:ext uri="{FF2B5EF4-FFF2-40B4-BE49-F238E27FC236}">
              <a16:creationId xmlns:a16="http://schemas.microsoft.com/office/drawing/2014/main" xmlns="" id="{00000000-0008-0000-0800-00001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574675</xdr:colOff>
      <xdr:row>4</xdr:row>
      <xdr:rowOff>66675</xdr:rowOff>
    </xdr:to>
    <xdr:sp macro="" textlink="">
      <xdr:nvSpPr>
        <xdr:cNvPr id="29" name="checksum">
          <a:extLst>
            <a:ext uri="{FF2B5EF4-FFF2-40B4-BE49-F238E27FC236}">
              <a16:creationId xmlns:a16="http://schemas.microsoft.com/office/drawing/2014/main" xmlns="" id="{00000000-0008-0000-0800-00001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276225</xdr:rowOff>
    </xdr:from>
    <xdr:to>
      <xdr:col>29</xdr:col>
      <xdr:colOff>517525</xdr:colOff>
      <xdr:row>4</xdr:row>
      <xdr:rowOff>66675</xdr:rowOff>
    </xdr:to>
    <xdr:sp macro="" textlink="">
      <xdr:nvSpPr>
        <xdr:cNvPr id="30" name="checksum">
          <a:extLst>
            <a:ext uri="{FF2B5EF4-FFF2-40B4-BE49-F238E27FC236}">
              <a16:creationId xmlns:a16="http://schemas.microsoft.com/office/drawing/2014/main" xmlns="" id="{00000000-0008-0000-0800-00001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</xdr:rowOff>
    </xdr:from>
    <xdr:to>
      <xdr:col>31</xdr:col>
      <xdr:colOff>279400</xdr:colOff>
      <xdr:row>4</xdr:row>
      <xdr:rowOff>9525</xdr:rowOff>
    </xdr:to>
    <xdr:sp macro="" textlink="">
      <xdr:nvSpPr>
        <xdr:cNvPr id="32" name="checksum">
          <a:extLst>
            <a:ext uri="{FF2B5EF4-FFF2-40B4-BE49-F238E27FC236}">
              <a16:creationId xmlns:a16="http://schemas.microsoft.com/office/drawing/2014/main" xmlns="" id="{00000000-0008-0000-0800-000020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555625</xdr:colOff>
      <xdr:row>4</xdr:row>
      <xdr:rowOff>66675</xdr:rowOff>
    </xdr:to>
    <xdr:sp macro="" textlink="">
      <xdr:nvSpPr>
        <xdr:cNvPr id="33" name="checksum">
          <a:extLst>
            <a:ext uri="{FF2B5EF4-FFF2-40B4-BE49-F238E27FC236}">
              <a16:creationId xmlns:a16="http://schemas.microsoft.com/office/drawing/2014/main" xmlns="" id="{00000000-0008-0000-0800-00002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574675</xdr:colOff>
      <xdr:row>4</xdr:row>
      <xdr:rowOff>66675</xdr:rowOff>
    </xdr:to>
    <xdr:sp macro="" textlink="">
      <xdr:nvSpPr>
        <xdr:cNvPr id="34" name="checksum">
          <a:extLst>
            <a:ext uri="{FF2B5EF4-FFF2-40B4-BE49-F238E27FC236}">
              <a16:creationId xmlns:a16="http://schemas.microsoft.com/office/drawing/2014/main" xmlns="" id="{00000000-0008-0000-0800-00002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276225</xdr:rowOff>
    </xdr:from>
    <xdr:to>
      <xdr:col>29</xdr:col>
      <xdr:colOff>517525</xdr:colOff>
      <xdr:row>4</xdr:row>
      <xdr:rowOff>66675</xdr:rowOff>
    </xdr:to>
    <xdr:sp macro="" textlink="">
      <xdr:nvSpPr>
        <xdr:cNvPr id="35" name="checksum">
          <a:extLst>
            <a:ext uri="{FF2B5EF4-FFF2-40B4-BE49-F238E27FC236}">
              <a16:creationId xmlns:a16="http://schemas.microsoft.com/office/drawing/2014/main" xmlns="" id="{00000000-0008-0000-0800-00002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</xdr:rowOff>
    </xdr:from>
    <xdr:to>
      <xdr:col>31</xdr:col>
      <xdr:colOff>279400</xdr:colOff>
      <xdr:row>4</xdr:row>
      <xdr:rowOff>9525</xdr:rowOff>
    </xdr:to>
    <xdr:sp macro="" textlink="">
      <xdr:nvSpPr>
        <xdr:cNvPr id="37" name="checksum">
          <a:extLst>
            <a:ext uri="{FF2B5EF4-FFF2-40B4-BE49-F238E27FC236}">
              <a16:creationId xmlns:a16="http://schemas.microsoft.com/office/drawing/2014/main" xmlns="" id="{00000000-0008-0000-0800-000025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555625</xdr:colOff>
      <xdr:row>4</xdr:row>
      <xdr:rowOff>66675</xdr:rowOff>
    </xdr:to>
    <xdr:sp macro="" textlink="">
      <xdr:nvSpPr>
        <xdr:cNvPr id="38" name="checksum">
          <a:extLst>
            <a:ext uri="{FF2B5EF4-FFF2-40B4-BE49-F238E27FC236}">
              <a16:creationId xmlns:a16="http://schemas.microsoft.com/office/drawing/2014/main" xmlns="" id="{00000000-0008-0000-0800-00002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574675</xdr:colOff>
      <xdr:row>4</xdr:row>
      <xdr:rowOff>66675</xdr:rowOff>
    </xdr:to>
    <xdr:sp macro="" textlink="">
      <xdr:nvSpPr>
        <xdr:cNvPr id="39" name="checksum">
          <a:extLst>
            <a:ext uri="{FF2B5EF4-FFF2-40B4-BE49-F238E27FC236}">
              <a16:creationId xmlns:a16="http://schemas.microsoft.com/office/drawing/2014/main" xmlns="" id="{00000000-0008-0000-0800-00002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276225</xdr:rowOff>
    </xdr:from>
    <xdr:to>
      <xdr:col>29</xdr:col>
      <xdr:colOff>517525</xdr:colOff>
      <xdr:row>4</xdr:row>
      <xdr:rowOff>66675</xdr:rowOff>
    </xdr:to>
    <xdr:sp macro="" textlink="">
      <xdr:nvSpPr>
        <xdr:cNvPr id="40" name="checksum">
          <a:extLst>
            <a:ext uri="{FF2B5EF4-FFF2-40B4-BE49-F238E27FC236}">
              <a16:creationId xmlns:a16="http://schemas.microsoft.com/office/drawing/2014/main" xmlns="" id="{00000000-0008-0000-0800-00002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</xdr:rowOff>
    </xdr:from>
    <xdr:to>
      <xdr:col>31</xdr:col>
      <xdr:colOff>279400</xdr:colOff>
      <xdr:row>4</xdr:row>
      <xdr:rowOff>9525</xdr:rowOff>
    </xdr:to>
    <xdr:sp macro="" textlink="">
      <xdr:nvSpPr>
        <xdr:cNvPr id="42" name="checksum">
          <a:extLst>
            <a:ext uri="{FF2B5EF4-FFF2-40B4-BE49-F238E27FC236}">
              <a16:creationId xmlns:a16="http://schemas.microsoft.com/office/drawing/2014/main" xmlns="" id="{00000000-0008-0000-0800-00002A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555625</xdr:colOff>
      <xdr:row>4</xdr:row>
      <xdr:rowOff>66675</xdr:rowOff>
    </xdr:to>
    <xdr:sp macro="" textlink="">
      <xdr:nvSpPr>
        <xdr:cNvPr id="43" name="checksum">
          <a:extLst>
            <a:ext uri="{FF2B5EF4-FFF2-40B4-BE49-F238E27FC236}">
              <a16:creationId xmlns:a16="http://schemas.microsoft.com/office/drawing/2014/main" xmlns="" id="{00000000-0008-0000-0800-00002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574675</xdr:colOff>
      <xdr:row>4</xdr:row>
      <xdr:rowOff>66675</xdr:rowOff>
    </xdr:to>
    <xdr:sp macro="" textlink="">
      <xdr:nvSpPr>
        <xdr:cNvPr id="44" name="checksum">
          <a:extLst>
            <a:ext uri="{FF2B5EF4-FFF2-40B4-BE49-F238E27FC236}">
              <a16:creationId xmlns:a16="http://schemas.microsoft.com/office/drawing/2014/main" xmlns="" id="{00000000-0008-0000-0800-00002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276225</xdr:rowOff>
    </xdr:from>
    <xdr:to>
      <xdr:col>29</xdr:col>
      <xdr:colOff>517525</xdr:colOff>
      <xdr:row>4</xdr:row>
      <xdr:rowOff>66675</xdr:rowOff>
    </xdr:to>
    <xdr:sp macro="" textlink="">
      <xdr:nvSpPr>
        <xdr:cNvPr id="45" name="checksum">
          <a:extLst>
            <a:ext uri="{FF2B5EF4-FFF2-40B4-BE49-F238E27FC236}">
              <a16:creationId xmlns:a16="http://schemas.microsoft.com/office/drawing/2014/main" xmlns="" id="{00000000-0008-0000-0800-00002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</xdr:rowOff>
    </xdr:from>
    <xdr:to>
      <xdr:col>31</xdr:col>
      <xdr:colOff>279400</xdr:colOff>
      <xdr:row>4</xdr:row>
      <xdr:rowOff>9525</xdr:rowOff>
    </xdr:to>
    <xdr:sp macro="" textlink="">
      <xdr:nvSpPr>
        <xdr:cNvPr id="47" name="checksum">
          <a:extLst>
            <a:ext uri="{FF2B5EF4-FFF2-40B4-BE49-F238E27FC236}">
              <a16:creationId xmlns:a16="http://schemas.microsoft.com/office/drawing/2014/main" xmlns="" id="{00000000-0008-0000-0800-00002F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555625</xdr:colOff>
      <xdr:row>4</xdr:row>
      <xdr:rowOff>66675</xdr:rowOff>
    </xdr:to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0800-00003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574675</xdr:colOff>
      <xdr:row>4</xdr:row>
      <xdr:rowOff>66675</xdr:rowOff>
    </xdr:to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0800-00003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276225</xdr:rowOff>
    </xdr:from>
    <xdr:to>
      <xdr:col>29</xdr:col>
      <xdr:colOff>517525</xdr:colOff>
      <xdr:row>4</xdr:row>
      <xdr:rowOff>66675</xdr:rowOff>
    </xdr:to>
    <xdr:sp macro="" textlink="">
      <xdr:nvSpPr>
        <xdr:cNvPr id="50" name="checksum">
          <a:extLst>
            <a:ext uri="{FF2B5EF4-FFF2-40B4-BE49-F238E27FC236}">
              <a16:creationId xmlns:a16="http://schemas.microsoft.com/office/drawing/2014/main" xmlns="" id="{00000000-0008-0000-0800-00003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00012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28575</xdr:rowOff>
    </xdr:from>
    <xdr:to>
      <xdr:col>8</xdr:col>
      <xdr:colOff>107949</xdr:colOff>
      <xdr:row>6</xdr:row>
      <xdr:rowOff>79828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412749</xdr:colOff>
      <xdr:row>5</xdr:row>
      <xdr:rowOff>112938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431799</xdr:colOff>
      <xdr:row>5</xdr:row>
      <xdr:rowOff>112938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374649</xdr:colOff>
      <xdr:row>5</xdr:row>
      <xdr:rowOff>112938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0A00-00000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107949</xdr:colOff>
      <xdr:row>6</xdr:row>
      <xdr:rowOff>79828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412749</xdr:colOff>
      <xdr:row>5</xdr:row>
      <xdr:rowOff>112938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0A00-00000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431799</xdr:colOff>
      <xdr:row>5</xdr:row>
      <xdr:rowOff>112938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0A00-00000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374649</xdr:colOff>
      <xdr:row>5</xdr:row>
      <xdr:rowOff>112938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107950</xdr:colOff>
      <xdr:row>5</xdr:row>
      <xdr:rowOff>93888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0A00-00000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412750</xdr:colOff>
      <xdr:row>5</xdr:row>
      <xdr:rowOff>46263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0A00-00000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431800</xdr:colOff>
      <xdr:row>5</xdr:row>
      <xdr:rowOff>46263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0A00-00000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374650</xdr:colOff>
      <xdr:row>5</xdr:row>
      <xdr:rowOff>46263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0A00-00000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107950</xdr:colOff>
      <xdr:row>5</xdr:row>
      <xdr:rowOff>93888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0A00-00001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412750</xdr:colOff>
      <xdr:row>5</xdr:row>
      <xdr:rowOff>46263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0A00-00001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431800</xdr:colOff>
      <xdr:row>5</xdr:row>
      <xdr:rowOff>46263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0A00-00001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374650</xdr:colOff>
      <xdr:row>5</xdr:row>
      <xdr:rowOff>46263</xdr:rowOff>
    </xdr:to>
    <xdr:sp macro="" textlink="">
      <xdr:nvSpPr>
        <xdr:cNvPr id="20" name="checksum">
          <a:extLst>
            <a:ext uri="{FF2B5EF4-FFF2-40B4-BE49-F238E27FC236}">
              <a16:creationId xmlns:a16="http://schemas.microsoft.com/office/drawing/2014/main" xmlns="" id="{00000000-0008-0000-0A00-00001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107950</xdr:colOff>
      <xdr:row>5</xdr:row>
      <xdr:rowOff>93888</xdr:rowOff>
    </xdr:to>
    <xdr:sp macro="" textlink="">
      <xdr:nvSpPr>
        <xdr:cNvPr id="22" name="checksum">
          <a:extLst>
            <a:ext uri="{FF2B5EF4-FFF2-40B4-BE49-F238E27FC236}">
              <a16:creationId xmlns:a16="http://schemas.microsoft.com/office/drawing/2014/main" xmlns="" id="{00000000-0008-0000-0A00-000016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412749</xdr:colOff>
      <xdr:row>5</xdr:row>
      <xdr:rowOff>46263</xdr:rowOff>
    </xdr:to>
    <xdr:sp macro="" textlink="">
      <xdr:nvSpPr>
        <xdr:cNvPr id="23" name="checksum">
          <a:extLst>
            <a:ext uri="{FF2B5EF4-FFF2-40B4-BE49-F238E27FC236}">
              <a16:creationId xmlns:a16="http://schemas.microsoft.com/office/drawing/2014/main" xmlns="" id="{00000000-0008-0000-0A00-00001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431799</xdr:colOff>
      <xdr:row>5</xdr:row>
      <xdr:rowOff>46263</xdr:rowOff>
    </xdr:to>
    <xdr:sp macro="" textlink="">
      <xdr:nvSpPr>
        <xdr:cNvPr id="24" name="checksum">
          <a:extLst>
            <a:ext uri="{FF2B5EF4-FFF2-40B4-BE49-F238E27FC236}">
              <a16:creationId xmlns:a16="http://schemas.microsoft.com/office/drawing/2014/main" xmlns="" id="{00000000-0008-0000-0A00-00001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374649</xdr:colOff>
      <xdr:row>5</xdr:row>
      <xdr:rowOff>46263</xdr:rowOff>
    </xdr:to>
    <xdr:sp macro="" textlink="">
      <xdr:nvSpPr>
        <xdr:cNvPr id="25" name="checksum">
          <a:extLst>
            <a:ext uri="{FF2B5EF4-FFF2-40B4-BE49-F238E27FC236}">
              <a16:creationId xmlns:a16="http://schemas.microsoft.com/office/drawing/2014/main" xmlns="" id="{00000000-0008-0000-0A00-00001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107950</xdr:colOff>
      <xdr:row>5</xdr:row>
      <xdr:rowOff>93888</xdr:rowOff>
    </xdr:to>
    <xdr:sp macro="" textlink="">
      <xdr:nvSpPr>
        <xdr:cNvPr id="27" name="checksum">
          <a:extLst>
            <a:ext uri="{FF2B5EF4-FFF2-40B4-BE49-F238E27FC236}">
              <a16:creationId xmlns:a16="http://schemas.microsoft.com/office/drawing/2014/main" xmlns="" id="{00000000-0008-0000-0A00-00001B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412749</xdr:colOff>
      <xdr:row>5</xdr:row>
      <xdr:rowOff>46263</xdr:rowOff>
    </xdr:to>
    <xdr:sp macro="" textlink="">
      <xdr:nvSpPr>
        <xdr:cNvPr id="28" name="checksum">
          <a:extLst>
            <a:ext uri="{FF2B5EF4-FFF2-40B4-BE49-F238E27FC236}">
              <a16:creationId xmlns:a16="http://schemas.microsoft.com/office/drawing/2014/main" xmlns="" id="{00000000-0008-0000-0A00-00001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431799</xdr:colOff>
      <xdr:row>5</xdr:row>
      <xdr:rowOff>46263</xdr:rowOff>
    </xdr:to>
    <xdr:sp macro="" textlink="">
      <xdr:nvSpPr>
        <xdr:cNvPr id="29" name="checksum">
          <a:extLst>
            <a:ext uri="{FF2B5EF4-FFF2-40B4-BE49-F238E27FC236}">
              <a16:creationId xmlns:a16="http://schemas.microsoft.com/office/drawing/2014/main" xmlns="" id="{00000000-0008-0000-0A00-00001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374649</xdr:colOff>
      <xdr:row>5</xdr:row>
      <xdr:rowOff>46263</xdr:rowOff>
    </xdr:to>
    <xdr:sp macro="" textlink="">
      <xdr:nvSpPr>
        <xdr:cNvPr id="30" name="checksum">
          <a:extLst>
            <a:ext uri="{FF2B5EF4-FFF2-40B4-BE49-F238E27FC236}">
              <a16:creationId xmlns:a16="http://schemas.microsoft.com/office/drawing/2014/main" xmlns="" id="{00000000-0008-0000-0A00-00001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107949</xdr:colOff>
      <xdr:row>5</xdr:row>
      <xdr:rowOff>93888</xdr:rowOff>
    </xdr:to>
    <xdr:sp macro="" textlink="">
      <xdr:nvSpPr>
        <xdr:cNvPr id="32" name="checksum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412749</xdr:colOff>
      <xdr:row>5</xdr:row>
      <xdr:rowOff>46263</xdr:rowOff>
    </xdr:to>
    <xdr:sp macro="" textlink="">
      <xdr:nvSpPr>
        <xdr:cNvPr id="33" name="checksum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431799</xdr:colOff>
      <xdr:row>5</xdr:row>
      <xdr:rowOff>46263</xdr:rowOff>
    </xdr:to>
    <xdr:sp macro="" textlink="">
      <xdr:nvSpPr>
        <xdr:cNvPr id="34" name="checksum">
          <a:extLst>
            <a:ext uri="{FF2B5EF4-FFF2-40B4-BE49-F238E27FC236}">
              <a16:creationId xmlns:a16="http://schemas.microsoft.com/office/drawing/2014/main" xmlns="" id="{00000000-0008-0000-0A00-00002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374649</xdr:colOff>
      <xdr:row>5</xdr:row>
      <xdr:rowOff>46263</xdr:rowOff>
    </xdr:to>
    <xdr:sp macro="" textlink="">
      <xdr:nvSpPr>
        <xdr:cNvPr id="35" name="checksum">
          <a:extLst>
            <a:ext uri="{FF2B5EF4-FFF2-40B4-BE49-F238E27FC236}">
              <a16:creationId xmlns:a16="http://schemas.microsoft.com/office/drawing/2014/main" xmlns="" id="{00000000-0008-0000-0A00-00002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107949</xdr:colOff>
      <xdr:row>5</xdr:row>
      <xdr:rowOff>93888</xdr:rowOff>
    </xdr:to>
    <xdr:sp macro="" textlink="">
      <xdr:nvSpPr>
        <xdr:cNvPr id="37" name="checksum">
          <a:extLst>
            <a:ext uri="{FF2B5EF4-FFF2-40B4-BE49-F238E27FC236}">
              <a16:creationId xmlns:a16="http://schemas.microsoft.com/office/drawing/2014/main" xmlns="" id="{00000000-0008-0000-0A00-000025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412749</xdr:colOff>
      <xdr:row>5</xdr:row>
      <xdr:rowOff>46263</xdr:rowOff>
    </xdr:to>
    <xdr:sp macro="" textlink="">
      <xdr:nvSpPr>
        <xdr:cNvPr id="38" name="checksum">
          <a:extLst>
            <a:ext uri="{FF2B5EF4-FFF2-40B4-BE49-F238E27FC236}">
              <a16:creationId xmlns:a16="http://schemas.microsoft.com/office/drawing/2014/main" xmlns="" id="{00000000-0008-0000-0A00-00002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431799</xdr:colOff>
      <xdr:row>5</xdr:row>
      <xdr:rowOff>46263</xdr:rowOff>
    </xdr:to>
    <xdr:sp macro="" textlink="">
      <xdr:nvSpPr>
        <xdr:cNvPr id="39" name="checksum">
          <a:extLst>
            <a:ext uri="{FF2B5EF4-FFF2-40B4-BE49-F238E27FC236}">
              <a16:creationId xmlns:a16="http://schemas.microsoft.com/office/drawing/2014/main" xmlns="" id="{00000000-0008-0000-0A00-00002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374649</xdr:colOff>
      <xdr:row>5</xdr:row>
      <xdr:rowOff>46263</xdr:rowOff>
    </xdr:to>
    <xdr:sp macro="" textlink="">
      <xdr:nvSpPr>
        <xdr:cNvPr id="40" name="checksum">
          <a:extLst>
            <a:ext uri="{FF2B5EF4-FFF2-40B4-BE49-F238E27FC236}">
              <a16:creationId xmlns:a16="http://schemas.microsoft.com/office/drawing/2014/main" xmlns="" id="{00000000-0008-0000-0A00-00002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107950</xdr:colOff>
      <xdr:row>5</xdr:row>
      <xdr:rowOff>93888</xdr:rowOff>
    </xdr:to>
    <xdr:sp macro="" textlink="">
      <xdr:nvSpPr>
        <xdr:cNvPr id="42" name="checksum">
          <a:extLst>
            <a:ext uri="{FF2B5EF4-FFF2-40B4-BE49-F238E27FC236}">
              <a16:creationId xmlns:a16="http://schemas.microsoft.com/office/drawing/2014/main" xmlns="" id="{00000000-0008-0000-0A00-00002A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412750</xdr:colOff>
      <xdr:row>5</xdr:row>
      <xdr:rowOff>46263</xdr:rowOff>
    </xdr:to>
    <xdr:sp macro="" textlink="">
      <xdr:nvSpPr>
        <xdr:cNvPr id="43" name="checksum">
          <a:extLst>
            <a:ext uri="{FF2B5EF4-FFF2-40B4-BE49-F238E27FC236}">
              <a16:creationId xmlns:a16="http://schemas.microsoft.com/office/drawing/2014/main" xmlns="" id="{00000000-0008-0000-0A00-00002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431800</xdr:colOff>
      <xdr:row>5</xdr:row>
      <xdr:rowOff>46263</xdr:rowOff>
    </xdr:to>
    <xdr:sp macro="" textlink="">
      <xdr:nvSpPr>
        <xdr:cNvPr id="44" name="checksum">
          <a:extLst>
            <a:ext uri="{FF2B5EF4-FFF2-40B4-BE49-F238E27FC236}">
              <a16:creationId xmlns:a16="http://schemas.microsoft.com/office/drawing/2014/main" xmlns="" id="{00000000-0008-0000-0A00-00002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374650</xdr:colOff>
      <xdr:row>5</xdr:row>
      <xdr:rowOff>46263</xdr:rowOff>
    </xdr:to>
    <xdr:sp macro="" textlink="">
      <xdr:nvSpPr>
        <xdr:cNvPr id="45" name="checksum">
          <a:extLst>
            <a:ext uri="{FF2B5EF4-FFF2-40B4-BE49-F238E27FC236}">
              <a16:creationId xmlns:a16="http://schemas.microsoft.com/office/drawing/2014/main" xmlns="" id="{00000000-0008-0000-0A00-00002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107950</xdr:colOff>
      <xdr:row>5</xdr:row>
      <xdr:rowOff>93888</xdr:rowOff>
    </xdr:to>
    <xdr:sp macro="" textlink="">
      <xdr:nvSpPr>
        <xdr:cNvPr id="47" name="checksum">
          <a:extLst>
            <a:ext uri="{FF2B5EF4-FFF2-40B4-BE49-F238E27FC236}">
              <a16:creationId xmlns:a16="http://schemas.microsoft.com/office/drawing/2014/main" xmlns="" id="{00000000-0008-0000-0A00-00002F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412750</xdr:colOff>
      <xdr:row>5</xdr:row>
      <xdr:rowOff>46263</xdr:rowOff>
    </xdr:to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0A00-00003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431800</xdr:colOff>
      <xdr:row>5</xdr:row>
      <xdr:rowOff>46263</xdr:rowOff>
    </xdr:to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0A00-00003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374650</xdr:colOff>
      <xdr:row>5</xdr:row>
      <xdr:rowOff>46263</xdr:rowOff>
    </xdr:to>
    <xdr:sp macro="" textlink="">
      <xdr:nvSpPr>
        <xdr:cNvPr id="50" name="checksum">
          <a:extLst>
            <a:ext uri="{FF2B5EF4-FFF2-40B4-BE49-F238E27FC236}">
              <a16:creationId xmlns:a16="http://schemas.microsoft.com/office/drawing/2014/main" xmlns="" id="{00000000-0008-0000-0A00-00003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107950</xdr:colOff>
      <xdr:row>5</xdr:row>
      <xdr:rowOff>93888</xdr:rowOff>
    </xdr:to>
    <xdr:sp macro="" textlink="">
      <xdr:nvSpPr>
        <xdr:cNvPr id="52" name="checksum">
          <a:extLst>
            <a:ext uri="{FF2B5EF4-FFF2-40B4-BE49-F238E27FC236}">
              <a16:creationId xmlns:a16="http://schemas.microsoft.com/office/drawing/2014/main" xmlns="" id="{00000000-0008-0000-0A00-000034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412750</xdr:colOff>
      <xdr:row>5</xdr:row>
      <xdr:rowOff>46263</xdr:rowOff>
    </xdr:to>
    <xdr:sp macro="" textlink="">
      <xdr:nvSpPr>
        <xdr:cNvPr id="53" name="checksum">
          <a:extLst>
            <a:ext uri="{FF2B5EF4-FFF2-40B4-BE49-F238E27FC236}">
              <a16:creationId xmlns:a16="http://schemas.microsoft.com/office/drawing/2014/main" xmlns="" id="{00000000-0008-0000-0A00-00003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431800</xdr:colOff>
      <xdr:row>5</xdr:row>
      <xdr:rowOff>46263</xdr:rowOff>
    </xdr:to>
    <xdr:sp macro="" textlink="">
      <xdr:nvSpPr>
        <xdr:cNvPr id="54" name="checksum">
          <a:extLst>
            <a:ext uri="{FF2B5EF4-FFF2-40B4-BE49-F238E27FC236}">
              <a16:creationId xmlns:a16="http://schemas.microsoft.com/office/drawing/2014/main" xmlns="" id="{00000000-0008-0000-0A00-00003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374650</xdr:colOff>
      <xdr:row>5</xdr:row>
      <xdr:rowOff>46263</xdr:rowOff>
    </xdr:to>
    <xdr:sp macro="" textlink="">
      <xdr:nvSpPr>
        <xdr:cNvPr id="55" name="checksum">
          <a:extLst>
            <a:ext uri="{FF2B5EF4-FFF2-40B4-BE49-F238E27FC236}">
              <a16:creationId xmlns:a16="http://schemas.microsoft.com/office/drawing/2014/main" xmlns="" id="{00000000-0008-0000-0A00-00003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107950</xdr:colOff>
      <xdr:row>5</xdr:row>
      <xdr:rowOff>93888</xdr:rowOff>
    </xdr:to>
    <xdr:sp macro="" textlink="">
      <xdr:nvSpPr>
        <xdr:cNvPr id="57" name="checksum">
          <a:extLst>
            <a:ext uri="{FF2B5EF4-FFF2-40B4-BE49-F238E27FC236}">
              <a16:creationId xmlns:a16="http://schemas.microsoft.com/office/drawing/2014/main" xmlns="" id="{00000000-0008-0000-0A00-000039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412750</xdr:colOff>
      <xdr:row>5</xdr:row>
      <xdr:rowOff>46263</xdr:rowOff>
    </xdr:to>
    <xdr:sp macro="" textlink="">
      <xdr:nvSpPr>
        <xdr:cNvPr id="58" name="checksum">
          <a:extLst>
            <a:ext uri="{FF2B5EF4-FFF2-40B4-BE49-F238E27FC236}">
              <a16:creationId xmlns:a16="http://schemas.microsoft.com/office/drawing/2014/main" xmlns="" id="{00000000-0008-0000-0A00-00003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431800</xdr:colOff>
      <xdr:row>5</xdr:row>
      <xdr:rowOff>46263</xdr:rowOff>
    </xdr:to>
    <xdr:sp macro="" textlink="">
      <xdr:nvSpPr>
        <xdr:cNvPr id="59" name="checksum">
          <a:extLst>
            <a:ext uri="{FF2B5EF4-FFF2-40B4-BE49-F238E27FC236}">
              <a16:creationId xmlns:a16="http://schemas.microsoft.com/office/drawing/2014/main" xmlns="" id="{00000000-0008-0000-0A00-00003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374650</xdr:colOff>
      <xdr:row>5</xdr:row>
      <xdr:rowOff>46263</xdr:rowOff>
    </xdr:to>
    <xdr:sp macro="" textlink="">
      <xdr:nvSpPr>
        <xdr:cNvPr id="60" name="checksum">
          <a:extLst>
            <a:ext uri="{FF2B5EF4-FFF2-40B4-BE49-F238E27FC236}">
              <a16:creationId xmlns:a16="http://schemas.microsoft.com/office/drawing/2014/main" xmlns="" id="{00000000-0008-0000-0A00-00003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</xdr:rowOff>
    </xdr:from>
    <xdr:to>
      <xdr:col>15</xdr:col>
      <xdr:colOff>107951</xdr:colOff>
      <xdr:row>5</xdr:row>
      <xdr:rowOff>93888</xdr:rowOff>
    </xdr:to>
    <xdr:sp macro="" textlink="">
      <xdr:nvSpPr>
        <xdr:cNvPr id="62" name="checksum">
          <a:extLst>
            <a:ext uri="{FF2B5EF4-FFF2-40B4-BE49-F238E27FC236}">
              <a16:creationId xmlns:a16="http://schemas.microsoft.com/office/drawing/2014/main" xmlns="" id="{00000000-0008-0000-0A00-00003E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412750</xdr:colOff>
      <xdr:row>5</xdr:row>
      <xdr:rowOff>46263</xdr:rowOff>
    </xdr:to>
    <xdr:sp macro="" textlink="">
      <xdr:nvSpPr>
        <xdr:cNvPr id="63" name="checksum">
          <a:extLst>
            <a:ext uri="{FF2B5EF4-FFF2-40B4-BE49-F238E27FC236}">
              <a16:creationId xmlns:a16="http://schemas.microsoft.com/office/drawing/2014/main" xmlns="" id="{00000000-0008-0000-0A00-00003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431800</xdr:colOff>
      <xdr:row>5</xdr:row>
      <xdr:rowOff>46263</xdr:rowOff>
    </xdr:to>
    <xdr:sp macro="" textlink="">
      <xdr:nvSpPr>
        <xdr:cNvPr id="64" name="checksum">
          <a:extLst>
            <a:ext uri="{FF2B5EF4-FFF2-40B4-BE49-F238E27FC236}">
              <a16:creationId xmlns:a16="http://schemas.microsoft.com/office/drawing/2014/main" xmlns="" id="{00000000-0008-0000-0A00-00004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374650</xdr:colOff>
      <xdr:row>5</xdr:row>
      <xdr:rowOff>46263</xdr:rowOff>
    </xdr:to>
    <xdr:sp macro="" textlink="">
      <xdr:nvSpPr>
        <xdr:cNvPr id="65" name="checksum">
          <a:extLst>
            <a:ext uri="{FF2B5EF4-FFF2-40B4-BE49-F238E27FC236}">
              <a16:creationId xmlns:a16="http://schemas.microsoft.com/office/drawing/2014/main" xmlns="" id="{00000000-0008-0000-0A00-00004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6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A00-000042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15</xdr:col>
      <xdr:colOff>107951</xdr:colOff>
      <xdr:row>5</xdr:row>
      <xdr:rowOff>93888</xdr:rowOff>
    </xdr:to>
    <xdr:sp macro="" textlink="">
      <xdr:nvSpPr>
        <xdr:cNvPr id="67" name="checksum">
          <a:extLst>
            <a:ext uri="{FF2B5EF4-FFF2-40B4-BE49-F238E27FC236}">
              <a16:creationId xmlns:a16="http://schemas.microsoft.com/office/drawing/2014/main" xmlns="" id="{00000000-0008-0000-0A00-000043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412750</xdr:colOff>
      <xdr:row>5</xdr:row>
      <xdr:rowOff>46263</xdr:rowOff>
    </xdr:to>
    <xdr:sp macro="" textlink="">
      <xdr:nvSpPr>
        <xdr:cNvPr id="68" name="checksum">
          <a:extLst>
            <a:ext uri="{FF2B5EF4-FFF2-40B4-BE49-F238E27FC236}">
              <a16:creationId xmlns:a16="http://schemas.microsoft.com/office/drawing/2014/main" xmlns="" id="{00000000-0008-0000-0A00-00004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431800</xdr:colOff>
      <xdr:row>5</xdr:row>
      <xdr:rowOff>46263</xdr:rowOff>
    </xdr:to>
    <xdr:sp macro="" textlink="">
      <xdr:nvSpPr>
        <xdr:cNvPr id="69" name="checksum">
          <a:extLst>
            <a:ext uri="{FF2B5EF4-FFF2-40B4-BE49-F238E27FC236}">
              <a16:creationId xmlns:a16="http://schemas.microsoft.com/office/drawing/2014/main" xmlns="" id="{00000000-0008-0000-0A00-00004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374650</xdr:colOff>
      <xdr:row>5</xdr:row>
      <xdr:rowOff>46263</xdr:rowOff>
    </xdr:to>
    <xdr:sp macro="" textlink="">
      <xdr:nvSpPr>
        <xdr:cNvPr id="70" name="checksum">
          <a:extLst>
            <a:ext uri="{FF2B5EF4-FFF2-40B4-BE49-F238E27FC236}">
              <a16:creationId xmlns:a16="http://schemas.microsoft.com/office/drawing/2014/main" xmlns="" id="{00000000-0008-0000-0A00-00004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7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A00-000047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479053</xdr:colOff>
      <xdr:row>5</xdr:row>
      <xdr:rowOff>93888</xdr:rowOff>
    </xdr:to>
    <xdr:sp macro="" textlink="">
      <xdr:nvSpPr>
        <xdr:cNvPr id="72" name="checksum">
          <a:extLst>
            <a:ext uri="{FF2B5EF4-FFF2-40B4-BE49-F238E27FC236}">
              <a16:creationId xmlns:a16="http://schemas.microsoft.com/office/drawing/2014/main" xmlns="" id="{00000000-0008-0000-0A00-000048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115866</xdr:colOff>
      <xdr:row>5</xdr:row>
      <xdr:rowOff>46263</xdr:rowOff>
    </xdr:to>
    <xdr:sp macro="" textlink="">
      <xdr:nvSpPr>
        <xdr:cNvPr id="73" name="checksum">
          <a:extLst>
            <a:ext uri="{FF2B5EF4-FFF2-40B4-BE49-F238E27FC236}">
              <a16:creationId xmlns:a16="http://schemas.microsoft.com/office/drawing/2014/main" xmlns="" id="{00000000-0008-0000-0A00-00004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134916</xdr:colOff>
      <xdr:row>5</xdr:row>
      <xdr:rowOff>46263</xdr:rowOff>
    </xdr:to>
    <xdr:sp macro="" textlink="">
      <xdr:nvSpPr>
        <xdr:cNvPr id="74" name="checksum">
          <a:extLst>
            <a:ext uri="{FF2B5EF4-FFF2-40B4-BE49-F238E27FC236}">
              <a16:creationId xmlns:a16="http://schemas.microsoft.com/office/drawing/2014/main" xmlns="" id="{00000000-0008-0000-0A00-00004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77766</xdr:colOff>
      <xdr:row>5</xdr:row>
      <xdr:rowOff>46263</xdr:rowOff>
    </xdr:to>
    <xdr:sp macro="" textlink="">
      <xdr:nvSpPr>
        <xdr:cNvPr id="75" name="checksum">
          <a:extLst>
            <a:ext uri="{FF2B5EF4-FFF2-40B4-BE49-F238E27FC236}">
              <a16:creationId xmlns:a16="http://schemas.microsoft.com/office/drawing/2014/main" xmlns="" id="{00000000-0008-0000-0A00-00004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479053</xdr:colOff>
      <xdr:row>5</xdr:row>
      <xdr:rowOff>93888</xdr:rowOff>
    </xdr:to>
    <xdr:sp macro="" textlink="">
      <xdr:nvSpPr>
        <xdr:cNvPr id="77" name="checksum">
          <a:extLst>
            <a:ext uri="{FF2B5EF4-FFF2-40B4-BE49-F238E27FC236}">
              <a16:creationId xmlns:a16="http://schemas.microsoft.com/office/drawing/2014/main" xmlns="" id="{00000000-0008-0000-0A00-00004D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115866</xdr:colOff>
      <xdr:row>5</xdr:row>
      <xdr:rowOff>46263</xdr:rowOff>
    </xdr:to>
    <xdr:sp macro="" textlink="">
      <xdr:nvSpPr>
        <xdr:cNvPr id="78" name="checksum">
          <a:extLst>
            <a:ext uri="{FF2B5EF4-FFF2-40B4-BE49-F238E27FC236}">
              <a16:creationId xmlns:a16="http://schemas.microsoft.com/office/drawing/2014/main" xmlns="" id="{00000000-0008-0000-0A00-00004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134916</xdr:colOff>
      <xdr:row>5</xdr:row>
      <xdr:rowOff>46263</xdr:rowOff>
    </xdr:to>
    <xdr:sp macro="" textlink="">
      <xdr:nvSpPr>
        <xdr:cNvPr id="79" name="checksum">
          <a:extLst>
            <a:ext uri="{FF2B5EF4-FFF2-40B4-BE49-F238E27FC236}">
              <a16:creationId xmlns:a16="http://schemas.microsoft.com/office/drawing/2014/main" xmlns="" id="{00000000-0008-0000-0A00-00004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77766</xdr:colOff>
      <xdr:row>5</xdr:row>
      <xdr:rowOff>46263</xdr:rowOff>
    </xdr:to>
    <xdr:sp macro="" textlink="">
      <xdr:nvSpPr>
        <xdr:cNvPr id="80" name="checksum">
          <a:extLst>
            <a:ext uri="{FF2B5EF4-FFF2-40B4-BE49-F238E27FC236}">
              <a16:creationId xmlns:a16="http://schemas.microsoft.com/office/drawing/2014/main" xmlns="" id="{00000000-0008-0000-0A00-00005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479053</xdr:colOff>
      <xdr:row>5</xdr:row>
      <xdr:rowOff>93888</xdr:rowOff>
    </xdr:to>
    <xdr:sp macro="" textlink="">
      <xdr:nvSpPr>
        <xdr:cNvPr id="82" name="checksum">
          <a:extLst>
            <a:ext uri="{FF2B5EF4-FFF2-40B4-BE49-F238E27FC236}">
              <a16:creationId xmlns:a16="http://schemas.microsoft.com/office/drawing/2014/main" xmlns="" id="{00000000-0008-0000-0A00-00005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115866</xdr:colOff>
      <xdr:row>5</xdr:row>
      <xdr:rowOff>46263</xdr:rowOff>
    </xdr:to>
    <xdr:sp macro="" textlink="">
      <xdr:nvSpPr>
        <xdr:cNvPr id="83" name="checksum">
          <a:extLst>
            <a:ext uri="{FF2B5EF4-FFF2-40B4-BE49-F238E27FC236}">
              <a16:creationId xmlns:a16="http://schemas.microsoft.com/office/drawing/2014/main" xmlns="" id="{00000000-0008-0000-0A00-00005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134916</xdr:colOff>
      <xdr:row>5</xdr:row>
      <xdr:rowOff>46263</xdr:rowOff>
    </xdr:to>
    <xdr:sp macro="" textlink="">
      <xdr:nvSpPr>
        <xdr:cNvPr id="84" name="checksum">
          <a:extLst>
            <a:ext uri="{FF2B5EF4-FFF2-40B4-BE49-F238E27FC236}">
              <a16:creationId xmlns:a16="http://schemas.microsoft.com/office/drawing/2014/main" xmlns="" id="{00000000-0008-0000-0A00-00005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77766</xdr:colOff>
      <xdr:row>5</xdr:row>
      <xdr:rowOff>46263</xdr:rowOff>
    </xdr:to>
    <xdr:sp macro="" textlink="">
      <xdr:nvSpPr>
        <xdr:cNvPr id="85" name="checksum">
          <a:extLst>
            <a:ext uri="{FF2B5EF4-FFF2-40B4-BE49-F238E27FC236}">
              <a16:creationId xmlns:a16="http://schemas.microsoft.com/office/drawing/2014/main" xmlns="" id="{00000000-0008-0000-0A00-00005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479053</xdr:colOff>
      <xdr:row>5</xdr:row>
      <xdr:rowOff>93888</xdr:rowOff>
    </xdr:to>
    <xdr:sp macro="" textlink="">
      <xdr:nvSpPr>
        <xdr:cNvPr id="87" name="checksum">
          <a:extLst>
            <a:ext uri="{FF2B5EF4-FFF2-40B4-BE49-F238E27FC236}">
              <a16:creationId xmlns:a16="http://schemas.microsoft.com/office/drawing/2014/main" xmlns="" id="{00000000-0008-0000-0A00-00005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115866</xdr:colOff>
      <xdr:row>5</xdr:row>
      <xdr:rowOff>46263</xdr:rowOff>
    </xdr:to>
    <xdr:sp macro="" textlink="">
      <xdr:nvSpPr>
        <xdr:cNvPr id="88" name="checksum">
          <a:extLst>
            <a:ext uri="{FF2B5EF4-FFF2-40B4-BE49-F238E27FC236}">
              <a16:creationId xmlns:a16="http://schemas.microsoft.com/office/drawing/2014/main" xmlns="" id="{00000000-0008-0000-0A00-00005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134916</xdr:colOff>
      <xdr:row>5</xdr:row>
      <xdr:rowOff>46263</xdr:rowOff>
    </xdr:to>
    <xdr:sp macro="" textlink="">
      <xdr:nvSpPr>
        <xdr:cNvPr id="89" name="checksum">
          <a:extLst>
            <a:ext uri="{FF2B5EF4-FFF2-40B4-BE49-F238E27FC236}">
              <a16:creationId xmlns:a16="http://schemas.microsoft.com/office/drawing/2014/main" xmlns="" id="{00000000-0008-0000-0A00-00005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77766</xdr:colOff>
      <xdr:row>5</xdr:row>
      <xdr:rowOff>46263</xdr:rowOff>
    </xdr:to>
    <xdr:sp macro="" textlink="">
      <xdr:nvSpPr>
        <xdr:cNvPr id="90" name="checksum">
          <a:extLst>
            <a:ext uri="{FF2B5EF4-FFF2-40B4-BE49-F238E27FC236}">
              <a16:creationId xmlns:a16="http://schemas.microsoft.com/office/drawing/2014/main" xmlns="" id="{00000000-0008-0000-0A00-00005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499834</xdr:colOff>
      <xdr:row>5</xdr:row>
      <xdr:rowOff>93888</xdr:rowOff>
    </xdr:to>
    <xdr:sp macro="" textlink="">
      <xdr:nvSpPr>
        <xdr:cNvPr id="92" name="checksum">
          <a:extLst>
            <a:ext uri="{FF2B5EF4-FFF2-40B4-BE49-F238E27FC236}">
              <a16:creationId xmlns:a16="http://schemas.microsoft.com/office/drawing/2014/main" xmlns="" id="{00000000-0008-0000-0A00-00005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129720</xdr:colOff>
      <xdr:row>5</xdr:row>
      <xdr:rowOff>46263</xdr:rowOff>
    </xdr:to>
    <xdr:sp macro="" textlink="">
      <xdr:nvSpPr>
        <xdr:cNvPr id="93" name="checksum">
          <a:extLst>
            <a:ext uri="{FF2B5EF4-FFF2-40B4-BE49-F238E27FC236}">
              <a16:creationId xmlns:a16="http://schemas.microsoft.com/office/drawing/2014/main" xmlns="" id="{00000000-0008-0000-0A00-00005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148770</xdr:colOff>
      <xdr:row>5</xdr:row>
      <xdr:rowOff>46263</xdr:rowOff>
    </xdr:to>
    <xdr:sp macro="" textlink="">
      <xdr:nvSpPr>
        <xdr:cNvPr id="94" name="checksum">
          <a:extLst>
            <a:ext uri="{FF2B5EF4-FFF2-40B4-BE49-F238E27FC236}">
              <a16:creationId xmlns:a16="http://schemas.microsoft.com/office/drawing/2014/main" xmlns="" id="{00000000-0008-0000-0A00-00005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91620</xdr:colOff>
      <xdr:row>5</xdr:row>
      <xdr:rowOff>46263</xdr:rowOff>
    </xdr:to>
    <xdr:sp macro="" textlink="">
      <xdr:nvSpPr>
        <xdr:cNvPr id="95" name="checksum">
          <a:extLst>
            <a:ext uri="{FF2B5EF4-FFF2-40B4-BE49-F238E27FC236}">
              <a16:creationId xmlns:a16="http://schemas.microsoft.com/office/drawing/2014/main" xmlns="" id="{00000000-0008-0000-0A00-00005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499834</xdr:colOff>
      <xdr:row>5</xdr:row>
      <xdr:rowOff>93888</xdr:rowOff>
    </xdr:to>
    <xdr:sp macro="" textlink="">
      <xdr:nvSpPr>
        <xdr:cNvPr id="97" name="checksum">
          <a:extLst>
            <a:ext uri="{FF2B5EF4-FFF2-40B4-BE49-F238E27FC236}">
              <a16:creationId xmlns:a16="http://schemas.microsoft.com/office/drawing/2014/main" xmlns="" id="{00000000-0008-0000-0A00-00006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129720</xdr:colOff>
      <xdr:row>5</xdr:row>
      <xdr:rowOff>46263</xdr:rowOff>
    </xdr:to>
    <xdr:sp macro="" textlink="">
      <xdr:nvSpPr>
        <xdr:cNvPr id="98" name="checksum">
          <a:extLst>
            <a:ext uri="{FF2B5EF4-FFF2-40B4-BE49-F238E27FC236}">
              <a16:creationId xmlns:a16="http://schemas.microsoft.com/office/drawing/2014/main" xmlns="" id="{00000000-0008-0000-0A00-00006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148770</xdr:colOff>
      <xdr:row>5</xdr:row>
      <xdr:rowOff>46263</xdr:rowOff>
    </xdr:to>
    <xdr:sp macro="" textlink="">
      <xdr:nvSpPr>
        <xdr:cNvPr id="99" name="checksum">
          <a:extLst>
            <a:ext uri="{FF2B5EF4-FFF2-40B4-BE49-F238E27FC236}">
              <a16:creationId xmlns:a16="http://schemas.microsoft.com/office/drawing/2014/main" xmlns="" id="{00000000-0008-0000-0A00-00006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91620</xdr:colOff>
      <xdr:row>5</xdr:row>
      <xdr:rowOff>46263</xdr:rowOff>
    </xdr:to>
    <xdr:sp macro="" textlink="">
      <xdr:nvSpPr>
        <xdr:cNvPr id="100" name="checksum">
          <a:extLst>
            <a:ext uri="{FF2B5EF4-FFF2-40B4-BE49-F238E27FC236}">
              <a16:creationId xmlns:a16="http://schemas.microsoft.com/office/drawing/2014/main" xmlns="" id="{00000000-0008-0000-0A00-00006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315767</xdr:colOff>
      <xdr:row>5</xdr:row>
      <xdr:rowOff>93888</xdr:rowOff>
    </xdr:to>
    <xdr:sp macro="" textlink="">
      <xdr:nvSpPr>
        <xdr:cNvPr id="102" name="checksum">
          <a:extLst>
            <a:ext uri="{FF2B5EF4-FFF2-40B4-BE49-F238E27FC236}">
              <a16:creationId xmlns:a16="http://schemas.microsoft.com/office/drawing/2014/main" xmlns="" id="{00000000-0008-0000-0A00-000066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585930</xdr:colOff>
      <xdr:row>5</xdr:row>
      <xdr:rowOff>46263</xdr:rowOff>
    </xdr:to>
    <xdr:sp macro="" textlink="">
      <xdr:nvSpPr>
        <xdr:cNvPr id="103" name="checksum">
          <a:extLst>
            <a:ext uri="{FF2B5EF4-FFF2-40B4-BE49-F238E27FC236}">
              <a16:creationId xmlns:a16="http://schemas.microsoft.com/office/drawing/2014/main" xmlns="" id="{00000000-0008-0000-0A00-00006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1730</xdr:colOff>
      <xdr:row>5</xdr:row>
      <xdr:rowOff>46263</xdr:rowOff>
    </xdr:to>
    <xdr:sp macro="" textlink="">
      <xdr:nvSpPr>
        <xdr:cNvPr id="104" name="checksum">
          <a:extLst>
            <a:ext uri="{FF2B5EF4-FFF2-40B4-BE49-F238E27FC236}">
              <a16:creationId xmlns:a16="http://schemas.microsoft.com/office/drawing/2014/main" xmlns="" id="{00000000-0008-0000-0A00-00006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28</xdr:col>
      <xdr:colOff>547830</xdr:colOff>
      <xdr:row>5</xdr:row>
      <xdr:rowOff>46263</xdr:rowOff>
    </xdr:to>
    <xdr:sp macro="" textlink="">
      <xdr:nvSpPr>
        <xdr:cNvPr id="105" name="checksum">
          <a:extLst>
            <a:ext uri="{FF2B5EF4-FFF2-40B4-BE49-F238E27FC236}">
              <a16:creationId xmlns:a16="http://schemas.microsoft.com/office/drawing/2014/main" xmlns="" id="{00000000-0008-0000-0A00-00006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315767</xdr:colOff>
      <xdr:row>5</xdr:row>
      <xdr:rowOff>93888</xdr:rowOff>
    </xdr:to>
    <xdr:sp macro="" textlink="">
      <xdr:nvSpPr>
        <xdr:cNvPr id="107" name="checksum">
          <a:extLst>
            <a:ext uri="{FF2B5EF4-FFF2-40B4-BE49-F238E27FC236}">
              <a16:creationId xmlns:a16="http://schemas.microsoft.com/office/drawing/2014/main" xmlns="" id="{00000000-0008-0000-0A00-00006B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585930</xdr:colOff>
      <xdr:row>5</xdr:row>
      <xdr:rowOff>46263</xdr:rowOff>
    </xdr:to>
    <xdr:sp macro="" textlink="">
      <xdr:nvSpPr>
        <xdr:cNvPr id="108" name="checksum">
          <a:extLst>
            <a:ext uri="{FF2B5EF4-FFF2-40B4-BE49-F238E27FC236}">
              <a16:creationId xmlns:a16="http://schemas.microsoft.com/office/drawing/2014/main" xmlns="" id="{00000000-0008-0000-0A00-00006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1730</xdr:colOff>
      <xdr:row>5</xdr:row>
      <xdr:rowOff>46263</xdr:rowOff>
    </xdr:to>
    <xdr:sp macro="" textlink="">
      <xdr:nvSpPr>
        <xdr:cNvPr id="109" name="checksum">
          <a:extLst>
            <a:ext uri="{FF2B5EF4-FFF2-40B4-BE49-F238E27FC236}">
              <a16:creationId xmlns:a16="http://schemas.microsoft.com/office/drawing/2014/main" xmlns="" id="{00000000-0008-0000-0A00-00006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28</xdr:col>
      <xdr:colOff>547830</xdr:colOff>
      <xdr:row>5</xdr:row>
      <xdr:rowOff>46263</xdr:rowOff>
    </xdr:to>
    <xdr:sp macro="" textlink="">
      <xdr:nvSpPr>
        <xdr:cNvPr id="110" name="checksum">
          <a:extLst>
            <a:ext uri="{FF2B5EF4-FFF2-40B4-BE49-F238E27FC236}">
              <a16:creationId xmlns:a16="http://schemas.microsoft.com/office/drawing/2014/main" xmlns="" id="{00000000-0008-0000-0A00-00006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107950</xdr:colOff>
      <xdr:row>10</xdr:row>
      <xdr:rowOff>1092199</xdr:rowOff>
    </xdr:to>
    <xdr:sp macro="" textlink="">
      <xdr:nvSpPr>
        <xdr:cNvPr id="112" name="checksum">
          <a:extLst>
            <a:ext uri="{FF2B5EF4-FFF2-40B4-BE49-F238E27FC236}">
              <a16:creationId xmlns:a16="http://schemas.microsoft.com/office/drawing/2014/main" xmlns="" id="{00000000-0008-0000-0A00-000070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2533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412750</xdr:colOff>
      <xdr:row>10</xdr:row>
      <xdr:rowOff>34924</xdr:rowOff>
    </xdr:to>
    <xdr:sp macro="" textlink="">
      <xdr:nvSpPr>
        <xdr:cNvPr id="113" name="checksum">
          <a:extLst>
            <a:ext uri="{FF2B5EF4-FFF2-40B4-BE49-F238E27FC236}">
              <a16:creationId xmlns:a16="http://schemas.microsoft.com/office/drawing/2014/main" xmlns="" id="{00000000-0008-0000-0A00-00007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431800</xdr:colOff>
      <xdr:row>10</xdr:row>
      <xdr:rowOff>34924</xdr:rowOff>
    </xdr:to>
    <xdr:sp macro="" textlink="">
      <xdr:nvSpPr>
        <xdr:cNvPr id="114" name="checksum">
          <a:extLst>
            <a:ext uri="{FF2B5EF4-FFF2-40B4-BE49-F238E27FC236}">
              <a16:creationId xmlns:a16="http://schemas.microsoft.com/office/drawing/2014/main" xmlns="" id="{00000000-0008-0000-0A00-00007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374650</xdr:colOff>
      <xdr:row>10</xdr:row>
      <xdr:rowOff>34924</xdr:rowOff>
    </xdr:to>
    <xdr:sp macro="" textlink="">
      <xdr:nvSpPr>
        <xdr:cNvPr id="115" name="checksum">
          <a:extLst>
            <a:ext uri="{FF2B5EF4-FFF2-40B4-BE49-F238E27FC236}">
              <a16:creationId xmlns:a16="http://schemas.microsoft.com/office/drawing/2014/main" xmlns="" id="{00000000-0008-0000-0A00-00007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107950</xdr:colOff>
      <xdr:row>10</xdr:row>
      <xdr:rowOff>1092199</xdr:rowOff>
    </xdr:to>
    <xdr:sp macro="" textlink="">
      <xdr:nvSpPr>
        <xdr:cNvPr id="117" name="checksum">
          <a:extLst>
            <a:ext uri="{FF2B5EF4-FFF2-40B4-BE49-F238E27FC236}">
              <a16:creationId xmlns:a16="http://schemas.microsoft.com/office/drawing/2014/main" xmlns="" id="{00000000-0008-0000-0A00-000075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2533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412750</xdr:colOff>
      <xdr:row>10</xdr:row>
      <xdr:rowOff>34924</xdr:rowOff>
    </xdr:to>
    <xdr:sp macro="" textlink="">
      <xdr:nvSpPr>
        <xdr:cNvPr id="118" name="checksum">
          <a:extLst>
            <a:ext uri="{FF2B5EF4-FFF2-40B4-BE49-F238E27FC236}">
              <a16:creationId xmlns:a16="http://schemas.microsoft.com/office/drawing/2014/main" xmlns="" id="{00000000-0008-0000-0A00-00007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431800</xdr:colOff>
      <xdr:row>10</xdr:row>
      <xdr:rowOff>34924</xdr:rowOff>
    </xdr:to>
    <xdr:sp macro="" textlink="">
      <xdr:nvSpPr>
        <xdr:cNvPr id="119" name="checksum">
          <a:extLst>
            <a:ext uri="{FF2B5EF4-FFF2-40B4-BE49-F238E27FC236}">
              <a16:creationId xmlns:a16="http://schemas.microsoft.com/office/drawing/2014/main" xmlns="" id="{00000000-0008-0000-0A00-00007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374650</xdr:colOff>
      <xdr:row>10</xdr:row>
      <xdr:rowOff>34924</xdr:rowOff>
    </xdr:to>
    <xdr:sp macro="" textlink="">
      <xdr:nvSpPr>
        <xdr:cNvPr id="120" name="checksum">
          <a:extLst>
            <a:ext uri="{FF2B5EF4-FFF2-40B4-BE49-F238E27FC236}">
              <a16:creationId xmlns:a16="http://schemas.microsoft.com/office/drawing/2014/main" xmlns="" id="{00000000-0008-0000-0A00-00007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142" name="checksum">
          <a:extLst>
            <a:ext uri="{FF2B5EF4-FFF2-40B4-BE49-F238E27FC236}">
              <a16:creationId xmlns:a16="http://schemas.microsoft.com/office/drawing/2014/main" xmlns="" id="{00000000-0008-0000-0A00-00008E000000}"/>
            </a:ext>
          </a:extLst>
        </xdr:cNvPr>
        <xdr:cNvSpPr txBox="1">
          <a:spLocks noChangeArrowheads="1"/>
        </xdr:cNvSpPr>
      </xdr:nvSpPr>
      <xdr:spPr bwMode="auto">
        <a:xfrm>
          <a:off x="191954727" y="444211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143" name="checksum">
          <a:extLst>
            <a:ext uri="{FF2B5EF4-FFF2-40B4-BE49-F238E27FC236}">
              <a16:creationId xmlns:a16="http://schemas.microsoft.com/office/drawing/2014/main" xmlns="" id="{00000000-0008-0000-0A00-00008F000000}"/>
            </a:ext>
          </a:extLst>
        </xdr:cNvPr>
        <xdr:cNvSpPr txBox="1">
          <a:spLocks noChangeArrowheads="1"/>
        </xdr:cNvSpPr>
      </xdr:nvSpPr>
      <xdr:spPr bwMode="auto">
        <a:xfrm>
          <a:off x="191649927" y="663286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144" name="checksum">
          <a:extLst>
            <a:ext uri="{FF2B5EF4-FFF2-40B4-BE49-F238E27FC236}">
              <a16:creationId xmlns:a16="http://schemas.microsoft.com/office/drawing/2014/main" xmlns="" id="{00000000-0008-0000-0A00-000090000000}"/>
            </a:ext>
          </a:extLst>
        </xdr:cNvPr>
        <xdr:cNvSpPr txBox="1">
          <a:spLocks noChangeArrowheads="1"/>
        </xdr:cNvSpPr>
      </xdr:nvSpPr>
      <xdr:spPr bwMode="auto">
        <a:xfrm>
          <a:off x="191649927" y="663286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145" name="checksum">
          <a:extLst>
            <a:ext uri="{FF2B5EF4-FFF2-40B4-BE49-F238E27FC236}">
              <a16:creationId xmlns:a16="http://schemas.microsoft.com/office/drawing/2014/main" xmlns="" id="{00000000-0008-0000-0A00-000091000000}"/>
            </a:ext>
          </a:extLst>
        </xdr:cNvPr>
        <xdr:cNvSpPr txBox="1">
          <a:spLocks noChangeArrowheads="1"/>
        </xdr:cNvSpPr>
      </xdr:nvSpPr>
      <xdr:spPr bwMode="auto">
        <a:xfrm>
          <a:off x="191649927" y="669001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147" name="checksum">
          <a:extLst>
            <a:ext uri="{FF2B5EF4-FFF2-40B4-BE49-F238E27FC236}">
              <a16:creationId xmlns:a16="http://schemas.microsoft.com/office/drawing/2014/main" xmlns="" id="{00000000-0008-0000-0A00-000093000000}"/>
            </a:ext>
          </a:extLst>
        </xdr:cNvPr>
        <xdr:cNvSpPr txBox="1">
          <a:spLocks noChangeArrowheads="1"/>
        </xdr:cNvSpPr>
      </xdr:nvSpPr>
      <xdr:spPr bwMode="auto">
        <a:xfrm>
          <a:off x="191954727" y="444211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148" name="checksum">
          <a:extLst>
            <a:ext uri="{FF2B5EF4-FFF2-40B4-BE49-F238E27FC236}">
              <a16:creationId xmlns:a16="http://schemas.microsoft.com/office/drawing/2014/main" xmlns="" id="{00000000-0008-0000-0A00-000094000000}"/>
            </a:ext>
          </a:extLst>
        </xdr:cNvPr>
        <xdr:cNvSpPr txBox="1">
          <a:spLocks noChangeArrowheads="1"/>
        </xdr:cNvSpPr>
      </xdr:nvSpPr>
      <xdr:spPr bwMode="auto">
        <a:xfrm>
          <a:off x="191649927" y="663286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149" name="checksum">
          <a:extLst>
            <a:ext uri="{FF2B5EF4-FFF2-40B4-BE49-F238E27FC236}">
              <a16:creationId xmlns:a16="http://schemas.microsoft.com/office/drawing/2014/main" xmlns="" id="{00000000-0008-0000-0A00-000095000000}"/>
            </a:ext>
          </a:extLst>
        </xdr:cNvPr>
        <xdr:cNvSpPr txBox="1">
          <a:spLocks noChangeArrowheads="1"/>
        </xdr:cNvSpPr>
      </xdr:nvSpPr>
      <xdr:spPr bwMode="auto">
        <a:xfrm>
          <a:off x="191649927" y="663286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150" name="checksum">
          <a:extLst>
            <a:ext uri="{FF2B5EF4-FFF2-40B4-BE49-F238E27FC236}">
              <a16:creationId xmlns:a16="http://schemas.microsoft.com/office/drawing/2014/main" xmlns="" id="{00000000-0008-0000-0A00-000096000000}"/>
            </a:ext>
          </a:extLst>
        </xdr:cNvPr>
        <xdr:cNvSpPr txBox="1">
          <a:spLocks noChangeArrowheads="1"/>
        </xdr:cNvSpPr>
      </xdr:nvSpPr>
      <xdr:spPr bwMode="auto">
        <a:xfrm>
          <a:off x="191649927" y="669001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28575</xdr:rowOff>
    </xdr:from>
    <xdr:to>
      <xdr:col>8</xdr:col>
      <xdr:colOff>107950</xdr:colOff>
      <xdr:row>5</xdr:row>
      <xdr:rowOff>91169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412749</xdr:colOff>
      <xdr:row>4</xdr:row>
      <xdr:rowOff>206829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431799</xdr:colOff>
      <xdr:row>4</xdr:row>
      <xdr:rowOff>206829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374649</xdr:colOff>
      <xdr:row>4</xdr:row>
      <xdr:rowOff>206829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107950</xdr:colOff>
      <xdr:row>5</xdr:row>
      <xdr:rowOff>91169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0B00-00000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412749</xdr:colOff>
      <xdr:row>4</xdr:row>
      <xdr:rowOff>206829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0B00-00000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431799</xdr:colOff>
      <xdr:row>4</xdr:row>
      <xdr:rowOff>206829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0B00-00000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374649</xdr:colOff>
      <xdr:row>4</xdr:row>
      <xdr:rowOff>206829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107951</xdr:colOff>
      <xdr:row>4</xdr:row>
      <xdr:rowOff>121104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0B00-00000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412750</xdr:colOff>
      <xdr:row>4</xdr:row>
      <xdr:rowOff>140154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0B00-00000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431800</xdr:colOff>
      <xdr:row>4</xdr:row>
      <xdr:rowOff>140154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0B00-00000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374650</xdr:colOff>
      <xdr:row>4</xdr:row>
      <xdr:rowOff>140154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0B00-00000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107951</xdr:colOff>
      <xdr:row>4</xdr:row>
      <xdr:rowOff>121104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0B00-00001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412750</xdr:colOff>
      <xdr:row>4</xdr:row>
      <xdr:rowOff>140154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0B00-00001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431800</xdr:colOff>
      <xdr:row>4</xdr:row>
      <xdr:rowOff>140154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0B00-00001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374650</xdr:colOff>
      <xdr:row>4</xdr:row>
      <xdr:rowOff>140154</xdr:rowOff>
    </xdr:to>
    <xdr:sp macro="" textlink="">
      <xdr:nvSpPr>
        <xdr:cNvPr id="20" name="checksum">
          <a:extLst>
            <a:ext uri="{FF2B5EF4-FFF2-40B4-BE49-F238E27FC236}">
              <a16:creationId xmlns:a16="http://schemas.microsoft.com/office/drawing/2014/main" xmlns="" id="{00000000-0008-0000-0B00-00001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107950</xdr:colOff>
      <xdr:row>4</xdr:row>
      <xdr:rowOff>121104</xdr:rowOff>
    </xdr:to>
    <xdr:sp macro="" textlink="">
      <xdr:nvSpPr>
        <xdr:cNvPr id="22" name="checksum">
          <a:extLst>
            <a:ext uri="{FF2B5EF4-FFF2-40B4-BE49-F238E27FC236}">
              <a16:creationId xmlns:a16="http://schemas.microsoft.com/office/drawing/2014/main" xmlns="" id="{00000000-0008-0000-0B00-000016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412750</xdr:colOff>
      <xdr:row>4</xdr:row>
      <xdr:rowOff>140154</xdr:rowOff>
    </xdr:to>
    <xdr:sp macro="" textlink="">
      <xdr:nvSpPr>
        <xdr:cNvPr id="23" name="checksum">
          <a:extLst>
            <a:ext uri="{FF2B5EF4-FFF2-40B4-BE49-F238E27FC236}">
              <a16:creationId xmlns:a16="http://schemas.microsoft.com/office/drawing/2014/main" xmlns="" id="{00000000-0008-0000-0B00-00001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431800</xdr:colOff>
      <xdr:row>4</xdr:row>
      <xdr:rowOff>140154</xdr:rowOff>
    </xdr:to>
    <xdr:sp macro="" textlink="">
      <xdr:nvSpPr>
        <xdr:cNvPr id="24" name="checksum">
          <a:extLst>
            <a:ext uri="{FF2B5EF4-FFF2-40B4-BE49-F238E27FC236}">
              <a16:creationId xmlns:a16="http://schemas.microsoft.com/office/drawing/2014/main" xmlns="" id="{00000000-0008-0000-0B00-00001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374650</xdr:colOff>
      <xdr:row>4</xdr:row>
      <xdr:rowOff>140154</xdr:rowOff>
    </xdr:to>
    <xdr:sp macro="" textlink="">
      <xdr:nvSpPr>
        <xdr:cNvPr id="25" name="checksum">
          <a:extLst>
            <a:ext uri="{FF2B5EF4-FFF2-40B4-BE49-F238E27FC236}">
              <a16:creationId xmlns:a16="http://schemas.microsoft.com/office/drawing/2014/main" xmlns="" id="{00000000-0008-0000-0B00-00001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107950</xdr:colOff>
      <xdr:row>4</xdr:row>
      <xdr:rowOff>121104</xdr:rowOff>
    </xdr:to>
    <xdr:sp macro="" textlink="">
      <xdr:nvSpPr>
        <xdr:cNvPr id="27" name="checksum">
          <a:extLst>
            <a:ext uri="{FF2B5EF4-FFF2-40B4-BE49-F238E27FC236}">
              <a16:creationId xmlns:a16="http://schemas.microsoft.com/office/drawing/2014/main" xmlns="" id="{00000000-0008-0000-0B00-00001B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412750</xdr:colOff>
      <xdr:row>4</xdr:row>
      <xdr:rowOff>140154</xdr:rowOff>
    </xdr:to>
    <xdr:sp macro="" textlink="">
      <xdr:nvSpPr>
        <xdr:cNvPr id="28" name="checksum">
          <a:extLst>
            <a:ext uri="{FF2B5EF4-FFF2-40B4-BE49-F238E27FC236}">
              <a16:creationId xmlns:a16="http://schemas.microsoft.com/office/drawing/2014/main" xmlns="" id="{00000000-0008-0000-0B00-00001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431800</xdr:colOff>
      <xdr:row>4</xdr:row>
      <xdr:rowOff>140154</xdr:rowOff>
    </xdr:to>
    <xdr:sp macro="" textlink="">
      <xdr:nvSpPr>
        <xdr:cNvPr id="29" name="checksum">
          <a:extLst>
            <a:ext uri="{FF2B5EF4-FFF2-40B4-BE49-F238E27FC236}">
              <a16:creationId xmlns:a16="http://schemas.microsoft.com/office/drawing/2014/main" xmlns="" id="{00000000-0008-0000-0B00-00001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374650</xdr:colOff>
      <xdr:row>4</xdr:row>
      <xdr:rowOff>140154</xdr:rowOff>
    </xdr:to>
    <xdr:sp macro="" textlink="">
      <xdr:nvSpPr>
        <xdr:cNvPr id="30" name="checksum">
          <a:extLst>
            <a:ext uri="{FF2B5EF4-FFF2-40B4-BE49-F238E27FC236}">
              <a16:creationId xmlns:a16="http://schemas.microsoft.com/office/drawing/2014/main" xmlns="" id="{00000000-0008-0000-0B00-00001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107950</xdr:colOff>
      <xdr:row>4</xdr:row>
      <xdr:rowOff>121104</xdr:rowOff>
    </xdr:to>
    <xdr:sp macro="" textlink="">
      <xdr:nvSpPr>
        <xdr:cNvPr id="32" name="checksum">
          <a:extLst>
            <a:ext uri="{FF2B5EF4-FFF2-40B4-BE49-F238E27FC236}">
              <a16:creationId xmlns:a16="http://schemas.microsoft.com/office/drawing/2014/main" xmlns="" id="{00000000-0008-0000-0B00-000020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412750</xdr:colOff>
      <xdr:row>4</xdr:row>
      <xdr:rowOff>140154</xdr:rowOff>
    </xdr:to>
    <xdr:sp macro="" textlink="">
      <xdr:nvSpPr>
        <xdr:cNvPr id="33" name="checksum">
          <a:extLst>
            <a:ext uri="{FF2B5EF4-FFF2-40B4-BE49-F238E27FC236}">
              <a16:creationId xmlns:a16="http://schemas.microsoft.com/office/drawing/2014/main" xmlns="" id="{00000000-0008-0000-0B00-00002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431800</xdr:colOff>
      <xdr:row>4</xdr:row>
      <xdr:rowOff>140154</xdr:rowOff>
    </xdr:to>
    <xdr:sp macro="" textlink="">
      <xdr:nvSpPr>
        <xdr:cNvPr id="34" name="checksum">
          <a:extLst>
            <a:ext uri="{FF2B5EF4-FFF2-40B4-BE49-F238E27FC236}">
              <a16:creationId xmlns:a16="http://schemas.microsoft.com/office/drawing/2014/main" xmlns="" id="{00000000-0008-0000-0B00-00002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374650</xdr:colOff>
      <xdr:row>4</xdr:row>
      <xdr:rowOff>140154</xdr:rowOff>
    </xdr:to>
    <xdr:sp macro="" textlink="">
      <xdr:nvSpPr>
        <xdr:cNvPr id="35" name="checksum">
          <a:extLst>
            <a:ext uri="{FF2B5EF4-FFF2-40B4-BE49-F238E27FC236}">
              <a16:creationId xmlns:a16="http://schemas.microsoft.com/office/drawing/2014/main" xmlns="" id="{00000000-0008-0000-0B00-00002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107950</xdr:colOff>
      <xdr:row>4</xdr:row>
      <xdr:rowOff>121104</xdr:rowOff>
    </xdr:to>
    <xdr:sp macro="" textlink="">
      <xdr:nvSpPr>
        <xdr:cNvPr id="37" name="checksum">
          <a:extLst>
            <a:ext uri="{FF2B5EF4-FFF2-40B4-BE49-F238E27FC236}">
              <a16:creationId xmlns:a16="http://schemas.microsoft.com/office/drawing/2014/main" xmlns="" id="{00000000-0008-0000-0B00-000025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412750</xdr:colOff>
      <xdr:row>4</xdr:row>
      <xdr:rowOff>140154</xdr:rowOff>
    </xdr:to>
    <xdr:sp macro="" textlink="">
      <xdr:nvSpPr>
        <xdr:cNvPr id="38" name="checksum">
          <a:extLst>
            <a:ext uri="{FF2B5EF4-FFF2-40B4-BE49-F238E27FC236}">
              <a16:creationId xmlns:a16="http://schemas.microsoft.com/office/drawing/2014/main" xmlns="" id="{00000000-0008-0000-0B00-00002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431800</xdr:colOff>
      <xdr:row>4</xdr:row>
      <xdr:rowOff>140154</xdr:rowOff>
    </xdr:to>
    <xdr:sp macro="" textlink="">
      <xdr:nvSpPr>
        <xdr:cNvPr id="39" name="checksum">
          <a:extLst>
            <a:ext uri="{FF2B5EF4-FFF2-40B4-BE49-F238E27FC236}">
              <a16:creationId xmlns:a16="http://schemas.microsoft.com/office/drawing/2014/main" xmlns="" id="{00000000-0008-0000-0B00-00002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374650</xdr:colOff>
      <xdr:row>4</xdr:row>
      <xdr:rowOff>140154</xdr:rowOff>
    </xdr:to>
    <xdr:sp macro="" textlink="">
      <xdr:nvSpPr>
        <xdr:cNvPr id="40" name="checksum">
          <a:extLst>
            <a:ext uri="{FF2B5EF4-FFF2-40B4-BE49-F238E27FC236}">
              <a16:creationId xmlns:a16="http://schemas.microsoft.com/office/drawing/2014/main" xmlns="" id="{00000000-0008-0000-0B00-00002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</xdr:rowOff>
    </xdr:from>
    <xdr:to>
      <xdr:col>31</xdr:col>
      <xdr:colOff>107950</xdr:colOff>
      <xdr:row>4</xdr:row>
      <xdr:rowOff>121104</xdr:rowOff>
    </xdr:to>
    <xdr:sp macro="" textlink="">
      <xdr:nvSpPr>
        <xdr:cNvPr id="42" name="checksum">
          <a:extLst>
            <a:ext uri="{FF2B5EF4-FFF2-40B4-BE49-F238E27FC236}">
              <a16:creationId xmlns:a16="http://schemas.microsoft.com/office/drawing/2014/main" xmlns="" id="{00000000-0008-0000-0B00-00002A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412751</xdr:colOff>
      <xdr:row>4</xdr:row>
      <xdr:rowOff>140154</xdr:rowOff>
    </xdr:to>
    <xdr:sp macro="" textlink="">
      <xdr:nvSpPr>
        <xdr:cNvPr id="43" name="checksum">
          <a:extLst>
            <a:ext uri="{FF2B5EF4-FFF2-40B4-BE49-F238E27FC236}">
              <a16:creationId xmlns:a16="http://schemas.microsoft.com/office/drawing/2014/main" xmlns="" id="{00000000-0008-0000-0B00-00002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431801</xdr:colOff>
      <xdr:row>4</xdr:row>
      <xdr:rowOff>140154</xdr:rowOff>
    </xdr:to>
    <xdr:sp macro="" textlink="">
      <xdr:nvSpPr>
        <xdr:cNvPr id="44" name="checksum">
          <a:extLst>
            <a:ext uri="{FF2B5EF4-FFF2-40B4-BE49-F238E27FC236}">
              <a16:creationId xmlns:a16="http://schemas.microsoft.com/office/drawing/2014/main" xmlns="" id="{00000000-0008-0000-0B00-00002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374651</xdr:colOff>
      <xdr:row>4</xdr:row>
      <xdr:rowOff>140154</xdr:rowOff>
    </xdr:to>
    <xdr:sp macro="" textlink="">
      <xdr:nvSpPr>
        <xdr:cNvPr id="45" name="checksum">
          <a:extLst>
            <a:ext uri="{FF2B5EF4-FFF2-40B4-BE49-F238E27FC236}">
              <a16:creationId xmlns:a16="http://schemas.microsoft.com/office/drawing/2014/main" xmlns="" id="{00000000-0008-0000-0B00-00002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4</xdr:row>
      <xdr:rowOff>363906</xdr:rowOff>
    </xdr:to>
    <xdr:sp macro="" textlink="">
      <xdr:nvSpPr>
        <xdr:cNvPr id="4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B00-00002E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25</xdr:col>
      <xdr:colOff>0</xdr:colOff>
      <xdr:row>2</xdr:row>
      <xdr:rowOff>1361</xdr:rowOff>
    </xdr:from>
    <xdr:to>
      <xdr:col>31</xdr:col>
      <xdr:colOff>107950</xdr:colOff>
      <xdr:row>4</xdr:row>
      <xdr:rowOff>93890</xdr:rowOff>
    </xdr:to>
    <xdr:sp macro="" textlink="">
      <xdr:nvSpPr>
        <xdr:cNvPr id="47" name="checksum">
          <a:extLst>
            <a:ext uri="{FF2B5EF4-FFF2-40B4-BE49-F238E27FC236}">
              <a16:creationId xmlns:a16="http://schemas.microsoft.com/office/drawing/2014/main" xmlns="" id="{00000000-0008-0000-0B00-00002F000000}"/>
            </a:ext>
          </a:extLst>
        </xdr:cNvPr>
        <xdr:cNvSpPr txBox="1">
          <a:spLocks noChangeArrowheads="1"/>
        </xdr:cNvSpPr>
      </xdr:nvSpPr>
      <xdr:spPr bwMode="auto">
        <a:xfrm>
          <a:off x="12333514" y="423182"/>
          <a:ext cx="7619093" cy="555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412751</xdr:colOff>
      <xdr:row>4</xdr:row>
      <xdr:rowOff>140154</xdr:rowOff>
    </xdr:to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0B00-00003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431801</xdr:colOff>
      <xdr:row>4</xdr:row>
      <xdr:rowOff>140154</xdr:rowOff>
    </xdr:to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0B00-00003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374651</xdr:colOff>
      <xdr:row>4</xdr:row>
      <xdr:rowOff>140154</xdr:rowOff>
    </xdr:to>
    <xdr:sp macro="" textlink="">
      <xdr:nvSpPr>
        <xdr:cNvPr id="50" name="checksum">
          <a:extLst>
            <a:ext uri="{FF2B5EF4-FFF2-40B4-BE49-F238E27FC236}">
              <a16:creationId xmlns:a16="http://schemas.microsoft.com/office/drawing/2014/main" xmlns="" id="{00000000-0008-0000-0B00-00003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5</xdr:row>
      <xdr:rowOff>361950</xdr:rowOff>
    </xdr:to>
    <xdr:sp macro="" textlink="">
      <xdr:nvSpPr>
        <xdr:cNvPr id="5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B00-000033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48573</xdr:colOff>
      <xdr:row>4</xdr:row>
      <xdr:rowOff>121104</xdr:rowOff>
    </xdr:to>
    <xdr:sp macro="" textlink="">
      <xdr:nvSpPr>
        <xdr:cNvPr id="52" name="checksum">
          <a:extLst>
            <a:ext uri="{FF2B5EF4-FFF2-40B4-BE49-F238E27FC236}">
              <a16:creationId xmlns:a16="http://schemas.microsoft.com/office/drawing/2014/main" xmlns="" id="{00000000-0008-0000-0B00-000034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363270</xdr:colOff>
      <xdr:row>4</xdr:row>
      <xdr:rowOff>140154</xdr:rowOff>
    </xdr:to>
    <xdr:sp macro="" textlink="">
      <xdr:nvSpPr>
        <xdr:cNvPr id="53" name="checksum">
          <a:extLst>
            <a:ext uri="{FF2B5EF4-FFF2-40B4-BE49-F238E27FC236}">
              <a16:creationId xmlns:a16="http://schemas.microsoft.com/office/drawing/2014/main" xmlns="" id="{00000000-0008-0000-0B00-00003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382320</xdr:colOff>
      <xdr:row>4</xdr:row>
      <xdr:rowOff>140154</xdr:rowOff>
    </xdr:to>
    <xdr:sp macro="" textlink="">
      <xdr:nvSpPr>
        <xdr:cNvPr id="54" name="checksum">
          <a:extLst>
            <a:ext uri="{FF2B5EF4-FFF2-40B4-BE49-F238E27FC236}">
              <a16:creationId xmlns:a16="http://schemas.microsoft.com/office/drawing/2014/main" xmlns="" id="{00000000-0008-0000-0B00-00003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325170</xdr:colOff>
      <xdr:row>4</xdr:row>
      <xdr:rowOff>140154</xdr:rowOff>
    </xdr:to>
    <xdr:sp macro="" textlink="">
      <xdr:nvSpPr>
        <xdr:cNvPr id="55" name="checksum">
          <a:extLst>
            <a:ext uri="{FF2B5EF4-FFF2-40B4-BE49-F238E27FC236}">
              <a16:creationId xmlns:a16="http://schemas.microsoft.com/office/drawing/2014/main" xmlns="" id="{00000000-0008-0000-0B00-00003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48573</xdr:colOff>
      <xdr:row>4</xdr:row>
      <xdr:rowOff>121104</xdr:rowOff>
    </xdr:to>
    <xdr:sp macro="" textlink="">
      <xdr:nvSpPr>
        <xdr:cNvPr id="57" name="checksum">
          <a:extLst>
            <a:ext uri="{FF2B5EF4-FFF2-40B4-BE49-F238E27FC236}">
              <a16:creationId xmlns:a16="http://schemas.microsoft.com/office/drawing/2014/main" xmlns="" id="{00000000-0008-0000-0B00-000039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363270</xdr:colOff>
      <xdr:row>4</xdr:row>
      <xdr:rowOff>140154</xdr:rowOff>
    </xdr:to>
    <xdr:sp macro="" textlink="">
      <xdr:nvSpPr>
        <xdr:cNvPr id="58" name="checksum">
          <a:extLst>
            <a:ext uri="{FF2B5EF4-FFF2-40B4-BE49-F238E27FC236}">
              <a16:creationId xmlns:a16="http://schemas.microsoft.com/office/drawing/2014/main" xmlns="" id="{00000000-0008-0000-0B00-00003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382320</xdr:colOff>
      <xdr:row>4</xdr:row>
      <xdr:rowOff>140154</xdr:rowOff>
    </xdr:to>
    <xdr:sp macro="" textlink="">
      <xdr:nvSpPr>
        <xdr:cNvPr id="59" name="checksum">
          <a:extLst>
            <a:ext uri="{FF2B5EF4-FFF2-40B4-BE49-F238E27FC236}">
              <a16:creationId xmlns:a16="http://schemas.microsoft.com/office/drawing/2014/main" xmlns="" id="{00000000-0008-0000-0B00-00003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325170</xdr:colOff>
      <xdr:row>4</xdr:row>
      <xdr:rowOff>140154</xdr:rowOff>
    </xdr:to>
    <xdr:sp macro="" textlink="">
      <xdr:nvSpPr>
        <xdr:cNvPr id="60" name="checksum">
          <a:extLst>
            <a:ext uri="{FF2B5EF4-FFF2-40B4-BE49-F238E27FC236}">
              <a16:creationId xmlns:a16="http://schemas.microsoft.com/office/drawing/2014/main" xmlns="" id="{00000000-0008-0000-0B00-00003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48573</xdr:colOff>
      <xdr:row>4</xdr:row>
      <xdr:rowOff>121104</xdr:rowOff>
    </xdr:to>
    <xdr:sp macro="" textlink="">
      <xdr:nvSpPr>
        <xdr:cNvPr id="62" name="checksum">
          <a:extLst>
            <a:ext uri="{FF2B5EF4-FFF2-40B4-BE49-F238E27FC236}">
              <a16:creationId xmlns:a16="http://schemas.microsoft.com/office/drawing/2014/main" xmlns="" id="{00000000-0008-0000-0B00-00003E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363270</xdr:colOff>
      <xdr:row>4</xdr:row>
      <xdr:rowOff>140154</xdr:rowOff>
    </xdr:to>
    <xdr:sp macro="" textlink="">
      <xdr:nvSpPr>
        <xdr:cNvPr id="63" name="checksum">
          <a:extLst>
            <a:ext uri="{FF2B5EF4-FFF2-40B4-BE49-F238E27FC236}">
              <a16:creationId xmlns:a16="http://schemas.microsoft.com/office/drawing/2014/main" xmlns="" id="{00000000-0008-0000-0B00-00003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382320</xdr:colOff>
      <xdr:row>4</xdr:row>
      <xdr:rowOff>140154</xdr:rowOff>
    </xdr:to>
    <xdr:sp macro="" textlink="">
      <xdr:nvSpPr>
        <xdr:cNvPr id="64" name="checksum">
          <a:extLst>
            <a:ext uri="{FF2B5EF4-FFF2-40B4-BE49-F238E27FC236}">
              <a16:creationId xmlns:a16="http://schemas.microsoft.com/office/drawing/2014/main" xmlns="" id="{00000000-0008-0000-0B00-00004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325170</xdr:colOff>
      <xdr:row>4</xdr:row>
      <xdr:rowOff>140154</xdr:rowOff>
    </xdr:to>
    <xdr:sp macro="" textlink="">
      <xdr:nvSpPr>
        <xdr:cNvPr id="65" name="checksum">
          <a:extLst>
            <a:ext uri="{FF2B5EF4-FFF2-40B4-BE49-F238E27FC236}">
              <a16:creationId xmlns:a16="http://schemas.microsoft.com/office/drawing/2014/main" xmlns="" id="{00000000-0008-0000-0B00-00004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48573</xdr:colOff>
      <xdr:row>4</xdr:row>
      <xdr:rowOff>121104</xdr:rowOff>
    </xdr:to>
    <xdr:sp macro="" textlink="">
      <xdr:nvSpPr>
        <xdr:cNvPr id="67" name="checksum">
          <a:extLst>
            <a:ext uri="{FF2B5EF4-FFF2-40B4-BE49-F238E27FC236}">
              <a16:creationId xmlns:a16="http://schemas.microsoft.com/office/drawing/2014/main" xmlns="" id="{00000000-0008-0000-0B00-000043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363270</xdr:colOff>
      <xdr:row>4</xdr:row>
      <xdr:rowOff>140154</xdr:rowOff>
    </xdr:to>
    <xdr:sp macro="" textlink="">
      <xdr:nvSpPr>
        <xdr:cNvPr id="68" name="checksum">
          <a:extLst>
            <a:ext uri="{FF2B5EF4-FFF2-40B4-BE49-F238E27FC236}">
              <a16:creationId xmlns:a16="http://schemas.microsoft.com/office/drawing/2014/main" xmlns="" id="{00000000-0008-0000-0B00-00004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382320</xdr:colOff>
      <xdr:row>4</xdr:row>
      <xdr:rowOff>140154</xdr:rowOff>
    </xdr:to>
    <xdr:sp macro="" textlink="">
      <xdr:nvSpPr>
        <xdr:cNvPr id="69" name="checksum">
          <a:extLst>
            <a:ext uri="{FF2B5EF4-FFF2-40B4-BE49-F238E27FC236}">
              <a16:creationId xmlns:a16="http://schemas.microsoft.com/office/drawing/2014/main" xmlns="" id="{00000000-0008-0000-0B00-00004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325170</xdr:colOff>
      <xdr:row>4</xdr:row>
      <xdr:rowOff>140154</xdr:rowOff>
    </xdr:to>
    <xdr:sp macro="" textlink="">
      <xdr:nvSpPr>
        <xdr:cNvPr id="70" name="checksum">
          <a:extLst>
            <a:ext uri="{FF2B5EF4-FFF2-40B4-BE49-F238E27FC236}">
              <a16:creationId xmlns:a16="http://schemas.microsoft.com/office/drawing/2014/main" xmlns="" id="{00000000-0008-0000-0B00-00004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48573</xdr:colOff>
      <xdr:row>4</xdr:row>
      <xdr:rowOff>121104</xdr:rowOff>
    </xdr:to>
    <xdr:sp macro="" textlink="">
      <xdr:nvSpPr>
        <xdr:cNvPr id="72" name="checksum">
          <a:extLst>
            <a:ext uri="{FF2B5EF4-FFF2-40B4-BE49-F238E27FC236}">
              <a16:creationId xmlns:a16="http://schemas.microsoft.com/office/drawing/2014/main" xmlns="" id="{00000000-0008-0000-0B00-000048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363270</xdr:colOff>
      <xdr:row>4</xdr:row>
      <xdr:rowOff>140154</xdr:rowOff>
    </xdr:to>
    <xdr:sp macro="" textlink="">
      <xdr:nvSpPr>
        <xdr:cNvPr id="73" name="checksum">
          <a:extLst>
            <a:ext uri="{FF2B5EF4-FFF2-40B4-BE49-F238E27FC236}">
              <a16:creationId xmlns:a16="http://schemas.microsoft.com/office/drawing/2014/main" xmlns="" id="{00000000-0008-0000-0B00-00004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382320</xdr:colOff>
      <xdr:row>4</xdr:row>
      <xdr:rowOff>140154</xdr:rowOff>
    </xdr:to>
    <xdr:sp macro="" textlink="">
      <xdr:nvSpPr>
        <xdr:cNvPr id="74" name="checksum">
          <a:extLst>
            <a:ext uri="{FF2B5EF4-FFF2-40B4-BE49-F238E27FC236}">
              <a16:creationId xmlns:a16="http://schemas.microsoft.com/office/drawing/2014/main" xmlns="" id="{00000000-0008-0000-0B00-00004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325170</xdr:colOff>
      <xdr:row>4</xdr:row>
      <xdr:rowOff>140154</xdr:rowOff>
    </xdr:to>
    <xdr:sp macro="" textlink="">
      <xdr:nvSpPr>
        <xdr:cNvPr id="75" name="checksum">
          <a:extLst>
            <a:ext uri="{FF2B5EF4-FFF2-40B4-BE49-F238E27FC236}">
              <a16:creationId xmlns:a16="http://schemas.microsoft.com/office/drawing/2014/main" xmlns="" id="{00000000-0008-0000-0B00-00004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48573</xdr:colOff>
      <xdr:row>4</xdr:row>
      <xdr:rowOff>121104</xdr:rowOff>
    </xdr:to>
    <xdr:sp macro="" textlink="">
      <xdr:nvSpPr>
        <xdr:cNvPr id="77" name="checksum">
          <a:extLst>
            <a:ext uri="{FF2B5EF4-FFF2-40B4-BE49-F238E27FC236}">
              <a16:creationId xmlns:a16="http://schemas.microsoft.com/office/drawing/2014/main" xmlns="" id="{00000000-0008-0000-0B00-00004D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363270</xdr:colOff>
      <xdr:row>4</xdr:row>
      <xdr:rowOff>140154</xdr:rowOff>
    </xdr:to>
    <xdr:sp macro="" textlink="">
      <xdr:nvSpPr>
        <xdr:cNvPr id="78" name="checksum">
          <a:extLst>
            <a:ext uri="{FF2B5EF4-FFF2-40B4-BE49-F238E27FC236}">
              <a16:creationId xmlns:a16="http://schemas.microsoft.com/office/drawing/2014/main" xmlns="" id="{00000000-0008-0000-0B00-00004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382320</xdr:colOff>
      <xdr:row>4</xdr:row>
      <xdr:rowOff>140154</xdr:rowOff>
    </xdr:to>
    <xdr:sp macro="" textlink="">
      <xdr:nvSpPr>
        <xdr:cNvPr id="79" name="checksum">
          <a:extLst>
            <a:ext uri="{FF2B5EF4-FFF2-40B4-BE49-F238E27FC236}">
              <a16:creationId xmlns:a16="http://schemas.microsoft.com/office/drawing/2014/main" xmlns="" id="{00000000-0008-0000-0B00-00004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325170</xdr:colOff>
      <xdr:row>4</xdr:row>
      <xdr:rowOff>140154</xdr:rowOff>
    </xdr:to>
    <xdr:sp macro="" textlink="">
      <xdr:nvSpPr>
        <xdr:cNvPr id="80" name="checksum">
          <a:extLst>
            <a:ext uri="{FF2B5EF4-FFF2-40B4-BE49-F238E27FC236}">
              <a16:creationId xmlns:a16="http://schemas.microsoft.com/office/drawing/2014/main" xmlns="" id="{00000000-0008-0000-0B00-00005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48572</xdr:colOff>
      <xdr:row>4</xdr:row>
      <xdr:rowOff>121104</xdr:rowOff>
    </xdr:to>
    <xdr:sp macro="" textlink="">
      <xdr:nvSpPr>
        <xdr:cNvPr id="82" name="checksum">
          <a:extLst>
            <a:ext uri="{FF2B5EF4-FFF2-40B4-BE49-F238E27FC236}">
              <a16:creationId xmlns:a16="http://schemas.microsoft.com/office/drawing/2014/main" xmlns="" id="{00000000-0008-0000-0B00-00005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363270</xdr:colOff>
      <xdr:row>4</xdr:row>
      <xdr:rowOff>140154</xdr:rowOff>
    </xdr:to>
    <xdr:sp macro="" textlink="">
      <xdr:nvSpPr>
        <xdr:cNvPr id="83" name="checksum">
          <a:extLst>
            <a:ext uri="{FF2B5EF4-FFF2-40B4-BE49-F238E27FC236}">
              <a16:creationId xmlns:a16="http://schemas.microsoft.com/office/drawing/2014/main" xmlns="" id="{00000000-0008-0000-0B00-00005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382320</xdr:colOff>
      <xdr:row>4</xdr:row>
      <xdr:rowOff>140154</xdr:rowOff>
    </xdr:to>
    <xdr:sp macro="" textlink="">
      <xdr:nvSpPr>
        <xdr:cNvPr id="84" name="checksum">
          <a:extLst>
            <a:ext uri="{FF2B5EF4-FFF2-40B4-BE49-F238E27FC236}">
              <a16:creationId xmlns:a16="http://schemas.microsoft.com/office/drawing/2014/main" xmlns="" id="{00000000-0008-0000-0B00-00005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325170</xdr:colOff>
      <xdr:row>4</xdr:row>
      <xdr:rowOff>140154</xdr:rowOff>
    </xdr:to>
    <xdr:sp macro="" textlink="">
      <xdr:nvSpPr>
        <xdr:cNvPr id="85" name="checksum">
          <a:extLst>
            <a:ext uri="{FF2B5EF4-FFF2-40B4-BE49-F238E27FC236}">
              <a16:creationId xmlns:a16="http://schemas.microsoft.com/office/drawing/2014/main" xmlns="" id="{00000000-0008-0000-0B00-00005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48572</xdr:colOff>
      <xdr:row>4</xdr:row>
      <xdr:rowOff>121104</xdr:rowOff>
    </xdr:to>
    <xdr:sp macro="" textlink="">
      <xdr:nvSpPr>
        <xdr:cNvPr id="87" name="checksum">
          <a:extLst>
            <a:ext uri="{FF2B5EF4-FFF2-40B4-BE49-F238E27FC236}">
              <a16:creationId xmlns:a16="http://schemas.microsoft.com/office/drawing/2014/main" xmlns="" id="{00000000-0008-0000-0B00-00005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363270</xdr:colOff>
      <xdr:row>4</xdr:row>
      <xdr:rowOff>140154</xdr:rowOff>
    </xdr:to>
    <xdr:sp macro="" textlink="">
      <xdr:nvSpPr>
        <xdr:cNvPr id="88" name="checksum">
          <a:extLst>
            <a:ext uri="{FF2B5EF4-FFF2-40B4-BE49-F238E27FC236}">
              <a16:creationId xmlns:a16="http://schemas.microsoft.com/office/drawing/2014/main" xmlns="" id="{00000000-0008-0000-0B00-00005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382320</xdr:colOff>
      <xdr:row>4</xdr:row>
      <xdr:rowOff>140154</xdr:rowOff>
    </xdr:to>
    <xdr:sp macro="" textlink="">
      <xdr:nvSpPr>
        <xdr:cNvPr id="89" name="checksum">
          <a:extLst>
            <a:ext uri="{FF2B5EF4-FFF2-40B4-BE49-F238E27FC236}">
              <a16:creationId xmlns:a16="http://schemas.microsoft.com/office/drawing/2014/main" xmlns="" id="{00000000-0008-0000-0B00-00005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325170</xdr:colOff>
      <xdr:row>4</xdr:row>
      <xdr:rowOff>140154</xdr:rowOff>
    </xdr:to>
    <xdr:sp macro="" textlink="">
      <xdr:nvSpPr>
        <xdr:cNvPr id="90" name="checksum">
          <a:extLst>
            <a:ext uri="{FF2B5EF4-FFF2-40B4-BE49-F238E27FC236}">
              <a16:creationId xmlns:a16="http://schemas.microsoft.com/office/drawing/2014/main" xmlns="" id="{00000000-0008-0000-0B00-00005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48572</xdr:colOff>
      <xdr:row>4</xdr:row>
      <xdr:rowOff>121104</xdr:rowOff>
    </xdr:to>
    <xdr:sp macro="" textlink="">
      <xdr:nvSpPr>
        <xdr:cNvPr id="92" name="checksum">
          <a:extLst>
            <a:ext uri="{FF2B5EF4-FFF2-40B4-BE49-F238E27FC236}">
              <a16:creationId xmlns:a16="http://schemas.microsoft.com/office/drawing/2014/main" xmlns="" id="{00000000-0008-0000-0B00-00005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363270</xdr:colOff>
      <xdr:row>4</xdr:row>
      <xdr:rowOff>140154</xdr:rowOff>
    </xdr:to>
    <xdr:sp macro="" textlink="">
      <xdr:nvSpPr>
        <xdr:cNvPr id="93" name="checksum">
          <a:extLst>
            <a:ext uri="{FF2B5EF4-FFF2-40B4-BE49-F238E27FC236}">
              <a16:creationId xmlns:a16="http://schemas.microsoft.com/office/drawing/2014/main" xmlns="" id="{00000000-0008-0000-0B00-00005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382320</xdr:colOff>
      <xdr:row>4</xdr:row>
      <xdr:rowOff>140154</xdr:rowOff>
    </xdr:to>
    <xdr:sp macro="" textlink="">
      <xdr:nvSpPr>
        <xdr:cNvPr id="94" name="checksum">
          <a:extLst>
            <a:ext uri="{FF2B5EF4-FFF2-40B4-BE49-F238E27FC236}">
              <a16:creationId xmlns:a16="http://schemas.microsoft.com/office/drawing/2014/main" xmlns="" id="{00000000-0008-0000-0B00-00005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325170</xdr:colOff>
      <xdr:row>4</xdr:row>
      <xdr:rowOff>140154</xdr:rowOff>
    </xdr:to>
    <xdr:sp macro="" textlink="">
      <xdr:nvSpPr>
        <xdr:cNvPr id="95" name="checksum">
          <a:extLst>
            <a:ext uri="{FF2B5EF4-FFF2-40B4-BE49-F238E27FC236}">
              <a16:creationId xmlns:a16="http://schemas.microsoft.com/office/drawing/2014/main" xmlns="" id="{00000000-0008-0000-0B00-00005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48572</xdr:colOff>
      <xdr:row>4</xdr:row>
      <xdr:rowOff>121104</xdr:rowOff>
    </xdr:to>
    <xdr:sp macro="" textlink="">
      <xdr:nvSpPr>
        <xdr:cNvPr id="97" name="checksum">
          <a:extLst>
            <a:ext uri="{FF2B5EF4-FFF2-40B4-BE49-F238E27FC236}">
              <a16:creationId xmlns:a16="http://schemas.microsoft.com/office/drawing/2014/main" xmlns="" id="{00000000-0008-0000-0B00-00006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363270</xdr:colOff>
      <xdr:row>4</xdr:row>
      <xdr:rowOff>140154</xdr:rowOff>
    </xdr:to>
    <xdr:sp macro="" textlink="">
      <xdr:nvSpPr>
        <xdr:cNvPr id="98" name="checksum">
          <a:extLst>
            <a:ext uri="{FF2B5EF4-FFF2-40B4-BE49-F238E27FC236}">
              <a16:creationId xmlns:a16="http://schemas.microsoft.com/office/drawing/2014/main" xmlns="" id="{00000000-0008-0000-0B00-00006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382320</xdr:colOff>
      <xdr:row>4</xdr:row>
      <xdr:rowOff>140154</xdr:rowOff>
    </xdr:to>
    <xdr:sp macro="" textlink="">
      <xdr:nvSpPr>
        <xdr:cNvPr id="99" name="checksum">
          <a:extLst>
            <a:ext uri="{FF2B5EF4-FFF2-40B4-BE49-F238E27FC236}">
              <a16:creationId xmlns:a16="http://schemas.microsoft.com/office/drawing/2014/main" xmlns="" id="{00000000-0008-0000-0B00-00006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325170</xdr:colOff>
      <xdr:row>4</xdr:row>
      <xdr:rowOff>140154</xdr:rowOff>
    </xdr:to>
    <xdr:sp macro="" textlink="">
      <xdr:nvSpPr>
        <xdr:cNvPr id="100" name="checksum">
          <a:extLst>
            <a:ext uri="{FF2B5EF4-FFF2-40B4-BE49-F238E27FC236}">
              <a16:creationId xmlns:a16="http://schemas.microsoft.com/office/drawing/2014/main" xmlns="" id="{00000000-0008-0000-0B00-00006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48573</xdr:colOff>
      <xdr:row>4</xdr:row>
      <xdr:rowOff>121104</xdr:rowOff>
    </xdr:to>
    <xdr:sp macro="" textlink="">
      <xdr:nvSpPr>
        <xdr:cNvPr id="102" name="checksum">
          <a:extLst>
            <a:ext uri="{FF2B5EF4-FFF2-40B4-BE49-F238E27FC236}">
              <a16:creationId xmlns:a16="http://schemas.microsoft.com/office/drawing/2014/main" xmlns="" id="{00000000-0008-0000-0B00-000066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363270</xdr:colOff>
      <xdr:row>4</xdr:row>
      <xdr:rowOff>140154</xdr:rowOff>
    </xdr:to>
    <xdr:sp macro="" textlink="">
      <xdr:nvSpPr>
        <xdr:cNvPr id="103" name="checksum">
          <a:extLst>
            <a:ext uri="{FF2B5EF4-FFF2-40B4-BE49-F238E27FC236}">
              <a16:creationId xmlns:a16="http://schemas.microsoft.com/office/drawing/2014/main" xmlns="" id="{00000000-0008-0000-0B00-00006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382320</xdr:colOff>
      <xdr:row>4</xdr:row>
      <xdr:rowOff>140154</xdr:rowOff>
    </xdr:to>
    <xdr:sp macro="" textlink="">
      <xdr:nvSpPr>
        <xdr:cNvPr id="104" name="checksum">
          <a:extLst>
            <a:ext uri="{FF2B5EF4-FFF2-40B4-BE49-F238E27FC236}">
              <a16:creationId xmlns:a16="http://schemas.microsoft.com/office/drawing/2014/main" xmlns="" id="{00000000-0008-0000-0B00-00006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325170</xdr:colOff>
      <xdr:row>4</xdr:row>
      <xdr:rowOff>140154</xdr:rowOff>
    </xdr:to>
    <xdr:sp macro="" textlink="">
      <xdr:nvSpPr>
        <xdr:cNvPr id="105" name="checksum">
          <a:extLst>
            <a:ext uri="{FF2B5EF4-FFF2-40B4-BE49-F238E27FC236}">
              <a16:creationId xmlns:a16="http://schemas.microsoft.com/office/drawing/2014/main" xmlns="" id="{00000000-0008-0000-0B00-00006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48573</xdr:colOff>
      <xdr:row>4</xdr:row>
      <xdr:rowOff>121104</xdr:rowOff>
    </xdr:to>
    <xdr:sp macro="" textlink="">
      <xdr:nvSpPr>
        <xdr:cNvPr id="107" name="checksum">
          <a:extLst>
            <a:ext uri="{FF2B5EF4-FFF2-40B4-BE49-F238E27FC236}">
              <a16:creationId xmlns:a16="http://schemas.microsoft.com/office/drawing/2014/main" xmlns="" id="{00000000-0008-0000-0B00-00006B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363270</xdr:colOff>
      <xdr:row>4</xdr:row>
      <xdr:rowOff>140154</xdr:rowOff>
    </xdr:to>
    <xdr:sp macro="" textlink="">
      <xdr:nvSpPr>
        <xdr:cNvPr id="108" name="checksum">
          <a:extLst>
            <a:ext uri="{FF2B5EF4-FFF2-40B4-BE49-F238E27FC236}">
              <a16:creationId xmlns:a16="http://schemas.microsoft.com/office/drawing/2014/main" xmlns="" id="{00000000-0008-0000-0B00-00006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382320</xdr:colOff>
      <xdr:row>4</xdr:row>
      <xdr:rowOff>140154</xdr:rowOff>
    </xdr:to>
    <xdr:sp macro="" textlink="">
      <xdr:nvSpPr>
        <xdr:cNvPr id="109" name="checksum">
          <a:extLst>
            <a:ext uri="{FF2B5EF4-FFF2-40B4-BE49-F238E27FC236}">
              <a16:creationId xmlns:a16="http://schemas.microsoft.com/office/drawing/2014/main" xmlns="" id="{00000000-0008-0000-0B00-00006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325170</xdr:colOff>
      <xdr:row>4</xdr:row>
      <xdr:rowOff>140154</xdr:rowOff>
    </xdr:to>
    <xdr:sp macro="" textlink="">
      <xdr:nvSpPr>
        <xdr:cNvPr id="110" name="checksum">
          <a:extLst>
            <a:ext uri="{FF2B5EF4-FFF2-40B4-BE49-F238E27FC236}">
              <a16:creationId xmlns:a16="http://schemas.microsoft.com/office/drawing/2014/main" xmlns="" id="{00000000-0008-0000-0B00-00006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107950</xdr:colOff>
      <xdr:row>10</xdr:row>
      <xdr:rowOff>888093</xdr:rowOff>
    </xdr:to>
    <xdr:sp macro="" textlink="">
      <xdr:nvSpPr>
        <xdr:cNvPr id="112" name="checksum">
          <a:extLst>
            <a:ext uri="{FF2B5EF4-FFF2-40B4-BE49-F238E27FC236}">
              <a16:creationId xmlns:a16="http://schemas.microsoft.com/office/drawing/2014/main" xmlns="" id="{00000000-0008-0000-0B00-000070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2533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412750</xdr:colOff>
      <xdr:row>9</xdr:row>
      <xdr:rowOff>87993</xdr:rowOff>
    </xdr:to>
    <xdr:sp macro="" textlink="">
      <xdr:nvSpPr>
        <xdr:cNvPr id="113" name="checksum">
          <a:extLst>
            <a:ext uri="{FF2B5EF4-FFF2-40B4-BE49-F238E27FC236}">
              <a16:creationId xmlns:a16="http://schemas.microsoft.com/office/drawing/2014/main" xmlns="" id="{00000000-0008-0000-0B00-00007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431800</xdr:colOff>
      <xdr:row>9</xdr:row>
      <xdr:rowOff>87993</xdr:rowOff>
    </xdr:to>
    <xdr:sp macro="" textlink="">
      <xdr:nvSpPr>
        <xdr:cNvPr id="114" name="checksum">
          <a:extLst>
            <a:ext uri="{FF2B5EF4-FFF2-40B4-BE49-F238E27FC236}">
              <a16:creationId xmlns:a16="http://schemas.microsoft.com/office/drawing/2014/main" xmlns="" id="{00000000-0008-0000-0B00-00007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374650</xdr:colOff>
      <xdr:row>9</xdr:row>
      <xdr:rowOff>87993</xdr:rowOff>
    </xdr:to>
    <xdr:sp macro="" textlink="">
      <xdr:nvSpPr>
        <xdr:cNvPr id="115" name="checksum">
          <a:extLst>
            <a:ext uri="{FF2B5EF4-FFF2-40B4-BE49-F238E27FC236}">
              <a16:creationId xmlns:a16="http://schemas.microsoft.com/office/drawing/2014/main" xmlns="" id="{00000000-0008-0000-0B00-00007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107950</xdr:colOff>
      <xdr:row>10</xdr:row>
      <xdr:rowOff>888093</xdr:rowOff>
    </xdr:to>
    <xdr:sp macro="" textlink="">
      <xdr:nvSpPr>
        <xdr:cNvPr id="117" name="checksum">
          <a:extLst>
            <a:ext uri="{FF2B5EF4-FFF2-40B4-BE49-F238E27FC236}">
              <a16:creationId xmlns:a16="http://schemas.microsoft.com/office/drawing/2014/main" xmlns="" id="{00000000-0008-0000-0B00-000075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2533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412750</xdr:colOff>
      <xdr:row>9</xdr:row>
      <xdr:rowOff>87993</xdr:rowOff>
    </xdr:to>
    <xdr:sp macro="" textlink="">
      <xdr:nvSpPr>
        <xdr:cNvPr id="118" name="checksum">
          <a:extLst>
            <a:ext uri="{FF2B5EF4-FFF2-40B4-BE49-F238E27FC236}">
              <a16:creationId xmlns:a16="http://schemas.microsoft.com/office/drawing/2014/main" xmlns="" id="{00000000-0008-0000-0B00-00007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431800</xdr:colOff>
      <xdr:row>9</xdr:row>
      <xdr:rowOff>87993</xdr:rowOff>
    </xdr:to>
    <xdr:sp macro="" textlink="">
      <xdr:nvSpPr>
        <xdr:cNvPr id="119" name="checksum">
          <a:extLst>
            <a:ext uri="{FF2B5EF4-FFF2-40B4-BE49-F238E27FC236}">
              <a16:creationId xmlns:a16="http://schemas.microsoft.com/office/drawing/2014/main" xmlns="" id="{00000000-0008-0000-0B00-00007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374650</xdr:colOff>
      <xdr:row>9</xdr:row>
      <xdr:rowOff>87993</xdr:rowOff>
    </xdr:to>
    <xdr:sp macro="" textlink="">
      <xdr:nvSpPr>
        <xdr:cNvPr id="120" name="checksum">
          <a:extLst>
            <a:ext uri="{FF2B5EF4-FFF2-40B4-BE49-F238E27FC236}">
              <a16:creationId xmlns:a16="http://schemas.microsoft.com/office/drawing/2014/main" xmlns="" id="{00000000-0008-0000-0B00-00007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</xdr:rowOff>
    </xdr:from>
    <xdr:to>
      <xdr:col>13</xdr:col>
      <xdr:colOff>534670</xdr:colOff>
      <xdr:row>10</xdr:row>
      <xdr:rowOff>888093</xdr:rowOff>
    </xdr:to>
    <xdr:sp macro="" textlink="">
      <xdr:nvSpPr>
        <xdr:cNvPr id="101" name="checksum">
          <a:extLst>
            <a:ext uri="{FF2B5EF4-FFF2-40B4-BE49-F238E27FC236}">
              <a16:creationId xmlns:a16="http://schemas.microsoft.com/office/drawing/2014/main" xmlns="" id="{00000000-0008-0000-0B00-000065000000}"/>
            </a:ext>
          </a:extLst>
        </xdr:cNvPr>
        <xdr:cNvSpPr txBox="1">
          <a:spLocks noChangeArrowheads="1"/>
        </xdr:cNvSpPr>
      </xdr:nvSpPr>
      <xdr:spPr bwMode="auto">
        <a:xfrm>
          <a:off x="12565380" y="447675"/>
          <a:ext cx="7788910" cy="2514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13</xdr:col>
      <xdr:colOff>6812</xdr:colOff>
      <xdr:row>9</xdr:row>
      <xdr:rowOff>87993</xdr:rowOff>
    </xdr:to>
    <xdr:sp macro="" textlink="">
      <xdr:nvSpPr>
        <xdr:cNvPr id="106" name="checksum">
          <a:extLst>
            <a:ext uri="{FF2B5EF4-FFF2-40B4-BE49-F238E27FC236}">
              <a16:creationId xmlns:a16="http://schemas.microsoft.com/office/drawing/2014/main" xmlns="" id="{00000000-0008-0000-0B00-00006A000000}"/>
            </a:ext>
          </a:extLst>
        </xdr:cNvPr>
        <xdr:cNvSpPr txBox="1">
          <a:spLocks noChangeArrowheads="1"/>
        </xdr:cNvSpPr>
      </xdr:nvSpPr>
      <xdr:spPr bwMode="auto">
        <a:xfrm>
          <a:off x="12260580" y="666750"/>
          <a:ext cx="681355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13</xdr:col>
      <xdr:colOff>3002</xdr:colOff>
      <xdr:row>9</xdr:row>
      <xdr:rowOff>87993</xdr:rowOff>
    </xdr:to>
    <xdr:sp macro="" textlink="">
      <xdr:nvSpPr>
        <xdr:cNvPr id="111" name="checksum">
          <a:extLst>
            <a:ext uri="{FF2B5EF4-FFF2-40B4-BE49-F238E27FC236}">
              <a16:creationId xmlns:a16="http://schemas.microsoft.com/office/drawing/2014/main" xmlns="" id="{00000000-0008-0000-0B00-00006F000000}"/>
            </a:ext>
          </a:extLst>
        </xdr:cNvPr>
        <xdr:cNvSpPr txBox="1">
          <a:spLocks noChangeArrowheads="1"/>
        </xdr:cNvSpPr>
      </xdr:nvSpPr>
      <xdr:spPr bwMode="auto">
        <a:xfrm>
          <a:off x="12260580" y="666750"/>
          <a:ext cx="683260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13</xdr:col>
      <xdr:colOff>6812</xdr:colOff>
      <xdr:row>9</xdr:row>
      <xdr:rowOff>87993</xdr:rowOff>
    </xdr:to>
    <xdr:sp macro="" textlink="">
      <xdr:nvSpPr>
        <xdr:cNvPr id="116" name="checksum">
          <a:extLst>
            <a:ext uri="{FF2B5EF4-FFF2-40B4-BE49-F238E27FC236}">
              <a16:creationId xmlns:a16="http://schemas.microsoft.com/office/drawing/2014/main" xmlns="" id="{00000000-0008-0000-0B00-000074000000}"/>
            </a:ext>
          </a:extLst>
        </xdr:cNvPr>
        <xdr:cNvSpPr txBox="1">
          <a:spLocks noChangeArrowheads="1"/>
        </xdr:cNvSpPr>
      </xdr:nvSpPr>
      <xdr:spPr bwMode="auto">
        <a:xfrm>
          <a:off x="12260580" y="672465"/>
          <a:ext cx="6775450" cy="13277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12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B00-000079000000}"/>
            </a:ext>
          </a:extLst>
        </xdr:cNvPr>
        <xdr:cNvSpPr txBox="1">
          <a:spLocks noChangeArrowheads="1"/>
        </xdr:cNvSpPr>
      </xdr:nvSpPr>
      <xdr:spPr bwMode="auto">
        <a:xfrm>
          <a:off x="4579620" y="419100"/>
          <a:ext cx="0" cy="76014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13</xdr:col>
      <xdr:colOff>534670</xdr:colOff>
      <xdr:row>10</xdr:row>
      <xdr:rowOff>888093</xdr:rowOff>
    </xdr:to>
    <xdr:sp macro="" textlink="">
      <xdr:nvSpPr>
        <xdr:cNvPr id="122" name="checksum">
          <a:extLst>
            <a:ext uri="{FF2B5EF4-FFF2-40B4-BE49-F238E27FC236}">
              <a16:creationId xmlns:a16="http://schemas.microsoft.com/office/drawing/2014/main" xmlns="" id="{00000000-0008-0000-0B00-00007A000000}"/>
            </a:ext>
          </a:extLst>
        </xdr:cNvPr>
        <xdr:cNvSpPr txBox="1">
          <a:spLocks noChangeArrowheads="1"/>
        </xdr:cNvSpPr>
      </xdr:nvSpPr>
      <xdr:spPr bwMode="auto">
        <a:xfrm>
          <a:off x="12565380" y="447675"/>
          <a:ext cx="7788910" cy="2514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13</xdr:col>
      <xdr:colOff>6812</xdr:colOff>
      <xdr:row>9</xdr:row>
      <xdr:rowOff>87993</xdr:rowOff>
    </xdr:to>
    <xdr:sp macro="" textlink="">
      <xdr:nvSpPr>
        <xdr:cNvPr id="123" name="checksum">
          <a:extLst>
            <a:ext uri="{FF2B5EF4-FFF2-40B4-BE49-F238E27FC236}">
              <a16:creationId xmlns:a16="http://schemas.microsoft.com/office/drawing/2014/main" xmlns="" id="{00000000-0008-0000-0B00-00007B000000}"/>
            </a:ext>
          </a:extLst>
        </xdr:cNvPr>
        <xdr:cNvSpPr txBox="1">
          <a:spLocks noChangeArrowheads="1"/>
        </xdr:cNvSpPr>
      </xdr:nvSpPr>
      <xdr:spPr bwMode="auto">
        <a:xfrm>
          <a:off x="12260580" y="666750"/>
          <a:ext cx="681355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13</xdr:col>
      <xdr:colOff>3002</xdr:colOff>
      <xdr:row>9</xdr:row>
      <xdr:rowOff>87993</xdr:rowOff>
    </xdr:to>
    <xdr:sp macro="" textlink="">
      <xdr:nvSpPr>
        <xdr:cNvPr id="124" name="checksum">
          <a:extLst>
            <a:ext uri="{FF2B5EF4-FFF2-40B4-BE49-F238E27FC236}">
              <a16:creationId xmlns:a16="http://schemas.microsoft.com/office/drawing/2014/main" xmlns="" id="{00000000-0008-0000-0B00-00007C000000}"/>
            </a:ext>
          </a:extLst>
        </xdr:cNvPr>
        <xdr:cNvSpPr txBox="1">
          <a:spLocks noChangeArrowheads="1"/>
        </xdr:cNvSpPr>
      </xdr:nvSpPr>
      <xdr:spPr bwMode="auto">
        <a:xfrm>
          <a:off x="12260580" y="666750"/>
          <a:ext cx="683260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13</xdr:col>
      <xdr:colOff>6812</xdr:colOff>
      <xdr:row>9</xdr:row>
      <xdr:rowOff>87993</xdr:rowOff>
    </xdr:to>
    <xdr:sp macro="" textlink="">
      <xdr:nvSpPr>
        <xdr:cNvPr id="125" name="checksum">
          <a:extLst>
            <a:ext uri="{FF2B5EF4-FFF2-40B4-BE49-F238E27FC236}">
              <a16:creationId xmlns:a16="http://schemas.microsoft.com/office/drawing/2014/main" xmlns="" id="{00000000-0008-0000-0B00-00007D000000}"/>
            </a:ext>
          </a:extLst>
        </xdr:cNvPr>
        <xdr:cNvSpPr txBox="1">
          <a:spLocks noChangeArrowheads="1"/>
        </xdr:cNvSpPr>
      </xdr:nvSpPr>
      <xdr:spPr bwMode="auto">
        <a:xfrm>
          <a:off x="12260580" y="672465"/>
          <a:ext cx="6775450" cy="13277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2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B00-00007E000000}"/>
            </a:ext>
          </a:extLst>
        </xdr:cNvPr>
        <xdr:cNvSpPr txBox="1">
          <a:spLocks noChangeArrowheads="1"/>
        </xdr:cNvSpPr>
      </xdr:nvSpPr>
      <xdr:spPr bwMode="auto">
        <a:xfrm>
          <a:off x="4579620" y="419100"/>
          <a:ext cx="0" cy="97917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107950</xdr:colOff>
      <xdr:row>5</xdr:row>
      <xdr:rowOff>91169</xdr:rowOff>
    </xdr:to>
    <xdr:sp macro="" textlink="">
      <xdr:nvSpPr>
        <xdr:cNvPr id="127" name="checksum">
          <a:extLst>
            <a:ext uri="{FF2B5EF4-FFF2-40B4-BE49-F238E27FC236}">
              <a16:creationId xmlns:a16="http://schemas.microsoft.com/office/drawing/2014/main" xmlns="" id="{00000000-0008-0000-0B00-00007F000000}"/>
            </a:ext>
          </a:extLst>
        </xdr:cNvPr>
        <xdr:cNvSpPr txBox="1">
          <a:spLocks noChangeArrowheads="1"/>
        </xdr:cNvSpPr>
      </xdr:nvSpPr>
      <xdr:spPr bwMode="auto">
        <a:xfrm>
          <a:off x="2019300" y="447675"/>
          <a:ext cx="778891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412749</xdr:colOff>
      <xdr:row>4</xdr:row>
      <xdr:rowOff>206829</xdr:rowOff>
    </xdr:to>
    <xdr:sp macro="" textlink="">
      <xdr:nvSpPr>
        <xdr:cNvPr id="128" name="checksum">
          <a:extLst>
            <a:ext uri="{FF2B5EF4-FFF2-40B4-BE49-F238E27FC236}">
              <a16:creationId xmlns:a16="http://schemas.microsoft.com/office/drawing/2014/main" xmlns="" id="{00000000-0008-0000-0B00-000080000000}"/>
            </a:ext>
          </a:extLst>
        </xdr:cNvPr>
        <xdr:cNvSpPr txBox="1">
          <a:spLocks noChangeArrowheads="1"/>
        </xdr:cNvSpPr>
      </xdr:nvSpPr>
      <xdr:spPr bwMode="auto">
        <a:xfrm>
          <a:off x="2019300" y="666750"/>
          <a:ext cx="6813549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431799</xdr:colOff>
      <xdr:row>4</xdr:row>
      <xdr:rowOff>206829</xdr:rowOff>
    </xdr:to>
    <xdr:sp macro="" textlink="">
      <xdr:nvSpPr>
        <xdr:cNvPr id="129" name="checksum">
          <a:extLst>
            <a:ext uri="{FF2B5EF4-FFF2-40B4-BE49-F238E27FC236}">
              <a16:creationId xmlns:a16="http://schemas.microsoft.com/office/drawing/2014/main" xmlns="" id="{00000000-0008-0000-0B00-000081000000}"/>
            </a:ext>
          </a:extLst>
        </xdr:cNvPr>
        <xdr:cNvSpPr txBox="1">
          <a:spLocks noChangeArrowheads="1"/>
        </xdr:cNvSpPr>
      </xdr:nvSpPr>
      <xdr:spPr bwMode="auto">
        <a:xfrm>
          <a:off x="2019300" y="666750"/>
          <a:ext cx="6832599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374649</xdr:colOff>
      <xdr:row>4</xdr:row>
      <xdr:rowOff>206829</xdr:rowOff>
    </xdr:to>
    <xdr:sp macro="" textlink="">
      <xdr:nvSpPr>
        <xdr:cNvPr id="130" name="checksum">
          <a:extLst>
            <a:ext uri="{FF2B5EF4-FFF2-40B4-BE49-F238E27FC236}">
              <a16:creationId xmlns:a16="http://schemas.microsoft.com/office/drawing/2014/main" xmlns="" id="{00000000-0008-0000-0B00-000082000000}"/>
            </a:ext>
          </a:extLst>
        </xdr:cNvPr>
        <xdr:cNvSpPr txBox="1">
          <a:spLocks noChangeArrowheads="1"/>
        </xdr:cNvSpPr>
      </xdr:nvSpPr>
      <xdr:spPr bwMode="auto">
        <a:xfrm>
          <a:off x="2019300" y="672465"/>
          <a:ext cx="6775449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107950</xdr:colOff>
      <xdr:row>5</xdr:row>
      <xdr:rowOff>91169</xdr:rowOff>
    </xdr:to>
    <xdr:sp macro="" textlink="">
      <xdr:nvSpPr>
        <xdr:cNvPr id="131" name="checksum">
          <a:extLst>
            <a:ext uri="{FF2B5EF4-FFF2-40B4-BE49-F238E27FC236}">
              <a16:creationId xmlns:a16="http://schemas.microsoft.com/office/drawing/2014/main" xmlns="" id="{00000000-0008-0000-0B00-000083000000}"/>
            </a:ext>
          </a:extLst>
        </xdr:cNvPr>
        <xdr:cNvSpPr txBox="1">
          <a:spLocks noChangeArrowheads="1"/>
        </xdr:cNvSpPr>
      </xdr:nvSpPr>
      <xdr:spPr bwMode="auto">
        <a:xfrm>
          <a:off x="2019300" y="447675"/>
          <a:ext cx="778891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412749</xdr:colOff>
      <xdr:row>4</xdr:row>
      <xdr:rowOff>206829</xdr:rowOff>
    </xdr:to>
    <xdr:sp macro="" textlink="">
      <xdr:nvSpPr>
        <xdr:cNvPr id="132" name="checksum">
          <a:extLst>
            <a:ext uri="{FF2B5EF4-FFF2-40B4-BE49-F238E27FC236}">
              <a16:creationId xmlns:a16="http://schemas.microsoft.com/office/drawing/2014/main" xmlns="" id="{00000000-0008-0000-0B00-000084000000}"/>
            </a:ext>
          </a:extLst>
        </xdr:cNvPr>
        <xdr:cNvSpPr txBox="1">
          <a:spLocks noChangeArrowheads="1"/>
        </xdr:cNvSpPr>
      </xdr:nvSpPr>
      <xdr:spPr bwMode="auto">
        <a:xfrm>
          <a:off x="2019300" y="666750"/>
          <a:ext cx="6813549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431799</xdr:colOff>
      <xdr:row>4</xdr:row>
      <xdr:rowOff>206829</xdr:rowOff>
    </xdr:to>
    <xdr:sp macro="" textlink="">
      <xdr:nvSpPr>
        <xdr:cNvPr id="133" name="checksum">
          <a:extLst>
            <a:ext uri="{FF2B5EF4-FFF2-40B4-BE49-F238E27FC236}">
              <a16:creationId xmlns:a16="http://schemas.microsoft.com/office/drawing/2014/main" xmlns="" id="{00000000-0008-0000-0B00-000085000000}"/>
            </a:ext>
          </a:extLst>
        </xdr:cNvPr>
        <xdr:cNvSpPr txBox="1">
          <a:spLocks noChangeArrowheads="1"/>
        </xdr:cNvSpPr>
      </xdr:nvSpPr>
      <xdr:spPr bwMode="auto">
        <a:xfrm>
          <a:off x="2019300" y="666750"/>
          <a:ext cx="6832599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374649</xdr:colOff>
      <xdr:row>4</xdr:row>
      <xdr:rowOff>206829</xdr:rowOff>
    </xdr:to>
    <xdr:sp macro="" textlink="">
      <xdr:nvSpPr>
        <xdr:cNvPr id="134" name="checksum">
          <a:extLst>
            <a:ext uri="{FF2B5EF4-FFF2-40B4-BE49-F238E27FC236}">
              <a16:creationId xmlns:a16="http://schemas.microsoft.com/office/drawing/2014/main" xmlns="" id="{00000000-0008-0000-0B00-000086000000}"/>
            </a:ext>
          </a:extLst>
        </xdr:cNvPr>
        <xdr:cNvSpPr txBox="1">
          <a:spLocks noChangeArrowheads="1"/>
        </xdr:cNvSpPr>
      </xdr:nvSpPr>
      <xdr:spPr bwMode="auto">
        <a:xfrm>
          <a:off x="2019300" y="672465"/>
          <a:ext cx="6775449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107951</xdr:colOff>
      <xdr:row>4</xdr:row>
      <xdr:rowOff>121104</xdr:rowOff>
    </xdr:to>
    <xdr:sp macro="" textlink="">
      <xdr:nvSpPr>
        <xdr:cNvPr id="135" name="checksum">
          <a:extLst>
            <a:ext uri="{FF2B5EF4-FFF2-40B4-BE49-F238E27FC236}">
              <a16:creationId xmlns:a16="http://schemas.microsoft.com/office/drawing/2014/main" xmlns="" id="{00000000-0008-0000-0B00-000087000000}"/>
            </a:ext>
          </a:extLst>
        </xdr:cNvPr>
        <xdr:cNvSpPr txBox="1">
          <a:spLocks noChangeArrowheads="1"/>
        </xdr:cNvSpPr>
      </xdr:nvSpPr>
      <xdr:spPr bwMode="auto">
        <a:xfrm>
          <a:off x="2019300" y="447675"/>
          <a:ext cx="7788911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412750</xdr:colOff>
      <xdr:row>4</xdr:row>
      <xdr:rowOff>140154</xdr:rowOff>
    </xdr:to>
    <xdr:sp macro="" textlink="">
      <xdr:nvSpPr>
        <xdr:cNvPr id="136" name="checksum">
          <a:extLst>
            <a:ext uri="{FF2B5EF4-FFF2-40B4-BE49-F238E27FC236}">
              <a16:creationId xmlns:a16="http://schemas.microsoft.com/office/drawing/2014/main" xmlns="" id="{00000000-0008-0000-0B00-000088000000}"/>
            </a:ext>
          </a:extLst>
        </xdr:cNvPr>
        <xdr:cNvSpPr txBox="1">
          <a:spLocks noChangeArrowheads="1"/>
        </xdr:cNvSpPr>
      </xdr:nvSpPr>
      <xdr:spPr bwMode="auto">
        <a:xfrm>
          <a:off x="2019300" y="666750"/>
          <a:ext cx="681355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431800</xdr:colOff>
      <xdr:row>4</xdr:row>
      <xdr:rowOff>140154</xdr:rowOff>
    </xdr:to>
    <xdr:sp macro="" textlink="">
      <xdr:nvSpPr>
        <xdr:cNvPr id="137" name="checksum">
          <a:extLst>
            <a:ext uri="{FF2B5EF4-FFF2-40B4-BE49-F238E27FC236}">
              <a16:creationId xmlns:a16="http://schemas.microsoft.com/office/drawing/2014/main" xmlns="" id="{00000000-0008-0000-0B00-000089000000}"/>
            </a:ext>
          </a:extLst>
        </xdr:cNvPr>
        <xdr:cNvSpPr txBox="1">
          <a:spLocks noChangeArrowheads="1"/>
        </xdr:cNvSpPr>
      </xdr:nvSpPr>
      <xdr:spPr bwMode="auto">
        <a:xfrm>
          <a:off x="2019300" y="666750"/>
          <a:ext cx="683260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374650</xdr:colOff>
      <xdr:row>4</xdr:row>
      <xdr:rowOff>140154</xdr:rowOff>
    </xdr:to>
    <xdr:sp macro="" textlink="">
      <xdr:nvSpPr>
        <xdr:cNvPr id="138" name="checksum">
          <a:extLst>
            <a:ext uri="{FF2B5EF4-FFF2-40B4-BE49-F238E27FC236}">
              <a16:creationId xmlns:a16="http://schemas.microsoft.com/office/drawing/2014/main" xmlns="" id="{00000000-0008-0000-0B00-00008A000000}"/>
            </a:ext>
          </a:extLst>
        </xdr:cNvPr>
        <xdr:cNvSpPr txBox="1">
          <a:spLocks noChangeArrowheads="1"/>
        </xdr:cNvSpPr>
      </xdr:nvSpPr>
      <xdr:spPr bwMode="auto">
        <a:xfrm>
          <a:off x="2019300" y="672465"/>
          <a:ext cx="677545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107951</xdr:colOff>
      <xdr:row>4</xdr:row>
      <xdr:rowOff>121104</xdr:rowOff>
    </xdr:to>
    <xdr:sp macro="" textlink="">
      <xdr:nvSpPr>
        <xdr:cNvPr id="139" name="checksum">
          <a:extLst>
            <a:ext uri="{FF2B5EF4-FFF2-40B4-BE49-F238E27FC236}">
              <a16:creationId xmlns:a16="http://schemas.microsoft.com/office/drawing/2014/main" xmlns="" id="{00000000-0008-0000-0B00-00008B000000}"/>
            </a:ext>
          </a:extLst>
        </xdr:cNvPr>
        <xdr:cNvSpPr txBox="1">
          <a:spLocks noChangeArrowheads="1"/>
        </xdr:cNvSpPr>
      </xdr:nvSpPr>
      <xdr:spPr bwMode="auto">
        <a:xfrm>
          <a:off x="2019300" y="447675"/>
          <a:ext cx="7788911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412750</xdr:colOff>
      <xdr:row>4</xdr:row>
      <xdr:rowOff>140154</xdr:rowOff>
    </xdr:to>
    <xdr:sp macro="" textlink="">
      <xdr:nvSpPr>
        <xdr:cNvPr id="140" name="checksum">
          <a:extLst>
            <a:ext uri="{FF2B5EF4-FFF2-40B4-BE49-F238E27FC236}">
              <a16:creationId xmlns:a16="http://schemas.microsoft.com/office/drawing/2014/main" xmlns="" id="{00000000-0008-0000-0B00-00008C000000}"/>
            </a:ext>
          </a:extLst>
        </xdr:cNvPr>
        <xdr:cNvSpPr txBox="1">
          <a:spLocks noChangeArrowheads="1"/>
        </xdr:cNvSpPr>
      </xdr:nvSpPr>
      <xdr:spPr bwMode="auto">
        <a:xfrm>
          <a:off x="2019300" y="666750"/>
          <a:ext cx="681355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431800</xdr:colOff>
      <xdr:row>4</xdr:row>
      <xdr:rowOff>140154</xdr:rowOff>
    </xdr:to>
    <xdr:sp macro="" textlink="">
      <xdr:nvSpPr>
        <xdr:cNvPr id="141" name="checksum">
          <a:extLst>
            <a:ext uri="{FF2B5EF4-FFF2-40B4-BE49-F238E27FC236}">
              <a16:creationId xmlns:a16="http://schemas.microsoft.com/office/drawing/2014/main" xmlns="" id="{00000000-0008-0000-0B00-00008D000000}"/>
            </a:ext>
          </a:extLst>
        </xdr:cNvPr>
        <xdr:cNvSpPr txBox="1">
          <a:spLocks noChangeArrowheads="1"/>
        </xdr:cNvSpPr>
      </xdr:nvSpPr>
      <xdr:spPr bwMode="auto">
        <a:xfrm>
          <a:off x="2019300" y="666750"/>
          <a:ext cx="683260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374650</xdr:colOff>
      <xdr:row>4</xdr:row>
      <xdr:rowOff>140154</xdr:rowOff>
    </xdr:to>
    <xdr:sp macro="" textlink="">
      <xdr:nvSpPr>
        <xdr:cNvPr id="142" name="checksum">
          <a:extLst>
            <a:ext uri="{FF2B5EF4-FFF2-40B4-BE49-F238E27FC236}">
              <a16:creationId xmlns:a16="http://schemas.microsoft.com/office/drawing/2014/main" xmlns="" id="{00000000-0008-0000-0B00-00008E000000}"/>
            </a:ext>
          </a:extLst>
        </xdr:cNvPr>
        <xdr:cNvSpPr txBox="1">
          <a:spLocks noChangeArrowheads="1"/>
        </xdr:cNvSpPr>
      </xdr:nvSpPr>
      <xdr:spPr bwMode="auto">
        <a:xfrm>
          <a:off x="2019300" y="672465"/>
          <a:ext cx="677545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107950</xdr:colOff>
      <xdr:row>4</xdr:row>
      <xdr:rowOff>121104</xdr:rowOff>
    </xdr:to>
    <xdr:sp macro="" textlink="">
      <xdr:nvSpPr>
        <xdr:cNvPr id="143" name="checksum">
          <a:extLst>
            <a:ext uri="{FF2B5EF4-FFF2-40B4-BE49-F238E27FC236}">
              <a16:creationId xmlns:a16="http://schemas.microsoft.com/office/drawing/2014/main" xmlns="" id="{00000000-0008-0000-0B00-00008F000000}"/>
            </a:ext>
          </a:extLst>
        </xdr:cNvPr>
        <xdr:cNvSpPr txBox="1">
          <a:spLocks noChangeArrowheads="1"/>
        </xdr:cNvSpPr>
      </xdr:nvSpPr>
      <xdr:spPr bwMode="auto">
        <a:xfrm>
          <a:off x="2019300" y="44767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412750</xdr:colOff>
      <xdr:row>4</xdr:row>
      <xdr:rowOff>140154</xdr:rowOff>
    </xdr:to>
    <xdr:sp macro="" textlink="">
      <xdr:nvSpPr>
        <xdr:cNvPr id="144" name="checksum">
          <a:extLst>
            <a:ext uri="{FF2B5EF4-FFF2-40B4-BE49-F238E27FC236}">
              <a16:creationId xmlns:a16="http://schemas.microsoft.com/office/drawing/2014/main" xmlns="" id="{00000000-0008-0000-0B00-000090000000}"/>
            </a:ext>
          </a:extLst>
        </xdr:cNvPr>
        <xdr:cNvSpPr txBox="1">
          <a:spLocks noChangeArrowheads="1"/>
        </xdr:cNvSpPr>
      </xdr:nvSpPr>
      <xdr:spPr bwMode="auto">
        <a:xfrm>
          <a:off x="2019300" y="666750"/>
          <a:ext cx="681355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431800</xdr:colOff>
      <xdr:row>4</xdr:row>
      <xdr:rowOff>140154</xdr:rowOff>
    </xdr:to>
    <xdr:sp macro="" textlink="">
      <xdr:nvSpPr>
        <xdr:cNvPr id="145" name="checksum">
          <a:extLst>
            <a:ext uri="{FF2B5EF4-FFF2-40B4-BE49-F238E27FC236}">
              <a16:creationId xmlns:a16="http://schemas.microsoft.com/office/drawing/2014/main" xmlns="" id="{00000000-0008-0000-0B00-000091000000}"/>
            </a:ext>
          </a:extLst>
        </xdr:cNvPr>
        <xdr:cNvSpPr txBox="1">
          <a:spLocks noChangeArrowheads="1"/>
        </xdr:cNvSpPr>
      </xdr:nvSpPr>
      <xdr:spPr bwMode="auto">
        <a:xfrm>
          <a:off x="2019300" y="666750"/>
          <a:ext cx="683260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374650</xdr:colOff>
      <xdr:row>4</xdr:row>
      <xdr:rowOff>140154</xdr:rowOff>
    </xdr:to>
    <xdr:sp macro="" textlink="">
      <xdr:nvSpPr>
        <xdr:cNvPr id="146" name="checksum">
          <a:extLst>
            <a:ext uri="{FF2B5EF4-FFF2-40B4-BE49-F238E27FC236}">
              <a16:creationId xmlns:a16="http://schemas.microsoft.com/office/drawing/2014/main" xmlns="" id="{00000000-0008-0000-0B00-000092000000}"/>
            </a:ext>
          </a:extLst>
        </xdr:cNvPr>
        <xdr:cNvSpPr txBox="1">
          <a:spLocks noChangeArrowheads="1"/>
        </xdr:cNvSpPr>
      </xdr:nvSpPr>
      <xdr:spPr bwMode="auto">
        <a:xfrm>
          <a:off x="2019300" y="672465"/>
          <a:ext cx="677545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107950</xdr:colOff>
      <xdr:row>4</xdr:row>
      <xdr:rowOff>121104</xdr:rowOff>
    </xdr:to>
    <xdr:sp macro="" textlink="">
      <xdr:nvSpPr>
        <xdr:cNvPr id="147" name="checksum">
          <a:extLst>
            <a:ext uri="{FF2B5EF4-FFF2-40B4-BE49-F238E27FC236}">
              <a16:creationId xmlns:a16="http://schemas.microsoft.com/office/drawing/2014/main" xmlns="" id="{00000000-0008-0000-0B00-000093000000}"/>
            </a:ext>
          </a:extLst>
        </xdr:cNvPr>
        <xdr:cNvSpPr txBox="1">
          <a:spLocks noChangeArrowheads="1"/>
        </xdr:cNvSpPr>
      </xdr:nvSpPr>
      <xdr:spPr bwMode="auto">
        <a:xfrm>
          <a:off x="2019300" y="44767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412750</xdr:colOff>
      <xdr:row>4</xdr:row>
      <xdr:rowOff>140154</xdr:rowOff>
    </xdr:to>
    <xdr:sp macro="" textlink="">
      <xdr:nvSpPr>
        <xdr:cNvPr id="148" name="checksum">
          <a:extLst>
            <a:ext uri="{FF2B5EF4-FFF2-40B4-BE49-F238E27FC236}">
              <a16:creationId xmlns:a16="http://schemas.microsoft.com/office/drawing/2014/main" xmlns="" id="{00000000-0008-0000-0B00-000094000000}"/>
            </a:ext>
          </a:extLst>
        </xdr:cNvPr>
        <xdr:cNvSpPr txBox="1">
          <a:spLocks noChangeArrowheads="1"/>
        </xdr:cNvSpPr>
      </xdr:nvSpPr>
      <xdr:spPr bwMode="auto">
        <a:xfrm>
          <a:off x="2019300" y="666750"/>
          <a:ext cx="681355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431800</xdr:colOff>
      <xdr:row>4</xdr:row>
      <xdr:rowOff>140154</xdr:rowOff>
    </xdr:to>
    <xdr:sp macro="" textlink="">
      <xdr:nvSpPr>
        <xdr:cNvPr id="149" name="checksum">
          <a:extLst>
            <a:ext uri="{FF2B5EF4-FFF2-40B4-BE49-F238E27FC236}">
              <a16:creationId xmlns:a16="http://schemas.microsoft.com/office/drawing/2014/main" xmlns="" id="{00000000-0008-0000-0B00-000095000000}"/>
            </a:ext>
          </a:extLst>
        </xdr:cNvPr>
        <xdr:cNvSpPr txBox="1">
          <a:spLocks noChangeArrowheads="1"/>
        </xdr:cNvSpPr>
      </xdr:nvSpPr>
      <xdr:spPr bwMode="auto">
        <a:xfrm>
          <a:off x="2019300" y="666750"/>
          <a:ext cx="683260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374650</xdr:colOff>
      <xdr:row>4</xdr:row>
      <xdr:rowOff>140154</xdr:rowOff>
    </xdr:to>
    <xdr:sp macro="" textlink="">
      <xdr:nvSpPr>
        <xdr:cNvPr id="150" name="checksum">
          <a:extLst>
            <a:ext uri="{FF2B5EF4-FFF2-40B4-BE49-F238E27FC236}">
              <a16:creationId xmlns:a16="http://schemas.microsoft.com/office/drawing/2014/main" xmlns="" id="{00000000-0008-0000-0B00-000096000000}"/>
            </a:ext>
          </a:extLst>
        </xdr:cNvPr>
        <xdr:cNvSpPr txBox="1">
          <a:spLocks noChangeArrowheads="1"/>
        </xdr:cNvSpPr>
      </xdr:nvSpPr>
      <xdr:spPr bwMode="auto">
        <a:xfrm>
          <a:off x="2019300" y="672465"/>
          <a:ext cx="677545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107950</xdr:colOff>
      <xdr:row>4</xdr:row>
      <xdr:rowOff>121104</xdr:rowOff>
    </xdr:to>
    <xdr:sp macro="" textlink="">
      <xdr:nvSpPr>
        <xdr:cNvPr id="151" name="checksum">
          <a:extLst>
            <a:ext uri="{FF2B5EF4-FFF2-40B4-BE49-F238E27FC236}">
              <a16:creationId xmlns:a16="http://schemas.microsoft.com/office/drawing/2014/main" xmlns="" id="{00000000-0008-0000-0B00-000097000000}"/>
            </a:ext>
          </a:extLst>
        </xdr:cNvPr>
        <xdr:cNvSpPr txBox="1">
          <a:spLocks noChangeArrowheads="1"/>
        </xdr:cNvSpPr>
      </xdr:nvSpPr>
      <xdr:spPr bwMode="auto">
        <a:xfrm>
          <a:off x="2019300" y="44767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412750</xdr:colOff>
      <xdr:row>4</xdr:row>
      <xdr:rowOff>140154</xdr:rowOff>
    </xdr:to>
    <xdr:sp macro="" textlink="">
      <xdr:nvSpPr>
        <xdr:cNvPr id="152" name="checksum">
          <a:extLst>
            <a:ext uri="{FF2B5EF4-FFF2-40B4-BE49-F238E27FC236}">
              <a16:creationId xmlns:a16="http://schemas.microsoft.com/office/drawing/2014/main" xmlns="" id="{00000000-0008-0000-0B00-000098000000}"/>
            </a:ext>
          </a:extLst>
        </xdr:cNvPr>
        <xdr:cNvSpPr txBox="1">
          <a:spLocks noChangeArrowheads="1"/>
        </xdr:cNvSpPr>
      </xdr:nvSpPr>
      <xdr:spPr bwMode="auto">
        <a:xfrm>
          <a:off x="2019300" y="666750"/>
          <a:ext cx="681355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431800</xdr:colOff>
      <xdr:row>4</xdr:row>
      <xdr:rowOff>140154</xdr:rowOff>
    </xdr:to>
    <xdr:sp macro="" textlink="">
      <xdr:nvSpPr>
        <xdr:cNvPr id="153" name="checksum">
          <a:extLst>
            <a:ext uri="{FF2B5EF4-FFF2-40B4-BE49-F238E27FC236}">
              <a16:creationId xmlns:a16="http://schemas.microsoft.com/office/drawing/2014/main" xmlns="" id="{00000000-0008-0000-0B00-000099000000}"/>
            </a:ext>
          </a:extLst>
        </xdr:cNvPr>
        <xdr:cNvSpPr txBox="1">
          <a:spLocks noChangeArrowheads="1"/>
        </xdr:cNvSpPr>
      </xdr:nvSpPr>
      <xdr:spPr bwMode="auto">
        <a:xfrm>
          <a:off x="2019300" y="666750"/>
          <a:ext cx="683260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374650</xdr:colOff>
      <xdr:row>4</xdr:row>
      <xdr:rowOff>140154</xdr:rowOff>
    </xdr:to>
    <xdr:sp macro="" textlink="">
      <xdr:nvSpPr>
        <xdr:cNvPr id="154" name="checksum">
          <a:extLst>
            <a:ext uri="{FF2B5EF4-FFF2-40B4-BE49-F238E27FC236}">
              <a16:creationId xmlns:a16="http://schemas.microsoft.com/office/drawing/2014/main" xmlns="" id="{00000000-0008-0000-0B00-00009A000000}"/>
            </a:ext>
          </a:extLst>
        </xdr:cNvPr>
        <xdr:cNvSpPr txBox="1">
          <a:spLocks noChangeArrowheads="1"/>
        </xdr:cNvSpPr>
      </xdr:nvSpPr>
      <xdr:spPr bwMode="auto">
        <a:xfrm>
          <a:off x="2019300" y="672465"/>
          <a:ext cx="677545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107950</xdr:colOff>
      <xdr:row>4</xdr:row>
      <xdr:rowOff>121104</xdr:rowOff>
    </xdr:to>
    <xdr:sp macro="" textlink="">
      <xdr:nvSpPr>
        <xdr:cNvPr id="155" name="checksum">
          <a:extLst>
            <a:ext uri="{FF2B5EF4-FFF2-40B4-BE49-F238E27FC236}">
              <a16:creationId xmlns:a16="http://schemas.microsoft.com/office/drawing/2014/main" xmlns="" id="{00000000-0008-0000-0B00-00009B000000}"/>
            </a:ext>
          </a:extLst>
        </xdr:cNvPr>
        <xdr:cNvSpPr txBox="1">
          <a:spLocks noChangeArrowheads="1"/>
        </xdr:cNvSpPr>
      </xdr:nvSpPr>
      <xdr:spPr bwMode="auto">
        <a:xfrm>
          <a:off x="2019300" y="44767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412750</xdr:colOff>
      <xdr:row>4</xdr:row>
      <xdr:rowOff>140154</xdr:rowOff>
    </xdr:to>
    <xdr:sp macro="" textlink="">
      <xdr:nvSpPr>
        <xdr:cNvPr id="156" name="checksum">
          <a:extLst>
            <a:ext uri="{FF2B5EF4-FFF2-40B4-BE49-F238E27FC236}">
              <a16:creationId xmlns:a16="http://schemas.microsoft.com/office/drawing/2014/main" xmlns="" id="{00000000-0008-0000-0B00-00009C000000}"/>
            </a:ext>
          </a:extLst>
        </xdr:cNvPr>
        <xdr:cNvSpPr txBox="1">
          <a:spLocks noChangeArrowheads="1"/>
        </xdr:cNvSpPr>
      </xdr:nvSpPr>
      <xdr:spPr bwMode="auto">
        <a:xfrm>
          <a:off x="2019300" y="666750"/>
          <a:ext cx="681355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431800</xdr:colOff>
      <xdr:row>4</xdr:row>
      <xdr:rowOff>140154</xdr:rowOff>
    </xdr:to>
    <xdr:sp macro="" textlink="">
      <xdr:nvSpPr>
        <xdr:cNvPr id="157" name="checksum">
          <a:extLst>
            <a:ext uri="{FF2B5EF4-FFF2-40B4-BE49-F238E27FC236}">
              <a16:creationId xmlns:a16="http://schemas.microsoft.com/office/drawing/2014/main" xmlns="" id="{00000000-0008-0000-0B00-00009D000000}"/>
            </a:ext>
          </a:extLst>
        </xdr:cNvPr>
        <xdr:cNvSpPr txBox="1">
          <a:spLocks noChangeArrowheads="1"/>
        </xdr:cNvSpPr>
      </xdr:nvSpPr>
      <xdr:spPr bwMode="auto">
        <a:xfrm>
          <a:off x="2019300" y="666750"/>
          <a:ext cx="683260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374650</xdr:colOff>
      <xdr:row>4</xdr:row>
      <xdr:rowOff>140154</xdr:rowOff>
    </xdr:to>
    <xdr:sp macro="" textlink="">
      <xdr:nvSpPr>
        <xdr:cNvPr id="158" name="checksum">
          <a:extLst>
            <a:ext uri="{FF2B5EF4-FFF2-40B4-BE49-F238E27FC236}">
              <a16:creationId xmlns:a16="http://schemas.microsoft.com/office/drawing/2014/main" xmlns="" id="{00000000-0008-0000-0B00-00009E000000}"/>
            </a:ext>
          </a:extLst>
        </xdr:cNvPr>
        <xdr:cNvSpPr txBox="1">
          <a:spLocks noChangeArrowheads="1"/>
        </xdr:cNvSpPr>
      </xdr:nvSpPr>
      <xdr:spPr bwMode="auto">
        <a:xfrm>
          <a:off x="2019300" y="672465"/>
          <a:ext cx="677545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</xdr:rowOff>
    </xdr:from>
    <xdr:to>
      <xdr:col>31</xdr:col>
      <xdr:colOff>107950</xdr:colOff>
      <xdr:row>4</xdr:row>
      <xdr:rowOff>121104</xdr:rowOff>
    </xdr:to>
    <xdr:sp macro="" textlink="">
      <xdr:nvSpPr>
        <xdr:cNvPr id="159" name="checksum">
          <a:extLst>
            <a:ext uri="{FF2B5EF4-FFF2-40B4-BE49-F238E27FC236}">
              <a16:creationId xmlns:a16="http://schemas.microsoft.com/office/drawing/2014/main" xmlns="" id="{00000000-0008-0000-0B00-00009F000000}"/>
            </a:ext>
          </a:extLst>
        </xdr:cNvPr>
        <xdr:cNvSpPr txBox="1">
          <a:spLocks noChangeArrowheads="1"/>
        </xdr:cNvSpPr>
      </xdr:nvSpPr>
      <xdr:spPr bwMode="auto">
        <a:xfrm>
          <a:off x="36888420" y="447675"/>
          <a:ext cx="7788911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412751</xdr:colOff>
      <xdr:row>4</xdr:row>
      <xdr:rowOff>140154</xdr:rowOff>
    </xdr:to>
    <xdr:sp macro="" textlink="">
      <xdr:nvSpPr>
        <xdr:cNvPr id="160" name="checksum">
          <a:extLst>
            <a:ext uri="{FF2B5EF4-FFF2-40B4-BE49-F238E27FC236}">
              <a16:creationId xmlns:a16="http://schemas.microsoft.com/office/drawing/2014/main" xmlns="" id="{00000000-0008-0000-0B00-0000A0000000}"/>
            </a:ext>
          </a:extLst>
        </xdr:cNvPr>
        <xdr:cNvSpPr txBox="1">
          <a:spLocks noChangeArrowheads="1"/>
        </xdr:cNvSpPr>
      </xdr:nvSpPr>
      <xdr:spPr bwMode="auto">
        <a:xfrm>
          <a:off x="36583620" y="666750"/>
          <a:ext cx="6813552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431801</xdr:colOff>
      <xdr:row>4</xdr:row>
      <xdr:rowOff>140154</xdr:rowOff>
    </xdr:to>
    <xdr:sp macro="" textlink="">
      <xdr:nvSpPr>
        <xdr:cNvPr id="161" name="checksum">
          <a:extLst>
            <a:ext uri="{FF2B5EF4-FFF2-40B4-BE49-F238E27FC236}">
              <a16:creationId xmlns:a16="http://schemas.microsoft.com/office/drawing/2014/main" xmlns="" id="{00000000-0008-0000-0B00-0000A1000000}"/>
            </a:ext>
          </a:extLst>
        </xdr:cNvPr>
        <xdr:cNvSpPr txBox="1">
          <a:spLocks noChangeArrowheads="1"/>
        </xdr:cNvSpPr>
      </xdr:nvSpPr>
      <xdr:spPr bwMode="auto">
        <a:xfrm>
          <a:off x="36583620" y="666750"/>
          <a:ext cx="6832602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374651</xdr:colOff>
      <xdr:row>4</xdr:row>
      <xdr:rowOff>140154</xdr:rowOff>
    </xdr:to>
    <xdr:sp macro="" textlink="">
      <xdr:nvSpPr>
        <xdr:cNvPr id="162" name="checksum">
          <a:extLst>
            <a:ext uri="{FF2B5EF4-FFF2-40B4-BE49-F238E27FC236}">
              <a16:creationId xmlns:a16="http://schemas.microsoft.com/office/drawing/2014/main" xmlns="" id="{00000000-0008-0000-0B00-0000A2000000}"/>
            </a:ext>
          </a:extLst>
        </xdr:cNvPr>
        <xdr:cNvSpPr txBox="1">
          <a:spLocks noChangeArrowheads="1"/>
        </xdr:cNvSpPr>
      </xdr:nvSpPr>
      <xdr:spPr bwMode="auto">
        <a:xfrm>
          <a:off x="36583620" y="672465"/>
          <a:ext cx="6775452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4</xdr:row>
      <xdr:rowOff>363906</xdr:rowOff>
    </xdr:to>
    <xdr:sp macro="" textlink="">
      <xdr:nvSpPr>
        <xdr:cNvPr id="163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B00-0000A3000000}"/>
            </a:ext>
          </a:extLst>
        </xdr:cNvPr>
        <xdr:cNvSpPr txBox="1">
          <a:spLocks noChangeArrowheads="1"/>
        </xdr:cNvSpPr>
      </xdr:nvSpPr>
      <xdr:spPr bwMode="auto">
        <a:xfrm>
          <a:off x="28902660" y="419100"/>
          <a:ext cx="0" cy="76014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25</xdr:col>
      <xdr:colOff>0</xdr:colOff>
      <xdr:row>2</xdr:row>
      <xdr:rowOff>1361</xdr:rowOff>
    </xdr:from>
    <xdr:to>
      <xdr:col>31</xdr:col>
      <xdr:colOff>107950</xdr:colOff>
      <xdr:row>4</xdr:row>
      <xdr:rowOff>93890</xdr:rowOff>
    </xdr:to>
    <xdr:sp macro="" textlink="">
      <xdr:nvSpPr>
        <xdr:cNvPr id="164" name="checksum">
          <a:extLst>
            <a:ext uri="{FF2B5EF4-FFF2-40B4-BE49-F238E27FC236}">
              <a16:creationId xmlns:a16="http://schemas.microsoft.com/office/drawing/2014/main" xmlns="" id="{00000000-0008-0000-0B00-0000A4000000}"/>
            </a:ext>
          </a:extLst>
        </xdr:cNvPr>
        <xdr:cNvSpPr txBox="1">
          <a:spLocks noChangeArrowheads="1"/>
        </xdr:cNvSpPr>
      </xdr:nvSpPr>
      <xdr:spPr bwMode="auto">
        <a:xfrm>
          <a:off x="36929241" y="420461"/>
          <a:ext cx="7788911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412751</xdr:colOff>
      <xdr:row>4</xdr:row>
      <xdr:rowOff>140154</xdr:rowOff>
    </xdr:to>
    <xdr:sp macro="" textlink="">
      <xdr:nvSpPr>
        <xdr:cNvPr id="165" name="checksum">
          <a:extLst>
            <a:ext uri="{FF2B5EF4-FFF2-40B4-BE49-F238E27FC236}">
              <a16:creationId xmlns:a16="http://schemas.microsoft.com/office/drawing/2014/main" xmlns="" id="{00000000-0008-0000-0B00-0000A5000000}"/>
            </a:ext>
          </a:extLst>
        </xdr:cNvPr>
        <xdr:cNvSpPr txBox="1">
          <a:spLocks noChangeArrowheads="1"/>
        </xdr:cNvSpPr>
      </xdr:nvSpPr>
      <xdr:spPr bwMode="auto">
        <a:xfrm>
          <a:off x="36583620" y="666750"/>
          <a:ext cx="6813552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431801</xdr:colOff>
      <xdr:row>4</xdr:row>
      <xdr:rowOff>140154</xdr:rowOff>
    </xdr:to>
    <xdr:sp macro="" textlink="">
      <xdr:nvSpPr>
        <xdr:cNvPr id="166" name="checksum">
          <a:extLst>
            <a:ext uri="{FF2B5EF4-FFF2-40B4-BE49-F238E27FC236}">
              <a16:creationId xmlns:a16="http://schemas.microsoft.com/office/drawing/2014/main" xmlns="" id="{00000000-0008-0000-0B00-0000A6000000}"/>
            </a:ext>
          </a:extLst>
        </xdr:cNvPr>
        <xdr:cNvSpPr txBox="1">
          <a:spLocks noChangeArrowheads="1"/>
        </xdr:cNvSpPr>
      </xdr:nvSpPr>
      <xdr:spPr bwMode="auto">
        <a:xfrm>
          <a:off x="36583620" y="666750"/>
          <a:ext cx="6832602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374651</xdr:colOff>
      <xdr:row>4</xdr:row>
      <xdr:rowOff>140154</xdr:rowOff>
    </xdr:to>
    <xdr:sp macro="" textlink="">
      <xdr:nvSpPr>
        <xdr:cNvPr id="167" name="checksum">
          <a:extLst>
            <a:ext uri="{FF2B5EF4-FFF2-40B4-BE49-F238E27FC236}">
              <a16:creationId xmlns:a16="http://schemas.microsoft.com/office/drawing/2014/main" xmlns="" id="{00000000-0008-0000-0B00-0000A7000000}"/>
            </a:ext>
          </a:extLst>
        </xdr:cNvPr>
        <xdr:cNvSpPr txBox="1">
          <a:spLocks noChangeArrowheads="1"/>
        </xdr:cNvSpPr>
      </xdr:nvSpPr>
      <xdr:spPr bwMode="auto">
        <a:xfrm>
          <a:off x="36583620" y="672465"/>
          <a:ext cx="6775452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5</xdr:row>
      <xdr:rowOff>361950</xdr:rowOff>
    </xdr:to>
    <xdr:sp macro="" textlink="">
      <xdr:nvSpPr>
        <xdr:cNvPr id="168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B00-0000A8000000}"/>
            </a:ext>
          </a:extLst>
        </xdr:cNvPr>
        <xdr:cNvSpPr txBox="1">
          <a:spLocks noChangeArrowheads="1"/>
        </xdr:cNvSpPr>
      </xdr:nvSpPr>
      <xdr:spPr bwMode="auto">
        <a:xfrm>
          <a:off x="28902660" y="419100"/>
          <a:ext cx="0" cy="97917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34</xdr:col>
      <xdr:colOff>0</xdr:colOff>
      <xdr:row>2</xdr:row>
      <xdr:rowOff>28575</xdr:rowOff>
    </xdr:from>
    <xdr:to>
      <xdr:col>46</xdr:col>
      <xdr:colOff>414333</xdr:colOff>
      <xdr:row>4</xdr:row>
      <xdr:rowOff>121104</xdr:rowOff>
    </xdr:to>
    <xdr:sp macro="" textlink="">
      <xdr:nvSpPr>
        <xdr:cNvPr id="169" name="checksum">
          <a:extLst>
            <a:ext uri="{FF2B5EF4-FFF2-40B4-BE49-F238E27FC236}">
              <a16:creationId xmlns:a16="http://schemas.microsoft.com/office/drawing/2014/main" xmlns="" id="{00000000-0008-0000-0B00-0000A9000000}"/>
            </a:ext>
          </a:extLst>
        </xdr:cNvPr>
        <xdr:cNvSpPr txBox="1">
          <a:spLocks noChangeArrowheads="1"/>
        </xdr:cNvSpPr>
      </xdr:nvSpPr>
      <xdr:spPr bwMode="auto">
        <a:xfrm>
          <a:off x="51869340" y="447675"/>
          <a:ext cx="7729533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58470</xdr:colOff>
      <xdr:row>4</xdr:row>
      <xdr:rowOff>140154</xdr:rowOff>
    </xdr:to>
    <xdr:sp macro="" textlink="">
      <xdr:nvSpPr>
        <xdr:cNvPr id="170" name="checksum">
          <a:extLst>
            <a:ext uri="{FF2B5EF4-FFF2-40B4-BE49-F238E27FC236}">
              <a16:creationId xmlns:a16="http://schemas.microsoft.com/office/drawing/2014/main" xmlns="" id="{00000000-0008-0000-0B00-0000AA000000}"/>
            </a:ext>
          </a:extLst>
        </xdr:cNvPr>
        <xdr:cNvSpPr txBox="1">
          <a:spLocks noChangeArrowheads="1"/>
        </xdr:cNvSpPr>
      </xdr:nvSpPr>
      <xdr:spPr bwMode="auto">
        <a:xfrm>
          <a:off x="51869340" y="666750"/>
          <a:ext cx="676407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77520</xdr:colOff>
      <xdr:row>4</xdr:row>
      <xdr:rowOff>140154</xdr:rowOff>
    </xdr:to>
    <xdr:sp macro="" textlink="">
      <xdr:nvSpPr>
        <xdr:cNvPr id="171" name="checksum">
          <a:extLst>
            <a:ext uri="{FF2B5EF4-FFF2-40B4-BE49-F238E27FC236}">
              <a16:creationId xmlns:a16="http://schemas.microsoft.com/office/drawing/2014/main" xmlns="" id="{00000000-0008-0000-0B00-0000AB000000}"/>
            </a:ext>
          </a:extLst>
        </xdr:cNvPr>
        <xdr:cNvSpPr txBox="1">
          <a:spLocks noChangeArrowheads="1"/>
        </xdr:cNvSpPr>
      </xdr:nvSpPr>
      <xdr:spPr bwMode="auto">
        <a:xfrm>
          <a:off x="51869340" y="666750"/>
          <a:ext cx="678312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45</xdr:col>
      <xdr:colOff>20370</xdr:colOff>
      <xdr:row>4</xdr:row>
      <xdr:rowOff>140154</xdr:rowOff>
    </xdr:to>
    <xdr:sp macro="" textlink="">
      <xdr:nvSpPr>
        <xdr:cNvPr id="172" name="checksum">
          <a:extLst>
            <a:ext uri="{FF2B5EF4-FFF2-40B4-BE49-F238E27FC236}">
              <a16:creationId xmlns:a16="http://schemas.microsoft.com/office/drawing/2014/main" xmlns="" id="{00000000-0008-0000-0B00-0000AC000000}"/>
            </a:ext>
          </a:extLst>
        </xdr:cNvPr>
        <xdr:cNvSpPr txBox="1">
          <a:spLocks noChangeArrowheads="1"/>
        </xdr:cNvSpPr>
      </xdr:nvSpPr>
      <xdr:spPr bwMode="auto">
        <a:xfrm>
          <a:off x="51869340" y="672465"/>
          <a:ext cx="672597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46</xdr:col>
      <xdr:colOff>414333</xdr:colOff>
      <xdr:row>4</xdr:row>
      <xdr:rowOff>121104</xdr:rowOff>
    </xdr:to>
    <xdr:sp macro="" textlink="">
      <xdr:nvSpPr>
        <xdr:cNvPr id="173" name="checksum">
          <a:extLst>
            <a:ext uri="{FF2B5EF4-FFF2-40B4-BE49-F238E27FC236}">
              <a16:creationId xmlns:a16="http://schemas.microsoft.com/office/drawing/2014/main" xmlns="" id="{00000000-0008-0000-0B00-0000AD000000}"/>
            </a:ext>
          </a:extLst>
        </xdr:cNvPr>
        <xdr:cNvSpPr txBox="1">
          <a:spLocks noChangeArrowheads="1"/>
        </xdr:cNvSpPr>
      </xdr:nvSpPr>
      <xdr:spPr bwMode="auto">
        <a:xfrm>
          <a:off x="51869340" y="447675"/>
          <a:ext cx="7729533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58470</xdr:colOff>
      <xdr:row>4</xdr:row>
      <xdr:rowOff>140154</xdr:rowOff>
    </xdr:to>
    <xdr:sp macro="" textlink="">
      <xdr:nvSpPr>
        <xdr:cNvPr id="174" name="checksum">
          <a:extLst>
            <a:ext uri="{FF2B5EF4-FFF2-40B4-BE49-F238E27FC236}">
              <a16:creationId xmlns:a16="http://schemas.microsoft.com/office/drawing/2014/main" xmlns="" id="{00000000-0008-0000-0B00-0000AE000000}"/>
            </a:ext>
          </a:extLst>
        </xdr:cNvPr>
        <xdr:cNvSpPr txBox="1">
          <a:spLocks noChangeArrowheads="1"/>
        </xdr:cNvSpPr>
      </xdr:nvSpPr>
      <xdr:spPr bwMode="auto">
        <a:xfrm>
          <a:off x="51869340" y="666750"/>
          <a:ext cx="676407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77520</xdr:colOff>
      <xdr:row>4</xdr:row>
      <xdr:rowOff>140154</xdr:rowOff>
    </xdr:to>
    <xdr:sp macro="" textlink="">
      <xdr:nvSpPr>
        <xdr:cNvPr id="175" name="checksum">
          <a:extLst>
            <a:ext uri="{FF2B5EF4-FFF2-40B4-BE49-F238E27FC236}">
              <a16:creationId xmlns:a16="http://schemas.microsoft.com/office/drawing/2014/main" xmlns="" id="{00000000-0008-0000-0B00-0000AF000000}"/>
            </a:ext>
          </a:extLst>
        </xdr:cNvPr>
        <xdr:cNvSpPr txBox="1">
          <a:spLocks noChangeArrowheads="1"/>
        </xdr:cNvSpPr>
      </xdr:nvSpPr>
      <xdr:spPr bwMode="auto">
        <a:xfrm>
          <a:off x="51869340" y="666750"/>
          <a:ext cx="678312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45</xdr:col>
      <xdr:colOff>20370</xdr:colOff>
      <xdr:row>4</xdr:row>
      <xdr:rowOff>140154</xdr:rowOff>
    </xdr:to>
    <xdr:sp macro="" textlink="">
      <xdr:nvSpPr>
        <xdr:cNvPr id="176" name="checksum">
          <a:extLst>
            <a:ext uri="{FF2B5EF4-FFF2-40B4-BE49-F238E27FC236}">
              <a16:creationId xmlns:a16="http://schemas.microsoft.com/office/drawing/2014/main" xmlns="" id="{00000000-0008-0000-0B00-0000B0000000}"/>
            </a:ext>
          </a:extLst>
        </xdr:cNvPr>
        <xdr:cNvSpPr txBox="1">
          <a:spLocks noChangeArrowheads="1"/>
        </xdr:cNvSpPr>
      </xdr:nvSpPr>
      <xdr:spPr bwMode="auto">
        <a:xfrm>
          <a:off x="51869340" y="672465"/>
          <a:ext cx="672597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46</xdr:col>
      <xdr:colOff>414333</xdr:colOff>
      <xdr:row>4</xdr:row>
      <xdr:rowOff>121104</xdr:rowOff>
    </xdr:to>
    <xdr:sp macro="" textlink="">
      <xdr:nvSpPr>
        <xdr:cNvPr id="177" name="checksum">
          <a:extLst>
            <a:ext uri="{FF2B5EF4-FFF2-40B4-BE49-F238E27FC236}">
              <a16:creationId xmlns:a16="http://schemas.microsoft.com/office/drawing/2014/main" xmlns="" id="{00000000-0008-0000-0B00-0000B1000000}"/>
            </a:ext>
          </a:extLst>
        </xdr:cNvPr>
        <xdr:cNvSpPr txBox="1">
          <a:spLocks noChangeArrowheads="1"/>
        </xdr:cNvSpPr>
      </xdr:nvSpPr>
      <xdr:spPr bwMode="auto">
        <a:xfrm>
          <a:off x="51869340" y="447675"/>
          <a:ext cx="7729533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58470</xdr:colOff>
      <xdr:row>4</xdr:row>
      <xdr:rowOff>140154</xdr:rowOff>
    </xdr:to>
    <xdr:sp macro="" textlink="">
      <xdr:nvSpPr>
        <xdr:cNvPr id="178" name="checksum">
          <a:extLst>
            <a:ext uri="{FF2B5EF4-FFF2-40B4-BE49-F238E27FC236}">
              <a16:creationId xmlns:a16="http://schemas.microsoft.com/office/drawing/2014/main" xmlns="" id="{00000000-0008-0000-0B00-0000B2000000}"/>
            </a:ext>
          </a:extLst>
        </xdr:cNvPr>
        <xdr:cNvSpPr txBox="1">
          <a:spLocks noChangeArrowheads="1"/>
        </xdr:cNvSpPr>
      </xdr:nvSpPr>
      <xdr:spPr bwMode="auto">
        <a:xfrm>
          <a:off x="51869340" y="666750"/>
          <a:ext cx="676407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77520</xdr:colOff>
      <xdr:row>4</xdr:row>
      <xdr:rowOff>140154</xdr:rowOff>
    </xdr:to>
    <xdr:sp macro="" textlink="">
      <xdr:nvSpPr>
        <xdr:cNvPr id="179" name="checksum">
          <a:extLst>
            <a:ext uri="{FF2B5EF4-FFF2-40B4-BE49-F238E27FC236}">
              <a16:creationId xmlns:a16="http://schemas.microsoft.com/office/drawing/2014/main" xmlns="" id="{00000000-0008-0000-0B00-0000B3000000}"/>
            </a:ext>
          </a:extLst>
        </xdr:cNvPr>
        <xdr:cNvSpPr txBox="1">
          <a:spLocks noChangeArrowheads="1"/>
        </xdr:cNvSpPr>
      </xdr:nvSpPr>
      <xdr:spPr bwMode="auto">
        <a:xfrm>
          <a:off x="51869340" y="666750"/>
          <a:ext cx="678312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45</xdr:col>
      <xdr:colOff>20370</xdr:colOff>
      <xdr:row>4</xdr:row>
      <xdr:rowOff>140154</xdr:rowOff>
    </xdr:to>
    <xdr:sp macro="" textlink="">
      <xdr:nvSpPr>
        <xdr:cNvPr id="180" name="checksum">
          <a:extLst>
            <a:ext uri="{FF2B5EF4-FFF2-40B4-BE49-F238E27FC236}">
              <a16:creationId xmlns:a16="http://schemas.microsoft.com/office/drawing/2014/main" xmlns="" id="{00000000-0008-0000-0B00-0000B4000000}"/>
            </a:ext>
          </a:extLst>
        </xdr:cNvPr>
        <xdr:cNvSpPr txBox="1">
          <a:spLocks noChangeArrowheads="1"/>
        </xdr:cNvSpPr>
      </xdr:nvSpPr>
      <xdr:spPr bwMode="auto">
        <a:xfrm>
          <a:off x="51869340" y="672465"/>
          <a:ext cx="672597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46</xdr:col>
      <xdr:colOff>414333</xdr:colOff>
      <xdr:row>4</xdr:row>
      <xdr:rowOff>121104</xdr:rowOff>
    </xdr:to>
    <xdr:sp macro="" textlink="">
      <xdr:nvSpPr>
        <xdr:cNvPr id="181" name="checksum">
          <a:extLst>
            <a:ext uri="{FF2B5EF4-FFF2-40B4-BE49-F238E27FC236}">
              <a16:creationId xmlns:a16="http://schemas.microsoft.com/office/drawing/2014/main" xmlns="" id="{00000000-0008-0000-0B00-0000B5000000}"/>
            </a:ext>
          </a:extLst>
        </xdr:cNvPr>
        <xdr:cNvSpPr txBox="1">
          <a:spLocks noChangeArrowheads="1"/>
        </xdr:cNvSpPr>
      </xdr:nvSpPr>
      <xdr:spPr bwMode="auto">
        <a:xfrm>
          <a:off x="51869340" y="447675"/>
          <a:ext cx="7729533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58470</xdr:colOff>
      <xdr:row>4</xdr:row>
      <xdr:rowOff>140154</xdr:rowOff>
    </xdr:to>
    <xdr:sp macro="" textlink="">
      <xdr:nvSpPr>
        <xdr:cNvPr id="182" name="checksum">
          <a:extLst>
            <a:ext uri="{FF2B5EF4-FFF2-40B4-BE49-F238E27FC236}">
              <a16:creationId xmlns:a16="http://schemas.microsoft.com/office/drawing/2014/main" xmlns="" id="{00000000-0008-0000-0B00-0000B6000000}"/>
            </a:ext>
          </a:extLst>
        </xdr:cNvPr>
        <xdr:cNvSpPr txBox="1">
          <a:spLocks noChangeArrowheads="1"/>
        </xdr:cNvSpPr>
      </xdr:nvSpPr>
      <xdr:spPr bwMode="auto">
        <a:xfrm>
          <a:off x="51869340" y="666750"/>
          <a:ext cx="676407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77520</xdr:colOff>
      <xdr:row>4</xdr:row>
      <xdr:rowOff>140154</xdr:rowOff>
    </xdr:to>
    <xdr:sp macro="" textlink="">
      <xdr:nvSpPr>
        <xdr:cNvPr id="183" name="checksum">
          <a:extLst>
            <a:ext uri="{FF2B5EF4-FFF2-40B4-BE49-F238E27FC236}">
              <a16:creationId xmlns:a16="http://schemas.microsoft.com/office/drawing/2014/main" xmlns="" id="{00000000-0008-0000-0B00-0000B7000000}"/>
            </a:ext>
          </a:extLst>
        </xdr:cNvPr>
        <xdr:cNvSpPr txBox="1">
          <a:spLocks noChangeArrowheads="1"/>
        </xdr:cNvSpPr>
      </xdr:nvSpPr>
      <xdr:spPr bwMode="auto">
        <a:xfrm>
          <a:off x="51869340" y="666750"/>
          <a:ext cx="678312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45</xdr:col>
      <xdr:colOff>20370</xdr:colOff>
      <xdr:row>4</xdr:row>
      <xdr:rowOff>140154</xdr:rowOff>
    </xdr:to>
    <xdr:sp macro="" textlink="">
      <xdr:nvSpPr>
        <xdr:cNvPr id="184" name="checksum">
          <a:extLst>
            <a:ext uri="{FF2B5EF4-FFF2-40B4-BE49-F238E27FC236}">
              <a16:creationId xmlns:a16="http://schemas.microsoft.com/office/drawing/2014/main" xmlns="" id="{00000000-0008-0000-0B00-0000B8000000}"/>
            </a:ext>
          </a:extLst>
        </xdr:cNvPr>
        <xdr:cNvSpPr txBox="1">
          <a:spLocks noChangeArrowheads="1"/>
        </xdr:cNvSpPr>
      </xdr:nvSpPr>
      <xdr:spPr bwMode="auto">
        <a:xfrm>
          <a:off x="51869340" y="672465"/>
          <a:ext cx="672597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46</xdr:col>
      <xdr:colOff>414333</xdr:colOff>
      <xdr:row>4</xdr:row>
      <xdr:rowOff>121104</xdr:rowOff>
    </xdr:to>
    <xdr:sp macro="" textlink="">
      <xdr:nvSpPr>
        <xdr:cNvPr id="185" name="checksum">
          <a:extLst>
            <a:ext uri="{FF2B5EF4-FFF2-40B4-BE49-F238E27FC236}">
              <a16:creationId xmlns:a16="http://schemas.microsoft.com/office/drawing/2014/main" xmlns="" id="{00000000-0008-0000-0B00-0000B9000000}"/>
            </a:ext>
          </a:extLst>
        </xdr:cNvPr>
        <xdr:cNvSpPr txBox="1">
          <a:spLocks noChangeArrowheads="1"/>
        </xdr:cNvSpPr>
      </xdr:nvSpPr>
      <xdr:spPr bwMode="auto">
        <a:xfrm>
          <a:off x="51869340" y="447675"/>
          <a:ext cx="7729533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58470</xdr:colOff>
      <xdr:row>4</xdr:row>
      <xdr:rowOff>140154</xdr:rowOff>
    </xdr:to>
    <xdr:sp macro="" textlink="">
      <xdr:nvSpPr>
        <xdr:cNvPr id="186" name="checksum">
          <a:extLst>
            <a:ext uri="{FF2B5EF4-FFF2-40B4-BE49-F238E27FC236}">
              <a16:creationId xmlns:a16="http://schemas.microsoft.com/office/drawing/2014/main" xmlns="" id="{00000000-0008-0000-0B00-0000BA000000}"/>
            </a:ext>
          </a:extLst>
        </xdr:cNvPr>
        <xdr:cNvSpPr txBox="1">
          <a:spLocks noChangeArrowheads="1"/>
        </xdr:cNvSpPr>
      </xdr:nvSpPr>
      <xdr:spPr bwMode="auto">
        <a:xfrm>
          <a:off x="51869340" y="666750"/>
          <a:ext cx="676407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77520</xdr:colOff>
      <xdr:row>4</xdr:row>
      <xdr:rowOff>140154</xdr:rowOff>
    </xdr:to>
    <xdr:sp macro="" textlink="">
      <xdr:nvSpPr>
        <xdr:cNvPr id="187" name="checksum">
          <a:extLst>
            <a:ext uri="{FF2B5EF4-FFF2-40B4-BE49-F238E27FC236}">
              <a16:creationId xmlns:a16="http://schemas.microsoft.com/office/drawing/2014/main" xmlns="" id="{00000000-0008-0000-0B00-0000BB000000}"/>
            </a:ext>
          </a:extLst>
        </xdr:cNvPr>
        <xdr:cNvSpPr txBox="1">
          <a:spLocks noChangeArrowheads="1"/>
        </xdr:cNvSpPr>
      </xdr:nvSpPr>
      <xdr:spPr bwMode="auto">
        <a:xfrm>
          <a:off x="51869340" y="666750"/>
          <a:ext cx="678312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45</xdr:col>
      <xdr:colOff>20370</xdr:colOff>
      <xdr:row>4</xdr:row>
      <xdr:rowOff>140154</xdr:rowOff>
    </xdr:to>
    <xdr:sp macro="" textlink="">
      <xdr:nvSpPr>
        <xdr:cNvPr id="188" name="checksum">
          <a:extLst>
            <a:ext uri="{FF2B5EF4-FFF2-40B4-BE49-F238E27FC236}">
              <a16:creationId xmlns:a16="http://schemas.microsoft.com/office/drawing/2014/main" xmlns="" id="{00000000-0008-0000-0B00-0000BC000000}"/>
            </a:ext>
          </a:extLst>
        </xdr:cNvPr>
        <xdr:cNvSpPr txBox="1">
          <a:spLocks noChangeArrowheads="1"/>
        </xdr:cNvSpPr>
      </xdr:nvSpPr>
      <xdr:spPr bwMode="auto">
        <a:xfrm>
          <a:off x="51869340" y="672465"/>
          <a:ext cx="672597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46</xdr:col>
      <xdr:colOff>414333</xdr:colOff>
      <xdr:row>4</xdr:row>
      <xdr:rowOff>121104</xdr:rowOff>
    </xdr:to>
    <xdr:sp macro="" textlink="">
      <xdr:nvSpPr>
        <xdr:cNvPr id="189" name="checksum">
          <a:extLst>
            <a:ext uri="{FF2B5EF4-FFF2-40B4-BE49-F238E27FC236}">
              <a16:creationId xmlns:a16="http://schemas.microsoft.com/office/drawing/2014/main" xmlns="" id="{00000000-0008-0000-0B00-0000BD000000}"/>
            </a:ext>
          </a:extLst>
        </xdr:cNvPr>
        <xdr:cNvSpPr txBox="1">
          <a:spLocks noChangeArrowheads="1"/>
        </xdr:cNvSpPr>
      </xdr:nvSpPr>
      <xdr:spPr bwMode="auto">
        <a:xfrm>
          <a:off x="51869340" y="447675"/>
          <a:ext cx="7729533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58470</xdr:colOff>
      <xdr:row>4</xdr:row>
      <xdr:rowOff>140154</xdr:rowOff>
    </xdr:to>
    <xdr:sp macro="" textlink="">
      <xdr:nvSpPr>
        <xdr:cNvPr id="190" name="checksum">
          <a:extLst>
            <a:ext uri="{FF2B5EF4-FFF2-40B4-BE49-F238E27FC236}">
              <a16:creationId xmlns:a16="http://schemas.microsoft.com/office/drawing/2014/main" xmlns="" id="{00000000-0008-0000-0B00-0000BE000000}"/>
            </a:ext>
          </a:extLst>
        </xdr:cNvPr>
        <xdr:cNvSpPr txBox="1">
          <a:spLocks noChangeArrowheads="1"/>
        </xdr:cNvSpPr>
      </xdr:nvSpPr>
      <xdr:spPr bwMode="auto">
        <a:xfrm>
          <a:off x="51869340" y="666750"/>
          <a:ext cx="676407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77520</xdr:colOff>
      <xdr:row>4</xdr:row>
      <xdr:rowOff>140154</xdr:rowOff>
    </xdr:to>
    <xdr:sp macro="" textlink="">
      <xdr:nvSpPr>
        <xdr:cNvPr id="191" name="checksum">
          <a:extLst>
            <a:ext uri="{FF2B5EF4-FFF2-40B4-BE49-F238E27FC236}">
              <a16:creationId xmlns:a16="http://schemas.microsoft.com/office/drawing/2014/main" xmlns="" id="{00000000-0008-0000-0B00-0000BF000000}"/>
            </a:ext>
          </a:extLst>
        </xdr:cNvPr>
        <xdr:cNvSpPr txBox="1">
          <a:spLocks noChangeArrowheads="1"/>
        </xdr:cNvSpPr>
      </xdr:nvSpPr>
      <xdr:spPr bwMode="auto">
        <a:xfrm>
          <a:off x="51869340" y="666750"/>
          <a:ext cx="678312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45</xdr:col>
      <xdr:colOff>20370</xdr:colOff>
      <xdr:row>4</xdr:row>
      <xdr:rowOff>140154</xdr:rowOff>
    </xdr:to>
    <xdr:sp macro="" textlink="">
      <xdr:nvSpPr>
        <xdr:cNvPr id="192" name="checksum">
          <a:extLst>
            <a:ext uri="{FF2B5EF4-FFF2-40B4-BE49-F238E27FC236}">
              <a16:creationId xmlns:a16="http://schemas.microsoft.com/office/drawing/2014/main" xmlns="" id="{00000000-0008-0000-0B00-0000C0000000}"/>
            </a:ext>
          </a:extLst>
        </xdr:cNvPr>
        <xdr:cNvSpPr txBox="1">
          <a:spLocks noChangeArrowheads="1"/>
        </xdr:cNvSpPr>
      </xdr:nvSpPr>
      <xdr:spPr bwMode="auto">
        <a:xfrm>
          <a:off x="51869340" y="672465"/>
          <a:ext cx="672597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46</xdr:col>
      <xdr:colOff>414332</xdr:colOff>
      <xdr:row>4</xdr:row>
      <xdr:rowOff>121104</xdr:rowOff>
    </xdr:to>
    <xdr:sp macro="" textlink="">
      <xdr:nvSpPr>
        <xdr:cNvPr id="193" name="checksum">
          <a:extLst>
            <a:ext uri="{FF2B5EF4-FFF2-40B4-BE49-F238E27FC236}">
              <a16:creationId xmlns:a16="http://schemas.microsoft.com/office/drawing/2014/main" xmlns="" id="{00000000-0008-0000-0B00-0000C1000000}"/>
            </a:ext>
          </a:extLst>
        </xdr:cNvPr>
        <xdr:cNvSpPr txBox="1">
          <a:spLocks noChangeArrowheads="1"/>
        </xdr:cNvSpPr>
      </xdr:nvSpPr>
      <xdr:spPr bwMode="auto">
        <a:xfrm>
          <a:off x="51869340" y="447675"/>
          <a:ext cx="7729532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58470</xdr:colOff>
      <xdr:row>4</xdr:row>
      <xdr:rowOff>140154</xdr:rowOff>
    </xdr:to>
    <xdr:sp macro="" textlink="">
      <xdr:nvSpPr>
        <xdr:cNvPr id="194" name="checksum">
          <a:extLst>
            <a:ext uri="{FF2B5EF4-FFF2-40B4-BE49-F238E27FC236}">
              <a16:creationId xmlns:a16="http://schemas.microsoft.com/office/drawing/2014/main" xmlns="" id="{00000000-0008-0000-0B00-0000C2000000}"/>
            </a:ext>
          </a:extLst>
        </xdr:cNvPr>
        <xdr:cNvSpPr txBox="1">
          <a:spLocks noChangeArrowheads="1"/>
        </xdr:cNvSpPr>
      </xdr:nvSpPr>
      <xdr:spPr bwMode="auto">
        <a:xfrm>
          <a:off x="51869340" y="666750"/>
          <a:ext cx="676407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77520</xdr:colOff>
      <xdr:row>4</xdr:row>
      <xdr:rowOff>140154</xdr:rowOff>
    </xdr:to>
    <xdr:sp macro="" textlink="">
      <xdr:nvSpPr>
        <xdr:cNvPr id="195" name="checksum">
          <a:extLst>
            <a:ext uri="{FF2B5EF4-FFF2-40B4-BE49-F238E27FC236}">
              <a16:creationId xmlns:a16="http://schemas.microsoft.com/office/drawing/2014/main" xmlns="" id="{00000000-0008-0000-0B00-0000C3000000}"/>
            </a:ext>
          </a:extLst>
        </xdr:cNvPr>
        <xdr:cNvSpPr txBox="1">
          <a:spLocks noChangeArrowheads="1"/>
        </xdr:cNvSpPr>
      </xdr:nvSpPr>
      <xdr:spPr bwMode="auto">
        <a:xfrm>
          <a:off x="51869340" y="666750"/>
          <a:ext cx="678312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45</xdr:col>
      <xdr:colOff>20370</xdr:colOff>
      <xdr:row>4</xdr:row>
      <xdr:rowOff>140154</xdr:rowOff>
    </xdr:to>
    <xdr:sp macro="" textlink="">
      <xdr:nvSpPr>
        <xdr:cNvPr id="196" name="checksum">
          <a:extLst>
            <a:ext uri="{FF2B5EF4-FFF2-40B4-BE49-F238E27FC236}">
              <a16:creationId xmlns:a16="http://schemas.microsoft.com/office/drawing/2014/main" xmlns="" id="{00000000-0008-0000-0B00-0000C4000000}"/>
            </a:ext>
          </a:extLst>
        </xdr:cNvPr>
        <xdr:cNvSpPr txBox="1">
          <a:spLocks noChangeArrowheads="1"/>
        </xdr:cNvSpPr>
      </xdr:nvSpPr>
      <xdr:spPr bwMode="auto">
        <a:xfrm>
          <a:off x="51869340" y="672465"/>
          <a:ext cx="672597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46</xdr:col>
      <xdr:colOff>414332</xdr:colOff>
      <xdr:row>4</xdr:row>
      <xdr:rowOff>121104</xdr:rowOff>
    </xdr:to>
    <xdr:sp macro="" textlink="">
      <xdr:nvSpPr>
        <xdr:cNvPr id="197" name="checksum">
          <a:extLst>
            <a:ext uri="{FF2B5EF4-FFF2-40B4-BE49-F238E27FC236}">
              <a16:creationId xmlns:a16="http://schemas.microsoft.com/office/drawing/2014/main" xmlns="" id="{00000000-0008-0000-0B00-0000C5000000}"/>
            </a:ext>
          </a:extLst>
        </xdr:cNvPr>
        <xdr:cNvSpPr txBox="1">
          <a:spLocks noChangeArrowheads="1"/>
        </xdr:cNvSpPr>
      </xdr:nvSpPr>
      <xdr:spPr bwMode="auto">
        <a:xfrm>
          <a:off x="51869340" y="447675"/>
          <a:ext cx="7729532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58470</xdr:colOff>
      <xdr:row>4</xdr:row>
      <xdr:rowOff>140154</xdr:rowOff>
    </xdr:to>
    <xdr:sp macro="" textlink="">
      <xdr:nvSpPr>
        <xdr:cNvPr id="198" name="checksum">
          <a:extLst>
            <a:ext uri="{FF2B5EF4-FFF2-40B4-BE49-F238E27FC236}">
              <a16:creationId xmlns:a16="http://schemas.microsoft.com/office/drawing/2014/main" xmlns="" id="{00000000-0008-0000-0B00-0000C6000000}"/>
            </a:ext>
          </a:extLst>
        </xdr:cNvPr>
        <xdr:cNvSpPr txBox="1">
          <a:spLocks noChangeArrowheads="1"/>
        </xdr:cNvSpPr>
      </xdr:nvSpPr>
      <xdr:spPr bwMode="auto">
        <a:xfrm>
          <a:off x="51869340" y="666750"/>
          <a:ext cx="676407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77520</xdr:colOff>
      <xdr:row>4</xdr:row>
      <xdr:rowOff>140154</xdr:rowOff>
    </xdr:to>
    <xdr:sp macro="" textlink="">
      <xdr:nvSpPr>
        <xdr:cNvPr id="199" name="checksum">
          <a:extLst>
            <a:ext uri="{FF2B5EF4-FFF2-40B4-BE49-F238E27FC236}">
              <a16:creationId xmlns:a16="http://schemas.microsoft.com/office/drawing/2014/main" xmlns="" id="{00000000-0008-0000-0B00-0000C7000000}"/>
            </a:ext>
          </a:extLst>
        </xdr:cNvPr>
        <xdr:cNvSpPr txBox="1">
          <a:spLocks noChangeArrowheads="1"/>
        </xdr:cNvSpPr>
      </xdr:nvSpPr>
      <xdr:spPr bwMode="auto">
        <a:xfrm>
          <a:off x="51869340" y="666750"/>
          <a:ext cx="678312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45</xdr:col>
      <xdr:colOff>20370</xdr:colOff>
      <xdr:row>4</xdr:row>
      <xdr:rowOff>140154</xdr:rowOff>
    </xdr:to>
    <xdr:sp macro="" textlink="">
      <xdr:nvSpPr>
        <xdr:cNvPr id="200" name="checksum">
          <a:extLst>
            <a:ext uri="{FF2B5EF4-FFF2-40B4-BE49-F238E27FC236}">
              <a16:creationId xmlns:a16="http://schemas.microsoft.com/office/drawing/2014/main" xmlns="" id="{00000000-0008-0000-0B00-0000C8000000}"/>
            </a:ext>
          </a:extLst>
        </xdr:cNvPr>
        <xdr:cNvSpPr txBox="1">
          <a:spLocks noChangeArrowheads="1"/>
        </xdr:cNvSpPr>
      </xdr:nvSpPr>
      <xdr:spPr bwMode="auto">
        <a:xfrm>
          <a:off x="51869340" y="672465"/>
          <a:ext cx="672597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46</xdr:col>
      <xdr:colOff>414332</xdr:colOff>
      <xdr:row>4</xdr:row>
      <xdr:rowOff>121104</xdr:rowOff>
    </xdr:to>
    <xdr:sp macro="" textlink="">
      <xdr:nvSpPr>
        <xdr:cNvPr id="201" name="checksum">
          <a:extLst>
            <a:ext uri="{FF2B5EF4-FFF2-40B4-BE49-F238E27FC236}">
              <a16:creationId xmlns:a16="http://schemas.microsoft.com/office/drawing/2014/main" xmlns="" id="{00000000-0008-0000-0B00-0000C9000000}"/>
            </a:ext>
          </a:extLst>
        </xdr:cNvPr>
        <xdr:cNvSpPr txBox="1">
          <a:spLocks noChangeArrowheads="1"/>
        </xdr:cNvSpPr>
      </xdr:nvSpPr>
      <xdr:spPr bwMode="auto">
        <a:xfrm>
          <a:off x="51869340" y="447675"/>
          <a:ext cx="7729532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58470</xdr:colOff>
      <xdr:row>4</xdr:row>
      <xdr:rowOff>140154</xdr:rowOff>
    </xdr:to>
    <xdr:sp macro="" textlink="">
      <xdr:nvSpPr>
        <xdr:cNvPr id="202" name="checksum">
          <a:extLst>
            <a:ext uri="{FF2B5EF4-FFF2-40B4-BE49-F238E27FC236}">
              <a16:creationId xmlns:a16="http://schemas.microsoft.com/office/drawing/2014/main" xmlns="" id="{00000000-0008-0000-0B00-0000CA000000}"/>
            </a:ext>
          </a:extLst>
        </xdr:cNvPr>
        <xdr:cNvSpPr txBox="1">
          <a:spLocks noChangeArrowheads="1"/>
        </xdr:cNvSpPr>
      </xdr:nvSpPr>
      <xdr:spPr bwMode="auto">
        <a:xfrm>
          <a:off x="51869340" y="666750"/>
          <a:ext cx="676407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77520</xdr:colOff>
      <xdr:row>4</xdr:row>
      <xdr:rowOff>140154</xdr:rowOff>
    </xdr:to>
    <xdr:sp macro="" textlink="">
      <xdr:nvSpPr>
        <xdr:cNvPr id="203" name="checksum">
          <a:extLst>
            <a:ext uri="{FF2B5EF4-FFF2-40B4-BE49-F238E27FC236}">
              <a16:creationId xmlns:a16="http://schemas.microsoft.com/office/drawing/2014/main" xmlns="" id="{00000000-0008-0000-0B00-0000CB000000}"/>
            </a:ext>
          </a:extLst>
        </xdr:cNvPr>
        <xdr:cNvSpPr txBox="1">
          <a:spLocks noChangeArrowheads="1"/>
        </xdr:cNvSpPr>
      </xdr:nvSpPr>
      <xdr:spPr bwMode="auto">
        <a:xfrm>
          <a:off x="51869340" y="666750"/>
          <a:ext cx="678312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45</xdr:col>
      <xdr:colOff>20370</xdr:colOff>
      <xdr:row>4</xdr:row>
      <xdr:rowOff>140154</xdr:rowOff>
    </xdr:to>
    <xdr:sp macro="" textlink="">
      <xdr:nvSpPr>
        <xdr:cNvPr id="204" name="checksum">
          <a:extLst>
            <a:ext uri="{FF2B5EF4-FFF2-40B4-BE49-F238E27FC236}">
              <a16:creationId xmlns:a16="http://schemas.microsoft.com/office/drawing/2014/main" xmlns="" id="{00000000-0008-0000-0B00-0000CC000000}"/>
            </a:ext>
          </a:extLst>
        </xdr:cNvPr>
        <xdr:cNvSpPr txBox="1">
          <a:spLocks noChangeArrowheads="1"/>
        </xdr:cNvSpPr>
      </xdr:nvSpPr>
      <xdr:spPr bwMode="auto">
        <a:xfrm>
          <a:off x="51869340" y="672465"/>
          <a:ext cx="672597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46</xdr:col>
      <xdr:colOff>414332</xdr:colOff>
      <xdr:row>4</xdr:row>
      <xdr:rowOff>121104</xdr:rowOff>
    </xdr:to>
    <xdr:sp macro="" textlink="">
      <xdr:nvSpPr>
        <xdr:cNvPr id="205" name="checksum">
          <a:extLst>
            <a:ext uri="{FF2B5EF4-FFF2-40B4-BE49-F238E27FC236}">
              <a16:creationId xmlns:a16="http://schemas.microsoft.com/office/drawing/2014/main" xmlns="" id="{00000000-0008-0000-0B00-0000CD000000}"/>
            </a:ext>
          </a:extLst>
        </xdr:cNvPr>
        <xdr:cNvSpPr txBox="1">
          <a:spLocks noChangeArrowheads="1"/>
        </xdr:cNvSpPr>
      </xdr:nvSpPr>
      <xdr:spPr bwMode="auto">
        <a:xfrm>
          <a:off x="51869340" y="447675"/>
          <a:ext cx="7729532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58470</xdr:colOff>
      <xdr:row>4</xdr:row>
      <xdr:rowOff>140154</xdr:rowOff>
    </xdr:to>
    <xdr:sp macro="" textlink="">
      <xdr:nvSpPr>
        <xdr:cNvPr id="206" name="checksum">
          <a:extLst>
            <a:ext uri="{FF2B5EF4-FFF2-40B4-BE49-F238E27FC236}">
              <a16:creationId xmlns:a16="http://schemas.microsoft.com/office/drawing/2014/main" xmlns="" id="{00000000-0008-0000-0B00-0000CE000000}"/>
            </a:ext>
          </a:extLst>
        </xdr:cNvPr>
        <xdr:cNvSpPr txBox="1">
          <a:spLocks noChangeArrowheads="1"/>
        </xdr:cNvSpPr>
      </xdr:nvSpPr>
      <xdr:spPr bwMode="auto">
        <a:xfrm>
          <a:off x="51869340" y="666750"/>
          <a:ext cx="676407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77520</xdr:colOff>
      <xdr:row>4</xdr:row>
      <xdr:rowOff>140154</xdr:rowOff>
    </xdr:to>
    <xdr:sp macro="" textlink="">
      <xdr:nvSpPr>
        <xdr:cNvPr id="207" name="checksum">
          <a:extLst>
            <a:ext uri="{FF2B5EF4-FFF2-40B4-BE49-F238E27FC236}">
              <a16:creationId xmlns:a16="http://schemas.microsoft.com/office/drawing/2014/main" xmlns="" id="{00000000-0008-0000-0B00-0000CF000000}"/>
            </a:ext>
          </a:extLst>
        </xdr:cNvPr>
        <xdr:cNvSpPr txBox="1">
          <a:spLocks noChangeArrowheads="1"/>
        </xdr:cNvSpPr>
      </xdr:nvSpPr>
      <xdr:spPr bwMode="auto">
        <a:xfrm>
          <a:off x="51869340" y="666750"/>
          <a:ext cx="678312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45</xdr:col>
      <xdr:colOff>20370</xdr:colOff>
      <xdr:row>4</xdr:row>
      <xdr:rowOff>140154</xdr:rowOff>
    </xdr:to>
    <xdr:sp macro="" textlink="">
      <xdr:nvSpPr>
        <xdr:cNvPr id="208" name="checksum">
          <a:extLst>
            <a:ext uri="{FF2B5EF4-FFF2-40B4-BE49-F238E27FC236}">
              <a16:creationId xmlns:a16="http://schemas.microsoft.com/office/drawing/2014/main" xmlns="" id="{00000000-0008-0000-0B00-0000D0000000}"/>
            </a:ext>
          </a:extLst>
        </xdr:cNvPr>
        <xdr:cNvSpPr txBox="1">
          <a:spLocks noChangeArrowheads="1"/>
        </xdr:cNvSpPr>
      </xdr:nvSpPr>
      <xdr:spPr bwMode="auto">
        <a:xfrm>
          <a:off x="51869340" y="672465"/>
          <a:ext cx="672597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46</xdr:col>
      <xdr:colOff>414333</xdr:colOff>
      <xdr:row>4</xdr:row>
      <xdr:rowOff>121104</xdr:rowOff>
    </xdr:to>
    <xdr:sp macro="" textlink="">
      <xdr:nvSpPr>
        <xdr:cNvPr id="209" name="checksum">
          <a:extLst>
            <a:ext uri="{FF2B5EF4-FFF2-40B4-BE49-F238E27FC236}">
              <a16:creationId xmlns:a16="http://schemas.microsoft.com/office/drawing/2014/main" xmlns="" id="{00000000-0008-0000-0B00-0000D1000000}"/>
            </a:ext>
          </a:extLst>
        </xdr:cNvPr>
        <xdr:cNvSpPr txBox="1">
          <a:spLocks noChangeArrowheads="1"/>
        </xdr:cNvSpPr>
      </xdr:nvSpPr>
      <xdr:spPr bwMode="auto">
        <a:xfrm>
          <a:off x="51869340" y="447675"/>
          <a:ext cx="7729533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58470</xdr:colOff>
      <xdr:row>4</xdr:row>
      <xdr:rowOff>140154</xdr:rowOff>
    </xdr:to>
    <xdr:sp macro="" textlink="">
      <xdr:nvSpPr>
        <xdr:cNvPr id="210" name="checksum">
          <a:extLst>
            <a:ext uri="{FF2B5EF4-FFF2-40B4-BE49-F238E27FC236}">
              <a16:creationId xmlns:a16="http://schemas.microsoft.com/office/drawing/2014/main" xmlns="" id="{00000000-0008-0000-0B00-0000D2000000}"/>
            </a:ext>
          </a:extLst>
        </xdr:cNvPr>
        <xdr:cNvSpPr txBox="1">
          <a:spLocks noChangeArrowheads="1"/>
        </xdr:cNvSpPr>
      </xdr:nvSpPr>
      <xdr:spPr bwMode="auto">
        <a:xfrm>
          <a:off x="51869340" y="666750"/>
          <a:ext cx="676407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77520</xdr:colOff>
      <xdr:row>4</xdr:row>
      <xdr:rowOff>140154</xdr:rowOff>
    </xdr:to>
    <xdr:sp macro="" textlink="">
      <xdr:nvSpPr>
        <xdr:cNvPr id="211" name="checksum">
          <a:extLst>
            <a:ext uri="{FF2B5EF4-FFF2-40B4-BE49-F238E27FC236}">
              <a16:creationId xmlns:a16="http://schemas.microsoft.com/office/drawing/2014/main" xmlns="" id="{00000000-0008-0000-0B00-0000D3000000}"/>
            </a:ext>
          </a:extLst>
        </xdr:cNvPr>
        <xdr:cNvSpPr txBox="1">
          <a:spLocks noChangeArrowheads="1"/>
        </xdr:cNvSpPr>
      </xdr:nvSpPr>
      <xdr:spPr bwMode="auto">
        <a:xfrm>
          <a:off x="51869340" y="666750"/>
          <a:ext cx="678312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45</xdr:col>
      <xdr:colOff>20370</xdr:colOff>
      <xdr:row>4</xdr:row>
      <xdr:rowOff>140154</xdr:rowOff>
    </xdr:to>
    <xdr:sp macro="" textlink="">
      <xdr:nvSpPr>
        <xdr:cNvPr id="212" name="checksum">
          <a:extLst>
            <a:ext uri="{FF2B5EF4-FFF2-40B4-BE49-F238E27FC236}">
              <a16:creationId xmlns:a16="http://schemas.microsoft.com/office/drawing/2014/main" xmlns="" id="{00000000-0008-0000-0B00-0000D4000000}"/>
            </a:ext>
          </a:extLst>
        </xdr:cNvPr>
        <xdr:cNvSpPr txBox="1">
          <a:spLocks noChangeArrowheads="1"/>
        </xdr:cNvSpPr>
      </xdr:nvSpPr>
      <xdr:spPr bwMode="auto">
        <a:xfrm>
          <a:off x="51869340" y="672465"/>
          <a:ext cx="672597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46</xdr:col>
      <xdr:colOff>414333</xdr:colOff>
      <xdr:row>4</xdr:row>
      <xdr:rowOff>121104</xdr:rowOff>
    </xdr:to>
    <xdr:sp macro="" textlink="">
      <xdr:nvSpPr>
        <xdr:cNvPr id="213" name="checksum">
          <a:extLst>
            <a:ext uri="{FF2B5EF4-FFF2-40B4-BE49-F238E27FC236}">
              <a16:creationId xmlns:a16="http://schemas.microsoft.com/office/drawing/2014/main" xmlns="" id="{00000000-0008-0000-0B00-0000D5000000}"/>
            </a:ext>
          </a:extLst>
        </xdr:cNvPr>
        <xdr:cNvSpPr txBox="1">
          <a:spLocks noChangeArrowheads="1"/>
        </xdr:cNvSpPr>
      </xdr:nvSpPr>
      <xdr:spPr bwMode="auto">
        <a:xfrm>
          <a:off x="51869340" y="447675"/>
          <a:ext cx="7729533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58470</xdr:colOff>
      <xdr:row>4</xdr:row>
      <xdr:rowOff>140154</xdr:rowOff>
    </xdr:to>
    <xdr:sp macro="" textlink="">
      <xdr:nvSpPr>
        <xdr:cNvPr id="214" name="checksum">
          <a:extLst>
            <a:ext uri="{FF2B5EF4-FFF2-40B4-BE49-F238E27FC236}">
              <a16:creationId xmlns:a16="http://schemas.microsoft.com/office/drawing/2014/main" xmlns="" id="{00000000-0008-0000-0B00-0000D6000000}"/>
            </a:ext>
          </a:extLst>
        </xdr:cNvPr>
        <xdr:cNvSpPr txBox="1">
          <a:spLocks noChangeArrowheads="1"/>
        </xdr:cNvSpPr>
      </xdr:nvSpPr>
      <xdr:spPr bwMode="auto">
        <a:xfrm>
          <a:off x="51869340" y="666750"/>
          <a:ext cx="676407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77520</xdr:colOff>
      <xdr:row>4</xdr:row>
      <xdr:rowOff>140154</xdr:rowOff>
    </xdr:to>
    <xdr:sp macro="" textlink="">
      <xdr:nvSpPr>
        <xdr:cNvPr id="215" name="checksum">
          <a:extLst>
            <a:ext uri="{FF2B5EF4-FFF2-40B4-BE49-F238E27FC236}">
              <a16:creationId xmlns:a16="http://schemas.microsoft.com/office/drawing/2014/main" xmlns="" id="{00000000-0008-0000-0B00-0000D7000000}"/>
            </a:ext>
          </a:extLst>
        </xdr:cNvPr>
        <xdr:cNvSpPr txBox="1">
          <a:spLocks noChangeArrowheads="1"/>
        </xdr:cNvSpPr>
      </xdr:nvSpPr>
      <xdr:spPr bwMode="auto">
        <a:xfrm>
          <a:off x="51869340" y="666750"/>
          <a:ext cx="678312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45</xdr:col>
      <xdr:colOff>20370</xdr:colOff>
      <xdr:row>4</xdr:row>
      <xdr:rowOff>140154</xdr:rowOff>
    </xdr:to>
    <xdr:sp macro="" textlink="">
      <xdr:nvSpPr>
        <xdr:cNvPr id="216" name="checksum">
          <a:extLst>
            <a:ext uri="{FF2B5EF4-FFF2-40B4-BE49-F238E27FC236}">
              <a16:creationId xmlns:a16="http://schemas.microsoft.com/office/drawing/2014/main" xmlns="" id="{00000000-0008-0000-0B00-0000D8000000}"/>
            </a:ext>
          </a:extLst>
        </xdr:cNvPr>
        <xdr:cNvSpPr txBox="1">
          <a:spLocks noChangeArrowheads="1"/>
        </xdr:cNvSpPr>
      </xdr:nvSpPr>
      <xdr:spPr bwMode="auto">
        <a:xfrm>
          <a:off x="51869340" y="672465"/>
          <a:ext cx="672597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107950</xdr:colOff>
      <xdr:row>10</xdr:row>
      <xdr:rowOff>888093</xdr:rowOff>
    </xdr:to>
    <xdr:sp macro="" textlink="">
      <xdr:nvSpPr>
        <xdr:cNvPr id="217" name="checksum">
          <a:extLst>
            <a:ext uri="{FF2B5EF4-FFF2-40B4-BE49-F238E27FC236}">
              <a16:creationId xmlns:a16="http://schemas.microsoft.com/office/drawing/2014/main" xmlns="" id="{00000000-0008-0000-0B00-0000D9000000}"/>
            </a:ext>
          </a:extLst>
        </xdr:cNvPr>
        <xdr:cNvSpPr txBox="1">
          <a:spLocks noChangeArrowheads="1"/>
        </xdr:cNvSpPr>
      </xdr:nvSpPr>
      <xdr:spPr bwMode="auto">
        <a:xfrm>
          <a:off x="2019300" y="447675"/>
          <a:ext cx="7788910" cy="2514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412750</xdr:colOff>
      <xdr:row>9</xdr:row>
      <xdr:rowOff>87993</xdr:rowOff>
    </xdr:to>
    <xdr:sp macro="" textlink="">
      <xdr:nvSpPr>
        <xdr:cNvPr id="218" name="checksum">
          <a:extLst>
            <a:ext uri="{FF2B5EF4-FFF2-40B4-BE49-F238E27FC236}">
              <a16:creationId xmlns:a16="http://schemas.microsoft.com/office/drawing/2014/main" xmlns="" id="{00000000-0008-0000-0B00-0000DA000000}"/>
            </a:ext>
          </a:extLst>
        </xdr:cNvPr>
        <xdr:cNvSpPr txBox="1">
          <a:spLocks noChangeArrowheads="1"/>
        </xdr:cNvSpPr>
      </xdr:nvSpPr>
      <xdr:spPr bwMode="auto">
        <a:xfrm>
          <a:off x="2019300" y="666750"/>
          <a:ext cx="681355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431800</xdr:colOff>
      <xdr:row>9</xdr:row>
      <xdr:rowOff>87993</xdr:rowOff>
    </xdr:to>
    <xdr:sp macro="" textlink="">
      <xdr:nvSpPr>
        <xdr:cNvPr id="219" name="checksum">
          <a:extLst>
            <a:ext uri="{FF2B5EF4-FFF2-40B4-BE49-F238E27FC236}">
              <a16:creationId xmlns:a16="http://schemas.microsoft.com/office/drawing/2014/main" xmlns="" id="{00000000-0008-0000-0B00-0000DB000000}"/>
            </a:ext>
          </a:extLst>
        </xdr:cNvPr>
        <xdr:cNvSpPr txBox="1">
          <a:spLocks noChangeArrowheads="1"/>
        </xdr:cNvSpPr>
      </xdr:nvSpPr>
      <xdr:spPr bwMode="auto">
        <a:xfrm>
          <a:off x="2019300" y="666750"/>
          <a:ext cx="683260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374650</xdr:colOff>
      <xdr:row>9</xdr:row>
      <xdr:rowOff>87993</xdr:rowOff>
    </xdr:to>
    <xdr:sp macro="" textlink="">
      <xdr:nvSpPr>
        <xdr:cNvPr id="220" name="checksum">
          <a:extLst>
            <a:ext uri="{FF2B5EF4-FFF2-40B4-BE49-F238E27FC236}">
              <a16:creationId xmlns:a16="http://schemas.microsoft.com/office/drawing/2014/main" xmlns="" id="{00000000-0008-0000-0B00-0000DC000000}"/>
            </a:ext>
          </a:extLst>
        </xdr:cNvPr>
        <xdr:cNvSpPr txBox="1">
          <a:spLocks noChangeArrowheads="1"/>
        </xdr:cNvSpPr>
      </xdr:nvSpPr>
      <xdr:spPr bwMode="auto">
        <a:xfrm>
          <a:off x="2019300" y="672465"/>
          <a:ext cx="6775450" cy="13277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682625</xdr:colOff>
      <xdr:row>2</xdr:row>
      <xdr:rowOff>155575</xdr:rowOff>
    </xdr:from>
    <xdr:to>
      <xdr:col>11</xdr:col>
      <xdr:colOff>790575</xdr:colOff>
      <xdr:row>10</xdr:row>
      <xdr:rowOff>1015093</xdr:rowOff>
    </xdr:to>
    <xdr:sp macro="" textlink="">
      <xdr:nvSpPr>
        <xdr:cNvPr id="221" name="checksum">
          <a:extLst>
            <a:ext uri="{FF2B5EF4-FFF2-40B4-BE49-F238E27FC236}">
              <a16:creationId xmlns:a16="http://schemas.microsoft.com/office/drawing/2014/main" xmlns="" id="{00000000-0008-0000-0B00-0000DD000000}"/>
            </a:ext>
          </a:extLst>
        </xdr:cNvPr>
        <xdr:cNvSpPr txBox="1">
          <a:spLocks noChangeArrowheads="1"/>
        </xdr:cNvSpPr>
      </xdr:nvSpPr>
      <xdr:spPr bwMode="auto">
        <a:xfrm>
          <a:off x="6889750" y="600075"/>
          <a:ext cx="7632700" cy="25105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412750</xdr:colOff>
      <xdr:row>9</xdr:row>
      <xdr:rowOff>87993</xdr:rowOff>
    </xdr:to>
    <xdr:sp macro="" textlink="">
      <xdr:nvSpPr>
        <xdr:cNvPr id="222" name="checksum">
          <a:extLst>
            <a:ext uri="{FF2B5EF4-FFF2-40B4-BE49-F238E27FC236}">
              <a16:creationId xmlns:a16="http://schemas.microsoft.com/office/drawing/2014/main" xmlns="" id="{00000000-0008-0000-0B00-0000DE000000}"/>
            </a:ext>
          </a:extLst>
        </xdr:cNvPr>
        <xdr:cNvSpPr txBox="1">
          <a:spLocks noChangeArrowheads="1"/>
        </xdr:cNvSpPr>
      </xdr:nvSpPr>
      <xdr:spPr bwMode="auto">
        <a:xfrm>
          <a:off x="2019300" y="666750"/>
          <a:ext cx="681355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431800</xdr:colOff>
      <xdr:row>9</xdr:row>
      <xdr:rowOff>87993</xdr:rowOff>
    </xdr:to>
    <xdr:sp macro="" textlink="">
      <xdr:nvSpPr>
        <xdr:cNvPr id="223" name="checksum">
          <a:extLst>
            <a:ext uri="{FF2B5EF4-FFF2-40B4-BE49-F238E27FC236}">
              <a16:creationId xmlns:a16="http://schemas.microsoft.com/office/drawing/2014/main" xmlns="" id="{00000000-0008-0000-0B00-0000DF000000}"/>
            </a:ext>
          </a:extLst>
        </xdr:cNvPr>
        <xdr:cNvSpPr txBox="1">
          <a:spLocks noChangeArrowheads="1"/>
        </xdr:cNvSpPr>
      </xdr:nvSpPr>
      <xdr:spPr bwMode="auto">
        <a:xfrm>
          <a:off x="2019300" y="666750"/>
          <a:ext cx="683260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374650</xdr:colOff>
      <xdr:row>9</xdr:row>
      <xdr:rowOff>87993</xdr:rowOff>
    </xdr:to>
    <xdr:sp macro="" textlink="">
      <xdr:nvSpPr>
        <xdr:cNvPr id="224" name="checksum">
          <a:extLst>
            <a:ext uri="{FF2B5EF4-FFF2-40B4-BE49-F238E27FC236}">
              <a16:creationId xmlns:a16="http://schemas.microsoft.com/office/drawing/2014/main" xmlns="" id="{00000000-0008-0000-0B00-0000E0000000}"/>
            </a:ext>
          </a:extLst>
        </xdr:cNvPr>
        <xdr:cNvSpPr txBox="1">
          <a:spLocks noChangeArrowheads="1"/>
        </xdr:cNvSpPr>
      </xdr:nvSpPr>
      <xdr:spPr bwMode="auto">
        <a:xfrm>
          <a:off x="2019300" y="672465"/>
          <a:ext cx="6775450" cy="13277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</xdr:rowOff>
    </xdr:from>
    <xdr:to>
      <xdr:col>13</xdr:col>
      <xdr:colOff>534670</xdr:colOff>
      <xdr:row>10</xdr:row>
      <xdr:rowOff>888093</xdr:rowOff>
    </xdr:to>
    <xdr:sp macro="" textlink="">
      <xdr:nvSpPr>
        <xdr:cNvPr id="225" name="checksum">
          <a:extLst>
            <a:ext uri="{FF2B5EF4-FFF2-40B4-BE49-F238E27FC236}">
              <a16:creationId xmlns:a16="http://schemas.microsoft.com/office/drawing/2014/main" xmlns="" id="{00000000-0008-0000-0B00-0000E1000000}"/>
            </a:ext>
          </a:extLst>
        </xdr:cNvPr>
        <xdr:cNvSpPr txBox="1">
          <a:spLocks noChangeArrowheads="1"/>
        </xdr:cNvSpPr>
      </xdr:nvSpPr>
      <xdr:spPr bwMode="auto">
        <a:xfrm>
          <a:off x="12565380" y="447675"/>
          <a:ext cx="5655310" cy="2514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13</xdr:col>
      <xdr:colOff>6812</xdr:colOff>
      <xdr:row>9</xdr:row>
      <xdr:rowOff>87993</xdr:rowOff>
    </xdr:to>
    <xdr:sp macro="" textlink="">
      <xdr:nvSpPr>
        <xdr:cNvPr id="226" name="checksum">
          <a:extLst>
            <a:ext uri="{FF2B5EF4-FFF2-40B4-BE49-F238E27FC236}">
              <a16:creationId xmlns:a16="http://schemas.microsoft.com/office/drawing/2014/main" xmlns="" id="{00000000-0008-0000-0B00-0000E2000000}"/>
            </a:ext>
          </a:extLst>
        </xdr:cNvPr>
        <xdr:cNvSpPr txBox="1">
          <a:spLocks noChangeArrowheads="1"/>
        </xdr:cNvSpPr>
      </xdr:nvSpPr>
      <xdr:spPr bwMode="auto">
        <a:xfrm>
          <a:off x="12260580" y="666750"/>
          <a:ext cx="5127452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13</xdr:col>
      <xdr:colOff>3002</xdr:colOff>
      <xdr:row>9</xdr:row>
      <xdr:rowOff>87993</xdr:rowOff>
    </xdr:to>
    <xdr:sp macro="" textlink="">
      <xdr:nvSpPr>
        <xdr:cNvPr id="227" name="checksum">
          <a:extLst>
            <a:ext uri="{FF2B5EF4-FFF2-40B4-BE49-F238E27FC236}">
              <a16:creationId xmlns:a16="http://schemas.microsoft.com/office/drawing/2014/main" xmlns="" id="{00000000-0008-0000-0B00-0000E3000000}"/>
            </a:ext>
          </a:extLst>
        </xdr:cNvPr>
        <xdr:cNvSpPr txBox="1">
          <a:spLocks noChangeArrowheads="1"/>
        </xdr:cNvSpPr>
      </xdr:nvSpPr>
      <xdr:spPr bwMode="auto">
        <a:xfrm>
          <a:off x="12260580" y="666750"/>
          <a:ext cx="5123642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13</xdr:col>
      <xdr:colOff>6812</xdr:colOff>
      <xdr:row>9</xdr:row>
      <xdr:rowOff>87993</xdr:rowOff>
    </xdr:to>
    <xdr:sp macro="" textlink="">
      <xdr:nvSpPr>
        <xdr:cNvPr id="228" name="checksum">
          <a:extLst>
            <a:ext uri="{FF2B5EF4-FFF2-40B4-BE49-F238E27FC236}">
              <a16:creationId xmlns:a16="http://schemas.microsoft.com/office/drawing/2014/main" xmlns="" id="{00000000-0008-0000-0B00-0000E4000000}"/>
            </a:ext>
          </a:extLst>
        </xdr:cNvPr>
        <xdr:cNvSpPr txBox="1">
          <a:spLocks noChangeArrowheads="1"/>
        </xdr:cNvSpPr>
      </xdr:nvSpPr>
      <xdr:spPr bwMode="auto">
        <a:xfrm>
          <a:off x="12260580" y="672465"/>
          <a:ext cx="5127452" cy="13277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229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B00-0000E5000000}"/>
            </a:ext>
          </a:extLst>
        </xdr:cNvPr>
        <xdr:cNvSpPr txBox="1">
          <a:spLocks noChangeArrowheads="1"/>
        </xdr:cNvSpPr>
      </xdr:nvSpPr>
      <xdr:spPr bwMode="auto">
        <a:xfrm>
          <a:off x="4579620" y="419100"/>
          <a:ext cx="0" cy="76014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13</xdr:col>
      <xdr:colOff>534670</xdr:colOff>
      <xdr:row>10</xdr:row>
      <xdr:rowOff>888093</xdr:rowOff>
    </xdr:to>
    <xdr:sp macro="" textlink="">
      <xdr:nvSpPr>
        <xdr:cNvPr id="230" name="checksum">
          <a:extLst>
            <a:ext uri="{FF2B5EF4-FFF2-40B4-BE49-F238E27FC236}">
              <a16:creationId xmlns:a16="http://schemas.microsoft.com/office/drawing/2014/main" xmlns="" id="{00000000-0008-0000-0B00-0000E6000000}"/>
            </a:ext>
          </a:extLst>
        </xdr:cNvPr>
        <xdr:cNvSpPr txBox="1">
          <a:spLocks noChangeArrowheads="1"/>
        </xdr:cNvSpPr>
      </xdr:nvSpPr>
      <xdr:spPr bwMode="auto">
        <a:xfrm>
          <a:off x="12565380" y="447675"/>
          <a:ext cx="5655310" cy="2514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13</xdr:col>
      <xdr:colOff>6812</xdr:colOff>
      <xdr:row>9</xdr:row>
      <xdr:rowOff>87993</xdr:rowOff>
    </xdr:to>
    <xdr:sp macro="" textlink="">
      <xdr:nvSpPr>
        <xdr:cNvPr id="231" name="checksum">
          <a:extLst>
            <a:ext uri="{FF2B5EF4-FFF2-40B4-BE49-F238E27FC236}">
              <a16:creationId xmlns:a16="http://schemas.microsoft.com/office/drawing/2014/main" xmlns="" id="{00000000-0008-0000-0B00-0000E7000000}"/>
            </a:ext>
          </a:extLst>
        </xdr:cNvPr>
        <xdr:cNvSpPr txBox="1">
          <a:spLocks noChangeArrowheads="1"/>
        </xdr:cNvSpPr>
      </xdr:nvSpPr>
      <xdr:spPr bwMode="auto">
        <a:xfrm>
          <a:off x="12260580" y="666750"/>
          <a:ext cx="5127452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13</xdr:col>
      <xdr:colOff>3002</xdr:colOff>
      <xdr:row>9</xdr:row>
      <xdr:rowOff>87993</xdr:rowOff>
    </xdr:to>
    <xdr:sp macro="" textlink="">
      <xdr:nvSpPr>
        <xdr:cNvPr id="232" name="checksum">
          <a:extLst>
            <a:ext uri="{FF2B5EF4-FFF2-40B4-BE49-F238E27FC236}">
              <a16:creationId xmlns:a16="http://schemas.microsoft.com/office/drawing/2014/main" xmlns="" id="{00000000-0008-0000-0B00-0000E8000000}"/>
            </a:ext>
          </a:extLst>
        </xdr:cNvPr>
        <xdr:cNvSpPr txBox="1">
          <a:spLocks noChangeArrowheads="1"/>
        </xdr:cNvSpPr>
      </xdr:nvSpPr>
      <xdr:spPr bwMode="auto">
        <a:xfrm>
          <a:off x="12260580" y="666750"/>
          <a:ext cx="5123642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13</xdr:col>
      <xdr:colOff>6812</xdr:colOff>
      <xdr:row>9</xdr:row>
      <xdr:rowOff>87993</xdr:rowOff>
    </xdr:to>
    <xdr:sp macro="" textlink="">
      <xdr:nvSpPr>
        <xdr:cNvPr id="233" name="checksum">
          <a:extLst>
            <a:ext uri="{FF2B5EF4-FFF2-40B4-BE49-F238E27FC236}">
              <a16:creationId xmlns:a16="http://schemas.microsoft.com/office/drawing/2014/main" xmlns="" id="{00000000-0008-0000-0B00-0000E9000000}"/>
            </a:ext>
          </a:extLst>
        </xdr:cNvPr>
        <xdr:cNvSpPr txBox="1">
          <a:spLocks noChangeArrowheads="1"/>
        </xdr:cNvSpPr>
      </xdr:nvSpPr>
      <xdr:spPr bwMode="auto">
        <a:xfrm>
          <a:off x="12260580" y="672465"/>
          <a:ext cx="5127452" cy="13277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234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B00-0000EA000000}"/>
            </a:ext>
          </a:extLst>
        </xdr:cNvPr>
        <xdr:cNvSpPr txBox="1">
          <a:spLocks noChangeArrowheads="1"/>
        </xdr:cNvSpPr>
      </xdr:nvSpPr>
      <xdr:spPr bwMode="auto">
        <a:xfrm>
          <a:off x="4579620" y="419100"/>
          <a:ext cx="0" cy="97917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41</xdr:col>
      <xdr:colOff>0</xdr:colOff>
      <xdr:row>2</xdr:row>
      <xdr:rowOff>28575</xdr:rowOff>
    </xdr:from>
    <xdr:ext cx="7815036" cy="538843"/>
    <xdr:sp macro="" textlink="">
      <xdr:nvSpPr>
        <xdr:cNvPr id="235" name="checksum">
          <a:extLst>
            <a:ext uri="{FF2B5EF4-FFF2-40B4-BE49-F238E27FC236}">
              <a16:creationId xmlns:a16="http://schemas.microsoft.com/office/drawing/2014/main" xmlns="" id="{00000000-0008-0000-0B00-0000EB000000}"/>
            </a:ext>
          </a:extLst>
        </xdr:cNvPr>
        <xdr:cNvSpPr txBox="1">
          <a:spLocks noChangeArrowheads="1"/>
        </xdr:cNvSpPr>
      </xdr:nvSpPr>
      <xdr:spPr bwMode="auto">
        <a:xfrm>
          <a:off x="62415420" y="447675"/>
          <a:ext cx="7815036" cy="538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835323" cy="367393"/>
    <xdr:sp macro="" textlink="">
      <xdr:nvSpPr>
        <xdr:cNvPr id="236" name="checksum">
          <a:extLst>
            <a:ext uri="{FF2B5EF4-FFF2-40B4-BE49-F238E27FC236}">
              <a16:creationId xmlns:a16="http://schemas.microsoft.com/office/drawing/2014/main" xmlns="" id="{00000000-0008-0000-0B00-0000EC000000}"/>
            </a:ext>
          </a:extLst>
        </xdr:cNvPr>
        <xdr:cNvSpPr txBox="1">
          <a:spLocks noChangeArrowheads="1"/>
        </xdr:cNvSpPr>
      </xdr:nvSpPr>
      <xdr:spPr bwMode="auto">
        <a:xfrm>
          <a:off x="62110620" y="666750"/>
          <a:ext cx="6835323" cy="367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854373" cy="367393"/>
    <xdr:sp macro="" textlink="">
      <xdr:nvSpPr>
        <xdr:cNvPr id="237" name="checksum">
          <a:extLst>
            <a:ext uri="{FF2B5EF4-FFF2-40B4-BE49-F238E27FC236}">
              <a16:creationId xmlns:a16="http://schemas.microsoft.com/office/drawing/2014/main" xmlns="" id="{00000000-0008-0000-0B00-0000ED000000}"/>
            </a:ext>
          </a:extLst>
        </xdr:cNvPr>
        <xdr:cNvSpPr txBox="1">
          <a:spLocks noChangeArrowheads="1"/>
        </xdr:cNvSpPr>
      </xdr:nvSpPr>
      <xdr:spPr bwMode="auto">
        <a:xfrm>
          <a:off x="62110620" y="666750"/>
          <a:ext cx="6854373" cy="367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276225</xdr:rowOff>
    </xdr:from>
    <xdr:ext cx="6797223" cy="361678"/>
    <xdr:sp macro="" textlink="">
      <xdr:nvSpPr>
        <xdr:cNvPr id="238" name="checksum">
          <a:extLst>
            <a:ext uri="{FF2B5EF4-FFF2-40B4-BE49-F238E27FC236}">
              <a16:creationId xmlns:a16="http://schemas.microsoft.com/office/drawing/2014/main" xmlns="" id="{00000000-0008-0000-0B00-0000EE000000}"/>
            </a:ext>
          </a:extLst>
        </xdr:cNvPr>
        <xdr:cNvSpPr txBox="1">
          <a:spLocks noChangeArrowheads="1"/>
        </xdr:cNvSpPr>
      </xdr:nvSpPr>
      <xdr:spPr bwMode="auto">
        <a:xfrm>
          <a:off x="62110620" y="672465"/>
          <a:ext cx="6797223" cy="3616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35</xdr:col>
      <xdr:colOff>0</xdr:colOff>
      <xdr:row>2</xdr:row>
      <xdr:rowOff>0</xdr:rowOff>
    </xdr:from>
    <xdr:to>
      <xdr:col>35</xdr:col>
      <xdr:colOff>0</xdr:colOff>
      <xdr:row>4</xdr:row>
      <xdr:rowOff>363906</xdr:rowOff>
    </xdr:to>
    <xdr:sp macro="" textlink="">
      <xdr:nvSpPr>
        <xdr:cNvPr id="239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B00-0000EF000000}"/>
            </a:ext>
          </a:extLst>
        </xdr:cNvPr>
        <xdr:cNvSpPr txBox="1">
          <a:spLocks noChangeArrowheads="1"/>
        </xdr:cNvSpPr>
      </xdr:nvSpPr>
      <xdr:spPr bwMode="auto">
        <a:xfrm>
          <a:off x="54429660" y="419100"/>
          <a:ext cx="0" cy="76014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41</xdr:col>
      <xdr:colOff>0</xdr:colOff>
      <xdr:row>2</xdr:row>
      <xdr:rowOff>1361</xdr:rowOff>
    </xdr:from>
    <xdr:ext cx="7815036" cy="538843"/>
    <xdr:sp macro="" textlink="">
      <xdr:nvSpPr>
        <xdr:cNvPr id="240" name="checksum">
          <a:extLst>
            <a:ext uri="{FF2B5EF4-FFF2-40B4-BE49-F238E27FC236}">
              <a16:creationId xmlns:a16="http://schemas.microsoft.com/office/drawing/2014/main" xmlns="" id="{00000000-0008-0000-0B00-0000F0000000}"/>
            </a:ext>
          </a:extLst>
        </xdr:cNvPr>
        <xdr:cNvSpPr txBox="1">
          <a:spLocks noChangeArrowheads="1"/>
        </xdr:cNvSpPr>
      </xdr:nvSpPr>
      <xdr:spPr bwMode="auto">
        <a:xfrm>
          <a:off x="62456241" y="420461"/>
          <a:ext cx="7815036" cy="538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835323" cy="367393"/>
    <xdr:sp macro="" textlink="">
      <xdr:nvSpPr>
        <xdr:cNvPr id="241" name="checksum">
          <a:extLst>
            <a:ext uri="{FF2B5EF4-FFF2-40B4-BE49-F238E27FC236}">
              <a16:creationId xmlns:a16="http://schemas.microsoft.com/office/drawing/2014/main" xmlns="" id="{00000000-0008-0000-0B00-0000F1000000}"/>
            </a:ext>
          </a:extLst>
        </xdr:cNvPr>
        <xdr:cNvSpPr txBox="1">
          <a:spLocks noChangeArrowheads="1"/>
        </xdr:cNvSpPr>
      </xdr:nvSpPr>
      <xdr:spPr bwMode="auto">
        <a:xfrm>
          <a:off x="62110620" y="666750"/>
          <a:ext cx="6835323" cy="367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854373" cy="367393"/>
    <xdr:sp macro="" textlink="">
      <xdr:nvSpPr>
        <xdr:cNvPr id="242" name="checksum">
          <a:extLst>
            <a:ext uri="{FF2B5EF4-FFF2-40B4-BE49-F238E27FC236}">
              <a16:creationId xmlns:a16="http://schemas.microsoft.com/office/drawing/2014/main" xmlns="" id="{00000000-0008-0000-0B00-0000F2000000}"/>
            </a:ext>
          </a:extLst>
        </xdr:cNvPr>
        <xdr:cNvSpPr txBox="1">
          <a:spLocks noChangeArrowheads="1"/>
        </xdr:cNvSpPr>
      </xdr:nvSpPr>
      <xdr:spPr bwMode="auto">
        <a:xfrm>
          <a:off x="62110620" y="666750"/>
          <a:ext cx="6854373" cy="367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276225</xdr:rowOff>
    </xdr:from>
    <xdr:ext cx="6797223" cy="361678"/>
    <xdr:sp macro="" textlink="">
      <xdr:nvSpPr>
        <xdr:cNvPr id="243" name="checksum">
          <a:extLst>
            <a:ext uri="{FF2B5EF4-FFF2-40B4-BE49-F238E27FC236}">
              <a16:creationId xmlns:a16="http://schemas.microsoft.com/office/drawing/2014/main" xmlns="" id="{00000000-0008-0000-0B00-0000F3000000}"/>
            </a:ext>
          </a:extLst>
        </xdr:cNvPr>
        <xdr:cNvSpPr txBox="1">
          <a:spLocks noChangeArrowheads="1"/>
        </xdr:cNvSpPr>
      </xdr:nvSpPr>
      <xdr:spPr bwMode="auto">
        <a:xfrm>
          <a:off x="62110620" y="672465"/>
          <a:ext cx="6797223" cy="3616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35</xdr:col>
      <xdr:colOff>0</xdr:colOff>
      <xdr:row>2</xdr:row>
      <xdr:rowOff>0</xdr:rowOff>
    </xdr:from>
    <xdr:to>
      <xdr:col>35</xdr:col>
      <xdr:colOff>0</xdr:colOff>
      <xdr:row>5</xdr:row>
      <xdr:rowOff>361950</xdr:rowOff>
    </xdr:to>
    <xdr:sp macro="" textlink="">
      <xdr:nvSpPr>
        <xdr:cNvPr id="244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B00-0000F4000000}"/>
            </a:ext>
          </a:extLst>
        </xdr:cNvPr>
        <xdr:cNvSpPr txBox="1">
          <a:spLocks noChangeArrowheads="1"/>
        </xdr:cNvSpPr>
      </xdr:nvSpPr>
      <xdr:spPr bwMode="auto">
        <a:xfrm>
          <a:off x="54429660" y="419100"/>
          <a:ext cx="0" cy="97917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24</xdr:col>
      <xdr:colOff>107949</xdr:colOff>
      <xdr:row>5</xdr:row>
      <xdr:rowOff>9525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412748</xdr:colOff>
      <xdr:row>4</xdr:row>
      <xdr:rowOff>180975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0C00-00000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431798</xdr:colOff>
      <xdr:row>4</xdr:row>
      <xdr:rowOff>180975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0C00-00000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374648</xdr:colOff>
      <xdr:row>4</xdr:row>
      <xdr:rowOff>180975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107949</xdr:colOff>
      <xdr:row>5</xdr:row>
      <xdr:rowOff>9525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0C00-00000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412748</xdr:colOff>
      <xdr:row>4</xdr:row>
      <xdr:rowOff>180975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0C00-00000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431798</xdr:colOff>
      <xdr:row>4</xdr:row>
      <xdr:rowOff>180975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0C00-00000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374648</xdr:colOff>
      <xdr:row>4</xdr:row>
      <xdr:rowOff>180975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0C00-00000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107950</xdr:colOff>
      <xdr:row>4</xdr:row>
      <xdr:rowOff>66675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0C00-00000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412749</xdr:colOff>
      <xdr:row>4</xdr:row>
      <xdr:rowOff>114300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0C00-00000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431799</xdr:colOff>
      <xdr:row>4</xdr:row>
      <xdr:rowOff>114300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0C00-00000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374649</xdr:colOff>
      <xdr:row>4</xdr:row>
      <xdr:rowOff>114300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0C00-00000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107950</xdr:colOff>
      <xdr:row>4</xdr:row>
      <xdr:rowOff>66675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0C00-00001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412749</xdr:colOff>
      <xdr:row>4</xdr:row>
      <xdr:rowOff>114300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0C00-00001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431799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0C00-00001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374649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:a16="http://schemas.microsoft.com/office/drawing/2014/main" xmlns="" id="{00000000-0008-0000-0C00-00001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4</xdr:row>
      <xdr:rowOff>363906</xdr:rowOff>
    </xdr:to>
    <xdr:sp macro="" textlink="">
      <xdr:nvSpPr>
        <xdr:cNvPr id="2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C00-00001A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5</xdr:row>
      <xdr:rowOff>361950</xdr:rowOff>
    </xdr:to>
    <xdr:sp macro="" textlink="">
      <xdr:nvSpPr>
        <xdr:cNvPr id="3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C00-00001F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3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C00-000024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4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C00-000029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00012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18</xdr:col>
      <xdr:colOff>0</xdr:colOff>
      <xdr:row>2</xdr:row>
      <xdr:rowOff>28575</xdr:rowOff>
    </xdr:from>
    <xdr:to>
      <xdr:col>21</xdr:col>
      <xdr:colOff>1245234</xdr:colOff>
      <xdr:row>5</xdr:row>
      <xdr:rowOff>9525</xdr:rowOff>
    </xdr:to>
    <xdr:sp macro="" textlink="">
      <xdr:nvSpPr>
        <xdr:cNvPr id="22" name="checksum">
          <a:extLst>
            <a:ext uri="{FF2B5EF4-FFF2-40B4-BE49-F238E27FC236}">
              <a16:creationId xmlns:a16="http://schemas.microsoft.com/office/drawing/2014/main" xmlns="" id="{00000000-0008-0000-0C00-000016000000}"/>
            </a:ext>
          </a:extLst>
        </xdr:cNvPr>
        <xdr:cNvSpPr txBox="1">
          <a:spLocks noChangeArrowheads="1"/>
        </xdr:cNvSpPr>
      </xdr:nvSpPr>
      <xdr:spPr bwMode="auto">
        <a:xfrm>
          <a:off x="26342340" y="447675"/>
          <a:ext cx="7788909" cy="750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21</xdr:col>
      <xdr:colOff>298448</xdr:colOff>
      <xdr:row>4</xdr:row>
      <xdr:rowOff>180975</xdr:rowOff>
    </xdr:to>
    <xdr:sp macro="" textlink="">
      <xdr:nvSpPr>
        <xdr:cNvPr id="23" name="checksum">
          <a:extLst>
            <a:ext uri="{FF2B5EF4-FFF2-40B4-BE49-F238E27FC236}">
              <a16:creationId xmlns:a16="http://schemas.microsoft.com/office/drawing/2014/main" xmlns="" id="{00000000-0008-0000-0C00-000017000000}"/>
            </a:ext>
          </a:extLst>
        </xdr:cNvPr>
        <xdr:cNvSpPr txBox="1">
          <a:spLocks noChangeArrowheads="1"/>
        </xdr:cNvSpPr>
      </xdr:nvSpPr>
      <xdr:spPr bwMode="auto">
        <a:xfrm>
          <a:off x="26342340" y="674370"/>
          <a:ext cx="681354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21</xdr:col>
      <xdr:colOff>317498</xdr:colOff>
      <xdr:row>4</xdr:row>
      <xdr:rowOff>180975</xdr:rowOff>
    </xdr:to>
    <xdr:sp macro="" textlink="">
      <xdr:nvSpPr>
        <xdr:cNvPr id="24" name="checksum">
          <a:extLst>
            <a:ext uri="{FF2B5EF4-FFF2-40B4-BE49-F238E27FC236}">
              <a16:creationId xmlns:a16="http://schemas.microsoft.com/office/drawing/2014/main" xmlns="" id="{00000000-0008-0000-0C00-000018000000}"/>
            </a:ext>
          </a:extLst>
        </xdr:cNvPr>
        <xdr:cNvSpPr txBox="1">
          <a:spLocks noChangeArrowheads="1"/>
        </xdr:cNvSpPr>
      </xdr:nvSpPr>
      <xdr:spPr bwMode="auto">
        <a:xfrm>
          <a:off x="26342340" y="674370"/>
          <a:ext cx="683259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21</xdr:col>
      <xdr:colOff>260348</xdr:colOff>
      <xdr:row>4</xdr:row>
      <xdr:rowOff>180975</xdr:rowOff>
    </xdr:to>
    <xdr:sp macro="" textlink="">
      <xdr:nvSpPr>
        <xdr:cNvPr id="25" name="checksum">
          <a:extLst>
            <a:ext uri="{FF2B5EF4-FFF2-40B4-BE49-F238E27FC236}">
              <a16:creationId xmlns:a16="http://schemas.microsoft.com/office/drawing/2014/main" xmlns="" id="{00000000-0008-0000-0C00-000019000000}"/>
            </a:ext>
          </a:extLst>
        </xdr:cNvPr>
        <xdr:cNvSpPr txBox="1">
          <a:spLocks noChangeArrowheads="1"/>
        </xdr:cNvSpPr>
      </xdr:nvSpPr>
      <xdr:spPr bwMode="auto">
        <a:xfrm>
          <a:off x="26342340" y="680085"/>
          <a:ext cx="6775448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21</xdr:col>
      <xdr:colOff>1245234</xdr:colOff>
      <xdr:row>5</xdr:row>
      <xdr:rowOff>9525</xdr:rowOff>
    </xdr:to>
    <xdr:sp macro="" textlink="">
      <xdr:nvSpPr>
        <xdr:cNvPr id="27" name="checksum">
          <a:extLst>
            <a:ext uri="{FF2B5EF4-FFF2-40B4-BE49-F238E27FC236}">
              <a16:creationId xmlns:a16="http://schemas.microsoft.com/office/drawing/2014/main" xmlns="" id="{00000000-0008-0000-0C00-00001B000000}"/>
            </a:ext>
          </a:extLst>
        </xdr:cNvPr>
        <xdr:cNvSpPr txBox="1">
          <a:spLocks noChangeArrowheads="1"/>
        </xdr:cNvSpPr>
      </xdr:nvSpPr>
      <xdr:spPr bwMode="auto">
        <a:xfrm>
          <a:off x="26342340" y="447675"/>
          <a:ext cx="7788909" cy="750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21</xdr:col>
      <xdr:colOff>298448</xdr:colOff>
      <xdr:row>4</xdr:row>
      <xdr:rowOff>180975</xdr:rowOff>
    </xdr:to>
    <xdr:sp macro="" textlink="">
      <xdr:nvSpPr>
        <xdr:cNvPr id="28" name="checksum">
          <a:extLst>
            <a:ext uri="{FF2B5EF4-FFF2-40B4-BE49-F238E27FC236}">
              <a16:creationId xmlns:a16="http://schemas.microsoft.com/office/drawing/2014/main" xmlns="" id="{00000000-0008-0000-0C00-00001C000000}"/>
            </a:ext>
          </a:extLst>
        </xdr:cNvPr>
        <xdr:cNvSpPr txBox="1">
          <a:spLocks noChangeArrowheads="1"/>
        </xdr:cNvSpPr>
      </xdr:nvSpPr>
      <xdr:spPr bwMode="auto">
        <a:xfrm>
          <a:off x="26342340" y="674370"/>
          <a:ext cx="681354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21</xdr:col>
      <xdr:colOff>317498</xdr:colOff>
      <xdr:row>4</xdr:row>
      <xdr:rowOff>180975</xdr:rowOff>
    </xdr:to>
    <xdr:sp macro="" textlink="">
      <xdr:nvSpPr>
        <xdr:cNvPr id="29" name="checksum">
          <a:extLst>
            <a:ext uri="{FF2B5EF4-FFF2-40B4-BE49-F238E27FC236}">
              <a16:creationId xmlns:a16="http://schemas.microsoft.com/office/drawing/2014/main" xmlns="" id="{00000000-0008-0000-0C00-00001D000000}"/>
            </a:ext>
          </a:extLst>
        </xdr:cNvPr>
        <xdr:cNvSpPr txBox="1">
          <a:spLocks noChangeArrowheads="1"/>
        </xdr:cNvSpPr>
      </xdr:nvSpPr>
      <xdr:spPr bwMode="auto">
        <a:xfrm>
          <a:off x="26342340" y="674370"/>
          <a:ext cx="683259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21</xdr:col>
      <xdr:colOff>260348</xdr:colOff>
      <xdr:row>4</xdr:row>
      <xdr:rowOff>180975</xdr:rowOff>
    </xdr:to>
    <xdr:sp macro="" textlink="">
      <xdr:nvSpPr>
        <xdr:cNvPr id="30" name="checksum">
          <a:extLst>
            <a:ext uri="{FF2B5EF4-FFF2-40B4-BE49-F238E27FC236}">
              <a16:creationId xmlns:a16="http://schemas.microsoft.com/office/drawing/2014/main" xmlns="" id="{00000000-0008-0000-0C00-00001E000000}"/>
            </a:ext>
          </a:extLst>
        </xdr:cNvPr>
        <xdr:cNvSpPr txBox="1">
          <a:spLocks noChangeArrowheads="1"/>
        </xdr:cNvSpPr>
      </xdr:nvSpPr>
      <xdr:spPr bwMode="auto">
        <a:xfrm>
          <a:off x="26342340" y="680085"/>
          <a:ext cx="6775448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21</xdr:col>
      <xdr:colOff>1245235</xdr:colOff>
      <xdr:row>4</xdr:row>
      <xdr:rowOff>66675</xdr:rowOff>
    </xdr:to>
    <xdr:sp macro="" textlink="">
      <xdr:nvSpPr>
        <xdr:cNvPr id="32" name="checksum">
          <a:extLst>
            <a:ext uri="{FF2B5EF4-FFF2-40B4-BE49-F238E27FC236}">
              <a16:creationId xmlns:a16="http://schemas.microsoft.com/office/drawing/2014/main" xmlns="" id="{00000000-0008-0000-0C00-000020000000}"/>
            </a:ext>
          </a:extLst>
        </xdr:cNvPr>
        <xdr:cNvSpPr txBox="1">
          <a:spLocks noChangeArrowheads="1"/>
        </xdr:cNvSpPr>
      </xdr:nvSpPr>
      <xdr:spPr bwMode="auto">
        <a:xfrm>
          <a:off x="26342340" y="447675"/>
          <a:ext cx="7788910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21</xdr:col>
      <xdr:colOff>298449</xdr:colOff>
      <xdr:row>4</xdr:row>
      <xdr:rowOff>114300</xdr:rowOff>
    </xdr:to>
    <xdr:sp macro="" textlink="">
      <xdr:nvSpPr>
        <xdr:cNvPr id="33" name="checksum">
          <a:extLst>
            <a:ext uri="{FF2B5EF4-FFF2-40B4-BE49-F238E27FC236}">
              <a16:creationId xmlns:a16="http://schemas.microsoft.com/office/drawing/2014/main" xmlns="" id="{00000000-0008-0000-0C00-000021000000}"/>
            </a:ext>
          </a:extLst>
        </xdr:cNvPr>
        <xdr:cNvSpPr txBox="1">
          <a:spLocks noChangeArrowheads="1"/>
        </xdr:cNvSpPr>
      </xdr:nvSpPr>
      <xdr:spPr bwMode="auto">
        <a:xfrm>
          <a:off x="26342340" y="67437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21</xdr:col>
      <xdr:colOff>317499</xdr:colOff>
      <xdr:row>4</xdr:row>
      <xdr:rowOff>114300</xdr:rowOff>
    </xdr:to>
    <xdr:sp macro="" textlink="">
      <xdr:nvSpPr>
        <xdr:cNvPr id="34" name="checksum">
          <a:extLst>
            <a:ext uri="{FF2B5EF4-FFF2-40B4-BE49-F238E27FC236}">
              <a16:creationId xmlns:a16="http://schemas.microsoft.com/office/drawing/2014/main" xmlns="" id="{00000000-0008-0000-0C00-000022000000}"/>
            </a:ext>
          </a:extLst>
        </xdr:cNvPr>
        <xdr:cNvSpPr txBox="1">
          <a:spLocks noChangeArrowheads="1"/>
        </xdr:cNvSpPr>
      </xdr:nvSpPr>
      <xdr:spPr bwMode="auto">
        <a:xfrm>
          <a:off x="26342340" y="67437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21</xdr:col>
      <xdr:colOff>260349</xdr:colOff>
      <xdr:row>4</xdr:row>
      <xdr:rowOff>114300</xdr:rowOff>
    </xdr:to>
    <xdr:sp macro="" textlink="">
      <xdr:nvSpPr>
        <xdr:cNvPr id="35" name="checksum">
          <a:extLst>
            <a:ext uri="{FF2B5EF4-FFF2-40B4-BE49-F238E27FC236}">
              <a16:creationId xmlns:a16="http://schemas.microsoft.com/office/drawing/2014/main" xmlns="" id="{00000000-0008-0000-0C00-000023000000}"/>
            </a:ext>
          </a:extLst>
        </xdr:cNvPr>
        <xdr:cNvSpPr txBox="1">
          <a:spLocks noChangeArrowheads="1"/>
        </xdr:cNvSpPr>
      </xdr:nvSpPr>
      <xdr:spPr bwMode="auto">
        <a:xfrm>
          <a:off x="26342340" y="68008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21</xdr:col>
      <xdr:colOff>1245235</xdr:colOff>
      <xdr:row>4</xdr:row>
      <xdr:rowOff>66675</xdr:rowOff>
    </xdr:to>
    <xdr:sp macro="" textlink="">
      <xdr:nvSpPr>
        <xdr:cNvPr id="37" name="checksum">
          <a:extLst>
            <a:ext uri="{FF2B5EF4-FFF2-40B4-BE49-F238E27FC236}">
              <a16:creationId xmlns:a16="http://schemas.microsoft.com/office/drawing/2014/main" xmlns="" id="{00000000-0008-0000-0C00-000025000000}"/>
            </a:ext>
          </a:extLst>
        </xdr:cNvPr>
        <xdr:cNvSpPr txBox="1">
          <a:spLocks noChangeArrowheads="1"/>
        </xdr:cNvSpPr>
      </xdr:nvSpPr>
      <xdr:spPr bwMode="auto">
        <a:xfrm>
          <a:off x="26342340" y="447675"/>
          <a:ext cx="7788910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21</xdr:col>
      <xdr:colOff>298449</xdr:colOff>
      <xdr:row>4</xdr:row>
      <xdr:rowOff>114300</xdr:rowOff>
    </xdr:to>
    <xdr:sp macro="" textlink="">
      <xdr:nvSpPr>
        <xdr:cNvPr id="38" name="checksum">
          <a:extLst>
            <a:ext uri="{FF2B5EF4-FFF2-40B4-BE49-F238E27FC236}">
              <a16:creationId xmlns:a16="http://schemas.microsoft.com/office/drawing/2014/main" xmlns="" id="{00000000-0008-0000-0C00-000026000000}"/>
            </a:ext>
          </a:extLst>
        </xdr:cNvPr>
        <xdr:cNvSpPr txBox="1">
          <a:spLocks noChangeArrowheads="1"/>
        </xdr:cNvSpPr>
      </xdr:nvSpPr>
      <xdr:spPr bwMode="auto">
        <a:xfrm>
          <a:off x="26342340" y="67437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21</xdr:col>
      <xdr:colOff>317499</xdr:colOff>
      <xdr:row>4</xdr:row>
      <xdr:rowOff>114300</xdr:rowOff>
    </xdr:to>
    <xdr:sp macro="" textlink="">
      <xdr:nvSpPr>
        <xdr:cNvPr id="39" name="checksum">
          <a:extLst>
            <a:ext uri="{FF2B5EF4-FFF2-40B4-BE49-F238E27FC236}">
              <a16:creationId xmlns:a16="http://schemas.microsoft.com/office/drawing/2014/main" xmlns="" id="{00000000-0008-0000-0C00-000027000000}"/>
            </a:ext>
          </a:extLst>
        </xdr:cNvPr>
        <xdr:cNvSpPr txBox="1">
          <a:spLocks noChangeArrowheads="1"/>
        </xdr:cNvSpPr>
      </xdr:nvSpPr>
      <xdr:spPr bwMode="auto">
        <a:xfrm>
          <a:off x="26342340" y="67437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21</xdr:col>
      <xdr:colOff>260349</xdr:colOff>
      <xdr:row>4</xdr:row>
      <xdr:rowOff>114300</xdr:rowOff>
    </xdr:to>
    <xdr:sp macro="" textlink="">
      <xdr:nvSpPr>
        <xdr:cNvPr id="40" name="checksum">
          <a:extLst>
            <a:ext uri="{FF2B5EF4-FFF2-40B4-BE49-F238E27FC236}">
              <a16:creationId xmlns:a16="http://schemas.microsoft.com/office/drawing/2014/main" xmlns="" id="{00000000-0008-0000-0C00-000028000000}"/>
            </a:ext>
          </a:extLst>
        </xdr:cNvPr>
        <xdr:cNvSpPr txBox="1">
          <a:spLocks noChangeArrowheads="1"/>
        </xdr:cNvSpPr>
      </xdr:nvSpPr>
      <xdr:spPr bwMode="auto">
        <a:xfrm>
          <a:off x="26342340" y="68008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4</xdr:row>
      <xdr:rowOff>363906</xdr:rowOff>
    </xdr:to>
    <xdr:sp macro="" textlink="">
      <xdr:nvSpPr>
        <xdr:cNvPr id="42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C00-00002A000000}"/>
            </a:ext>
          </a:extLst>
        </xdr:cNvPr>
        <xdr:cNvSpPr txBox="1">
          <a:spLocks noChangeArrowheads="1"/>
        </xdr:cNvSpPr>
      </xdr:nvSpPr>
      <xdr:spPr bwMode="auto">
        <a:xfrm>
          <a:off x="28902660" y="419100"/>
          <a:ext cx="0" cy="76776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5</xdr:row>
      <xdr:rowOff>361950</xdr:rowOff>
    </xdr:to>
    <xdr:sp macro="" textlink="">
      <xdr:nvSpPr>
        <xdr:cNvPr id="43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C00-00002B000000}"/>
            </a:ext>
          </a:extLst>
        </xdr:cNvPr>
        <xdr:cNvSpPr txBox="1">
          <a:spLocks noChangeArrowheads="1"/>
        </xdr:cNvSpPr>
      </xdr:nvSpPr>
      <xdr:spPr bwMode="auto">
        <a:xfrm>
          <a:off x="28902660" y="419100"/>
          <a:ext cx="0" cy="98679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4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C00-00002C000000}"/>
            </a:ext>
          </a:extLst>
        </xdr:cNvPr>
        <xdr:cNvSpPr txBox="1">
          <a:spLocks noChangeArrowheads="1"/>
        </xdr:cNvSpPr>
      </xdr:nvSpPr>
      <xdr:spPr bwMode="auto">
        <a:xfrm>
          <a:off x="4579620" y="419100"/>
          <a:ext cx="0" cy="76776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45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C00-00002D000000}"/>
            </a:ext>
          </a:extLst>
        </xdr:cNvPr>
        <xdr:cNvSpPr txBox="1">
          <a:spLocks noChangeArrowheads="1"/>
        </xdr:cNvSpPr>
      </xdr:nvSpPr>
      <xdr:spPr bwMode="auto">
        <a:xfrm>
          <a:off x="4579620" y="419100"/>
          <a:ext cx="0" cy="98679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34</xdr:col>
      <xdr:colOff>0</xdr:colOff>
      <xdr:row>2</xdr:row>
      <xdr:rowOff>28575</xdr:rowOff>
    </xdr:from>
    <xdr:ext cx="7815035" cy="753836"/>
    <xdr:sp macro="" textlink="">
      <xdr:nvSpPr>
        <xdr:cNvPr id="46" name="checksum">
          <a:extLst>
            <a:ext uri="{FF2B5EF4-FFF2-40B4-BE49-F238E27FC236}">
              <a16:creationId xmlns:a16="http://schemas.microsoft.com/office/drawing/2014/main" xmlns="" id="{00000000-0008-0000-0C00-00002E000000}"/>
            </a:ext>
          </a:extLst>
        </xdr:cNvPr>
        <xdr:cNvSpPr txBox="1">
          <a:spLocks noChangeArrowheads="1"/>
        </xdr:cNvSpPr>
      </xdr:nvSpPr>
      <xdr:spPr bwMode="auto">
        <a:xfrm>
          <a:off x="49385220" y="447675"/>
          <a:ext cx="7815035" cy="753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35320" cy="437334"/>
    <xdr:sp macro="" textlink="">
      <xdr:nvSpPr>
        <xdr:cNvPr id="47" name="checksum">
          <a:extLst>
            <a:ext uri="{FF2B5EF4-FFF2-40B4-BE49-F238E27FC236}">
              <a16:creationId xmlns:a16="http://schemas.microsoft.com/office/drawing/2014/main" xmlns="" id="{00000000-0008-0000-0C00-00002F000000}"/>
            </a:ext>
          </a:extLst>
        </xdr:cNvPr>
        <xdr:cNvSpPr txBox="1">
          <a:spLocks noChangeArrowheads="1"/>
        </xdr:cNvSpPr>
      </xdr:nvSpPr>
      <xdr:spPr bwMode="auto">
        <a:xfrm>
          <a:off x="49385220" y="674370"/>
          <a:ext cx="6835320" cy="437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54370" cy="437334"/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0C00-000030000000}"/>
            </a:ext>
          </a:extLst>
        </xdr:cNvPr>
        <xdr:cNvSpPr txBox="1">
          <a:spLocks noChangeArrowheads="1"/>
        </xdr:cNvSpPr>
      </xdr:nvSpPr>
      <xdr:spPr bwMode="auto">
        <a:xfrm>
          <a:off x="49385220" y="674370"/>
          <a:ext cx="6854370" cy="437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276225</xdr:rowOff>
    </xdr:from>
    <xdr:ext cx="6797220" cy="431619"/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0C00-000031000000}"/>
            </a:ext>
          </a:extLst>
        </xdr:cNvPr>
        <xdr:cNvSpPr txBox="1">
          <a:spLocks noChangeArrowheads="1"/>
        </xdr:cNvSpPr>
      </xdr:nvSpPr>
      <xdr:spPr bwMode="auto">
        <a:xfrm>
          <a:off x="49385220" y="680085"/>
          <a:ext cx="6797220" cy="4316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</xdr:rowOff>
    </xdr:from>
    <xdr:ext cx="7815035" cy="753836"/>
    <xdr:sp macro="" textlink="">
      <xdr:nvSpPr>
        <xdr:cNvPr id="50" name="checksum">
          <a:extLst>
            <a:ext uri="{FF2B5EF4-FFF2-40B4-BE49-F238E27FC236}">
              <a16:creationId xmlns:a16="http://schemas.microsoft.com/office/drawing/2014/main" xmlns="" id="{00000000-0008-0000-0C00-000032000000}"/>
            </a:ext>
          </a:extLst>
        </xdr:cNvPr>
        <xdr:cNvSpPr txBox="1">
          <a:spLocks noChangeArrowheads="1"/>
        </xdr:cNvSpPr>
      </xdr:nvSpPr>
      <xdr:spPr bwMode="auto">
        <a:xfrm>
          <a:off x="49385220" y="447675"/>
          <a:ext cx="7815035" cy="753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35320" cy="437334"/>
    <xdr:sp macro="" textlink="">
      <xdr:nvSpPr>
        <xdr:cNvPr id="51" name="checksum">
          <a:extLst>
            <a:ext uri="{FF2B5EF4-FFF2-40B4-BE49-F238E27FC236}">
              <a16:creationId xmlns:a16="http://schemas.microsoft.com/office/drawing/2014/main" xmlns="" id="{00000000-0008-0000-0C00-000033000000}"/>
            </a:ext>
          </a:extLst>
        </xdr:cNvPr>
        <xdr:cNvSpPr txBox="1">
          <a:spLocks noChangeArrowheads="1"/>
        </xdr:cNvSpPr>
      </xdr:nvSpPr>
      <xdr:spPr bwMode="auto">
        <a:xfrm>
          <a:off x="49385220" y="674370"/>
          <a:ext cx="6835320" cy="437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54370" cy="437334"/>
    <xdr:sp macro="" textlink="">
      <xdr:nvSpPr>
        <xdr:cNvPr id="52" name="checksum">
          <a:extLst>
            <a:ext uri="{FF2B5EF4-FFF2-40B4-BE49-F238E27FC236}">
              <a16:creationId xmlns:a16="http://schemas.microsoft.com/office/drawing/2014/main" xmlns="" id="{00000000-0008-0000-0C00-000034000000}"/>
            </a:ext>
          </a:extLst>
        </xdr:cNvPr>
        <xdr:cNvSpPr txBox="1">
          <a:spLocks noChangeArrowheads="1"/>
        </xdr:cNvSpPr>
      </xdr:nvSpPr>
      <xdr:spPr bwMode="auto">
        <a:xfrm>
          <a:off x="49385220" y="674370"/>
          <a:ext cx="6854370" cy="437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276225</xdr:rowOff>
    </xdr:from>
    <xdr:ext cx="6797220" cy="431619"/>
    <xdr:sp macro="" textlink="">
      <xdr:nvSpPr>
        <xdr:cNvPr id="53" name="checksum">
          <a:extLst>
            <a:ext uri="{FF2B5EF4-FFF2-40B4-BE49-F238E27FC236}">
              <a16:creationId xmlns:a16="http://schemas.microsoft.com/office/drawing/2014/main" xmlns="" id="{00000000-0008-0000-0C00-000035000000}"/>
            </a:ext>
          </a:extLst>
        </xdr:cNvPr>
        <xdr:cNvSpPr txBox="1">
          <a:spLocks noChangeArrowheads="1"/>
        </xdr:cNvSpPr>
      </xdr:nvSpPr>
      <xdr:spPr bwMode="auto">
        <a:xfrm>
          <a:off x="49385220" y="680085"/>
          <a:ext cx="6797220" cy="4316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</xdr:rowOff>
    </xdr:from>
    <xdr:ext cx="7815036" cy="549729"/>
    <xdr:sp macro="" textlink="">
      <xdr:nvSpPr>
        <xdr:cNvPr id="54" name="checksum">
          <a:extLst>
            <a:ext uri="{FF2B5EF4-FFF2-40B4-BE49-F238E27FC236}">
              <a16:creationId xmlns:a16="http://schemas.microsoft.com/office/drawing/2014/main" xmlns="" id="{00000000-0008-0000-0C00-000036000000}"/>
            </a:ext>
          </a:extLst>
        </xdr:cNvPr>
        <xdr:cNvSpPr txBox="1">
          <a:spLocks noChangeArrowheads="1"/>
        </xdr:cNvSpPr>
      </xdr:nvSpPr>
      <xdr:spPr bwMode="auto">
        <a:xfrm>
          <a:off x="49385220" y="447675"/>
          <a:ext cx="7815036" cy="5497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35321" cy="370659"/>
    <xdr:sp macro="" textlink="">
      <xdr:nvSpPr>
        <xdr:cNvPr id="55" name="checksum">
          <a:extLst>
            <a:ext uri="{FF2B5EF4-FFF2-40B4-BE49-F238E27FC236}">
              <a16:creationId xmlns:a16="http://schemas.microsoft.com/office/drawing/2014/main" xmlns="" id="{00000000-0008-0000-0C00-000037000000}"/>
            </a:ext>
          </a:extLst>
        </xdr:cNvPr>
        <xdr:cNvSpPr txBox="1">
          <a:spLocks noChangeArrowheads="1"/>
        </xdr:cNvSpPr>
      </xdr:nvSpPr>
      <xdr:spPr bwMode="auto">
        <a:xfrm>
          <a:off x="49385220" y="674370"/>
          <a:ext cx="6835321" cy="370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54371" cy="370659"/>
    <xdr:sp macro="" textlink="">
      <xdr:nvSpPr>
        <xdr:cNvPr id="56" name="checksum">
          <a:extLst>
            <a:ext uri="{FF2B5EF4-FFF2-40B4-BE49-F238E27FC236}">
              <a16:creationId xmlns:a16="http://schemas.microsoft.com/office/drawing/2014/main" xmlns="" id="{00000000-0008-0000-0C00-000038000000}"/>
            </a:ext>
          </a:extLst>
        </xdr:cNvPr>
        <xdr:cNvSpPr txBox="1">
          <a:spLocks noChangeArrowheads="1"/>
        </xdr:cNvSpPr>
      </xdr:nvSpPr>
      <xdr:spPr bwMode="auto">
        <a:xfrm>
          <a:off x="49385220" y="674370"/>
          <a:ext cx="6854371" cy="370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276225</xdr:rowOff>
    </xdr:from>
    <xdr:ext cx="6797221" cy="364944"/>
    <xdr:sp macro="" textlink="">
      <xdr:nvSpPr>
        <xdr:cNvPr id="57" name="checksum">
          <a:extLst>
            <a:ext uri="{FF2B5EF4-FFF2-40B4-BE49-F238E27FC236}">
              <a16:creationId xmlns:a16="http://schemas.microsoft.com/office/drawing/2014/main" xmlns="" id="{00000000-0008-0000-0C00-000039000000}"/>
            </a:ext>
          </a:extLst>
        </xdr:cNvPr>
        <xdr:cNvSpPr txBox="1">
          <a:spLocks noChangeArrowheads="1"/>
        </xdr:cNvSpPr>
      </xdr:nvSpPr>
      <xdr:spPr bwMode="auto">
        <a:xfrm>
          <a:off x="49385220" y="680085"/>
          <a:ext cx="6797221" cy="3649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</xdr:rowOff>
    </xdr:from>
    <xdr:ext cx="7815036" cy="549729"/>
    <xdr:sp macro="" textlink="">
      <xdr:nvSpPr>
        <xdr:cNvPr id="58" name="checksum">
          <a:extLst>
            <a:ext uri="{FF2B5EF4-FFF2-40B4-BE49-F238E27FC236}">
              <a16:creationId xmlns:a16="http://schemas.microsoft.com/office/drawing/2014/main" xmlns="" id="{00000000-0008-0000-0C00-00003A000000}"/>
            </a:ext>
          </a:extLst>
        </xdr:cNvPr>
        <xdr:cNvSpPr txBox="1">
          <a:spLocks noChangeArrowheads="1"/>
        </xdr:cNvSpPr>
      </xdr:nvSpPr>
      <xdr:spPr bwMode="auto">
        <a:xfrm>
          <a:off x="49385220" y="447675"/>
          <a:ext cx="7815036" cy="5497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35321" cy="370659"/>
    <xdr:sp macro="" textlink="">
      <xdr:nvSpPr>
        <xdr:cNvPr id="59" name="checksum">
          <a:extLst>
            <a:ext uri="{FF2B5EF4-FFF2-40B4-BE49-F238E27FC236}">
              <a16:creationId xmlns:a16="http://schemas.microsoft.com/office/drawing/2014/main" xmlns="" id="{00000000-0008-0000-0C00-00003B000000}"/>
            </a:ext>
          </a:extLst>
        </xdr:cNvPr>
        <xdr:cNvSpPr txBox="1">
          <a:spLocks noChangeArrowheads="1"/>
        </xdr:cNvSpPr>
      </xdr:nvSpPr>
      <xdr:spPr bwMode="auto">
        <a:xfrm>
          <a:off x="49385220" y="674370"/>
          <a:ext cx="6835321" cy="370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54371" cy="370659"/>
    <xdr:sp macro="" textlink="">
      <xdr:nvSpPr>
        <xdr:cNvPr id="60" name="checksum">
          <a:extLst>
            <a:ext uri="{FF2B5EF4-FFF2-40B4-BE49-F238E27FC236}">
              <a16:creationId xmlns:a16="http://schemas.microsoft.com/office/drawing/2014/main" xmlns="" id="{00000000-0008-0000-0C00-00003C000000}"/>
            </a:ext>
          </a:extLst>
        </xdr:cNvPr>
        <xdr:cNvSpPr txBox="1">
          <a:spLocks noChangeArrowheads="1"/>
        </xdr:cNvSpPr>
      </xdr:nvSpPr>
      <xdr:spPr bwMode="auto">
        <a:xfrm>
          <a:off x="49385220" y="674370"/>
          <a:ext cx="6854371" cy="370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276225</xdr:rowOff>
    </xdr:from>
    <xdr:ext cx="6797221" cy="364944"/>
    <xdr:sp macro="" textlink="">
      <xdr:nvSpPr>
        <xdr:cNvPr id="61" name="checksum">
          <a:extLst>
            <a:ext uri="{FF2B5EF4-FFF2-40B4-BE49-F238E27FC236}">
              <a16:creationId xmlns:a16="http://schemas.microsoft.com/office/drawing/2014/main" xmlns="" id="{00000000-0008-0000-0C00-00003D000000}"/>
            </a:ext>
          </a:extLst>
        </xdr:cNvPr>
        <xdr:cNvSpPr txBox="1">
          <a:spLocks noChangeArrowheads="1"/>
        </xdr:cNvSpPr>
      </xdr:nvSpPr>
      <xdr:spPr bwMode="auto">
        <a:xfrm>
          <a:off x="49385220" y="680085"/>
          <a:ext cx="6797221" cy="3649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35</xdr:col>
      <xdr:colOff>0</xdr:colOff>
      <xdr:row>2</xdr:row>
      <xdr:rowOff>0</xdr:rowOff>
    </xdr:from>
    <xdr:to>
      <xdr:col>35</xdr:col>
      <xdr:colOff>0</xdr:colOff>
      <xdr:row>4</xdr:row>
      <xdr:rowOff>363906</xdr:rowOff>
    </xdr:to>
    <xdr:sp macro="" textlink="">
      <xdr:nvSpPr>
        <xdr:cNvPr id="62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C00-00003E000000}"/>
            </a:ext>
          </a:extLst>
        </xdr:cNvPr>
        <xdr:cNvSpPr txBox="1">
          <a:spLocks noChangeArrowheads="1"/>
        </xdr:cNvSpPr>
      </xdr:nvSpPr>
      <xdr:spPr bwMode="auto">
        <a:xfrm>
          <a:off x="54429660" y="419100"/>
          <a:ext cx="0" cy="76776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35</xdr:col>
      <xdr:colOff>0</xdr:colOff>
      <xdr:row>2</xdr:row>
      <xdr:rowOff>0</xdr:rowOff>
    </xdr:from>
    <xdr:to>
      <xdr:col>35</xdr:col>
      <xdr:colOff>0</xdr:colOff>
      <xdr:row>5</xdr:row>
      <xdr:rowOff>361950</xdr:rowOff>
    </xdr:to>
    <xdr:sp macro="" textlink="">
      <xdr:nvSpPr>
        <xdr:cNvPr id="63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C00-00003F000000}"/>
            </a:ext>
          </a:extLst>
        </xdr:cNvPr>
        <xdr:cNvSpPr txBox="1">
          <a:spLocks noChangeArrowheads="1"/>
        </xdr:cNvSpPr>
      </xdr:nvSpPr>
      <xdr:spPr bwMode="auto">
        <a:xfrm>
          <a:off x="54429660" y="419100"/>
          <a:ext cx="0" cy="98679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24</xdr:col>
      <xdr:colOff>107950</xdr:colOff>
      <xdr:row>5</xdr:row>
      <xdr:rowOff>9525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412748</xdr:colOff>
      <xdr:row>4</xdr:row>
      <xdr:rowOff>180975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431798</xdr:colOff>
      <xdr:row>4</xdr:row>
      <xdr:rowOff>180975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374648</xdr:colOff>
      <xdr:row>4</xdr:row>
      <xdr:rowOff>180975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0D00-00000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107950</xdr:colOff>
      <xdr:row>5</xdr:row>
      <xdr:rowOff>9525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412748</xdr:colOff>
      <xdr:row>4</xdr:row>
      <xdr:rowOff>180975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0D00-00000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431798</xdr:colOff>
      <xdr:row>4</xdr:row>
      <xdr:rowOff>180975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0D00-00000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374648</xdr:colOff>
      <xdr:row>4</xdr:row>
      <xdr:rowOff>180975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0D00-00000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</xdr:rowOff>
    </xdr:from>
    <xdr:to>
      <xdr:col>31</xdr:col>
      <xdr:colOff>107950</xdr:colOff>
      <xdr:row>4</xdr:row>
      <xdr:rowOff>66675</xdr:rowOff>
    </xdr:to>
    <xdr:sp macro="" textlink="">
      <xdr:nvSpPr>
        <xdr:cNvPr id="22" name="checksum">
          <a:extLst>
            <a:ext uri="{FF2B5EF4-FFF2-40B4-BE49-F238E27FC236}">
              <a16:creationId xmlns:a16="http://schemas.microsoft.com/office/drawing/2014/main" xmlns="" id="{00000000-0008-0000-0D00-000016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412750</xdr:colOff>
      <xdr:row>4</xdr:row>
      <xdr:rowOff>114300</xdr:rowOff>
    </xdr:to>
    <xdr:sp macro="" textlink="">
      <xdr:nvSpPr>
        <xdr:cNvPr id="23" name="checksum">
          <a:extLst>
            <a:ext uri="{FF2B5EF4-FFF2-40B4-BE49-F238E27FC236}">
              <a16:creationId xmlns:a16="http://schemas.microsoft.com/office/drawing/2014/main" xmlns="" id="{00000000-0008-0000-0D00-00001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431800</xdr:colOff>
      <xdr:row>4</xdr:row>
      <xdr:rowOff>114300</xdr:rowOff>
    </xdr:to>
    <xdr:sp macro="" textlink="">
      <xdr:nvSpPr>
        <xdr:cNvPr id="24" name="checksum">
          <a:extLst>
            <a:ext uri="{FF2B5EF4-FFF2-40B4-BE49-F238E27FC236}">
              <a16:creationId xmlns:a16="http://schemas.microsoft.com/office/drawing/2014/main" xmlns="" id="{00000000-0008-0000-0D00-00001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374650</xdr:colOff>
      <xdr:row>4</xdr:row>
      <xdr:rowOff>114300</xdr:rowOff>
    </xdr:to>
    <xdr:sp macro="" textlink="">
      <xdr:nvSpPr>
        <xdr:cNvPr id="25" name="checksum">
          <a:extLst>
            <a:ext uri="{FF2B5EF4-FFF2-40B4-BE49-F238E27FC236}">
              <a16:creationId xmlns:a16="http://schemas.microsoft.com/office/drawing/2014/main" xmlns="" id="{00000000-0008-0000-0D00-00001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4</xdr:row>
      <xdr:rowOff>363906</xdr:rowOff>
    </xdr:to>
    <xdr:sp macro="" textlink="">
      <xdr:nvSpPr>
        <xdr:cNvPr id="2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D00-00001A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25</xdr:col>
      <xdr:colOff>0</xdr:colOff>
      <xdr:row>2</xdr:row>
      <xdr:rowOff>28575</xdr:rowOff>
    </xdr:from>
    <xdr:to>
      <xdr:col>31</xdr:col>
      <xdr:colOff>107950</xdr:colOff>
      <xdr:row>4</xdr:row>
      <xdr:rowOff>66675</xdr:rowOff>
    </xdr:to>
    <xdr:sp macro="" textlink="">
      <xdr:nvSpPr>
        <xdr:cNvPr id="27" name="checksum">
          <a:extLst>
            <a:ext uri="{FF2B5EF4-FFF2-40B4-BE49-F238E27FC236}">
              <a16:creationId xmlns:a16="http://schemas.microsoft.com/office/drawing/2014/main" xmlns="" id="{00000000-0008-0000-0D00-00001B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412750</xdr:colOff>
      <xdr:row>4</xdr:row>
      <xdr:rowOff>114300</xdr:rowOff>
    </xdr:to>
    <xdr:sp macro="" textlink="">
      <xdr:nvSpPr>
        <xdr:cNvPr id="28" name="checksum">
          <a:extLst>
            <a:ext uri="{FF2B5EF4-FFF2-40B4-BE49-F238E27FC236}">
              <a16:creationId xmlns:a16="http://schemas.microsoft.com/office/drawing/2014/main" xmlns="" id="{00000000-0008-0000-0D00-00001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431800</xdr:colOff>
      <xdr:row>4</xdr:row>
      <xdr:rowOff>114300</xdr:rowOff>
    </xdr:to>
    <xdr:sp macro="" textlink="">
      <xdr:nvSpPr>
        <xdr:cNvPr id="29" name="checksum">
          <a:extLst>
            <a:ext uri="{FF2B5EF4-FFF2-40B4-BE49-F238E27FC236}">
              <a16:creationId xmlns:a16="http://schemas.microsoft.com/office/drawing/2014/main" xmlns="" id="{00000000-0008-0000-0D00-00001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374650</xdr:colOff>
      <xdr:row>4</xdr:row>
      <xdr:rowOff>114300</xdr:rowOff>
    </xdr:to>
    <xdr:sp macro="" textlink="">
      <xdr:nvSpPr>
        <xdr:cNvPr id="30" name="checksum">
          <a:extLst>
            <a:ext uri="{FF2B5EF4-FFF2-40B4-BE49-F238E27FC236}">
              <a16:creationId xmlns:a16="http://schemas.microsoft.com/office/drawing/2014/main" xmlns="" id="{00000000-0008-0000-0D00-00001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5</xdr:row>
      <xdr:rowOff>361950</xdr:rowOff>
    </xdr:to>
    <xdr:sp macro="" textlink="">
      <xdr:nvSpPr>
        <xdr:cNvPr id="3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D00-00001F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48573</xdr:colOff>
      <xdr:row>4</xdr:row>
      <xdr:rowOff>66675</xdr:rowOff>
    </xdr:to>
    <xdr:sp macro="" textlink="">
      <xdr:nvSpPr>
        <xdr:cNvPr id="32" name="checksum">
          <a:extLst>
            <a:ext uri="{FF2B5EF4-FFF2-40B4-BE49-F238E27FC236}">
              <a16:creationId xmlns:a16="http://schemas.microsoft.com/office/drawing/2014/main" xmlns="" id="{00000000-0008-0000-0D00-000020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363270</xdr:colOff>
      <xdr:row>4</xdr:row>
      <xdr:rowOff>114300</xdr:rowOff>
    </xdr:to>
    <xdr:sp macro="" textlink="">
      <xdr:nvSpPr>
        <xdr:cNvPr id="33" name="checksum">
          <a:extLst>
            <a:ext uri="{FF2B5EF4-FFF2-40B4-BE49-F238E27FC236}">
              <a16:creationId xmlns:a16="http://schemas.microsoft.com/office/drawing/2014/main" xmlns="" id="{00000000-0008-0000-0D00-00002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382320</xdr:colOff>
      <xdr:row>4</xdr:row>
      <xdr:rowOff>114300</xdr:rowOff>
    </xdr:to>
    <xdr:sp macro="" textlink="">
      <xdr:nvSpPr>
        <xdr:cNvPr id="34" name="checksum">
          <a:extLst>
            <a:ext uri="{FF2B5EF4-FFF2-40B4-BE49-F238E27FC236}">
              <a16:creationId xmlns:a16="http://schemas.microsoft.com/office/drawing/2014/main" xmlns="" id="{00000000-0008-0000-0D00-00002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325170</xdr:colOff>
      <xdr:row>4</xdr:row>
      <xdr:rowOff>114300</xdr:rowOff>
    </xdr:to>
    <xdr:sp macro="" textlink="">
      <xdr:nvSpPr>
        <xdr:cNvPr id="35" name="checksum">
          <a:extLst>
            <a:ext uri="{FF2B5EF4-FFF2-40B4-BE49-F238E27FC236}">
              <a16:creationId xmlns:a16="http://schemas.microsoft.com/office/drawing/2014/main" xmlns="" id="{00000000-0008-0000-0D00-00002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48573</xdr:colOff>
      <xdr:row>4</xdr:row>
      <xdr:rowOff>66675</xdr:rowOff>
    </xdr:to>
    <xdr:sp macro="" textlink="">
      <xdr:nvSpPr>
        <xdr:cNvPr id="37" name="checksum">
          <a:extLst>
            <a:ext uri="{FF2B5EF4-FFF2-40B4-BE49-F238E27FC236}">
              <a16:creationId xmlns:a16="http://schemas.microsoft.com/office/drawing/2014/main" xmlns="" id="{00000000-0008-0000-0D00-000025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363270</xdr:colOff>
      <xdr:row>4</xdr:row>
      <xdr:rowOff>114300</xdr:rowOff>
    </xdr:to>
    <xdr:sp macro="" textlink="">
      <xdr:nvSpPr>
        <xdr:cNvPr id="38" name="checksum">
          <a:extLst>
            <a:ext uri="{FF2B5EF4-FFF2-40B4-BE49-F238E27FC236}">
              <a16:creationId xmlns:a16="http://schemas.microsoft.com/office/drawing/2014/main" xmlns="" id="{00000000-0008-0000-0D00-00002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382320</xdr:colOff>
      <xdr:row>4</xdr:row>
      <xdr:rowOff>114300</xdr:rowOff>
    </xdr:to>
    <xdr:sp macro="" textlink="">
      <xdr:nvSpPr>
        <xdr:cNvPr id="39" name="checksum">
          <a:extLst>
            <a:ext uri="{FF2B5EF4-FFF2-40B4-BE49-F238E27FC236}">
              <a16:creationId xmlns:a16="http://schemas.microsoft.com/office/drawing/2014/main" xmlns="" id="{00000000-0008-0000-0D00-00002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325170</xdr:colOff>
      <xdr:row>4</xdr:row>
      <xdr:rowOff>114300</xdr:rowOff>
    </xdr:to>
    <xdr:sp macro="" textlink="">
      <xdr:nvSpPr>
        <xdr:cNvPr id="40" name="checksum">
          <a:extLst>
            <a:ext uri="{FF2B5EF4-FFF2-40B4-BE49-F238E27FC236}">
              <a16:creationId xmlns:a16="http://schemas.microsoft.com/office/drawing/2014/main" xmlns="" id="{00000000-0008-0000-0D00-00002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48573</xdr:colOff>
      <xdr:row>4</xdr:row>
      <xdr:rowOff>66675</xdr:rowOff>
    </xdr:to>
    <xdr:sp macro="" textlink="">
      <xdr:nvSpPr>
        <xdr:cNvPr id="42" name="checksum">
          <a:extLst>
            <a:ext uri="{FF2B5EF4-FFF2-40B4-BE49-F238E27FC236}">
              <a16:creationId xmlns:a16="http://schemas.microsoft.com/office/drawing/2014/main" xmlns="" id="{00000000-0008-0000-0D00-00002A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363270</xdr:colOff>
      <xdr:row>4</xdr:row>
      <xdr:rowOff>114300</xdr:rowOff>
    </xdr:to>
    <xdr:sp macro="" textlink="">
      <xdr:nvSpPr>
        <xdr:cNvPr id="43" name="checksum">
          <a:extLst>
            <a:ext uri="{FF2B5EF4-FFF2-40B4-BE49-F238E27FC236}">
              <a16:creationId xmlns:a16="http://schemas.microsoft.com/office/drawing/2014/main" xmlns="" id="{00000000-0008-0000-0D00-00002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382320</xdr:colOff>
      <xdr:row>4</xdr:row>
      <xdr:rowOff>114300</xdr:rowOff>
    </xdr:to>
    <xdr:sp macro="" textlink="">
      <xdr:nvSpPr>
        <xdr:cNvPr id="44" name="checksum">
          <a:extLst>
            <a:ext uri="{FF2B5EF4-FFF2-40B4-BE49-F238E27FC236}">
              <a16:creationId xmlns:a16="http://schemas.microsoft.com/office/drawing/2014/main" xmlns="" id="{00000000-0008-0000-0D00-00002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325170</xdr:colOff>
      <xdr:row>4</xdr:row>
      <xdr:rowOff>114300</xdr:rowOff>
    </xdr:to>
    <xdr:sp macro="" textlink="">
      <xdr:nvSpPr>
        <xdr:cNvPr id="45" name="checksum">
          <a:extLst>
            <a:ext uri="{FF2B5EF4-FFF2-40B4-BE49-F238E27FC236}">
              <a16:creationId xmlns:a16="http://schemas.microsoft.com/office/drawing/2014/main" xmlns="" id="{00000000-0008-0000-0D00-00002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48573</xdr:colOff>
      <xdr:row>4</xdr:row>
      <xdr:rowOff>66675</xdr:rowOff>
    </xdr:to>
    <xdr:sp macro="" textlink="">
      <xdr:nvSpPr>
        <xdr:cNvPr id="47" name="checksum">
          <a:extLst>
            <a:ext uri="{FF2B5EF4-FFF2-40B4-BE49-F238E27FC236}">
              <a16:creationId xmlns:a16="http://schemas.microsoft.com/office/drawing/2014/main" xmlns="" id="{00000000-0008-0000-0D00-00002F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363270</xdr:colOff>
      <xdr:row>4</xdr:row>
      <xdr:rowOff>114300</xdr:rowOff>
    </xdr:to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0D00-00003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382320</xdr:colOff>
      <xdr:row>4</xdr:row>
      <xdr:rowOff>114300</xdr:rowOff>
    </xdr:to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0D00-00003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325170</xdr:colOff>
      <xdr:row>4</xdr:row>
      <xdr:rowOff>114300</xdr:rowOff>
    </xdr:to>
    <xdr:sp macro="" textlink="">
      <xdr:nvSpPr>
        <xdr:cNvPr id="50" name="checksum">
          <a:extLst>
            <a:ext uri="{FF2B5EF4-FFF2-40B4-BE49-F238E27FC236}">
              <a16:creationId xmlns:a16="http://schemas.microsoft.com/office/drawing/2014/main" xmlns="" id="{00000000-0008-0000-0D00-00003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48573</xdr:colOff>
      <xdr:row>4</xdr:row>
      <xdr:rowOff>66675</xdr:rowOff>
    </xdr:to>
    <xdr:sp macro="" textlink="">
      <xdr:nvSpPr>
        <xdr:cNvPr id="52" name="checksum">
          <a:extLst>
            <a:ext uri="{FF2B5EF4-FFF2-40B4-BE49-F238E27FC236}">
              <a16:creationId xmlns:a16="http://schemas.microsoft.com/office/drawing/2014/main" xmlns="" id="{00000000-0008-0000-0D00-000034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363270</xdr:colOff>
      <xdr:row>4</xdr:row>
      <xdr:rowOff>114300</xdr:rowOff>
    </xdr:to>
    <xdr:sp macro="" textlink="">
      <xdr:nvSpPr>
        <xdr:cNvPr id="53" name="checksum">
          <a:extLst>
            <a:ext uri="{FF2B5EF4-FFF2-40B4-BE49-F238E27FC236}">
              <a16:creationId xmlns:a16="http://schemas.microsoft.com/office/drawing/2014/main" xmlns="" id="{00000000-0008-0000-0D00-00003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382320</xdr:colOff>
      <xdr:row>4</xdr:row>
      <xdr:rowOff>114300</xdr:rowOff>
    </xdr:to>
    <xdr:sp macro="" textlink="">
      <xdr:nvSpPr>
        <xdr:cNvPr id="54" name="checksum">
          <a:extLst>
            <a:ext uri="{FF2B5EF4-FFF2-40B4-BE49-F238E27FC236}">
              <a16:creationId xmlns:a16="http://schemas.microsoft.com/office/drawing/2014/main" xmlns="" id="{00000000-0008-0000-0D00-00003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325170</xdr:colOff>
      <xdr:row>4</xdr:row>
      <xdr:rowOff>114300</xdr:rowOff>
    </xdr:to>
    <xdr:sp macro="" textlink="">
      <xdr:nvSpPr>
        <xdr:cNvPr id="55" name="checksum">
          <a:extLst>
            <a:ext uri="{FF2B5EF4-FFF2-40B4-BE49-F238E27FC236}">
              <a16:creationId xmlns:a16="http://schemas.microsoft.com/office/drawing/2014/main" xmlns="" id="{00000000-0008-0000-0D00-00003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48573</xdr:colOff>
      <xdr:row>4</xdr:row>
      <xdr:rowOff>66675</xdr:rowOff>
    </xdr:to>
    <xdr:sp macro="" textlink="">
      <xdr:nvSpPr>
        <xdr:cNvPr id="57" name="checksum">
          <a:extLst>
            <a:ext uri="{FF2B5EF4-FFF2-40B4-BE49-F238E27FC236}">
              <a16:creationId xmlns:a16="http://schemas.microsoft.com/office/drawing/2014/main" xmlns="" id="{00000000-0008-0000-0D00-000039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363270</xdr:colOff>
      <xdr:row>4</xdr:row>
      <xdr:rowOff>114300</xdr:rowOff>
    </xdr:to>
    <xdr:sp macro="" textlink="">
      <xdr:nvSpPr>
        <xdr:cNvPr id="58" name="checksum">
          <a:extLst>
            <a:ext uri="{FF2B5EF4-FFF2-40B4-BE49-F238E27FC236}">
              <a16:creationId xmlns:a16="http://schemas.microsoft.com/office/drawing/2014/main" xmlns="" id="{00000000-0008-0000-0D00-00003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382320</xdr:colOff>
      <xdr:row>4</xdr:row>
      <xdr:rowOff>114300</xdr:rowOff>
    </xdr:to>
    <xdr:sp macro="" textlink="">
      <xdr:nvSpPr>
        <xdr:cNvPr id="59" name="checksum">
          <a:extLst>
            <a:ext uri="{FF2B5EF4-FFF2-40B4-BE49-F238E27FC236}">
              <a16:creationId xmlns:a16="http://schemas.microsoft.com/office/drawing/2014/main" xmlns="" id="{00000000-0008-0000-0D00-00003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325170</xdr:colOff>
      <xdr:row>4</xdr:row>
      <xdr:rowOff>114300</xdr:rowOff>
    </xdr:to>
    <xdr:sp macro="" textlink="">
      <xdr:nvSpPr>
        <xdr:cNvPr id="60" name="checksum">
          <a:extLst>
            <a:ext uri="{FF2B5EF4-FFF2-40B4-BE49-F238E27FC236}">
              <a16:creationId xmlns:a16="http://schemas.microsoft.com/office/drawing/2014/main" xmlns="" id="{00000000-0008-0000-0D00-00003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48573</xdr:colOff>
      <xdr:row>4</xdr:row>
      <xdr:rowOff>66675</xdr:rowOff>
    </xdr:to>
    <xdr:sp macro="" textlink="">
      <xdr:nvSpPr>
        <xdr:cNvPr id="62" name="checksum">
          <a:extLst>
            <a:ext uri="{FF2B5EF4-FFF2-40B4-BE49-F238E27FC236}">
              <a16:creationId xmlns:a16="http://schemas.microsoft.com/office/drawing/2014/main" xmlns="" id="{00000000-0008-0000-0D00-00003E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363270</xdr:colOff>
      <xdr:row>4</xdr:row>
      <xdr:rowOff>114300</xdr:rowOff>
    </xdr:to>
    <xdr:sp macro="" textlink="">
      <xdr:nvSpPr>
        <xdr:cNvPr id="63" name="checksum">
          <a:extLst>
            <a:ext uri="{FF2B5EF4-FFF2-40B4-BE49-F238E27FC236}">
              <a16:creationId xmlns:a16="http://schemas.microsoft.com/office/drawing/2014/main" xmlns="" id="{00000000-0008-0000-0D00-00003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382320</xdr:colOff>
      <xdr:row>4</xdr:row>
      <xdr:rowOff>114300</xdr:rowOff>
    </xdr:to>
    <xdr:sp macro="" textlink="">
      <xdr:nvSpPr>
        <xdr:cNvPr id="64" name="checksum">
          <a:extLst>
            <a:ext uri="{FF2B5EF4-FFF2-40B4-BE49-F238E27FC236}">
              <a16:creationId xmlns:a16="http://schemas.microsoft.com/office/drawing/2014/main" xmlns="" id="{00000000-0008-0000-0D00-00004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325170</xdr:colOff>
      <xdr:row>4</xdr:row>
      <xdr:rowOff>114300</xdr:rowOff>
    </xdr:to>
    <xdr:sp macro="" textlink="">
      <xdr:nvSpPr>
        <xdr:cNvPr id="65" name="checksum">
          <a:extLst>
            <a:ext uri="{FF2B5EF4-FFF2-40B4-BE49-F238E27FC236}">
              <a16:creationId xmlns:a16="http://schemas.microsoft.com/office/drawing/2014/main" xmlns="" id="{00000000-0008-0000-0D00-00004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48573</xdr:colOff>
      <xdr:row>4</xdr:row>
      <xdr:rowOff>66675</xdr:rowOff>
    </xdr:to>
    <xdr:sp macro="" textlink="">
      <xdr:nvSpPr>
        <xdr:cNvPr id="67" name="checksum">
          <a:extLst>
            <a:ext uri="{FF2B5EF4-FFF2-40B4-BE49-F238E27FC236}">
              <a16:creationId xmlns:a16="http://schemas.microsoft.com/office/drawing/2014/main" xmlns="" id="{00000000-0008-0000-0D00-000043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363270</xdr:colOff>
      <xdr:row>4</xdr:row>
      <xdr:rowOff>114300</xdr:rowOff>
    </xdr:to>
    <xdr:sp macro="" textlink="">
      <xdr:nvSpPr>
        <xdr:cNvPr id="68" name="checksum">
          <a:extLst>
            <a:ext uri="{FF2B5EF4-FFF2-40B4-BE49-F238E27FC236}">
              <a16:creationId xmlns:a16="http://schemas.microsoft.com/office/drawing/2014/main" xmlns="" id="{00000000-0008-0000-0D00-00004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382320</xdr:colOff>
      <xdr:row>4</xdr:row>
      <xdr:rowOff>114300</xdr:rowOff>
    </xdr:to>
    <xdr:sp macro="" textlink="">
      <xdr:nvSpPr>
        <xdr:cNvPr id="69" name="checksum">
          <a:extLst>
            <a:ext uri="{FF2B5EF4-FFF2-40B4-BE49-F238E27FC236}">
              <a16:creationId xmlns:a16="http://schemas.microsoft.com/office/drawing/2014/main" xmlns="" id="{00000000-0008-0000-0D00-00004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325170</xdr:colOff>
      <xdr:row>4</xdr:row>
      <xdr:rowOff>114300</xdr:rowOff>
    </xdr:to>
    <xdr:sp macro="" textlink="">
      <xdr:nvSpPr>
        <xdr:cNvPr id="70" name="checksum">
          <a:extLst>
            <a:ext uri="{FF2B5EF4-FFF2-40B4-BE49-F238E27FC236}">
              <a16:creationId xmlns:a16="http://schemas.microsoft.com/office/drawing/2014/main" xmlns="" id="{00000000-0008-0000-0D00-00004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48573</xdr:colOff>
      <xdr:row>4</xdr:row>
      <xdr:rowOff>66675</xdr:rowOff>
    </xdr:to>
    <xdr:sp macro="" textlink="">
      <xdr:nvSpPr>
        <xdr:cNvPr id="72" name="checksum">
          <a:extLst>
            <a:ext uri="{FF2B5EF4-FFF2-40B4-BE49-F238E27FC236}">
              <a16:creationId xmlns:a16="http://schemas.microsoft.com/office/drawing/2014/main" xmlns="" id="{00000000-0008-0000-0D00-000048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363270</xdr:colOff>
      <xdr:row>4</xdr:row>
      <xdr:rowOff>114300</xdr:rowOff>
    </xdr:to>
    <xdr:sp macro="" textlink="">
      <xdr:nvSpPr>
        <xdr:cNvPr id="73" name="checksum">
          <a:extLst>
            <a:ext uri="{FF2B5EF4-FFF2-40B4-BE49-F238E27FC236}">
              <a16:creationId xmlns:a16="http://schemas.microsoft.com/office/drawing/2014/main" xmlns="" id="{00000000-0008-0000-0D00-00004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382320</xdr:colOff>
      <xdr:row>4</xdr:row>
      <xdr:rowOff>114300</xdr:rowOff>
    </xdr:to>
    <xdr:sp macro="" textlink="">
      <xdr:nvSpPr>
        <xdr:cNvPr id="74" name="checksum">
          <a:extLst>
            <a:ext uri="{FF2B5EF4-FFF2-40B4-BE49-F238E27FC236}">
              <a16:creationId xmlns:a16="http://schemas.microsoft.com/office/drawing/2014/main" xmlns="" id="{00000000-0008-0000-0D00-00004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325170</xdr:colOff>
      <xdr:row>4</xdr:row>
      <xdr:rowOff>114300</xdr:rowOff>
    </xdr:to>
    <xdr:sp macro="" textlink="">
      <xdr:nvSpPr>
        <xdr:cNvPr id="75" name="checksum">
          <a:extLst>
            <a:ext uri="{FF2B5EF4-FFF2-40B4-BE49-F238E27FC236}">
              <a16:creationId xmlns:a16="http://schemas.microsoft.com/office/drawing/2014/main" xmlns="" id="{00000000-0008-0000-0D00-00004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48573</xdr:colOff>
      <xdr:row>4</xdr:row>
      <xdr:rowOff>66675</xdr:rowOff>
    </xdr:to>
    <xdr:sp macro="" textlink="">
      <xdr:nvSpPr>
        <xdr:cNvPr id="77" name="checksum">
          <a:extLst>
            <a:ext uri="{FF2B5EF4-FFF2-40B4-BE49-F238E27FC236}">
              <a16:creationId xmlns:a16="http://schemas.microsoft.com/office/drawing/2014/main" xmlns="" id="{00000000-0008-0000-0D00-00004D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363270</xdr:colOff>
      <xdr:row>4</xdr:row>
      <xdr:rowOff>114300</xdr:rowOff>
    </xdr:to>
    <xdr:sp macro="" textlink="">
      <xdr:nvSpPr>
        <xdr:cNvPr id="78" name="checksum">
          <a:extLst>
            <a:ext uri="{FF2B5EF4-FFF2-40B4-BE49-F238E27FC236}">
              <a16:creationId xmlns:a16="http://schemas.microsoft.com/office/drawing/2014/main" xmlns="" id="{00000000-0008-0000-0D00-00004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382320</xdr:colOff>
      <xdr:row>4</xdr:row>
      <xdr:rowOff>114300</xdr:rowOff>
    </xdr:to>
    <xdr:sp macro="" textlink="">
      <xdr:nvSpPr>
        <xdr:cNvPr id="79" name="checksum">
          <a:extLst>
            <a:ext uri="{FF2B5EF4-FFF2-40B4-BE49-F238E27FC236}">
              <a16:creationId xmlns:a16="http://schemas.microsoft.com/office/drawing/2014/main" xmlns="" id="{00000000-0008-0000-0D00-00004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325170</xdr:colOff>
      <xdr:row>4</xdr:row>
      <xdr:rowOff>114300</xdr:rowOff>
    </xdr:to>
    <xdr:sp macro="" textlink="">
      <xdr:nvSpPr>
        <xdr:cNvPr id="80" name="checksum">
          <a:extLst>
            <a:ext uri="{FF2B5EF4-FFF2-40B4-BE49-F238E27FC236}">
              <a16:creationId xmlns:a16="http://schemas.microsoft.com/office/drawing/2014/main" xmlns="" id="{00000000-0008-0000-0D00-00005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48573</xdr:colOff>
      <xdr:row>4</xdr:row>
      <xdr:rowOff>66675</xdr:rowOff>
    </xdr:to>
    <xdr:sp macro="" textlink="">
      <xdr:nvSpPr>
        <xdr:cNvPr id="82" name="checksum">
          <a:extLst>
            <a:ext uri="{FF2B5EF4-FFF2-40B4-BE49-F238E27FC236}">
              <a16:creationId xmlns:a16="http://schemas.microsoft.com/office/drawing/2014/main" xmlns="" id="{00000000-0008-0000-0D00-00005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363270</xdr:colOff>
      <xdr:row>4</xdr:row>
      <xdr:rowOff>114300</xdr:rowOff>
    </xdr:to>
    <xdr:sp macro="" textlink="">
      <xdr:nvSpPr>
        <xdr:cNvPr id="83" name="checksum">
          <a:extLst>
            <a:ext uri="{FF2B5EF4-FFF2-40B4-BE49-F238E27FC236}">
              <a16:creationId xmlns:a16="http://schemas.microsoft.com/office/drawing/2014/main" xmlns="" id="{00000000-0008-0000-0D00-00005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382320</xdr:colOff>
      <xdr:row>4</xdr:row>
      <xdr:rowOff>114300</xdr:rowOff>
    </xdr:to>
    <xdr:sp macro="" textlink="">
      <xdr:nvSpPr>
        <xdr:cNvPr id="84" name="checksum">
          <a:extLst>
            <a:ext uri="{FF2B5EF4-FFF2-40B4-BE49-F238E27FC236}">
              <a16:creationId xmlns:a16="http://schemas.microsoft.com/office/drawing/2014/main" xmlns="" id="{00000000-0008-0000-0D00-00005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325170</xdr:colOff>
      <xdr:row>4</xdr:row>
      <xdr:rowOff>114300</xdr:rowOff>
    </xdr:to>
    <xdr:sp macro="" textlink="">
      <xdr:nvSpPr>
        <xdr:cNvPr id="85" name="checksum">
          <a:extLst>
            <a:ext uri="{FF2B5EF4-FFF2-40B4-BE49-F238E27FC236}">
              <a16:creationId xmlns:a16="http://schemas.microsoft.com/office/drawing/2014/main" xmlns="" id="{00000000-0008-0000-0D00-00005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48573</xdr:colOff>
      <xdr:row>4</xdr:row>
      <xdr:rowOff>66675</xdr:rowOff>
    </xdr:to>
    <xdr:sp macro="" textlink="">
      <xdr:nvSpPr>
        <xdr:cNvPr id="87" name="checksum">
          <a:extLst>
            <a:ext uri="{FF2B5EF4-FFF2-40B4-BE49-F238E27FC236}">
              <a16:creationId xmlns:a16="http://schemas.microsoft.com/office/drawing/2014/main" xmlns="" id="{00000000-0008-0000-0D00-00005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363270</xdr:colOff>
      <xdr:row>4</xdr:row>
      <xdr:rowOff>114300</xdr:rowOff>
    </xdr:to>
    <xdr:sp macro="" textlink="">
      <xdr:nvSpPr>
        <xdr:cNvPr id="88" name="checksum">
          <a:extLst>
            <a:ext uri="{FF2B5EF4-FFF2-40B4-BE49-F238E27FC236}">
              <a16:creationId xmlns:a16="http://schemas.microsoft.com/office/drawing/2014/main" xmlns="" id="{00000000-0008-0000-0D00-00005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382320</xdr:colOff>
      <xdr:row>4</xdr:row>
      <xdr:rowOff>114300</xdr:rowOff>
    </xdr:to>
    <xdr:sp macro="" textlink="">
      <xdr:nvSpPr>
        <xdr:cNvPr id="89" name="checksum">
          <a:extLst>
            <a:ext uri="{FF2B5EF4-FFF2-40B4-BE49-F238E27FC236}">
              <a16:creationId xmlns:a16="http://schemas.microsoft.com/office/drawing/2014/main" xmlns="" id="{00000000-0008-0000-0D00-00005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325170</xdr:colOff>
      <xdr:row>4</xdr:row>
      <xdr:rowOff>114300</xdr:rowOff>
    </xdr:to>
    <xdr:sp macro="" textlink="">
      <xdr:nvSpPr>
        <xdr:cNvPr id="90" name="checksum">
          <a:extLst>
            <a:ext uri="{FF2B5EF4-FFF2-40B4-BE49-F238E27FC236}">
              <a16:creationId xmlns:a16="http://schemas.microsoft.com/office/drawing/2014/main" xmlns="" id="{00000000-0008-0000-0D00-00005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48573</xdr:colOff>
      <xdr:row>4</xdr:row>
      <xdr:rowOff>66675</xdr:rowOff>
    </xdr:to>
    <xdr:sp macro="" textlink="">
      <xdr:nvSpPr>
        <xdr:cNvPr id="92" name="checksum">
          <a:extLst>
            <a:ext uri="{FF2B5EF4-FFF2-40B4-BE49-F238E27FC236}">
              <a16:creationId xmlns:a16="http://schemas.microsoft.com/office/drawing/2014/main" xmlns="" id="{00000000-0008-0000-0D00-00005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363270</xdr:colOff>
      <xdr:row>4</xdr:row>
      <xdr:rowOff>114300</xdr:rowOff>
    </xdr:to>
    <xdr:sp macro="" textlink="">
      <xdr:nvSpPr>
        <xdr:cNvPr id="93" name="checksum">
          <a:extLst>
            <a:ext uri="{FF2B5EF4-FFF2-40B4-BE49-F238E27FC236}">
              <a16:creationId xmlns:a16="http://schemas.microsoft.com/office/drawing/2014/main" xmlns="" id="{00000000-0008-0000-0D00-00005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382320</xdr:colOff>
      <xdr:row>4</xdr:row>
      <xdr:rowOff>114300</xdr:rowOff>
    </xdr:to>
    <xdr:sp macro="" textlink="">
      <xdr:nvSpPr>
        <xdr:cNvPr id="94" name="checksum">
          <a:extLst>
            <a:ext uri="{FF2B5EF4-FFF2-40B4-BE49-F238E27FC236}">
              <a16:creationId xmlns:a16="http://schemas.microsoft.com/office/drawing/2014/main" xmlns="" id="{00000000-0008-0000-0D00-00005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325170</xdr:colOff>
      <xdr:row>4</xdr:row>
      <xdr:rowOff>114300</xdr:rowOff>
    </xdr:to>
    <xdr:sp macro="" textlink="">
      <xdr:nvSpPr>
        <xdr:cNvPr id="95" name="checksum">
          <a:extLst>
            <a:ext uri="{FF2B5EF4-FFF2-40B4-BE49-F238E27FC236}">
              <a16:creationId xmlns:a16="http://schemas.microsoft.com/office/drawing/2014/main" xmlns="" id="{00000000-0008-0000-0D00-00005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48573</xdr:colOff>
      <xdr:row>4</xdr:row>
      <xdr:rowOff>66675</xdr:rowOff>
    </xdr:to>
    <xdr:sp macro="" textlink="">
      <xdr:nvSpPr>
        <xdr:cNvPr id="97" name="checksum">
          <a:extLst>
            <a:ext uri="{FF2B5EF4-FFF2-40B4-BE49-F238E27FC236}">
              <a16:creationId xmlns:a16="http://schemas.microsoft.com/office/drawing/2014/main" xmlns="" id="{00000000-0008-0000-0D00-00006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363270</xdr:colOff>
      <xdr:row>4</xdr:row>
      <xdr:rowOff>114300</xdr:rowOff>
    </xdr:to>
    <xdr:sp macro="" textlink="">
      <xdr:nvSpPr>
        <xdr:cNvPr id="98" name="checksum">
          <a:extLst>
            <a:ext uri="{FF2B5EF4-FFF2-40B4-BE49-F238E27FC236}">
              <a16:creationId xmlns:a16="http://schemas.microsoft.com/office/drawing/2014/main" xmlns="" id="{00000000-0008-0000-0D00-00006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382320</xdr:colOff>
      <xdr:row>4</xdr:row>
      <xdr:rowOff>114300</xdr:rowOff>
    </xdr:to>
    <xdr:sp macro="" textlink="">
      <xdr:nvSpPr>
        <xdr:cNvPr id="99" name="checksum">
          <a:extLst>
            <a:ext uri="{FF2B5EF4-FFF2-40B4-BE49-F238E27FC236}">
              <a16:creationId xmlns:a16="http://schemas.microsoft.com/office/drawing/2014/main" xmlns="" id="{00000000-0008-0000-0D00-00006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325170</xdr:colOff>
      <xdr:row>4</xdr:row>
      <xdr:rowOff>114300</xdr:rowOff>
    </xdr:to>
    <xdr:sp macro="" textlink="">
      <xdr:nvSpPr>
        <xdr:cNvPr id="100" name="checksum">
          <a:extLst>
            <a:ext uri="{FF2B5EF4-FFF2-40B4-BE49-F238E27FC236}">
              <a16:creationId xmlns:a16="http://schemas.microsoft.com/office/drawing/2014/main" xmlns="" id="{00000000-0008-0000-0D00-00006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48573</xdr:colOff>
      <xdr:row>4</xdr:row>
      <xdr:rowOff>66675</xdr:rowOff>
    </xdr:to>
    <xdr:sp macro="" textlink="">
      <xdr:nvSpPr>
        <xdr:cNvPr id="102" name="checksum">
          <a:extLst>
            <a:ext uri="{FF2B5EF4-FFF2-40B4-BE49-F238E27FC236}">
              <a16:creationId xmlns:a16="http://schemas.microsoft.com/office/drawing/2014/main" xmlns="" id="{00000000-0008-0000-0D00-000066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363270</xdr:colOff>
      <xdr:row>4</xdr:row>
      <xdr:rowOff>114300</xdr:rowOff>
    </xdr:to>
    <xdr:sp macro="" textlink="">
      <xdr:nvSpPr>
        <xdr:cNvPr id="103" name="checksum">
          <a:extLst>
            <a:ext uri="{FF2B5EF4-FFF2-40B4-BE49-F238E27FC236}">
              <a16:creationId xmlns:a16="http://schemas.microsoft.com/office/drawing/2014/main" xmlns="" id="{00000000-0008-0000-0D00-00006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382320</xdr:colOff>
      <xdr:row>4</xdr:row>
      <xdr:rowOff>114300</xdr:rowOff>
    </xdr:to>
    <xdr:sp macro="" textlink="">
      <xdr:nvSpPr>
        <xdr:cNvPr id="104" name="checksum">
          <a:extLst>
            <a:ext uri="{FF2B5EF4-FFF2-40B4-BE49-F238E27FC236}">
              <a16:creationId xmlns:a16="http://schemas.microsoft.com/office/drawing/2014/main" xmlns="" id="{00000000-0008-0000-0D00-00006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325170</xdr:colOff>
      <xdr:row>4</xdr:row>
      <xdr:rowOff>114300</xdr:rowOff>
    </xdr:to>
    <xdr:sp macro="" textlink="">
      <xdr:nvSpPr>
        <xdr:cNvPr id="105" name="checksum">
          <a:extLst>
            <a:ext uri="{FF2B5EF4-FFF2-40B4-BE49-F238E27FC236}">
              <a16:creationId xmlns:a16="http://schemas.microsoft.com/office/drawing/2014/main" xmlns="" id="{00000000-0008-0000-0D00-00006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48573</xdr:colOff>
      <xdr:row>4</xdr:row>
      <xdr:rowOff>66675</xdr:rowOff>
    </xdr:to>
    <xdr:sp macro="" textlink="">
      <xdr:nvSpPr>
        <xdr:cNvPr id="107" name="checksum">
          <a:extLst>
            <a:ext uri="{FF2B5EF4-FFF2-40B4-BE49-F238E27FC236}">
              <a16:creationId xmlns:a16="http://schemas.microsoft.com/office/drawing/2014/main" xmlns="" id="{00000000-0008-0000-0D00-00006B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363270</xdr:colOff>
      <xdr:row>4</xdr:row>
      <xdr:rowOff>114300</xdr:rowOff>
    </xdr:to>
    <xdr:sp macro="" textlink="">
      <xdr:nvSpPr>
        <xdr:cNvPr id="108" name="checksum">
          <a:extLst>
            <a:ext uri="{FF2B5EF4-FFF2-40B4-BE49-F238E27FC236}">
              <a16:creationId xmlns:a16="http://schemas.microsoft.com/office/drawing/2014/main" xmlns="" id="{00000000-0008-0000-0D00-00006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382320</xdr:colOff>
      <xdr:row>4</xdr:row>
      <xdr:rowOff>114300</xdr:rowOff>
    </xdr:to>
    <xdr:sp macro="" textlink="">
      <xdr:nvSpPr>
        <xdr:cNvPr id="109" name="checksum">
          <a:extLst>
            <a:ext uri="{FF2B5EF4-FFF2-40B4-BE49-F238E27FC236}">
              <a16:creationId xmlns:a16="http://schemas.microsoft.com/office/drawing/2014/main" xmlns="" id="{00000000-0008-0000-0D00-00006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325170</xdr:colOff>
      <xdr:row>4</xdr:row>
      <xdr:rowOff>114300</xdr:rowOff>
    </xdr:to>
    <xdr:sp macro="" textlink="">
      <xdr:nvSpPr>
        <xdr:cNvPr id="110" name="checksum">
          <a:extLst>
            <a:ext uri="{FF2B5EF4-FFF2-40B4-BE49-F238E27FC236}">
              <a16:creationId xmlns:a16="http://schemas.microsoft.com/office/drawing/2014/main" xmlns="" id="{00000000-0008-0000-0D00-00006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</xdr:rowOff>
    </xdr:from>
    <xdr:to>
      <xdr:col>15</xdr:col>
      <xdr:colOff>107950</xdr:colOff>
      <xdr:row>10</xdr:row>
      <xdr:rowOff>806450</xdr:rowOff>
    </xdr:to>
    <xdr:sp macro="" textlink="">
      <xdr:nvSpPr>
        <xdr:cNvPr id="112" name="checksum">
          <a:extLst>
            <a:ext uri="{FF2B5EF4-FFF2-40B4-BE49-F238E27FC236}">
              <a16:creationId xmlns:a16="http://schemas.microsoft.com/office/drawing/2014/main" xmlns="" id="{00000000-0008-0000-0D00-000070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2533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412750</xdr:colOff>
      <xdr:row>9</xdr:row>
      <xdr:rowOff>34925</xdr:rowOff>
    </xdr:to>
    <xdr:sp macro="" textlink="">
      <xdr:nvSpPr>
        <xdr:cNvPr id="113" name="checksum">
          <a:extLst>
            <a:ext uri="{FF2B5EF4-FFF2-40B4-BE49-F238E27FC236}">
              <a16:creationId xmlns:a16="http://schemas.microsoft.com/office/drawing/2014/main" xmlns="" id="{00000000-0008-0000-0D00-00007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431800</xdr:colOff>
      <xdr:row>9</xdr:row>
      <xdr:rowOff>34925</xdr:rowOff>
    </xdr:to>
    <xdr:sp macro="" textlink="">
      <xdr:nvSpPr>
        <xdr:cNvPr id="114" name="checksum">
          <a:extLst>
            <a:ext uri="{FF2B5EF4-FFF2-40B4-BE49-F238E27FC236}">
              <a16:creationId xmlns:a16="http://schemas.microsoft.com/office/drawing/2014/main" xmlns="" id="{00000000-0008-0000-0D00-00007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374650</xdr:colOff>
      <xdr:row>9</xdr:row>
      <xdr:rowOff>34925</xdr:rowOff>
    </xdr:to>
    <xdr:sp macro="" textlink="">
      <xdr:nvSpPr>
        <xdr:cNvPr id="115" name="checksum">
          <a:extLst>
            <a:ext uri="{FF2B5EF4-FFF2-40B4-BE49-F238E27FC236}">
              <a16:creationId xmlns:a16="http://schemas.microsoft.com/office/drawing/2014/main" xmlns="" id="{00000000-0008-0000-0D00-00007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11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D00-000074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15</xdr:col>
      <xdr:colOff>107950</xdr:colOff>
      <xdr:row>10</xdr:row>
      <xdr:rowOff>806450</xdr:rowOff>
    </xdr:to>
    <xdr:sp macro="" textlink="">
      <xdr:nvSpPr>
        <xdr:cNvPr id="117" name="checksum">
          <a:extLst>
            <a:ext uri="{FF2B5EF4-FFF2-40B4-BE49-F238E27FC236}">
              <a16:creationId xmlns:a16="http://schemas.microsoft.com/office/drawing/2014/main" xmlns="" id="{00000000-0008-0000-0D00-000075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2533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412750</xdr:colOff>
      <xdr:row>9</xdr:row>
      <xdr:rowOff>34925</xdr:rowOff>
    </xdr:to>
    <xdr:sp macro="" textlink="">
      <xdr:nvSpPr>
        <xdr:cNvPr id="118" name="checksum">
          <a:extLst>
            <a:ext uri="{FF2B5EF4-FFF2-40B4-BE49-F238E27FC236}">
              <a16:creationId xmlns:a16="http://schemas.microsoft.com/office/drawing/2014/main" xmlns="" id="{00000000-0008-0000-0D00-00007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431800</xdr:colOff>
      <xdr:row>9</xdr:row>
      <xdr:rowOff>34925</xdr:rowOff>
    </xdr:to>
    <xdr:sp macro="" textlink="">
      <xdr:nvSpPr>
        <xdr:cNvPr id="119" name="checksum">
          <a:extLst>
            <a:ext uri="{FF2B5EF4-FFF2-40B4-BE49-F238E27FC236}">
              <a16:creationId xmlns:a16="http://schemas.microsoft.com/office/drawing/2014/main" xmlns="" id="{00000000-0008-0000-0D00-00007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374650</xdr:colOff>
      <xdr:row>9</xdr:row>
      <xdr:rowOff>34925</xdr:rowOff>
    </xdr:to>
    <xdr:sp macro="" textlink="">
      <xdr:nvSpPr>
        <xdr:cNvPr id="120" name="checksum">
          <a:extLst>
            <a:ext uri="{FF2B5EF4-FFF2-40B4-BE49-F238E27FC236}">
              <a16:creationId xmlns:a16="http://schemas.microsoft.com/office/drawing/2014/main" xmlns="" id="{00000000-0008-0000-0D00-00007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2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D00-000079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112305</xdr:colOff>
      <xdr:row>5</xdr:row>
      <xdr:rowOff>9525</xdr:rowOff>
    </xdr:to>
    <xdr:sp macro="" textlink="">
      <xdr:nvSpPr>
        <xdr:cNvPr id="96" name="checksum">
          <a:extLst>
            <a:ext uri="{FF2B5EF4-FFF2-40B4-BE49-F238E27FC236}">
              <a16:creationId xmlns:a16="http://schemas.microsoft.com/office/drawing/2014/main" xmlns="" id="{00000000-0008-0000-0D00-000060000000}"/>
            </a:ext>
          </a:extLst>
        </xdr:cNvPr>
        <xdr:cNvSpPr txBox="1">
          <a:spLocks noChangeArrowheads="1"/>
        </xdr:cNvSpPr>
      </xdr:nvSpPr>
      <xdr:spPr bwMode="auto">
        <a:xfrm>
          <a:off x="29641800" y="447675"/>
          <a:ext cx="7798708" cy="750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412748</xdr:colOff>
      <xdr:row>4</xdr:row>
      <xdr:rowOff>180975</xdr:rowOff>
    </xdr:to>
    <xdr:sp macro="" textlink="">
      <xdr:nvSpPr>
        <xdr:cNvPr id="101" name="checksum">
          <a:extLst>
            <a:ext uri="{FF2B5EF4-FFF2-40B4-BE49-F238E27FC236}">
              <a16:creationId xmlns:a16="http://schemas.microsoft.com/office/drawing/2014/main" xmlns="" id="{00000000-0008-0000-0D00-000065000000}"/>
            </a:ext>
          </a:extLst>
        </xdr:cNvPr>
        <xdr:cNvSpPr txBox="1">
          <a:spLocks noChangeArrowheads="1"/>
        </xdr:cNvSpPr>
      </xdr:nvSpPr>
      <xdr:spPr bwMode="auto">
        <a:xfrm>
          <a:off x="29641800" y="674370"/>
          <a:ext cx="6818992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431798</xdr:colOff>
      <xdr:row>4</xdr:row>
      <xdr:rowOff>180975</xdr:rowOff>
    </xdr:to>
    <xdr:sp macro="" textlink="">
      <xdr:nvSpPr>
        <xdr:cNvPr id="106" name="checksum">
          <a:extLst>
            <a:ext uri="{FF2B5EF4-FFF2-40B4-BE49-F238E27FC236}">
              <a16:creationId xmlns:a16="http://schemas.microsoft.com/office/drawing/2014/main" xmlns="" id="{00000000-0008-0000-0D00-00006A000000}"/>
            </a:ext>
          </a:extLst>
        </xdr:cNvPr>
        <xdr:cNvSpPr txBox="1">
          <a:spLocks noChangeArrowheads="1"/>
        </xdr:cNvSpPr>
      </xdr:nvSpPr>
      <xdr:spPr bwMode="auto">
        <a:xfrm>
          <a:off x="29641800" y="674370"/>
          <a:ext cx="6838042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374648</xdr:colOff>
      <xdr:row>4</xdr:row>
      <xdr:rowOff>180975</xdr:rowOff>
    </xdr:to>
    <xdr:sp macro="" textlink="">
      <xdr:nvSpPr>
        <xdr:cNvPr id="111" name="checksum">
          <a:extLst>
            <a:ext uri="{FF2B5EF4-FFF2-40B4-BE49-F238E27FC236}">
              <a16:creationId xmlns:a16="http://schemas.microsoft.com/office/drawing/2014/main" xmlns="" id="{00000000-0008-0000-0D00-00006F000000}"/>
            </a:ext>
          </a:extLst>
        </xdr:cNvPr>
        <xdr:cNvSpPr txBox="1">
          <a:spLocks noChangeArrowheads="1"/>
        </xdr:cNvSpPr>
      </xdr:nvSpPr>
      <xdr:spPr bwMode="auto">
        <a:xfrm>
          <a:off x="29641800" y="680085"/>
          <a:ext cx="6780892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112305</xdr:colOff>
      <xdr:row>5</xdr:row>
      <xdr:rowOff>9525</xdr:rowOff>
    </xdr:to>
    <xdr:sp macro="" textlink="">
      <xdr:nvSpPr>
        <xdr:cNvPr id="122" name="checksum">
          <a:extLst>
            <a:ext uri="{FF2B5EF4-FFF2-40B4-BE49-F238E27FC236}">
              <a16:creationId xmlns:a16="http://schemas.microsoft.com/office/drawing/2014/main" xmlns="" id="{00000000-0008-0000-0D00-00007A000000}"/>
            </a:ext>
          </a:extLst>
        </xdr:cNvPr>
        <xdr:cNvSpPr txBox="1">
          <a:spLocks noChangeArrowheads="1"/>
        </xdr:cNvSpPr>
      </xdr:nvSpPr>
      <xdr:spPr bwMode="auto">
        <a:xfrm>
          <a:off x="29641800" y="447675"/>
          <a:ext cx="7798708" cy="750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412748</xdr:colOff>
      <xdr:row>4</xdr:row>
      <xdr:rowOff>180975</xdr:rowOff>
    </xdr:to>
    <xdr:sp macro="" textlink="">
      <xdr:nvSpPr>
        <xdr:cNvPr id="123" name="checksum">
          <a:extLst>
            <a:ext uri="{FF2B5EF4-FFF2-40B4-BE49-F238E27FC236}">
              <a16:creationId xmlns:a16="http://schemas.microsoft.com/office/drawing/2014/main" xmlns="" id="{00000000-0008-0000-0D00-00007B000000}"/>
            </a:ext>
          </a:extLst>
        </xdr:cNvPr>
        <xdr:cNvSpPr txBox="1">
          <a:spLocks noChangeArrowheads="1"/>
        </xdr:cNvSpPr>
      </xdr:nvSpPr>
      <xdr:spPr bwMode="auto">
        <a:xfrm>
          <a:off x="29641800" y="674370"/>
          <a:ext cx="6818992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431798</xdr:colOff>
      <xdr:row>4</xdr:row>
      <xdr:rowOff>180975</xdr:rowOff>
    </xdr:to>
    <xdr:sp macro="" textlink="">
      <xdr:nvSpPr>
        <xdr:cNvPr id="124" name="checksum">
          <a:extLst>
            <a:ext uri="{FF2B5EF4-FFF2-40B4-BE49-F238E27FC236}">
              <a16:creationId xmlns:a16="http://schemas.microsoft.com/office/drawing/2014/main" xmlns="" id="{00000000-0008-0000-0D00-00007C000000}"/>
            </a:ext>
          </a:extLst>
        </xdr:cNvPr>
        <xdr:cNvSpPr txBox="1">
          <a:spLocks noChangeArrowheads="1"/>
        </xdr:cNvSpPr>
      </xdr:nvSpPr>
      <xdr:spPr bwMode="auto">
        <a:xfrm>
          <a:off x="29641800" y="674370"/>
          <a:ext cx="6838042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374648</xdr:colOff>
      <xdr:row>4</xdr:row>
      <xdr:rowOff>180975</xdr:rowOff>
    </xdr:to>
    <xdr:sp macro="" textlink="">
      <xdr:nvSpPr>
        <xdr:cNvPr id="125" name="checksum">
          <a:extLst>
            <a:ext uri="{FF2B5EF4-FFF2-40B4-BE49-F238E27FC236}">
              <a16:creationId xmlns:a16="http://schemas.microsoft.com/office/drawing/2014/main" xmlns="" id="{00000000-0008-0000-0D00-00007D000000}"/>
            </a:ext>
          </a:extLst>
        </xdr:cNvPr>
        <xdr:cNvSpPr txBox="1">
          <a:spLocks noChangeArrowheads="1"/>
        </xdr:cNvSpPr>
      </xdr:nvSpPr>
      <xdr:spPr bwMode="auto">
        <a:xfrm>
          <a:off x="29641800" y="680085"/>
          <a:ext cx="6780892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</xdr:rowOff>
    </xdr:from>
    <xdr:to>
      <xdr:col>31</xdr:col>
      <xdr:colOff>107950</xdr:colOff>
      <xdr:row>4</xdr:row>
      <xdr:rowOff>66675</xdr:rowOff>
    </xdr:to>
    <xdr:sp macro="" textlink="">
      <xdr:nvSpPr>
        <xdr:cNvPr id="126" name="checksum">
          <a:extLst>
            <a:ext uri="{FF2B5EF4-FFF2-40B4-BE49-F238E27FC236}">
              <a16:creationId xmlns:a16="http://schemas.microsoft.com/office/drawing/2014/main" xmlns="" id="{00000000-0008-0000-0D00-00007E000000}"/>
            </a:ext>
          </a:extLst>
        </xdr:cNvPr>
        <xdr:cNvSpPr txBox="1">
          <a:spLocks noChangeArrowheads="1"/>
        </xdr:cNvSpPr>
      </xdr:nvSpPr>
      <xdr:spPr bwMode="auto">
        <a:xfrm>
          <a:off x="42862500" y="447675"/>
          <a:ext cx="7788911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412750</xdr:colOff>
      <xdr:row>4</xdr:row>
      <xdr:rowOff>114300</xdr:rowOff>
    </xdr:to>
    <xdr:sp macro="" textlink="">
      <xdr:nvSpPr>
        <xdr:cNvPr id="127" name="checksum">
          <a:extLst>
            <a:ext uri="{FF2B5EF4-FFF2-40B4-BE49-F238E27FC236}">
              <a16:creationId xmlns:a16="http://schemas.microsoft.com/office/drawing/2014/main" xmlns="" id="{00000000-0008-0000-0D00-00007F000000}"/>
            </a:ext>
          </a:extLst>
        </xdr:cNvPr>
        <xdr:cNvSpPr txBox="1">
          <a:spLocks noChangeArrowheads="1"/>
        </xdr:cNvSpPr>
      </xdr:nvSpPr>
      <xdr:spPr bwMode="auto">
        <a:xfrm>
          <a:off x="42557700" y="674370"/>
          <a:ext cx="6813551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431800</xdr:colOff>
      <xdr:row>4</xdr:row>
      <xdr:rowOff>114300</xdr:rowOff>
    </xdr:to>
    <xdr:sp macro="" textlink="">
      <xdr:nvSpPr>
        <xdr:cNvPr id="128" name="checksum">
          <a:extLst>
            <a:ext uri="{FF2B5EF4-FFF2-40B4-BE49-F238E27FC236}">
              <a16:creationId xmlns:a16="http://schemas.microsoft.com/office/drawing/2014/main" xmlns="" id="{00000000-0008-0000-0D00-000080000000}"/>
            </a:ext>
          </a:extLst>
        </xdr:cNvPr>
        <xdr:cNvSpPr txBox="1">
          <a:spLocks noChangeArrowheads="1"/>
        </xdr:cNvSpPr>
      </xdr:nvSpPr>
      <xdr:spPr bwMode="auto">
        <a:xfrm>
          <a:off x="42557700" y="674370"/>
          <a:ext cx="6832601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374650</xdr:colOff>
      <xdr:row>4</xdr:row>
      <xdr:rowOff>114300</xdr:rowOff>
    </xdr:to>
    <xdr:sp macro="" textlink="">
      <xdr:nvSpPr>
        <xdr:cNvPr id="129" name="checksum">
          <a:extLst>
            <a:ext uri="{FF2B5EF4-FFF2-40B4-BE49-F238E27FC236}">
              <a16:creationId xmlns:a16="http://schemas.microsoft.com/office/drawing/2014/main" xmlns="" id="{00000000-0008-0000-0D00-000081000000}"/>
            </a:ext>
          </a:extLst>
        </xdr:cNvPr>
        <xdr:cNvSpPr txBox="1">
          <a:spLocks noChangeArrowheads="1"/>
        </xdr:cNvSpPr>
      </xdr:nvSpPr>
      <xdr:spPr bwMode="auto">
        <a:xfrm>
          <a:off x="42557700" y="680085"/>
          <a:ext cx="6775451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4</xdr:row>
      <xdr:rowOff>363906</xdr:rowOff>
    </xdr:to>
    <xdr:sp macro="" textlink="">
      <xdr:nvSpPr>
        <xdr:cNvPr id="13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D00-000082000000}"/>
            </a:ext>
          </a:extLst>
        </xdr:cNvPr>
        <xdr:cNvSpPr txBox="1">
          <a:spLocks noChangeArrowheads="1"/>
        </xdr:cNvSpPr>
      </xdr:nvSpPr>
      <xdr:spPr bwMode="auto">
        <a:xfrm>
          <a:off x="34876740" y="419100"/>
          <a:ext cx="0" cy="76776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25</xdr:col>
      <xdr:colOff>0</xdr:colOff>
      <xdr:row>2</xdr:row>
      <xdr:rowOff>28575</xdr:rowOff>
    </xdr:from>
    <xdr:to>
      <xdr:col>31</xdr:col>
      <xdr:colOff>107950</xdr:colOff>
      <xdr:row>4</xdr:row>
      <xdr:rowOff>66675</xdr:rowOff>
    </xdr:to>
    <xdr:sp macro="" textlink="">
      <xdr:nvSpPr>
        <xdr:cNvPr id="131" name="checksum">
          <a:extLst>
            <a:ext uri="{FF2B5EF4-FFF2-40B4-BE49-F238E27FC236}">
              <a16:creationId xmlns:a16="http://schemas.microsoft.com/office/drawing/2014/main" xmlns="" id="{00000000-0008-0000-0D00-000083000000}"/>
            </a:ext>
          </a:extLst>
        </xdr:cNvPr>
        <xdr:cNvSpPr txBox="1">
          <a:spLocks noChangeArrowheads="1"/>
        </xdr:cNvSpPr>
      </xdr:nvSpPr>
      <xdr:spPr bwMode="auto">
        <a:xfrm>
          <a:off x="42862500" y="447675"/>
          <a:ext cx="7788911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412750</xdr:colOff>
      <xdr:row>4</xdr:row>
      <xdr:rowOff>114300</xdr:rowOff>
    </xdr:to>
    <xdr:sp macro="" textlink="">
      <xdr:nvSpPr>
        <xdr:cNvPr id="132" name="checksum">
          <a:extLst>
            <a:ext uri="{FF2B5EF4-FFF2-40B4-BE49-F238E27FC236}">
              <a16:creationId xmlns:a16="http://schemas.microsoft.com/office/drawing/2014/main" xmlns="" id="{00000000-0008-0000-0D00-000084000000}"/>
            </a:ext>
          </a:extLst>
        </xdr:cNvPr>
        <xdr:cNvSpPr txBox="1">
          <a:spLocks noChangeArrowheads="1"/>
        </xdr:cNvSpPr>
      </xdr:nvSpPr>
      <xdr:spPr bwMode="auto">
        <a:xfrm>
          <a:off x="42557700" y="674370"/>
          <a:ext cx="6813551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431800</xdr:colOff>
      <xdr:row>4</xdr:row>
      <xdr:rowOff>114300</xdr:rowOff>
    </xdr:to>
    <xdr:sp macro="" textlink="">
      <xdr:nvSpPr>
        <xdr:cNvPr id="133" name="checksum">
          <a:extLst>
            <a:ext uri="{FF2B5EF4-FFF2-40B4-BE49-F238E27FC236}">
              <a16:creationId xmlns:a16="http://schemas.microsoft.com/office/drawing/2014/main" xmlns="" id="{00000000-0008-0000-0D00-000085000000}"/>
            </a:ext>
          </a:extLst>
        </xdr:cNvPr>
        <xdr:cNvSpPr txBox="1">
          <a:spLocks noChangeArrowheads="1"/>
        </xdr:cNvSpPr>
      </xdr:nvSpPr>
      <xdr:spPr bwMode="auto">
        <a:xfrm>
          <a:off x="42557700" y="674370"/>
          <a:ext cx="6832601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374650</xdr:colOff>
      <xdr:row>4</xdr:row>
      <xdr:rowOff>114300</xdr:rowOff>
    </xdr:to>
    <xdr:sp macro="" textlink="">
      <xdr:nvSpPr>
        <xdr:cNvPr id="134" name="checksum">
          <a:extLst>
            <a:ext uri="{FF2B5EF4-FFF2-40B4-BE49-F238E27FC236}">
              <a16:creationId xmlns:a16="http://schemas.microsoft.com/office/drawing/2014/main" xmlns="" id="{00000000-0008-0000-0D00-000086000000}"/>
            </a:ext>
          </a:extLst>
        </xdr:cNvPr>
        <xdr:cNvSpPr txBox="1">
          <a:spLocks noChangeArrowheads="1"/>
        </xdr:cNvSpPr>
      </xdr:nvSpPr>
      <xdr:spPr bwMode="auto">
        <a:xfrm>
          <a:off x="42557700" y="680085"/>
          <a:ext cx="6775451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5</xdr:row>
      <xdr:rowOff>361950</xdr:rowOff>
    </xdr:to>
    <xdr:sp macro="" textlink="">
      <xdr:nvSpPr>
        <xdr:cNvPr id="135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D00-000087000000}"/>
            </a:ext>
          </a:extLst>
        </xdr:cNvPr>
        <xdr:cNvSpPr txBox="1">
          <a:spLocks noChangeArrowheads="1"/>
        </xdr:cNvSpPr>
      </xdr:nvSpPr>
      <xdr:spPr bwMode="auto">
        <a:xfrm>
          <a:off x="34876740" y="419100"/>
          <a:ext cx="0" cy="98679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34</xdr:col>
      <xdr:colOff>0</xdr:colOff>
      <xdr:row>2</xdr:row>
      <xdr:rowOff>28575</xdr:rowOff>
    </xdr:from>
    <xdr:to>
      <xdr:col>46</xdr:col>
      <xdr:colOff>414334</xdr:colOff>
      <xdr:row>4</xdr:row>
      <xdr:rowOff>66675</xdr:rowOff>
    </xdr:to>
    <xdr:sp macro="" textlink="">
      <xdr:nvSpPr>
        <xdr:cNvPr id="136" name="checksum">
          <a:extLst>
            <a:ext uri="{FF2B5EF4-FFF2-40B4-BE49-F238E27FC236}">
              <a16:creationId xmlns:a16="http://schemas.microsoft.com/office/drawing/2014/main" xmlns="" id="{00000000-0008-0000-0D00-000088000000}"/>
            </a:ext>
          </a:extLst>
        </xdr:cNvPr>
        <xdr:cNvSpPr txBox="1">
          <a:spLocks noChangeArrowheads="1"/>
        </xdr:cNvSpPr>
      </xdr:nvSpPr>
      <xdr:spPr bwMode="auto">
        <a:xfrm>
          <a:off x="57843420" y="447675"/>
          <a:ext cx="7729533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58469</xdr:colOff>
      <xdr:row>4</xdr:row>
      <xdr:rowOff>114300</xdr:rowOff>
    </xdr:to>
    <xdr:sp macro="" textlink="">
      <xdr:nvSpPr>
        <xdr:cNvPr id="137" name="checksum">
          <a:extLst>
            <a:ext uri="{FF2B5EF4-FFF2-40B4-BE49-F238E27FC236}">
              <a16:creationId xmlns:a16="http://schemas.microsoft.com/office/drawing/2014/main" xmlns="" id="{00000000-0008-0000-0D00-000089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6406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77519</xdr:colOff>
      <xdr:row>4</xdr:row>
      <xdr:rowOff>114300</xdr:rowOff>
    </xdr:to>
    <xdr:sp macro="" textlink="">
      <xdr:nvSpPr>
        <xdr:cNvPr id="138" name="checksum">
          <a:extLst>
            <a:ext uri="{FF2B5EF4-FFF2-40B4-BE49-F238E27FC236}">
              <a16:creationId xmlns:a16="http://schemas.microsoft.com/office/drawing/2014/main" xmlns="" id="{00000000-0008-0000-0D00-00008A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8311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45</xdr:col>
      <xdr:colOff>20369</xdr:colOff>
      <xdr:row>4</xdr:row>
      <xdr:rowOff>114300</xdr:rowOff>
    </xdr:to>
    <xdr:sp macro="" textlink="">
      <xdr:nvSpPr>
        <xdr:cNvPr id="139" name="checksum">
          <a:extLst>
            <a:ext uri="{FF2B5EF4-FFF2-40B4-BE49-F238E27FC236}">
              <a16:creationId xmlns:a16="http://schemas.microsoft.com/office/drawing/2014/main" xmlns="" id="{00000000-0008-0000-0D00-00008B000000}"/>
            </a:ext>
          </a:extLst>
        </xdr:cNvPr>
        <xdr:cNvSpPr txBox="1">
          <a:spLocks noChangeArrowheads="1"/>
        </xdr:cNvSpPr>
      </xdr:nvSpPr>
      <xdr:spPr bwMode="auto">
        <a:xfrm>
          <a:off x="57843420" y="680085"/>
          <a:ext cx="672596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46</xdr:col>
      <xdr:colOff>414334</xdr:colOff>
      <xdr:row>4</xdr:row>
      <xdr:rowOff>66675</xdr:rowOff>
    </xdr:to>
    <xdr:sp macro="" textlink="">
      <xdr:nvSpPr>
        <xdr:cNvPr id="140" name="checksum">
          <a:extLst>
            <a:ext uri="{FF2B5EF4-FFF2-40B4-BE49-F238E27FC236}">
              <a16:creationId xmlns:a16="http://schemas.microsoft.com/office/drawing/2014/main" xmlns="" id="{00000000-0008-0000-0D00-00008C000000}"/>
            </a:ext>
          </a:extLst>
        </xdr:cNvPr>
        <xdr:cNvSpPr txBox="1">
          <a:spLocks noChangeArrowheads="1"/>
        </xdr:cNvSpPr>
      </xdr:nvSpPr>
      <xdr:spPr bwMode="auto">
        <a:xfrm>
          <a:off x="57843420" y="447675"/>
          <a:ext cx="7729533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58469</xdr:colOff>
      <xdr:row>4</xdr:row>
      <xdr:rowOff>114300</xdr:rowOff>
    </xdr:to>
    <xdr:sp macro="" textlink="">
      <xdr:nvSpPr>
        <xdr:cNvPr id="141" name="checksum">
          <a:extLst>
            <a:ext uri="{FF2B5EF4-FFF2-40B4-BE49-F238E27FC236}">
              <a16:creationId xmlns:a16="http://schemas.microsoft.com/office/drawing/2014/main" xmlns="" id="{00000000-0008-0000-0D00-00008D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6406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77519</xdr:colOff>
      <xdr:row>4</xdr:row>
      <xdr:rowOff>114300</xdr:rowOff>
    </xdr:to>
    <xdr:sp macro="" textlink="">
      <xdr:nvSpPr>
        <xdr:cNvPr id="142" name="checksum">
          <a:extLst>
            <a:ext uri="{FF2B5EF4-FFF2-40B4-BE49-F238E27FC236}">
              <a16:creationId xmlns:a16="http://schemas.microsoft.com/office/drawing/2014/main" xmlns="" id="{00000000-0008-0000-0D00-00008E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8311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45</xdr:col>
      <xdr:colOff>20369</xdr:colOff>
      <xdr:row>4</xdr:row>
      <xdr:rowOff>114300</xdr:rowOff>
    </xdr:to>
    <xdr:sp macro="" textlink="">
      <xdr:nvSpPr>
        <xdr:cNvPr id="143" name="checksum">
          <a:extLst>
            <a:ext uri="{FF2B5EF4-FFF2-40B4-BE49-F238E27FC236}">
              <a16:creationId xmlns:a16="http://schemas.microsoft.com/office/drawing/2014/main" xmlns="" id="{00000000-0008-0000-0D00-00008F000000}"/>
            </a:ext>
          </a:extLst>
        </xdr:cNvPr>
        <xdr:cNvSpPr txBox="1">
          <a:spLocks noChangeArrowheads="1"/>
        </xdr:cNvSpPr>
      </xdr:nvSpPr>
      <xdr:spPr bwMode="auto">
        <a:xfrm>
          <a:off x="57843420" y="680085"/>
          <a:ext cx="672596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46</xdr:col>
      <xdr:colOff>414334</xdr:colOff>
      <xdr:row>4</xdr:row>
      <xdr:rowOff>66675</xdr:rowOff>
    </xdr:to>
    <xdr:sp macro="" textlink="">
      <xdr:nvSpPr>
        <xdr:cNvPr id="144" name="checksum">
          <a:extLst>
            <a:ext uri="{FF2B5EF4-FFF2-40B4-BE49-F238E27FC236}">
              <a16:creationId xmlns:a16="http://schemas.microsoft.com/office/drawing/2014/main" xmlns="" id="{00000000-0008-0000-0D00-000090000000}"/>
            </a:ext>
          </a:extLst>
        </xdr:cNvPr>
        <xdr:cNvSpPr txBox="1">
          <a:spLocks noChangeArrowheads="1"/>
        </xdr:cNvSpPr>
      </xdr:nvSpPr>
      <xdr:spPr bwMode="auto">
        <a:xfrm>
          <a:off x="57843420" y="447675"/>
          <a:ext cx="7729533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58469</xdr:colOff>
      <xdr:row>4</xdr:row>
      <xdr:rowOff>114300</xdr:rowOff>
    </xdr:to>
    <xdr:sp macro="" textlink="">
      <xdr:nvSpPr>
        <xdr:cNvPr id="145" name="checksum">
          <a:extLst>
            <a:ext uri="{FF2B5EF4-FFF2-40B4-BE49-F238E27FC236}">
              <a16:creationId xmlns:a16="http://schemas.microsoft.com/office/drawing/2014/main" xmlns="" id="{00000000-0008-0000-0D00-000091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6406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77519</xdr:colOff>
      <xdr:row>4</xdr:row>
      <xdr:rowOff>114300</xdr:rowOff>
    </xdr:to>
    <xdr:sp macro="" textlink="">
      <xdr:nvSpPr>
        <xdr:cNvPr id="146" name="checksum">
          <a:extLst>
            <a:ext uri="{FF2B5EF4-FFF2-40B4-BE49-F238E27FC236}">
              <a16:creationId xmlns:a16="http://schemas.microsoft.com/office/drawing/2014/main" xmlns="" id="{00000000-0008-0000-0D00-000092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8311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45</xdr:col>
      <xdr:colOff>20369</xdr:colOff>
      <xdr:row>4</xdr:row>
      <xdr:rowOff>114300</xdr:rowOff>
    </xdr:to>
    <xdr:sp macro="" textlink="">
      <xdr:nvSpPr>
        <xdr:cNvPr id="147" name="checksum">
          <a:extLst>
            <a:ext uri="{FF2B5EF4-FFF2-40B4-BE49-F238E27FC236}">
              <a16:creationId xmlns:a16="http://schemas.microsoft.com/office/drawing/2014/main" xmlns="" id="{00000000-0008-0000-0D00-000093000000}"/>
            </a:ext>
          </a:extLst>
        </xdr:cNvPr>
        <xdr:cNvSpPr txBox="1">
          <a:spLocks noChangeArrowheads="1"/>
        </xdr:cNvSpPr>
      </xdr:nvSpPr>
      <xdr:spPr bwMode="auto">
        <a:xfrm>
          <a:off x="57843420" y="680085"/>
          <a:ext cx="672596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46</xdr:col>
      <xdr:colOff>414334</xdr:colOff>
      <xdr:row>4</xdr:row>
      <xdr:rowOff>66675</xdr:rowOff>
    </xdr:to>
    <xdr:sp macro="" textlink="">
      <xdr:nvSpPr>
        <xdr:cNvPr id="148" name="checksum">
          <a:extLst>
            <a:ext uri="{FF2B5EF4-FFF2-40B4-BE49-F238E27FC236}">
              <a16:creationId xmlns:a16="http://schemas.microsoft.com/office/drawing/2014/main" xmlns="" id="{00000000-0008-0000-0D00-000094000000}"/>
            </a:ext>
          </a:extLst>
        </xdr:cNvPr>
        <xdr:cNvSpPr txBox="1">
          <a:spLocks noChangeArrowheads="1"/>
        </xdr:cNvSpPr>
      </xdr:nvSpPr>
      <xdr:spPr bwMode="auto">
        <a:xfrm>
          <a:off x="57843420" y="447675"/>
          <a:ext cx="7729533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58469</xdr:colOff>
      <xdr:row>4</xdr:row>
      <xdr:rowOff>114300</xdr:rowOff>
    </xdr:to>
    <xdr:sp macro="" textlink="">
      <xdr:nvSpPr>
        <xdr:cNvPr id="149" name="checksum">
          <a:extLst>
            <a:ext uri="{FF2B5EF4-FFF2-40B4-BE49-F238E27FC236}">
              <a16:creationId xmlns:a16="http://schemas.microsoft.com/office/drawing/2014/main" xmlns="" id="{00000000-0008-0000-0D00-000095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6406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77519</xdr:colOff>
      <xdr:row>4</xdr:row>
      <xdr:rowOff>114300</xdr:rowOff>
    </xdr:to>
    <xdr:sp macro="" textlink="">
      <xdr:nvSpPr>
        <xdr:cNvPr id="150" name="checksum">
          <a:extLst>
            <a:ext uri="{FF2B5EF4-FFF2-40B4-BE49-F238E27FC236}">
              <a16:creationId xmlns:a16="http://schemas.microsoft.com/office/drawing/2014/main" xmlns="" id="{00000000-0008-0000-0D00-000096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8311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45</xdr:col>
      <xdr:colOff>20369</xdr:colOff>
      <xdr:row>4</xdr:row>
      <xdr:rowOff>114300</xdr:rowOff>
    </xdr:to>
    <xdr:sp macro="" textlink="">
      <xdr:nvSpPr>
        <xdr:cNvPr id="151" name="checksum">
          <a:extLst>
            <a:ext uri="{FF2B5EF4-FFF2-40B4-BE49-F238E27FC236}">
              <a16:creationId xmlns:a16="http://schemas.microsoft.com/office/drawing/2014/main" xmlns="" id="{00000000-0008-0000-0D00-000097000000}"/>
            </a:ext>
          </a:extLst>
        </xdr:cNvPr>
        <xdr:cNvSpPr txBox="1">
          <a:spLocks noChangeArrowheads="1"/>
        </xdr:cNvSpPr>
      </xdr:nvSpPr>
      <xdr:spPr bwMode="auto">
        <a:xfrm>
          <a:off x="57843420" y="680085"/>
          <a:ext cx="672596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46</xdr:col>
      <xdr:colOff>414334</xdr:colOff>
      <xdr:row>4</xdr:row>
      <xdr:rowOff>66675</xdr:rowOff>
    </xdr:to>
    <xdr:sp macro="" textlink="">
      <xdr:nvSpPr>
        <xdr:cNvPr id="152" name="checksum">
          <a:extLst>
            <a:ext uri="{FF2B5EF4-FFF2-40B4-BE49-F238E27FC236}">
              <a16:creationId xmlns:a16="http://schemas.microsoft.com/office/drawing/2014/main" xmlns="" id="{00000000-0008-0000-0D00-000098000000}"/>
            </a:ext>
          </a:extLst>
        </xdr:cNvPr>
        <xdr:cNvSpPr txBox="1">
          <a:spLocks noChangeArrowheads="1"/>
        </xdr:cNvSpPr>
      </xdr:nvSpPr>
      <xdr:spPr bwMode="auto">
        <a:xfrm>
          <a:off x="57843420" y="447675"/>
          <a:ext cx="7729533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58469</xdr:colOff>
      <xdr:row>4</xdr:row>
      <xdr:rowOff>114300</xdr:rowOff>
    </xdr:to>
    <xdr:sp macro="" textlink="">
      <xdr:nvSpPr>
        <xdr:cNvPr id="153" name="checksum">
          <a:extLst>
            <a:ext uri="{FF2B5EF4-FFF2-40B4-BE49-F238E27FC236}">
              <a16:creationId xmlns:a16="http://schemas.microsoft.com/office/drawing/2014/main" xmlns="" id="{00000000-0008-0000-0D00-000099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6406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77519</xdr:colOff>
      <xdr:row>4</xdr:row>
      <xdr:rowOff>114300</xdr:rowOff>
    </xdr:to>
    <xdr:sp macro="" textlink="">
      <xdr:nvSpPr>
        <xdr:cNvPr id="154" name="checksum">
          <a:extLst>
            <a:ext uri="{FF2B5EF4-FFF2-40B4-BE49-F238E27FC236}">
              <a16:creationId xmlns:a16="http://schemas.microsoft.com/office/drawing/2014/main" xmlns="" id="{00000000-0008-0000-0D00-00009A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8311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45</xdr:col>
      <xdr:colOff>20369</xdr:colOff>
      <xdr:row>4</xdr:row>
      <xdr:rowOff>114300</xdr:rowOff>
    </xdr:to>
    <xdr:sp macro="" textlink="">
      <xdr:nvSpPr>
        <xdr:cNvPr id="155" name="checksum">
          <a:extLst>
            <a:ext uri="{FF2B5EF4-FFF2-40B4-BE49-F238E27FC236}">
              <a16:creationId xmlns:a16="http://schemas.microsoft.com/office/drawing/2014/main" xmlns="" id="{00000000-0008-0000-0D00-00009B000000}"/>
            </a:ext>
          </a:extLst>
        </xdr:cNvPr>
        <xdr:cNvSpPr txBox="1">
          <a:spLocks noChangeArrowheads="1"/>
        </xdr:cNvSpPr>
      </xdr:nvSpPr>
      <xdr:spPr bwMode="auto">
        <a:xfrm>
          <a:off x="57843420" y="680085"/>
          <a:ext cx="672596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46</xdr:col>
      <xdr:colOff>414334</xdr:colOff>
      <xdr:row>4</xdr:row>
      <xdr:rowOff>66675</xdr:rowOff>
    </xdr:to>
    <xdr:sp macro="" textlink="">
      <xdr:nvSpPr>
        <xdr:cNvPr id="156" name="checksum">
          <a:extLst>
            <a:ext uri="{FF2B5EF4-FFF2-40B4-BE49-F238E27FC236}">
              <a16:creationId xmlns:a16="http://schemas.microsoft.com/office/drawing/2014/main" xmlns="" id="{00000000-0008-0000-0D00-00009C000000}"/>
            </a:ext>
          </a:extLst>
        </xdr:cNvPr>
        <xdr:cNvSpPr txBox="1">
          <a:spLocks noChangeArrowheads="1"/>
        </xdr:cNvSpPr>
      </xdr:nvSpPr>
      <xdr:spPr bwMode="auto">
        <a:xfrm>
          <a:off x="57843420" y="447675"/>
          <a:ext cx="7729533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58469</xdr:colOff>
      <xdr:row>4</xdr:row>
      <xdr:rowOff>114300</xdr:rowOff>
    </xdr:to>
    <xdr:sp macro="" textlink="">
      <xdr:nvSpPr>
        <xdr:cNvPr id="157" name="checksum">
          <a:extLst>
            <a:ext uri="{FF2B5EF4-FFF2-40B4-BE49-F238E27FC236}">
              <a16:creationId xmlns:a16="http://schemas.microsoft.com/office/drawing/2014/main" xmlns="" id="{00000000-0008-0000-0D00-00009D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6406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77519</xdr:colOff>
      <xdr:row>4</xdr:row>
      <xdr:rowOff>114300</xdr:rowOff>
    </xdr:to>
    <xdr:sp macro="" textlink="">
      <xdr:nvSpPr>
        <xdr:cNvPr id="158" name="checksum">
          <a:extLst>
            <a:ext uri="{FF2B5EF4-FFF2-40B4-BE49-F238E27FC236}">
              <a16:creationId xmlns:a16="http://schemas.microsoft.com/office/drawing/2014/main" xmlns="" id="{00000000-0008-0000-0D00-00009E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8311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45</xdr:col>
      <xdr:colOff>20369</xdr:colOff>
      <xdr:row>4</xdr:row>
      <xdr:rowOff>114300</xdr:rowOff>
    </xdr:to>
    <xdr:sp macro="" textlink="">
      <xdr:nvSpPr>
        <xdr:cNvPr id="159" name="checksum">
          <a:extLst>
            <a:ext uri="{FF2B5EF4-FFF2-40B4-BE49-F238E27FC236}">
              <a16:creationId xmlns:a16="http://schemas.microsoft.com/office/drawing/2014/main" xmlns="" id="{00000000-0008-0000-0D00-00009F000000}"/>
            </a:ext>
          </a:extLst>
        </xdr:cNvPr>
        <xdr:cNvSpPr txBox="1">
          <a:spLocks noChangeArrowheads="1"/>
        </xdr:cNvSpPr>
      </xdr:nvSpPr>
      <xdr:spPr bwMode="auto">
        <a:xfrm>
          <a:off x="57843420" y="680085"/>
          <a:ext cx="672596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46</xdr:col>
      <xdr:colOff>414334</xdr:colOff>
      <xdr:row>4</xdr:row>
      <xdr:rowOff>66675</xdr:rowOff>
    </xdr:to>
    <xdr:sp macro="" textlink="">
      <xdr:nvSpPr>
        <xdr:cNvPr id="160" name="checksum">
          <a:extLst>
            <a:ext uri="{FF2B5EF4-FFF2-40B4-BE49-F238E27FC236}">
              <a16:creationId xmlns:a16="http://schemas.microsoft.com/office/drawing/2014/main" xmlns="" id="{00000000-0008-0000-0D00-0000A0000000}"/>
            </a:ext>
          </a:extLst>
        </xdr:cNvPr>
        <xdr:cNvSpPr txBox="1">
          <a:spLocks noChangeArrowheads="1"/>
        </xdr:cNvSpPr>
      </xdr:nvSpPr>
      <xdr:spPr bwMode="auto">
        <a:xfrm>
          <a:off x="57843420" y="447675"/>
          <a:ext cx="7729533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58469</xdr:colOff>
      <xdr:row>4</xdr:row>
      <xdr:rowOff>114300</xdr:rowOff>
    </xdr:to>
    <xdr:sp macro="" textlink="">
      <xdr:nvSpPr>
        <xdr:cNvPr id="161" name="checksum">
          <a:extLst>
            <a:ext uri="{FF2B5EF4-FFF2-40B4-BE49-F238E27FC236}">
              <a16:creationId xmlns:a16="http://schemas.microsoft.com/office/drawing/2014/main" xmlns="" id="{00000000-0008-0000-0D00-0000A1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6406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77519</xdr:colOff>
      <xdr:row>4</xdr:row>
      <xdr:rowOff>114300</xdr:rowOff>
    </xdr:to>
    <xdr:sp macro="" textlink="">
      <xdr:nvSpPr>
        <xdr:cNvPr id="162" name="checksum">
          <a:extLst>
            <a:ext uri="{FF2B5EF4-FFF2-40B4-BE49-F238E27FC236}">
              <a16:creationId xmlns:a16="http://schemas.microsoft.com/office/drawing/2014/main" xmlns="" id="{00000000-0008-0000-0D00-0000A2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8311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45</xdr:col>
      <xdr:colOff>20369</xdr:colOff>
      <xdr:row>4</xdr:row>
      <xdr:rowOff>114300</xdr:rowOff>
    </xdr:to>
    <xdr:sp macro="" textlink="">
      <xdr:nvSpPr>
        <xdr:cNvPr id="163" name="checksum">
          <a:extLst>
            <a:ext uri="{FF2B5EF4-FFF2-40B4-BE49-F238E27FC236}">
              <a16:creationId xmlns:a16="http://schemas.microsoft.com/office/drawing/2014/main" xmlns="" id="{00000000-0008-0000-0D00-0000A3000000}"/>
            </a:ext>
          </a:extLst>
        </xdr:cNvPr>
        <xdr:cNvSpPr txBox="1">
          <a:spLocks noChangeArrowheads="1"/>
        </xdr:cNvSpPr>
      </xdr:nvSpPr>
      <xdr:spPr bwMode="auto">
        <a:xfrm>
          <a:off x="57843420" y="680085"/>
          <a:ext cx="672596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46</xdr:col>
      <xdr:colOff>414334</xdr:colOff>
      <xdr:row>4</xdr:row>
      <xdr:rowOff>66675</xdr:rowOff>
    </xdr:to>
    <xdr:sp macro="" textlink="">
      <xdr:nvSpPr>
        <xdr:cNvPr id="164" name="checksum">
          <a:extLst>
            <a:ext uri="{FF2B5EF4-FFF2-40B4-BE49-F238E27FC236}">
              <a16:creationId xmlns:a16="http://schemas.microsoft.com/office/drawing/2014/main" xmlns="" id="{00000000-0008-0000-0D00-0000A4000000}"/>
            </a:ext>
          </a:extLst>
        </xdr:cNvPr>
        <xdr:cNvSpPr txBox="1">
          <a:spLocks noChangeArrowheads="1"/>
        </xdr:cNvSpPr>
      </xdr:nvSpPr>
      <xdr:spPr bwMode="auto">
        <a:xfrm>
          <a:off x="57843420" y="447675"/>
          <a:ext cx="7729533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58469</xdr:colOff>
      <xdr:row>4</xdr:row>
      <xdr:rowOff>114300</xdr:rowOff>
    </xdr:to>
    <xdr:sp macro="" textlink="">
      <xdr:nvSpPr>
        <xdr:cNvPr id="165" name="checksum">
          <a:extLst>
            <a:ext uri="{FF2B5EF4-FFF2-40B4-BE49-F238E27FC236}">
              <a16:creationId xmlns:a16="http://schemas.microsoft.com/office/drawing/2014/main" xmlns="" id="{00000000-0008-0000-0D00-0000A5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6406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77519</xdr:colOff>
      <xdr:row>4</xdr:row>
      <xdr:rowOff>114300</xdr:rowOff>
    </xdr:to>
    <xdr:sp macro="" textlink="">
      <xdr:nvSpPr>
        <xdr:cNvPr id="166" name="checksum">
          <a:extLst>
            <a:ext uri="{FF2B5EF4-FFF2-40B4-BE49-F238E27FC236}">
              <a16:creationId xmlns:a16="http://schemas.microsoft.com/office/drawing/2014/main" xmlns="" id="{00000000-0008-0000-0D00-0000A6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8311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45</xdr:col>
      <xdr:colOff>20369</xdr:colOff>
      <xdr:row>4</xdr:row>
      <xdr:rowOff>114300</xdr:rowOff>
    </xdr:to>
    <xdr:sp macro="" textlink="">
      <xdr:nvSpPr>
        <xdr:cNvPr id="167" name="checksum">
          <a:extLst>
            <a:ext uri="{FF2B5EF4-FFF2-40B4-BE49-F238E27FC236}">
              <a16:creationId xmlns:a16="http://schemas.microsoft.com/office/drawing/2014/main" xmlns="" id="{00000000-0008-0000-0D00-0000A7000000}"/>
            </a:ext>
          </a:extLst>
        </xdr:cNvPr>
        <xdr:cNvSpPr txBox="1">
          <a:spLocks noChangeArrowheads="1"/>
        </xdr:cNvSpPr>
      </xdr:nvSpPr>
      <xdr:spPr bwMode="auto">
        <a:xfrm>
          <a:off x="57843420" y="680085"/>
          <a:ext cx="672596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46</xdr:col>
      <xdr:colOff>414334</xdr:colOff>
      <xdr:row>4</xdr:row>
      <xdr:rowOff>66675</xdr:rowOff>
    </xdr:to>
    <xdr:sp macro="" textlink="">
      <xdr:nvSpPr>
        <xdr:cNvPr id="168" name="checksum">
          <a:extLst>
            <a:ext uri="{FF2B5EF4-FFF2-40B4-BE49-F238E27FC236}">
              <a16:creationId xmlns:a16="http://schemas.microsoft.com/office/drawing/2014/main" xmlns="" id="{00000000-0008-0000-0D00-0000A8000000}"/>
            </a:ext>
          </a:extLst>
        </xdr:cNvPr>
        <xdr:cNvSpPr txBox="1">
          <a:spLocks noChangeArrowheads="1"/>
        </xdr:cNvSpPr>
      </xdr:nvSpPr>
      <xdr:spPr bwMode="auto">
        <a:xfrm>
          <a:off x="57843420" y="447675"/>
          <a:ext cx="7729533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58469</xdr:colOff>
      <xdr:row>4</xdr:row>
      <xdr:rowOff>114300</xdr:rowOff>
    </xdr:to>
    <xdr:sp macro="" textlink="">
      <xdr:nvSpPr>
        <xdr:cNvPr id="169" name="checksum">
          <a:extLst>
            <a:ext uri="{FF2B5EF4-FFF2-40B4-BE49-F238E27FC236}">
              <a16:creationId xmlns:a16="http://schemas.microsoft.com/office/drawing/2014/main" xmlns="" id="{00000000-0008-0000-0D00-0000A9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6406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77519</xdr:colOff>
      <xdr:row>4</xdr:row>
      <xdr:rowOff>114300</xdr:rowOff>
    </xdr:to>
    <xdr:sp macro="" textlink="">
      <xdr:nvSpPr>
        <xdr:cNvPr id="170" name="checksum">
          <a:extLst>
            <a:ext uri="{FF2B5EF4-FFF2-40B4-BE49-F238E27FC236}">
              <a16:creationId xmlns:a16="http://schemas.microsoft.com/office/drawing/2014/main" xmlns="" id="{00000000-0008-0000-0D00-0000AA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8311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45</xdr:col>
      <xdr:colOff>20369</xdr:colOff>
      <xdr:row>4</xdr:row>
      <xdr:rowOff>114300</xdr:rowOff>
    </xdr:to>
    <xdr:sp macro="" textlink="">
      <xdr:nvSpPr>
        <xdr:cNvPr id="171" name="checksum">
          <a:extLst>
            <a:ext uri="{FF2B5EF4-FFF2-40B4-BE49-F238E27FC236}">
              <a16:creationId xmlns:a16="http://schemas.microsoft.com/office/drawing/2014/main" xmlns="" id="{00000000-0008-0000-0D00-0000AB000000}"/>
            </a:ext>
          </a:extLst>
        </xdr:cNvPr>
        <xdr:cNvSpPr txBox="1">
          <a:spLocks noChangeArrowheads="1"/>
        </xdr:cNvSpPr>
      </xdr:nvSpPr>
      <xdr:spPr bwMode="auto">
        <a:xfrm>
          <a:off x="57843420" y="680085"/>
          <a:ext cx="672596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46</xdr:col>
      <xdr:colOff>414334</xdr:colOff>
      <xdr:row>4</xdr:row>
      <xdr:rowOff>66675</xdr:rowOff>
    </xdr:to>
    <xdr:sp macro="" textlink="">
      <xdr:nvSpPr>
        <xdr:cNvPr id="172" name="checksum">
          <a:extLst>
            <a:ext uri="{FF2B5EF4-FFF2-40B4-BE49-F238E27FC236}">
              <a16:creationId xmlns:a16="http://schemas.microsoft.com/office/drawing/2014/main" xmlns="" id="{00000000-0008-0000-0D00-0000AC000000}"/>
            </a:ext>
          </a:extLst>
        </xdr:cNvPr>
        <xdr:cNvSpPr txBox="1">
          <a:spLocks noChangeArrowheads="1"/>
        </xdr:cNvSpPr>
      </xdr:nvSpPr>
      <xdr:spPr bwMode="auto">
        <a:xfrm>
          <a:off x="57843420" y="447675"/>
          <a:ext cx="7729533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58469</xdr:colOff>
      <xdr:row>4</xdr:row>
      <xdr:rowOff>114300</xdr:rowOff>
    </xdr:to>
    <xdr:sp macro="" textlink="">
      <xdr:nvSpPr>
        <xdr:cNvPr id="173" name="checksum">
          <a:extLst>
            <a:ext uri="{FF2B5EF4-FFF2-40B4-BE49-F238E27FC236}">
              <a16:creationId xmlns:a16="http://schemas.microsoft.com/office/drawing/2014/main" xmlns="" id="{00000000-0008-0000-0D00-0000AD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6406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77519</xdr:colOff>
      <xdr:row>4</xdr:row>
      <xdr:rowOff>114300</xdr:rowOff>
    </xdr:to>
    <xdr:sp macro="" textlink="">
      <xdr:nvSpPr>
        <xdr:cNvPr id="174" name="checksum">
          <a:extLst>
            <a:ext uri="{FF2B5EF4-FFF2-40B4-BE49-F238E27FC236}">
              <a16:creationId xmlns:a16="http://schemas.microsoft.com/office/drawing/2014/main" xmlns="" id="{00000000-0008-0000-0D00-0000AE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8311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45</xdr:col>
      <xdr:colOff>20369</xdr:colOff>
      <xdr:row>4</xdr:row>
      <xdr:rowOff>114300</xdr:rowOff>
    </xdr:to>
    <xdr:sp macro="" textlink="">
      <xdr:nvSpPr>
        <xdr:cNvPr id="175" name="checksum">
          <a:extLst>
            <a:ext uri="{FF2B5EF4-FFF2-40B4-BE49-F238E27FC236}">
              <a16:creationId xmlns:a16="http://schemas.microsoft.com/office/drawing/2014/main" xmlns="" id="{00000000-0008-0000-0D00-0000AF000000}"/>
            </a:ext>
          </a:extLst>
        </xdr:cNvPr>
        <xdr:cNvSpPr txBox="1">
          <a:spLocks noChangeArrowheads="1"/>
        </xdr:cNvSpPr>
      </xdr:nvSpPr>
      <xdr:spPr bwMode="auto">
        <a:xfrm>
          <a:off x="57843420" y="680085"/>
          <a:ext cx="672596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46</xdr:col>
      <xdr:colOff>414334</xdr:colOff>
      <xdr:row>4</xdr:row>
      <xdr:rowOff>66675</xdr:rowOff>
    </xdr:to>
    <xdr:sp macro="" textlink="">
      <xdr:nvSpPr>
        <xdr:cNvPr id="176" name="checksum">
          <a:extLst>
            <a:ext uri="{FF2B5EF4-FFF2-40B4-BE49-F238E27FC236}">
              <a16:creationId xmlns:a16="http://schemas.microsoft.com/office/drawing/2014/main" xmlns="" id="{00000000-0008-0000-0D00-0000B0000000}"/>
            </a:ext>
          </a:extLst>
        </xdr:cNvPr>
        <xdr:cNvSpPr txBox="1">
          <a:spLocks noChangeArrowheads="1"/>
        </xdr:cNvSpPr>
      </xdr:nvSpPr>
      <xdr:spPr bwMode="auto">
        <a:xfrm>
          <a:off x="57843420" y="447675"/>
          <a:ext cx="7729533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58469</xdr:colOff>
      <xdr:row>4</xdr:row>
      <xdr:rowOff>114300</xdr:rowOff>
    </xdr:to>
    <xdr:sp macro="" textlink="">
      <xdr:nvSpPr>
        <xdr:cNvPr id="177" name="checksum">
          <a:extLst>
            <a:ext uri="{FF2B5EF4-FFF2-40B4-BE49-F238E27FC236}">
              <a16:creationId xmlns:a16="http://schemas.microsoft.com/office/drawing/2014/main" xmlns="" id="{00000000-0008-0000-0D00-0000B1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6406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77519</xdr:colOff>
      <xdr:row>4</xdr:row>
      <xdr:rowOff>114300</xdr:rowOff>
    </xdr:to>
    <xdr:sp macro="" textlink="">
      <xdr:nvSpPr>
        <xdr:cNvPr id="178" name="checksum">
          <a:extLst>
            <a:ext uri="{FF2B5EF4-FFF2-40B4-BE49-F238E27FC236}">
              <a16:creationId xmlns:a16="http://schemas.microsoft.com/office/drawing/2014/main" xmlns="" id="{00000000-0008-0000-0D00-0000B2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8311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45</xdr:col>
      <xdr:colOff>20369</xdr:colOff>
      <xdr:row>4</xdr:row>
      <xdr:rowOff>114300</xdr:rowOff>
    </xdr:to>
    <xdr:sp macro="" textlink="">
      <xdr:nvSpPr>
        <xdr:cNvPr id="179" name="checksum">
          <a:extLst>
            <a:ext uri="{FF2B5EF4-FFF2-40B4-BE49-F238E27FC236}">
              <a16:creationId xmlns:a16="http://schemas.microsoft.com/office/drawing/2014/main" xmlns="" id="{00000000-0008-0000-0D00-0000B3000000}"/>
            </a:ext>
          </a:extLst>
        </xdr:cNvPr>
        <xdr:cNvSpPr txBox="1">
          <a:spLocks noChangeArrowheads="1"/>
        </xdr:cNvSpPr>
      </xdr:nvSpPr>
      <xdr:spPr bwMode="auto">
        <a:xfrm>
          <a:off x="57843420" y="680085"/>
          <a:ext cx="672596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46</xdr:col>
      <xdr:colOff>414334</xdr:colOff>
      <xdr:row>4</xdr:row>
      <xdr:rowOff>66675</xdr:rowOff>
    </xdr:to>
    <xdr:sp macro="" textlink="">
      <xdr:nvSpPr>
        <xdr:cNvPr id="180" name="checksum">
          <a:extLst>
            <a:ext uri="{FF2B5EF4-FFF2-40B4-BE49-F238E27FC236}">
              <a16:creationId xmlns:a16="http://schemas.microsoft.com/office/drawing/2014/main" xmlns="" id="{00000000-0008-0000-0D00-0000B4000000}"/>
            </a:ext>
          </a:extLst>
        </xdr:cNvPr>
        <xdr:cNvSpPr txBox="1">
          <a:spLocks noChangeArrowheads="1"/>
        </xdr:cNvSpPr>
      </xdr:nvSpPr>
      <xdr:spPr bwMode="auto">
        <a:xfrm>
          <a:off x="57843420" y="447675"/>
          <a:ext cx="7729533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58469</xdr:colOff>
      <xdr:row>4</xdr:row>
      <xdr:rowOff>114300</xdr:rowOff>
    </xdr:to>
    <xdr:sp macro="" textlink="">
      <xdr:nvSpPr>
        <xdr:cNvPr id="181" name="checksum">
          <a:extLst>
            <a:ext uri="{FF2B5EF4-FFF2-40B4-BE49-F238E27FC236}">
              <a16:creationId xmlns:a16="http://schemas.microsoft.com/office/drawing/2014/main" xmlns="" id="{00000000-0008-0000-0D00-0000B5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6406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77519</xdr:colOff>
      <xdr:row>4</xdr:row>
      <xdr:rowOff>114300</xdr:rowOff>
    </xdr:to>
    <xdr:sp macro="" textlink="">
      <xdr:nvSpPr>
        <xdr:cNvPr id="182" name="checksum">
          <a:extLst>
            <a:ext uri="{FF2B5EF4-FFF2-40B4-BE49-F238E27FC236}">
              <a16:creationId xmlns:a16="http://schemas.microsoft.com/office/drawing/2014/main" xmlns="" id="{00000000-0008-0000-0D00-0000B6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8311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45</xdr:col>
      <xdr:colOff>20369</xdr:colOff>
      <xdr:row>4</xdr:row>
      <xdr:rowOff>114300</xdr:rowOff>
    </xdr:to>
    <xdr:sp macro="" textlink="">
      <xdr:nvSpPr>
        <xdr:cNvPr id="183" name="checksum">
          <a:extLst>
            <a:ext uri="{FF2B5EF4-FFF2-40B4-BE49-F238E27FC236}">
              <a16:creationId xmlns:a16="http://schemas.microsoft.com/office/drawing/2014/main" xmlns="" id="{00000000-0008-0000-0D00-0000B7000000}"/>
            </a:ext>
          </a:extLst>
        </xdr:cNvPr>
        <xdr:cNvSpPr txBox="1">
          <a:spLocks noChangeArrowheads="1"/>
        </xdr:cNvSpPr>
      </xdr:nvSpPr>
      <xdr:spPr bwMode="auto">
        <a:xfrm>
          <a:off x="57843420" y="680085"/>
          <a:ext cx="672596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46</xdr:col>
      <xdr:colOff>414334</xdr:colOff>
      <xdr:row>4</xdr:row>
      <xdr:rowOff>66675</xdr:rowOff>
    </xdr:to>
    <xdr:sp macro="" textlink="">
      <xdr:nvSpPr>
        <xdr:cNvPr id="184" name="checksum">
          <a:extLst>
            <a:ext uri="{FF2B5EF4-FFF2-40B4-BE49-F238E27FC236}">
              <a16:creationId xmlns:a16="http://schemas.microsoft.com/office/drawing/2014/main" xmlns="" id="{00000000-0008-0000-0D00-0000B8000000}"/>
            </a:ext>
          </a:extLst>
        </xdr:cNvPr>
        <xdr:cNvSpPr txBox="1">
          <a:spLocks noChangeArrowheads="1"/>
        </xdr:cNvSpPr>
      </xdr:nvSpPr>
      <xdr:spPr bwMode="auto">
        <a:xfrm>
          <a:off x="57843420" y="447675"/>
          <a:ext cx="7729533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58469</xdr:colOff>
      <xdr:row>4</xdr:row>
      <xdr:rowOff>114300</xdr:rowOff>
    </xdr:to>
    <xdr:sp macro="" textlink="">
      <xdr:nvSpPr>
        <xdr:cNvPr id="185" name="checksum">
          <a:extLst>
            <a:ext uri="{FF2B5EF4-FFF2-40B4-BE49-F238E27FC236}">
              <a16:creationId xmlns:a16="http://schemas.microsoft.com/office/drawing/2014/main" xmlns="" id="{00000000-0008-0000-0D00-0000B9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6406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77519</xdr:colOff>
      <xdr:row>4</xdr:row>
      <xdr:rowOff>114300</xdr:rowOff>
    </xdr:to>
    <xdr:sp macro="" textlink="">
      <xdr:nvSpPr>
        <xdr:cNvPr id="186" name="checksum">
          <a:extLst>
            <a:ext uri="{FF2B5EF4-FFF2-40B4-BE49-F238E27FC236}">
              <a16:creationId xmlns:a16="http://schemas.microsoft.com/office/drawing/2014/main" xmlns="" id="{00000000-0008-0000-0D00-0000BA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8311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45</xdr:col>
      <xdr:colOff>20369</xdr:colOff>
      <xdr:row>4</xdr:row>
      <xdr:rowOff>114300</xdr:rowOff>
    </xdr:to>
    <xdr:sp macro="" textlink="">
      <xdr:nvSpPr>
        <xdr:cNvPr id="187" name="checksum">
          <a:extLst>
            <a:ext uri="{FF2B5EF4-FFF2-40B4-BE49-F238E27FC236}">
              <a16:creationId xmlns:a16="http://schemas.microsoft.com/office/drawing/2014/main" xmlns="" id="{00000000-0008-0000-0D00-0000BB000000}"/>
            </a:ext>
          </a:extLst>
        </xdr:cNvPr>
        <xdr:cNvSpPr txBox="1">
          <a:spLocks noChangeArrowheads="1"/>
        </xdr:cNvSpPr>
      </xdr:nvSpPr>
      <xdr:spPr bwMode="auto">
        <a:xfrm>
          <a:off x="57843420" y="680085"/>
          <a:ext cx="672596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46</xdr:col>
      <xdr:colOff>414334</xdr:colOff>
      <xdr:row>4</xdr:row>
      <xdr:rowOff>66675</xdr:rowOff>
    </xdr:to>
    <xdr:sp macro="" textlink="">
      <xdr:nvSpPr>
        <xdr:cNvPr id="188" name="checksum">
          <a:extLst>
            <a:ext uri="{FF2B5EF4-FFF2-40B4-BE49-F238E27FC236}">
              <a16:creationId xmlns:a16="http://schemas.microsoft.com/office/drawing/2014/main" xmlns="" id="{00000000-0008-0000-0D00-0000BC000000}"/>
            </a:ext>
          </a:extLst>
        </xdr:cNvPr>
        <xdr:cNvSpPr txBox="1">
          <a:spLocks noChangeArrowheads="1"/>
        </xdr:cNvSpPr>
      </xdr:nvSpPr>
      <xdr:spPr bwMode="auto">
        <a:xfrm>
          <a:off x="57843420" y="447675"/>
          <a:ext cx="7729533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58469</xdr:colOff>
      <xdr:row>4</xdr:row>
      <xdr:rowOff>114300</xdr:rowOff>
    </xdr:to>
    <xdr:sp macro="" textlink="">
      <xdr:nvSpPr>
        <xdr:cNvPr id="189" name="checksum">
          <a:extLst>
            <a:ext uri="{FF2B5EF4-FFF2-40B4-BE49-F238E27FC236}">
              <a16:creationId xmlns:a16="http://schemas.microsoft.com/office/drawing/2014/main" xmlns="" id="{00000000-0008-0000-0D00-0000BD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6406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77519</xdr:colOff>
      <xdr:row>4</xdr:row>
      <xdr:rowOff>114300</xdr:rowOff>
    </xdr:to>
    <xdr:sp macro="" textlink="">
      <xdr:nvSpPr>
        <xdr:cNvPr id="190" name="checksum">
          <a:extLst>
            <a:ext uri="{FF2B5EF4-FFF2-40B4-BE49-F238E27FC236}">
              <a16:creationId xmlns:a16="http://schemas.microsoft.com/office/drawing/2014/main" xmlns="" id="{00000000-0008-0000-0D00-0000BE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8311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45</xdr:col>
      <xdr:colOff>20369</xdr:colOff>
      <xdr:row>4</xdr:row>
      <xdr:rowOff>114300</xdr:rowOff>
    </xdr:to>
    <xdr:sp macro="" textlink="">
      <xdr:nvSpPr>
        <xdr:cNvPr id="191" name="checksum">
          <a:extLst>
            <a:ext uri="{FF2B5EF4-FFF2-40B4-BE49-F238E27FC236}">
              <a16:creationId xmlns:a16="http://schemas.microsoft.com/office/drawing/2014/main" xmlns="" id="{00000000-0008-0000-0D00-0000BF000000}"/>
            </a:ext>
          </a:extLst>
        </xdr:cNvPr>
        <xdr:cNvSpPr txBox="1">
          <a:spLocks noChangeArrowheads="1"/>
        </xdr:cNvSpPr>
      </xdr:nvSpPr>
      <xdr:spPr bwMode="auto">
        <a:xfrm>
          <a:off x="57843420" y="680085"/>
          <a:ext cx="672596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46</xdr:col>
      <xdr:colOff>414334</xdr:colOff>
      <xdr:row>4</xdr:row>
      <xdr:rowOff>66675</xdr:rowOff>
    </xdr:to>
    <xdr:sp macro="" textlink="">
      <xdr:nvSpPr>
        <xdr:cNvPr id="192" name="checksum">
          <a:extLst>
            <a:ext uri="{FF2B5EF4-FFF2-40B4-BE49-F238E27FC236}">
              <a16:creationId xmlns:a16="http://schemas.microsoft.com/office/drawing/2014/main" xmlns="" id="{00000000-0008-0000-0D00-0000C0000000}"/>
            </a:ext>
          </a:extLst>
        </xdr:cNvPr>
        <xdr:cNvSpPr txBox="1">
          <a:spLocks noChangeArrowheads="1"/>
        </xdr:cNvSpPr>
      </xdr:nvSpPr>
      <xdr:spPr bwMode="auto">
        <a:xfrm>
          <a:off x="57843420" y="447675"/>
          <a:ext cx="7729533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58469</xdr:colOff>
      <xdr:row>4</xdr:row>
      <xdr:rowOff>114300</xdr:rowOff>
    </xdr:to>
    <xdr:sp macro="" textlink="">
      <xdr:nvSpPr>
        <xdr:cNvPr id="193" name="checksum">
          <a:extLst>
            <a:ext uri="{FF2B5EF4-FFF2-40B4-BE49-F238E27FC236}">
              <a16:creationId xmlns:a16="http://schemas.microsoft.com/office/drawing/2014/main" xmlns="" id="{00000000-0008-0000-0D00-0000C1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6406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77519</xdr:colOff>
      <xdr:row>4</xdr:row>
      <xdr:rowOff>114300</xdr:rowOff>
    </xdr:to>
    <xdr:sp macro="" textlink="">
      <xdr:nvSpPr>
        <xdr:cNvPr id="194" name="checksum">
          <a:extLst>
            <a:ext uri="{FF2B5EF4-FFF2-40B4-BE49-F238E27FC236}">
              <a16:creationId xmlns:a16="http://schemas.microsoft.com/office/drawing/2014/main" xmlns="" id="{00000000-0008-0000-0D00-0000C2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8311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45</xdr:col>
      <xdr:colOff>20369</xdr:colOff>
      <xdr:row>4</xdr:row>
      <xdr:rowOff>114300</xdr:rowOff>
    </xdr:to>
    <xdr:sp macro="" textlink="">
      <xdr:nvSpPr>
        <xdr:cNvPr id="195" name="checksum">
          <a:extLst>
            <a:ext uri="{FF2B5EF4-FFF2-40B4-BE49-F238E27FC236}">
              <a16:creationId xmlns:a16="http://schemas.microsoft.com/office/drawing/2014/main" xmlns="" id="{00000000-0008-0000-0D00-0000C3000000}"/>
            </a:ext>
          </a:extLst>
        </xdr:cNvPr>
        <xdr:cNvSpPr txBox="1">
          <a:spLocks noChangeArrowheads="1"/>
        </xdr:cNvSpPr>
      </xdr:nvSpPr>
      <xdr:spPr bwMode="auto">
        <a:xfrm>
          <a:off x="57843420" y="680085"/>
          <a:ext cx="672596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46</xdr:col>
      <xdr:colOff>414334</xdr:colOff>
      <xdr:row>4</xdr:row>
      <xdr:rowOff>66675</xdr:rowOff>
    </xdr:to>
    <xdr:sp macro="" textlink="">
      <xdr:nvSpPr>
        <xdr:cNvPr id="196" name="checksum">
          <a:extLst>
            <a:ext uri="{FF2B5EF4-FFF2-40B4-BE49-F238E27FC236}">
              <a16:creationId xmlns:a16="http://schemas.microsoft.com/office/drawing/2014/main" xmlns="" id="{00000000-0008-0000-0D00-0000C4000000}"/>
            </a:ext>
          </a:extLst>
        </xdr:cNvPr>
        <xdr:cNvSpPr txBox="1">
          <a:spLocks noChangeArrowheads="1"/>
        </xdr:cNvSpPr>
      </xdr:nvSpPr>
      <xdr:spPr bwMode="auto">
        <a:xfrm>
          <a:off x="57843420" y="447675"/>
          <a:ext cx="7729533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58469</xdr:colOff>
      <xdr:row>4</xdr:row>
      <xdr:rowOff>114300</xdr:rowOff>
    </xdr:to>
    <xdr:sp macro="" textlink="">
      <xdr:nvSpPr>
        <xdr:cNvPr id="197" name="checksum">
          <a:extLst>
            <a:ext uri="{FF2B5EF4-FFF2-40B4-BE49-F238E27FC236}">
              <a16:creationId xmlns:a16="http://schemas.microsoft.com/office/drawing/2014/main" xmlns="" id="{00000000-0008-0000-0D00-0000C5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6406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45</xdr:col>
      <xdr:colOff>77519</xdr:colOff>
      <xdr:row>4</xdr:row>
      <xdr:rowOff>114300</xdr:rowOff>
    </xdr:to>
    <xdr:sp macro="" textlink="">
      <xdr:nvSpPr>
        <xdr:cNvPr id="198" name="checksum">
          <a:extLst>
            <a:ext uri="{FF2B5EF4-FFF2-40B4-BE49-F238E27FC236}">
              <a16:creationId xmlns:a16="http://schemas.microsoft.com/office/drawing/2014/main" xmlns="" id="{00000000-0008-0000-0D00-0000C6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78311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45</xdr:col>
      <xdr:colOff>20369</xdr:colOff>
      <xdr:row>4</xdr:row>
      <xdr:rowOff>114300</xdr:rowOff>
    </xdr:to>
    <xdr:sp macro="" textlink="">
      <xdr:nvSpPr>
        <xdr:cNvPr id="199" name="checksum">
          <a:extLst>
            <a:ext uri="{FF2B5EF4-FFF2-40B4-BE49-F238E27FC236}">
              <a16:creationId xmlns:a16="http://schemas.microsoft.com/office/drawing/2014/main" xmlns="" id="{00000000-0008-0000-0D00-0000C7000000}"/>
            </a:ext>
          </a:extLst>
        </xdr:cNvPr>
        <xdr:cNvSpPr txBox="1">
          <a:spLocks noChangeArrowheads="1"/>
        </xdr:cNvSpPr>
      </xdr:nvSpPr>
      <xdr:spPr bwMode="auto">
        <a:xfrm>
          <a:off x="57843420" y="680085"/>
          <a:ext cx="672596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</xdr:rowOff>
    </xdr:from>
    <xdr:to>
      <xdr:col>15</xdr:col>
      <xdr:colOff>107950</xdr:colOff>
      <xdr:row>10</xdr:row>
      <xdr:rowOff>806450</xdr:rowOff>
    </xdr:to>
    <xdr:sp macro="" textlink="">
      <xdr:nvSpPr>
        <xdr:cNvPr id="200" name="checksum">
          <a:extLst>
            <a:ext uri="{FF2B5EF4-FFF2-40B4-BE49-F238E27FC236}">
              <a16:creationId xmlns:a16="http://schemas.microsoft.com/office/drawing/2014/main" xmlns="" id="{00000000-0008-0000-0D00-0000C8000000}"/>
            </a:ext>
          </a:extLst>
        </xdr:cNvPr>
        <xdr:cNvSpPr txBox="1">
          <a:spLocks noChangeArrowheads="1"/>
        </xdr:cNvSpPr>
      </xdr:nvSpPr>
      <xdr:spPr bwMode="auto">
        <a:xfrm>
          <a:off x="12565380" y="447675"/>
          <a:ext cx="7788910" cy="2522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412750</xdr:colOff>
      <xdr:row>9</xdr:row>
      <xdr:rowOff>34925</xdr:rowOff>
    </xdr:to>
    <xdr:sp macro="" textlink="">
      <xdr:nvSpPr>
        <xdr:cNvPr id="201" name="checksum">
          <a:extLst>
            <a:ext uri="{FF2B5EF4-FFF2-40B4-BE49-F238E27FC236}">
              <a16:creationId xmlns:a16="http://schemas.microsoft.com/office/drawing/2014/main" xmlns="" id="{00000000-0008-0000-0D00-0000C9000000}"/>
            </a:ext>
          </a:extLst>
        </xdr:cNvPr>
        <xdr:cNvSpPr txBox="1">
          <a:spLocks noChangeArrowheads="1"/>
        </xdr:cNvSpPr>
      </xdr:nvSpPr>
      <xdr:spPr bwMode="auto">
        <a:xfrm>
          <a:off x="12260580" y="674370"/>
          <a:ext cx="6813549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431800</xdr:colOff>
      <xdr:row>9</xdr:row>
      <xdr:rowOff>34925</xdr:rowOff>
    </xdr:to>
    <xdr:sp macro="" textlink="">
      <xdr:nvSpPr>
        <xdr:cNvPr id="202" name="checksum">
          <a:extLst>
            <a:ext uri="{FF2B5EF4-FFF2-40B4-BE49-F238E27FC236}">
              <a16:creationId xmlns:a16="http://schemas.microsoft.com/office/drawing/2014/main" xmlns="" id="{00000000-0008-0000-0D00-0000CA000000}"/>
            </a:ext>
          </a:extLst>
        </xdr:cNvPr>
        <xdr:cNvSpPr txBox="1">
          <a:spLocks noChangeArrowheads="1"/>
        </xdr:cNvSpPr>
      </xdr:nvSpPr>
      <xdr:spPr bwMode="auto">
        <a:xfrm>
          <a:off x="12260580" y="674370"/>
          <a:ext cx="6832599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374650</xdr:colOff>
      <xdr:row>9</xdr:row>
      <xdr:rowOff>34925</xdr:rowOff>
    </xdr:to>
    <xdr:sp macro="" textlink="">
      <xdr:nvSpPr>
        <xdr:cNvPr id="203" name="checksum">
          <a:extLst>
            <a:ext uri="{FF2B5EF4-FFF2-40B4-BE49-F238E27FC236}">
              <a16:creationId xmlns:a16="http://schemas.microsoft.com/office/drawing/2014/main" xmlns="" id="{00000000-0008-0000-0D00-0000CB000000}"/>
            </a:ext>
          </a:extLst>
        </xdr:cNvPr>
        <xdr:cNvSpPr txBox="1">
          <a:spLocks noChangeArrowheads="1"/>
        </xdr:cNvSpPr>
      </xdr:nvSpPr>
      <xdr:spPr bwMode="auto">
        <a:xfrm>
          <a:off x="12260580" y="680085"/>
          <a:ext cx="6775449" cy="13277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204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D00-0000CC000000}"/>
            </a:ext>
          </a:extLst>
        </xdr:cNvPr>
        <xdr:cNvSpPr txBox="1">
          <a:spLocks noChangeArrowheads="1"/>
        </xdr:cNvSpPr>
      </xdr:nvSpPr>
      <xdr:spPr bwMode="auto">
        <a:xfrm>
          <a:off x="4579620" y="419100"/>
          <a:ext cx="0" cy="76776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15</xdr:col>
      <xdr:colOff>107950</xdr:colOff>
      <xdr:row>10</xdr:row>
      <xdr:rowOff>806450</xdr:rowOff>
    </xdr:to>
    <xdr:sp macro="" textlink="">
      <xdr:nvSpPr>
        <xdr:cNvPr id="205" name="checksum">
          <a:extLst>
            <a:ext uri="{FF2B5EF4-FFF2-40B4-BE49-F238E27FC236}">
              <a16:creationId xmlns:a16="http://schemas.microsoft.com/office/drawing/2014/main" xmlns="" id="{00000000-0008-0000-0D00-0000CD000000}"/>
            </a:ext>
          </a:extLst>
        </xdr:cNvPr>
        <xdr:cNvSpPr txBox="1">
          <a:spLocks noChangeArrowheads="1"/>
        </xdr:cNvSpPr>
      </xdr:nvSpPr>
      <xdr:spPr bwMode="auto">
        <a:xfrm>
          <a:off x="12565380" y="447675"/>
          <a:ext cx="7788910" cy="2522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412750</xdr:colOff>
      <xdr:row>9</xdr:row>
      <xdr:rowOff>34925</xdr:rowOff>
    </xdr:to>
    <xdr:sp macro="" textlink="">
      <xdr:nvSpPr>
        <xdr:cNvPr id="206" name="checksum">
          <a:extLst>
            <a:ext uri="{FF2B5EF4-FFF2-40B4-BE49-F238E27FC236}">
              <a16:creationId xmlns:a16="http://schemas.microsoft.com/office/drawing/2014/main" xmlns="" id="{00000000-0008-0000-0D00-0000CE000000}"/>
            </a:ext>
          </a:extLst>
        </xdr:cNvPr>
        <xdr:cNvSpPr txBox="1">
          <a:spLocks noChangeArrowheads="1"/>
        </xdr:cNvSpPr>
      </xdr:nvSpPr>
      <xdr:spPr bwMode="auto">
        <a:xfrm>
          <a:off x="12260580" y="674370"/>
          <a:ext cx="6813549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431800</xdr:colOff>
      <xdr:row>9</xdr:row>
      <xdr:rowOff>34925</xdr:rowOff>
    </xdr:to>
    <xdr:sp macro="" textlink="">
      <xdr:nvSpPr>
        <xdr:cNvPr id="207" name="checksum">
          <a:extLst>
            <a:ext uri="{FF2B5EF4-FFF2-40B4-BE49-F238E27FC236}">
              <a16:creationId xmlns:a16="http://schemas.microsoft.com/office/drawing/2014/main" xmlns="" id="{00000000-0008-0000-0D00-0000CF000000}"/>
            </a:ext>
          </a:extLst>
        </xdr:cNvPr>
        <xdr:cNvSpPr txBox="1">
          <a:spLocks noChangeArrowheads="1"/>
        </xdr:cNvSpPr>
      </xdr:nvSpPr>
      <xdr:spPr bwMode="auto">
        <a:xfrm>
          <a:off x="12260580" y="674370"/>
          <a:ext cx="6832599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374650</xdr:colOff>
      <xdr:row>9</xdr:row>
      <xdr:rowOff>34925</xdr:rowOff>
    </xdr:to>
    <xdr:sp macro="" textlink="">
      <xdr:nvSpPr>
        <xdr:cNvPr id="208" name="checksum">
          <a:extLst>
            <a:ext uri="{FF2B5EF4-FFF2-40B4-BE49-F238E27FC236}">
              <a16:creationId xmlns:a16="http://schemas.microsoft.com/office/drawing/2014/main" xmlns="" id="{00000000-0008-0000-0D00-0000D0000000}"/>
            </a:ext>
          </a:extLst>
        </xdr:cNvPr>
        <xdr:cNvSpPr txBox="1">
          <a:spLocks noChangeArrowheads="1"/>
        </xdr:cNvSpPr>
      </xdr:nvSpPr>
      <xdr:spPr bwMode="auto">
        <a:xfrm>
          <a:off x="12260580" y="680085"/>
          <a:ext cx="6775449" cy="13277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209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D00-0000D1000000}"/>
            </a:ext>
          </a:extLst>
        </xdr:cNvPr>
        <xdr:cNvSpPr txBox="1">
          <a:spLocks noChangeArrowheads="1"/>
        </xdr:cNvSpPr>
      </xdr:nvSpPr>
      <xdr:spPr bwMode="auto">
        <a:xfrm>
          <a:off x="4579620" y="419100"/>
          <a:ext cx="0" cy="98679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34</xdr:col>
      <xdr:colOff>0</xdr:colOff>
      <xdr:row>2</xdr:row>
      <xdr:rowOff>28575</xdr:rowOff>
    </xdr:from>
    <xdr:ext cx="7815036" cy="753836"/>
    <xdr:sp macro="" textlink="">
      <xdr:nvSpPr>
        <xdr:cNvPr id="210" name="checksum">
          <a:extLst>
            <a:ext uri="{FF2B5EF4-FFF2-40B4-BE49-F238E27FC236}">
              <a16:creationId xmlns:a16="http://schemas.microsoft.com/office/drawing/2014/main" xmlns="" id="{00000000-0008-0000-0D00-0000D2000000}"/>
            </a:ext>
          </a:extLst>
        </xdr:cNvPr>
        <xdr:cNvSpPr txBox="1">
          <a:spLocks noChangeArrowheads="1"/>
        </xdr:cNvSpPr>
      </xdr:nvSpPr>
      <xdr:spPr bwMode="auto">
        <a:xfrm>
          <a:off x="57843420" y="447675"/>
          <a:ext cx="7815036" cy="753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35320" cy="437334"/>
    <xdr:sp macro="" textlink="">
      <xdr:nvSpPr>
        <xdr:cNvPr id="211" name="checksum">
          <a:extLst>
            <a:ext uri="{FF2B5EF4-FFF2-40B4-BE49-F238E27FC236}">
              <a16:creationId xmlns:a16="http://schemas.microsoft.com/office/drawing/2014/main" xmlns="" id="{00000000-0008-0000-0D00-0000D3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835320" cy="437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54370" cy="437334"/>
    <xdr:sp macro="" textlink="">
      <xdr:nvSpPr>
        <xdr:cNvPr id="212" name="checksum">
          <a:extLst>
            <a:ext uri="{FF2B5EF4-FFF2-40B4-BE49-F238E27FC236}">
              <a16:creationId xmlns:a16="http://schemas.microsoft.com/office/drawing/2014/main" xmlns="" id="{00000000-0008-0000-0D00-0000D4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854370" cy="437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276225</xdr:rowOff>
    </xdr:from>
    <xdr:ext cx="6797220" cy="431619"/>
    <xdr:sp macro="" textlink="">
      <xdr:nvSpPr>
        <xdr:cNvPr id="213" name="checksum">
          <a:extLst>
            <a:ext uri="{FF2B5EF4-FFF2-40B4-BE49-F238E27FC236}">
              <a16:creationId xmlns:a16="http://schemas.microsoft.com/office/drawing/2014/main" xmlns="" id="{00000000-0008-0000-0D00-0000D5000000}"/>
            </a:ext>
          </a:extLst>
        </xdr:cNvPr>
        <xdr:cNvSpPr txBox="1">
          <a:spLocks noChangeArrowheads="1"/>
        </xdr:cNvSpPr>
      </xdr:nvSpPr>
      <xdr:spPr bwMode="auto">
        <a:xfrm>
          <a:off x="57843420" y="680085"/>
          <a:ext cx="6797220" cy="4316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</xdr:rowOff>
    </xdr:from>
    <xdr:ext cx="7815036" cy="753836"/>
    <xdr:sp macro="" textlink="">
      <xdr:nvSpPr>
        <xdr:cNvPr id="214" name="checksum">
          <a:extLst>
            <a:ext uri="{FF2B5EF4-FFF2-40B4-BE49-F238E27FC236}">
              <a16:creationId xmlns:a16="http://schemas.microsoft.com/office/drawing/2014/main" xmlns="" id="{00000000-0008-0000-0D00-0000D6000000}"/>
            </a:ext>
          </a:extLst>
        </xdr:cNvPr>
        <xdr:cNvSpPr txBox="1">
          <a:spLocks noChangeArrowheads="1"/>
        </xdr:cNvSpPr>
      </xdr:nvSpPr>
      <xdr:spPr bwMode="auto">
        <a:xfrm>
          <a:off x="57843420" y="447675"/>
          <a:ext cx="7815036" cy="753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35320" cy="437334"/>
    <xdr:sp macro="" textlink="">
      <xdr:nvSpPr>
        <xdr:cNvPr id="215" name="checksum">
          <a:extLst>
            <a:ext uri="{FF2B5EF4-FFF2-40B4-BE49-F238E27FC236}">
              <a16:creationId xmlns:a16="http://schemas.microsoft.com/office/drawing/2014/main" xmlns="" id="{00000000-0008-0000-0D00-0000D7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835320" cy="437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54370" cy="437334"/>
    <xdr:sp macro="" textlink="">
      <xdr:nvSpPr>
        <xdr:cNvPr id="216" name="checksum">
          <a:extLst>
            <a:ext uri="{FF2B5EF4-FFF2-40B4-BE49-F238E27FC236}">
              <a16:creationId xmlns:a16="http://schemas.microsoft.com/office/drawing/2014/main" xmlns="" id="{00000000-0008-0000-0D00-0000D8000000}"/>
            </a:ext>
          </a:extLst>
        </xdr:cNvPr>
        <xdr:cNvSpPr txBox="1">
          <a:spLocks noChangeArrowheads="1"/>
        </xdr:cNvSpPr>
      </xdr:nvSpPr>
      <xdr:spPr bwMode="auto">
        <a:xfrm>
          <a:off x="57843420" y="674370"/>
          <a:ext cx="6854370" cy="437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276225</xdr:rowOff>
    </xdr:from>
    <xdr:ext cx="6797220" cy="431619"/>
    <xdr:sp macro="" textlink="">
      <xdr:nvSpPr>
        <xdr:cNvPr id="217" name="checksum">
          <a:extLst>
            <a:ext uri="{FF2B5EF4-FFF2-40B4-BE49-F238E27FC236}">
              <a16:creationId xmlns:a16="http://schemas.microsoft.com/office/drawing/2014/main" xmlns="" id="{00000000-0008-0000-0D00-0000D9000000}"/>
            </a:ext>
          </a:extLst>
        </xdr:cNvPr>
        <xdr:cNvSpPr txBox="1">
          <a:spLocks noChangeArrowheads="1"/>
        </xdr:cNvSpPr>
      </xdr:nvSpPr>
      <xdr:spPr bwMode="auto">
        <a:xfrm>
          <a:off x="57843420" y="680085"/>
          <a:ext cx="6797220" cy="4316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</xdr:rowOff>
    </xdr:from>
    <xdr:ext cx="7815036" cy="549729"/>
    <xdr:sp macro="" textlink="">
      <xdr:nvSpPr>
        <xdr:cNvPr id="218" name="checksum">
          <a:extLst>
            <a:ext uri="{FF2B5EF4-FFF2-40B4-BE49-F238E27FC236}">
              <a16:creationId xmlns:a16="http://schemas.microsoft.com/office/drawing/2014/main" xmlns="" id="{00000000-0008-0000-0D00-0000DA000000}"/>
            </a:ext>
          </a:extLst>
        </xdr:cNvPr>
        <xdr:cNvSpPr txBox="1">
          <a:spLocks noChangeArrowheads="1"/>
        </xdr:cNvSpPr>
      </xdr:nvSpPr>
      <xdr:spPr bwMode="auto">
        <a:xfrm>
          <a:off x="68389500" y="447675"/>
          <a:ext cx="7815036" cy="5497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835322" cy="370659"/>
    <xdr:sp macro="" textlink="">
      <xdr:nvSpPr>
        <xdr:cNvPr id="219" name="checksum">
          <a:extLst>
            <a:ext uri="{FF2B5EF4-FFF2-40B4-BE49-F238E27FC236}">
              <a16:creationId xmlns:a16="http://schemas.microsoft.com/office/drawing/2014/main" xmlns="" id="{00000000-0008-0000-0D00-0000DB000000}"/>
            </a:ext>
          </a:extLst>
        </xdr:cNvPr>
        <xdr:cNvSpPr txBox="1">
          <a:spLocks noChangeArrowheads="1"/>
        </xdr:cNvSpPr>
      </xdr:nvSpPr>
      <xdr:spPr bwMode="auto">
        <a:xfrm>
          <a:off x="68084700" y="674370"/>
          <a:ext cx="6835322" cy="370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854372" cy="370659"/>
    <xdr:sp macro="" textlink="">
      <xdr:nvSpPr>
        <xdr:cNvPr id="220" name="checksum">
          <a:extLst>
            <a:ext uri="{FF2B5EF4-FFF2-40B4-BE49-F238E27FC236}">
              <a16:creationId xmlns:a16="http://schemas.microsoft.com/office/drawing/2014/main" xmlns="" id="{00000000-0008-0000-0D00-0000DC000000}"/>
            </a:ext>
          </a:extLst>
        </xdr:cNvPr>
        <xdr:cNvSpPr txBox="1">
          <a:spLocks noChangeArrowheads="1"/>
        </xdr:cNvSpPr>
      </xdr:nvSpPr>
      <xdr:spPr bwMode="auto">
        <a:xfrm>
          <a:off x="68084700" y="674370"/>
          <a:ext cx="6854372" cy="370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276225</xdr:rowOff>
    </xdr:from>
    <xdr:ext cx="6797222" cy="364944"/>
    <xdr:sp macro="" textlink="">
      <xdr:nvSpPr>
        <xdr:cNvPr id="221" name="checksum">
          <a:extLst>
            <a:ext uri="{FF2B5EF4-FFF2-40B4-BE49-F238E27FC236}">
              <a16:creationId xmlns:a16="http://schemas.microsoft.com/office/drawing/2014/main" xmlns="" id="{00000000-0008-0000-0D00-0000DD000000}"/>
            </a:ext>
          </a:extLst>
        </xdr:cNvPr>
        <xdr:cNvSpPr txBox="1">
          <a:spLocks noChangeArrowheads="1"/>
        </xdr:cNvSpPr>
      </xdr:nvSpPr>
      <xdr:spPr bwMode="auto">
        <a:xfrm>
          <a:off x="68084700" y="680085"/>
          <a:ext cx="6797222" cy="3649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35</xdr:col>
      <xdr:colOff>0</xdr:colOff>
      <xdr:row>2</xdr:row>
      <xdr:rowOff>0</xdr:rowOff>
    </xdr:from>
    <xdr:to>
      <xdr:col>35</xdr:col>
      <xdr:colOff>0</xdr:colOff>
      <xdr:row>4</xdr:row>
      <xdr:rowOff>363906</xdr:rowOff>
    </xdr:to>
    <xdr:sp macro="" textlink="">
      <xdr:nvSpPr>
        <xdr:cNvPr id="222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D00-0000DE000000}"/>
            </a:ext>
          </a:extLst>
        </xdr:cNvPr>
        <xdr:cNvSpPr txBox="1">
          <a:spLocks noChangeArrowheads="1"/>
        </xdr:cNvSpPr>
      </xdr:nvSpPr>
      <xdr:spPr bwMode="auto">
        <a:xfrm>
          <a:off x="60403740" y="419100"/>
          <a:ext cx="0" cy="76776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41</xdr:col>
      <xdr:colOff>0</xdr:colOff>
      <xdr:row>2</xdr:row>
      <xdr:rowOff>28575</xdr:rowOff>
    </xdr:from>
    <xdr:ext cx="7815036" cy="549729"/>
    <xdr:sp macro="" textlink="">
      <xdr:nvSpPr>
        <xdr:cNvPr id="223" name="checksum">
          <a:extLst>
            <a:ext uri="{FF2B5EF4-FFF2-40B4-BE49-F238E27FC236}">
              <a16:creationId xmlns:a16="http://schemas.microsoft.com/office/drawing/2014/main" xmlns="" id="{00000000-0008-0000-0D00-0000DF000000}"/>
            </a:ext>
          </a:extLst>
        </xdr:cNvPr>
        <xdr:cNvSpPr txBox="1">
          <a:spLocks noChangeArrowheads="1"/>
        </xdr:cNvSpPr>
      </xdr:nvSpPr>
      <xdr:spPr bwMode="auto">
        <a:xfrm>
          <a:off x="68389500" y="447675"/>
          <a:ext cx="7815036" cy="5497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835322" cy="370659"/>
    <xdr:sp macro="" textlink="">
      <xdr:nvSpPr>
        <xdr:cNvPr id="224" name="checksum">
          <a:extLst>
            <a:ext uri="{FF2B5EF4-FFF2-40B4-BE49-F238E27FC236}">
              <a16:creationId xmlns:a16="http://schemas.microsoft.com/office/drawing/2014/main" xmlns="" id="{00000000-0008-0000-0D00-0000E0000000}"/>
            </a:ext>
          </a:extLst>
        </xdr:cNvPr>
        <xdr:cNvSpPr txBox="1">
          <a:spLocks noChangeArrowheads="1"/>
        </xdr:cNvSpPr>
      </xdr:nvSpPr>
      <xdr:spPr bwMode="auto">
        <a:xfrm>
          <a:off x="68084700" y="674370"/>
          <a:ext cx="6835322" cy="370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854372" cy="370659"/>
    <xdr:sp macro="" textlink="">
      <xdr:nvSpPr>
        <xdr:cNvPr id="225" name="checksum">
          <a:extLst>
            <a:ext uri="{FF2B5EF4-FFF2-40B4-BE49-F238E27FC236}">
              <a16:creationId xmlns:a16="http://schemas.microsoft.com/office/drawing/2014/main" xmlns="" id="{00000000-0008-0000-0D00-0000E1000000}"/>
            </a:ext>
          </a:extLst>
        </xdr:cNvPr>
        <xdr:cNvSpPr txBox="1">
          <a:spLocks noChangeArrowheads="1"/>
        </xdr:cNvSpPr>
      </xdr:nvSpPr>
      <xdr:spPr bwMode="auto">
        <a:xfrm>
          <a:off x="68084700" y="674370"/>
          <a:ext cx="6854372" cy="370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276225</xdr:rowOff>
    </xdr:from>
    <xdr:ext cx="6797222" cy="364944"/>
    <xdr:sp macro="" textlink="">
      <xdr:nvSpPr>
        <xdr:cNvPr id="226" name="checksum">
          <a:extLst>
            <a:ext uri="{FF2B5EF4-FFF2-40B4-BE49-F238E27FC236}">
              <a16:creationId xmlns:a16="http://schemas.microsoft.com/office/drawing/2014/main" xmlns="" id="{00000000-0008-0000-0D00-0000E2000000}"/>
            </a:ext>
          </a:extLst>
        </xdr:cNvPr>
        <xdr:cNvSpPr txBox="1">
          <a:spLocks noChangeArrowheads="1"/>
        </xdr:cNvSpPr>
      </xdr:nvSpPr>
      <xdr:spPr bwMode="auto">
        <a:xfrm>
          <a:off x="68084700" y="680085"/>
          <a:ext cx="6797222" cy="3649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35</xdr:col>
      <xdr:colOff>0</xdr:colOff>
      <xdr:row>2</xdr:row>
      <xdr:rowOff>0</xdr:rowOff>
    </xdr:from>
    <xdr:to>
      <xdr:col>35</xdr:col>
      <xdr:colOff>0</xdr:colOff>
      <xdr:row>5</xdr:row>
      <xdr:rowOff>361950</xdr:rowOff>
    </xdr:to>
    <xdr:sp macro="" textlink="">
      <xdr:nvSpPr>
        <xdr:cNvPr id="227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D00-0000E3000000}"/>
            </a:ext>
          </a:extLst>
        </xdr:cNvPr>
        <xdr:cNvSpPr txBox="1">
          <a:spLocks noChangeArrowheads="1"/>
        </xdr:cNvSpPr>
      </xdr:nvSpPr>
      <xdr:spPr bwMode="auto">
        <a:xfrm>
          <a:off x="60403740" y="419100"/>
          <a:ext cx="0" cy="98679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24</xdr:col>
      <xdr:colOff>111991</xdr:colOff>
      <xdr:row>5</xdr:row>
      <xdr:rowOff>172811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416789</xdr:colOff>
      <xdr:row>5</xdr:row>
      <xdr:rowOff>28575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435839</xdr:colOff>
      <xdr:row>5</xdr:row>
      <xdr:rowOff>28575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0E00-00000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378689</xdr:colOff>
      <xdr:row>5</xdr:row>
      <xdr:rowOff>28575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0E00-00000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111991</xdr:colOff>
      <xdr:row>5</xdr:row>
      <xdr:rowOff>172811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0E00-00000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416789</xdr:colOff>
      <xdr:row>5</xdr:row>
      <xdr:rowOff>28575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0E00-00000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435839</xdr:colOff>
      <xdr:row>5</xdr:row>
      <xdr:rowOff>28575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0E00-00000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378689</xdr:colOff>
      <xdr:row>5</xdr:row>
      <xdr:rowOff>28575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0E00-00000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111992</xdr:colOff>
      <xdr:row>4</xdr:row>
      <xdr:rowOff>175532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416790</xdr:colOff>
      <xdr:row>4</xdr:row>
      <xdr:rowOff>166007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435840</xdr:colOff>
      <xdr:row>4</xdr:row>
      <xdr:rowOff>166007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378690</xdr:colOff>
      <xdr:row>4</xdr:row>
      <xdr:rowOff>166007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111992</xdr:colOff>
      <xdr:row>4</xdr:row>
      <xdr:rowOff>175532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416790</xdr:colOff>
      <xdr:row>4</xdr:row>
      <xdr:rowOff>166007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435840</xdr:colOff>
      <xdr:row>4</xdr:row>
      <xdr:rowOff>166007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378690</xdr:colOff>
      <xdr:row>4</xdr:row>
      <xdr:rowOff>166007</xdr:rowOff>
    </xdr:to>
    <xdr:sp macro="" textlink="">
      <xdr:nvSpPr>
        <xdr:cNvPr id="20" name="checksum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111992</xdr:colOff>
      <xdr:row>4</xdr:row>
      <xdr:rowOff>175532</xdr:rowOff>
    </xdr:to>
    <xdr:sp macro="" textlink="">
      <xdr:nvSpPr>
        <xdr:cNvPr id="22" name="checksum">
          <a:extLst>
            <a:ext uri="{FF2B5EF4-FFF2-40B4-BE49-F238E27FC236}">
              <a16:creationId xmlns:a16="http://schemas.microsoft.com/office/drawing/2014/main" xmlns="" id="{00000000-0008-0000-0E00-000016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416789</xdr:colOff>
      <xdr:row>4</xdr:row>
      <xdr:rowOff>166007</xdr:rowOff>
    </xdr:to>
    <xdr:sp macro="" textlink="">
      <xdr:nvSpPr>
        <xdr:cNvPr id="23" name="checksum">
          <a:extLst>
            <a:ext uri="{FF2B5EF4-FFF2-40B4-BE49-F238E27FC236}">
              <a16:creationId xmlns:a16="http://schemas.microsoft.com/office/drawing/2014/main" xmlns="" id="{00000000-0008-0000-0E00-00001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435839</xdr:colOff>
      <xdr:row>4</xdr:row>
      <xdr:rowOff>166007</xdr:rowOff>
    </xdr:to>
    <xdr:sp macro="" textlink="">
      <xdr:nvSpPr>
        <xdr:cNvPr id="24" name="checksum">
          <a:extLst>
            <a:ext uri="{FF2B5EF4-FFF2-40B4-BE49-F238E27FC236}">
              <a16:creationId xmlns:a16="http://schemas.microsoft.com/office/drawing/2014/main" xmlns="" id="{00000000-0008-0000-0E00-00001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378689</xdr:colOff>
      <xdr:row>4</xdr:row>
      <xdr:rowOff>166007</xdr:rowOff>
    </xdr:to>
    <xdr:sp macro="" textlink="">
      <xdr:nvSpPr>
        <xdr:cNvPr id="25" name="checksum">
          <a:extLst>
            <a:ext uri="{FF2B5EF4-FFF2-40B4-BE49-F238E27FC236}">
              <a16:creationId xmlns:a16="http://schemas.microsoft.com/office/drawing/2014/main" xmlns="" id="{00000000-0008-0000-0E00-00001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111992</xdr:colOff>
      <xdr:row>4</xdr:row>
      <xdr:rowOff>175532</xdr:rowOff>
    </xdr:to>
    <xdr:sp macro="" textlink="">
      <xdr:nvSpPr>
        <xdr:cNvPr id="27" name="checksum">
          <a:extLst>
            <a:ext uri="{FF2B5EF4-FFF2-40B4-BE49-F238E27FC236}">
              <a16:creationId xmlns:a16="http://schemas.microsoft.com/office/drawing/2014/main" xmlns="" id="{00000000-0008-0000-0E00-00001B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416789</xdr:colOff>
      <xdr:row>4</xdr:row>
      <xdr:rowOff>166007</xdr:rowOff>
    </xdr:to>
    <xdr:sp macro="" textlink="">
      <xdr:nvSpPr>
        <xdr:cNvPr id="28" name="checksum">
          <a:extLst>
            <a:ext uri="{FF2B5EF4-FFF2-40B4-BE49-F238E27FC236}">
              <a16:creationId xmlns:a16="http://schemas.microsoft.com/office/drawing/2014/main" xmlns="" id="{00000000-0008-0000-0E00-00001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435839</xdr:colOff>
      <xdr:row>4</xdr:row>
      <xdr:rowOff>166007</xdr:rowOff>
    </xdr:to>
    <xdr:sp macro="" textlink="">
      <xdr:nvSpPr>
        <xdr:cNvPr id="29" name="checksum">
          <a:extLst>
            <a:ext uri="{FF2B5EF4-FFF2-40B4-BE49-F238E27FC236}">
              <a16:creationId xmlns:a16="http://schemas.microsoft.com/office/drawing/2014/main" xmlns="" id="{00000000-0008-0000-0E00-00001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378689</xdr:colOff>
      <xdr:row>4</xdr:row>
      <xdr:rowOff>166007</xdr:rowOff>
    </xdr:to>
    <xdr:sp macro="" textlink="">
      <xdr:nvSpPr>
        <xdr:cNvPr id="30" name="checksum">
          <a:extLst>
            <a:ext uri="{FF2B5EF4-FFF2-40B4-BE49-F238E27FC236}">
              <a16:creationId xmlns:a16="http://schemas.microsoft.com/office/drawing/2014/main" xmlns="" id="{00000000-0008-0000-0E00-00001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111991</xdr:colOff>
      <xdr:row>4</xdr:row>
      <xdr:rowOff>175532</xdr:rowOff>
    </xdr:to>
    <xdr:sp macro="" textlink="">
      <xdr:nvSpPr>
        <xdr:cNvPr id="32" name="checksum">
          <a:extLst>
            <a:ext uri="{FF2B5EF4-FFF2-40B4-BE49-F238E27FC236}">
              <a16:creationId xmlns:a16="http://schemas.microsoft.com/office/drawing/2014/main" xmlns="" id="{00000000-0008-0000-0E00-000020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416789</xdr:colOff>
      <xdr:row>4</xdr:row>
      <xdr:rowOff>166007</xdr:rowOff>
    </xdr:to>
    <xdr:sp macro="" textlink="">
      <xdr:nvSpPr>
        <xdr:cNvPr id="33" name="checksum">
          <a:extLst>
            <a:ext uri="{FF2B5EF4-FFF2-40B4-BE49-F238E27FC236}">
              <a16:creationId xmlns:a16="http://schemas.microsoft.com/office/drawing/2014/main" xmlns="" id="{00000000-0008-0000-0E00-00002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435839</xdr:colOff>
      <xdr:row>4</xdr:row>
      <xdr:rowOff>166007</xdr:rowOff>
    </xdr:to>
    <xdr:sp macro="" textlink="">
      <xdr:nvSpPr>
        <xdr:cNvPr id="34" name="checksum">
          <a:extLst>
            <a:ext uri="{FF2B5EF4-FFF2-40B4-BE49-F238E27FC236}">
              <a16:creationId xmlns:a16="http://schemas.microsoft.com/office/drawing/2014/main" xmlns="" id="{00000000-0008-0000-0E00-00002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378689</xdr:colOff>
      <xdr:row>4</xdr:row>
      <xdr:rowOff>166007</xdr:rowOff>
    </xdr:to>
    <xdr:sp macro="" textlink="">
      <xdr:nvSpPr>
        <xdr:cNvPr id="35" name="checksum">
          <a:extLst>
            <a:ext uri="{FF2B5EF4-FFF2-40B4-BE49-F238E27FC236}">
              <a16:creationId xmlns:a16="http://schemas.microsoft.com/office/drawing/2014/main" xmlns="" id="{00000000-0008-0000-0E00-00002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111991</xdr:colOff>
      <xdr:row>4</xdr:row>
      <xdr:rowOff>175532</xdr:rowOff>
    </xdr:to>
    <xdr:sp macro="" textlink="">
      <xdr:nvSpPr>
        <xdr:cNvPr id="37" name="checksum">
          <a:extLst>
            <a:ext uri="{FF2B5EF4-FFF2-40B4-BE49-F238E27FC236}">
              <a16:creationId xmlns:a16="http://schemas.microsoft.com/office/drawing/2014/main" xmlns="" id="{00000000-0008-0000-0E00-000025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416789</xdr:colOff>
      <xdr:row>4</xdr:row>
      <xdr:rowOff>166007</xdr:rowOff>
    </xdr:to>
    <xdr:sp macro="" textlink="">
      <xdr:nvSpPr>
        <xdr:cNvPr id="38" name="checksum">
          <a:extLst>
            <a:ext uri="{FF2B5EF4-FFF2-40B4-BE49-F238E27FC236}">
              <a16:creationId xmlns:a16="http://schemas.microsoft.com/office/drawing/2014/main" xmlns="" id="{00000000-0008-0000-0E00-00002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435839</xdr:colOff>
      <xdr:row>4</xdr:row>
      <xdr:rowOff>166007</xdr:rowOff>
    </xdr:to>
    <xdr:sp macro="" textlink="">
      <xdr:nvSpPr>
        <xdr:cNvPr id="39" name="checksum">
          <a:extLst>
            <a:ext uri="{FF2B5EF4-FFF2-40B4-BE49-F238E27FC236}">
              <a16:creationId xmlns:a16="http://schemas.microsoft.com/office/drawing/2014/main" xmlns="" id="{00000000-0008-0000-0E00-00002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378689</xdr:colOff>
      <xdr:row>4</xdr:row>
      <xdr:rowOff>166007</xdr:rowOff>
    </xdr:to>
    <xdr:sp macro="" textlink="">
      <xdr:nvSpPr>
        <xdr:cNvPr id="40" name="checksum">
          <a:extLst>
            <a:ext uri="{FF2B5EF4-FFF2-40B4-BE49-F238E27FC236}">
              <a16:creationId xmlns:a16="http://schemas.microsoft.com/office/drawing/2014/main" xmlns="" id="{00000000-0008-0000-0E00-00002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</xdr:rowOff>
    </xdr:from>
    <xdr:to>
      <xdr:col>31</xdr:col>
      <xdr:colOff>107952</xdr:colOff>
      <xdr:row>4</xdr:row>
      <xdr:rowOff>175532</xdr:rowOff>
    </xdr:to>
    <xdr:sp macro="" textlink="">
      <xdr:nvSpPr>
        <xdr:cNvPr id="42" name="checksum">
          <a:extLst>
            <a:ext uri="{FF2B5EF4-FFF2-40B4-BE49-F238E27FC236}">
              <a16:creationId xmlns:a16="http://schemas.microsoft.com/office/drawing/2014/main" xmlns="" id="{00000000-0008-0000-0E00-00002A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412751</xdr:colOff>
      <xdr:row>4</xdr:row>
      <xdr:rowOff>166007</xdr:rowOff>
    </xdr:to>
    <xdr:sp macro="" textlink="">
      <xdr:nvSpPr>
        <xdr:cNvPr id="43" name="checksum">
          <a:extLst>
            <a:ext uri="{FF2B5EF4-FFF2-40B4-BE49-F238E27FC236}">
              <a16:creationId xmlns:a16="http://schemas.microsoft.com/office/drawing/2014/main" xmlns="" id="{00000000-0008-0000-0E00-00002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431801</xdr:colOff>
      <xdr:row>4</xdr:row>
      <xdr:rowOff>166007</xdr:rowOff>
    </xdr:to>
    <xdr:sp macro="" textlink="">
      <xdr:nvSpPr>
        <xdr:cNvPr id="44" name="checksum">
          <a:extLst>
            <a:ext uri="{FF2B5EF4-FFF2-40B4-BE49-F238E27FC236}">
              <a16:creationId xmlns:a16="http://schemas.microsoft.com/office/drawing/2014/main" xmlns="" id="{00000000-0008-0000-0E00-00002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374651</xdr:colOff>
      <xdr:row>4</xdr:row>
      <xdr:rowOff>166007</xdr:rowOff>
    </xdr:to>
    <xdr:sp macro="" textlink="">
      <xdr:nvSpPr>
        <xdr:cNvPr id="45" name="checksum">
          <a:extLst>
            <a:ext uri="{FF2B5EF4-FFF2-40B4-BE49-F238E27FC236}">
              <a16:creationId xmlns:a16="http://schemas.microsoft.com/office/drawing/2014/main" xmlns="" id="{00000000-0008-0000-0E00-00002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4</xdr:row>
      <xdr:rowOff>363906</xdr:rowOff>
    </xdr:to>
    <xdr:sp macro="" textlink="">
      <xdr:nvSpPr>
        <xdr:cNvPr id="4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E00-00002E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25</xdr:col>
      <xdr:colOff>0</xdr:colOff>
      <xdr:row>2</xdr:row>
      <xdr:rowOff>28575</xdr:rowOff>
    </xdr:from>
    <xdr:to>
      <xdr:col>31</xdr:col>
      <xdr:colOff>107952</xdr:colOff>
      <xdr:row>4</xdr:row>
      <xdr:rowOff>175532</xdr:rowOff>
    </xdr:to>
    <xdr:sp macro="" textlink="">
      <xdr:nvSpPr>
        <xdr:cNvPr id="47" name="checksum">
          <a:extLst>
            <a:ext uri="{FF2B5EF4-FFF2-40B4-BE49-F238E27FC236}">
              <a16:creationId xmlns:a16="http://schemas.microsoft.com/office/drawing/2014/main" xmlns="" id="{00000000-0008-0000-0E00-00002F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412751</xdr:colOff>
      <xdr:row>4</xdr:row>
      <xdr:rowOff>166007</xdr:rowOff>
    </xdr:to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0E00-00003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431801</xdr:colOff>
      <xdr:row>4</xdr:row>
      <xdr:rowOff>166007</xdr:rowOff>
    </xdr:to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0E00-00003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374651</xdr:colOff>
      <xdr:row>4</xdr:row>
      <xdr:rowOff>166007</xdr:rowOff>
    </xdr:to>
    <xdr:sp macro="" textlink="">
      <xdr:nvSpPr>
        <xdr:cNvPr id="50" name="checksum">
          <a:extLst>
            <a:ext uri="{FF2B5EF4-FFF2-40B4-BE49-F238E27FC236}">
              <a16:creationId xmlns:a16="http://schemas.microsoft.com/office/drawing/2014/main" xmlns="" id="{00000000-0008-0000-0E00-00003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5</xdr:row>
      <xdr:rowOff>361950</xdr:rowOff>
    </xdr:to>
    <xdr:sp macro="" textlink="">
      <xdr:nvSpPr>
        <xdr:cNvPr id="5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E00-000033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15</xdr:col>
      <xdr:colOff>112899</xdr:colOff>
      <xdr:row>10</xdr:row>
      <xdr:rowOff>969736</xdr:rowOff>
    </xdr:to>
    <xdr:sp macro="" textlink="">
      <xdr:nvSpPr>
        <xdr:cNvPr id="62" name="checksum">
          <a:extLst>
            <a:ext uri="{FF2B5EF4-FFF2-40B4-BE49-F238E27FC236}">
              <a16:creationId xmlns:a16="http://schemas.microsoft.com/office/drawing/2014/main" xmlns="" id="{00000000-0008-0000-0E00-00003E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2533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417698</xdr:colOff>
      <xdr:row>9</xdr:row>
      <xdr:rowOff>141061</xdr:rowOff>
    </xdr:to>
    <xdr:sp macro="" textlink="">
      <xdr:nvSpPr>
        <xdr:cNvPr id="63" name="checksum">
          <a:extLst>
            <a:ext uri="{FF2B5EF4-FFF2-40B4-BE49-F238E27FC236}">
              <a16:creationId xmlns:a16="http://schemas.microsoft.com/office/drawing/2014/main" xmlns="" id="{00000000-0008-0000-0E00-00003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436748</xdr:colOff>
      <xdr:row>9</xdr:row>
      <xdr:rowOff>141061</xdr:rowOff>
    </xdr:to>
    <xdr:sp macro="" textlink="">
      <xdr:nvSpPr>
        <xdr:cNvPr id="64" name="checksum">
          <a:extLst>
            <a:ext uri="{FF2B5EF4-FFF2-40B4-BE49-F238E27FC236}">
              <a16:creationId xmlns:a16="http://schemas.microsoft.com/office/drawing/2014/main" xmlns="" id="{00000000-0008-0000-0E00-00004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379598</xdr:colOff>
      <xdr:row>9</xdr:row>
      <xdr:rowOff>141061</xdr:rowOff>
    </xdr:to>
    <xdr:sp macro="" textlink="">
      <xdr:nvSpPr>
        <xdr:cNvPr id="65" name="checksum">
          <a:extLst>
            <a:ext uri="{FF2B5EF4-FFF2-40B4-BE49-F238E27FC236}">
              <a16:creationId xmlns:a16="http://schemas.microsoft.com/office/drawing/2014/main" xmlns="" id="{00000000-0008-0000-0E00-00004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6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E00-000042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15</xdr:col>
      <xdr:colOff>112899</xdr:colOff>
      <xdr:row>10</xdr:row>
      <xdr:rowOff>969736</xdr:rowOff>
    </xdr:to>
    <xdr:sp macro="" textlink="">
      <xdr:nvSpPr>
        <xdr:cNvPr id="67" name="checksum">
          <a:extLst>
            <a:ext uri="{FF2B5EF4-FFF2-40B4-BE49-F238E27FC236}">
              <a16:creationId xmlns:a16="http://schemas.microsoft.com/office/drawing/2014/main" xmlns="" id="{00000000-0008-0000-0E00-000043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2533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417698</xdr:colOff>
      <xdr:row>9</xdr:row>
      <xdr:rowOff>141061</xdr:rowOff>
    </xdr:to>
    <xdr:sp macro="" textlink="">
      <xdr:nvSpPr>
        <xdr:cNvPr id="68" name="checksum">
          <a:extLst>
            <a:ext uri="{FF2B5EF4-FFF2-40B4-BE49-F238E27FC236}">
              <a16:creationId xmlns:a16="http://schemas.microsoft.com/office/drawing/2014/main" xmlns="" id="{00000000-0008-0000-0E00-00004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436748</xdr:colOff>
      <xdr:row>9</xdr:row>
      <xdr:rowOff>141061</xdr:rowOff>
    </xdr:to>
    <xdr:sp macro="" textlink="">
      <xdr:nvSpPr>
        <xdr:cNvPr id="69" name="checksum">
          <a:extLst>
            <a:ext uri="{FF2B5EF4-FFF2-40B4-BE49-F238E27FC236}">
              <a16:creationId xmlns:a16="http://schemas.microsoft.com/office/drawing/2014/main" xmlns="" id="{00000000-0008-0000-0E00-00004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379598</xdr:colOff>
      <xdr:row>9</xdr:row>
      <xdr:rowOff>141061</xdr:rowOff>
    </xdr:to>
    <xdr:sp macro="" textlink="">
      <xdr:nvSpPr>
        <xdr:cNvPr id="70" name="checksum">
          <a:extLst>
            <a:ext uri="{FF2B5EF4-FFF2-40B4-BE49-F238E27FC236}">
              <a16:creationId xmlns:a16="http://schemas.microsoft.com/office/drawing/2014/main" xmlns="" id="{00000000-0008-0000-0E00-00004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7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E00-000047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18</xdr:col>
      <xdr:colOff>0</xdr:colOff>
      <xdr:row>2</xdr:row>
      <xdr:rowOff>28575</xdr:rowOff>
    </xdr:from>
    <xdr:to>
      <xdr:col>23</xdr:col>
      <xdr:colOff>531090</xdr:colOff>
      <xdr:row>5</xdr:row>
      <xdr:rowOff>172811</xdr:rowOff>
    </xdr:to>
    <xdr:sp macro="" textlink="">
      <xdr:nvSpPr>
        <xdr:cNvPr id="54" name="checksum">
          <a:extLst>
            <a:ext uri="{FF2B5EF4-FFF2-40B4-BE49-F238E27FC236}">
              <a16:creationId xmlns:a16="http://schemas.microsoft.com/office/drawing/2014/main" xmlns="" id="{00000000-0008-0000-0E00-000036000000}"/>
            </a:ext>
          </a:extLst>
        </xdr:cNvPr>
        <xdr:cNvSpPr txBox="1">
          <a:spLocks noChangeArrowheads="1"/>
        </xdr:cNvSpPr>
      </xdr:nvSpPr>
      <xdr:spPr bwMode="auto">
        <a:xfrm>
          <a:off x="26342340" y="447675"/>
          <a:ext cx="7791680" cy="750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22</xdr:col>
      <xdr:colOff>835889</xdr:colOff>
      <xdr:row>5</xdr:row>
      <xdr:rowOff>28575</xdr:rowOff>
    </xdr:to>
    <xdr:sp macro="" textlink="">
      <xdr:nvSpPr>
        <xdr:cNvPr id="55" name="checksum">
          <a:extLst>
            <a:ext uri="{FF2B5EF4-FFF2-40B4-BE49-F238E27FC236}">
              <a16:creationId xmlns:a16="http://schemas.microsoft.com/office/drawing/2014/main" xmlns="" id="{00000000-0008-0000-0E00-000037000000}"/>
            </a:ext>
          </a:extLst>
        </xdr:cNvPr>
        <xdr:cNvSpPr txBox="1">
          <a:spLocks noChangeArrowheads="1"/>
        </xdr:cNvSpPr>
      </xdr:nvSpPr>
      <xdr:spPr bwMode="auto">
        <a:xfrm>
          <a:off x="26342340" y="674370"/>
          <a:ext cx="6816319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22</xdr:col>
      <xdr:colOff>854939</xdr:colOff>
      <xdr:row>5</xdr:row>
      <xdr:rowOff>28575</xdr:rowOff>
    </xdr:to>
    <xdr:sp macro="" textlink="">
      <xdr:nvSpPr>
        <xdr:cNvPr id="56" name="checksum">
          <a:extLst>
            <a:ext uri="{FF2B5EF4-FFF2-40B4-BE49-F238E27FC236}">
              <a16:creationId xmlns:a16="http://schemas.microsoft.com/office/drawing/2014/main" xmlns="" id="{00000000-0008-0000-0E00-000038000000}"/>
            </a:ext>
          </a:extLst>
        </xdr:cNvPr>
        <xdr:cNvSpPr txBox="1">
          <a:spLocks noChangeArrowheads="1"/>
        </xdr:cNvSpPr>
      </xdr:nvSpPr>
      <xdr:spPr bwMode="auto">
        <a:xfrm>
          <a:off x="26342340" y="674370"/>
          <a:ext cx="6835369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22</xdr:col>
      <xdr:colOff>797789</xdr:colOff>
      <xdr:row>5</xdr:row>
      <xdr:rowOff>28575</xdr:rowOff>
    </xdr:to>
    <xdr:sp macro="" textlink="">
      <xdr:nvSpPr>
        <xdr:cNvPr id="57" name="checksum">
          <a:extLst>
            <a:ext uri="{FF2B5EF4-FFF2-40B4-BE49-F238E27FC236}">
              <a16:creationId xmlns:a16="http://schemas.microsoft.com/office/drawing/2014/main" xmlns="" id="{00000000-0008-0000-0E00-000039000000}"/>
            </a:ext>
          </a:extLst>
        </xdr:cNvPr>
        <xdr:cNvSpPr txBox="1">
          <a:spLocks noChangeArrowheads="1"/>
        </xdr:cNvSpPr>
      </xdr:nvSpPr>
      <xdr:spPr bwMode="auto">
        <a:xfrm>
          <a:off x="26342340" y="680085"/>
          <a:ext cx="6778219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23</xdr:col>
      <xdr:colOff>531090</xdr:colOff>
      <xdr:row>5</xdr:row>
      <xdr:rowOff>172811</xdr:rowOff>
    </xdr:to>
    <xdr:sp macro="" textlink="">
      <xdr:nvSpPr>
        <xdr:cNvPr id="58" name="checksum">
          <a:extLst>
            <a:ext uri="{FF2B5EF4-FFF2-40B4-BE49-F238E27FC236}">
              <a16:creationId xmlns:a16="http://schemas.microsoft.com/office/drawing/2014/main" xmlns="" id="{00000000-0008-0000-0E00-00003A000000}"/>
            </a:ext>
          </a:extLst>
        </xdr:cNvPr>
        <xdr:cNvSpPr txBox="1">
          <a:spLocks noChangeArrowheads="1"/>
        </xdr:cNvSpPr>
      </xdr:nvSpPr>
      <xdr:spPr bwMode="auto">
        <a:xfrm>
          <a:off x="26342340" y="447675"/>
          <a:ext cx="7791680" cy="750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22</xdr:col>
      <xdr:colOff>835889</xdr:colOff>
      <xdr:row>5</xdr:row>
      <xdr:rowOff>28575</xdr:rowOff>
    </xdr:to>
    <xdr:sp macro="" textlink="">
      <xdr:nvSpPr>
        <xdr:cNvPr id="59" name="checksum">
          <a:extLst>
            <a:ext uri="{FF2B5EF4-FFF2-40B4-BE49-F238E27FC236}">
              <a16:creationId xmlns:a16="http://schemas.microsoft.com/office/drawing/2014/main" xmlns="" id="{00000000-0008-0000-0E00-00003B000000}"/>
            </a:ext>
          </a:extLst>
        </xdr:cNvPr>
        <xdr:cNvSpPr txBox="1">
          <a:spLocks noChangeArrowheads="1"/>
        </xdr:cNvSpPr>
      </xdr:nvSpPr>
      <xdr:spPr bwMode="auto">
        <a:xfrm>
          <a:off x="26342340" y="674370"/>
          <a:ext cx="6816319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22</xdr:col>
      <xdr:colOff>854939</xdr:colOff>
      <xdr:row>5</xdr:row>
      <xdr:rowOff>28575</xdr:rowOff>
    </xdr:to>
    <xdr:sp macro="" textlink="">
      <xdr:nvSpPr>
        <xdr:cNvPr id="60" name="checksum">
          <a:extLst>
            <a:ext uri="{FF2B5EF4-FFF2-40B4-BE49-F238E27FC236}">
              <a16:creationId xmlns:a16="http://schemas.microsoft.com/office/drawing/2014/main" xmlns="" id="{00000000-0008-0000-0E00-00003C000000}"/>
            </a:ext>
          </a:extLst>
        </xdr:cNvPr>
        <xdr:cNvSpPr txBox="1">
          <a:spLocks noChangeArrowheads="1"/>
        </xdr:cNvSpPr>
      </xdr:nvSpPr>
      <xdr:spPr bwMode="auto">
        <a:xfrm>
          <a:off x="26342340" y="674370"/>
          <a:ext cx="6835369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22</xdr:col>
      <xdr:colOff>797789</xdr:colOff>
      <xdr:row>5</xdr:row>
      <xdr:rowOff>28575</xdr:rowOff>
    </xdr:to>
    <xdr:sp macro="" textlink="">
      <xdr:nvSpPr>
        <xdr:cNvPr id="61" name="checksum">
          <a:extLst>
            <a:ext uri="{FF2B5EF4-FFF2-40B4-BE49-F238E27FC236}">
              <a16:creationId xmlns:a16="http://schemas.microsoft.com/office/drawing/2014/main" xmlns="" id="{00000000-0008-0000-0E00-00003D000000}"/>
            </a:ext>
          </a:extLst>
        </xdr:cNvPr>
        <xdr:cNvSpPr txBox="1">
          <a:spLocks noChangeArrowheads="1"/>
        </xdr:cNvSpPr>
      </xdr:nvSpPr>
      <xdr:spPr bwMode="auto">
        <a:xfrm>
          <a:off x="26342340" y="680085"/>
          <a:ext cx="6778219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23</xdr:col>
      <xdr:colOff>531091</xdr:colOff>
      <xdr:row>4</xdr:row>
      <xdr:rowOff>175532</xdr:rowOff>
    </xdr:to>
    <xdr:sp macro="" textlink="">
      <xdr:nvSpPr>
        <xdr:cNvPr id="72" name="checksum">
          <a:extLst>
            <a:ext uri="{FF2B5EF4-FFF2-40B4-BE49-F238E27FC236}">
              <a16:creationId xmlns:a16="http://schemas.microsoft.com/office/drawing/2014/main" xmlns="" id="{00000000-0008-0000-0E00-000048000000}"/>
            </a:ext>
          </a:extLst>
        </xdr:cNvPr>
        <xdr:cNvSpPr txBox="1">
          <a:spLocks noChangeArrowheads="1"/>
        </xdr:cNvSpPr>
      </xdr:nvSpPr>
      <xdr:spPr bwMode="auto">
        <a:xfrm>
          <a:off x="26342340" y="447675"/>
          <a:ext cx="7791681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22</xdr:col>
      <xdr:colOff>835890</xdr:colOff>
      <xdr:row>4</xdr:row>
      <xdr:rowOff>166007</xdr:rowOff>
    </xdr:to>
    <xdr:sp macro="" textlink="">
      <xdr:nvSpPr>
        <xdr:cNvPr id="73" name="checksum">
          <a:extLst>
            <a:ext uri="{FF2B5EF4-FFF2-40B4-BE49-F238E27FC236}">
              <a16:creationId xmlns:a16="http://schemas.microsoft.com/office/drawing/2014/main" xmlns="" id="{00000000-0008-0000-0E00-000049000000}"/>
            </a:ext>
          </a:extLst>
        </xdr:cNvPr>
        <xdr:cNvSpPr txBox="1">
          <a:spLocks noChangeArrowheads="1"/>
        </xdr:cNvSpPr>
      </xdr:nvSpPr>
      <xdr:spPr bwMode="auto">
        <a:xfrm>
          <a:off x="26342340" y="674370"/>
          <a:ext cx="681632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22</xdr:col>
      <xdr:colOff>854940</xdr:colOff>
      <xdr:row>4</xdr:row>
      <xdr:rowOff>166007</xdr:rowOff>
    </xdr:to>
    <xdr:sp macro="" textlink="">
      <xdr:nvSpPr>
        <xdr:cNvPr id="74" name="checksum">
          <a:extLst>
            <a:ext uri="{FF2B5EF4-FFF2-40B4-BE49-F238E27FC236}">
              <a16:creationId xmlns:a16="http://schemas.microsoft.com/office/drawing/2014/main" xmlns="" id="{00000000-0008-0000-0E00-00004A000000}"/>
            </a:ext>
          </a:extLst>
        </xdr:cNvPr>
        <xdr:cNvSpPr txBox="1">
          <a:spLocks noChangeArrowheads="1"/>
        </xdr:cNvSpPr>
      </xdr:nvSpPr>
      <xdr:spPr bwMode="auto">
        <a:xfrm>
          <a:off x="26342340" y="674370"/>
          <a:ext cx="683537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22</xdr:col>
      <xdr:colOff>797790</xdr:colOff>
      <xdr:row>4</xdr:row>
      <xdr:rowOff>166007</xdr:rowOff>
    </xdr:to>
    <xdr:sp macro="" textlink="">
      <xdr:nvSpPr>
        <xdr:cNvPr id="75" name="checksum">
          <a:extLst>
            <a:ext uri="{FF2B5EF4-FFF2-40B4-BE49-F238E27FC236}">
              <a16:creationId xmlns:a16="http://schemas.microsoft.com/office/drawing/2014/main" xmlns="" id="{00000000-0008-0000-0E00-00004B000000}"/>
            </a:ext>
          </a:extLst>
        </xdr:cNvPr>
        <xdr:cNvSpPr txBox="1">
          <a:spLocks noChangeArrowheads="1"/>
        </xdr:cNvSpPr>
      </xdr:nvSpPr>
      <xdr:spPr bwMode="auto">
        <a:xfrm>
          <a:off x="26342340" y="680085"/>
          <a:ext cx="677822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23</xdr:col>
      <xdr:colOff>531091</xdr:colOff>
      <xdr:row>4</xdr:row>
      <xdr:rowOff>175532</xdr:rowOff>
    </xdr:to>
    <xdr:sp macro="" textlink="">
      <xdr:nvSpPr>
        <xdr:cNvPr id="76" name="checksum">
          <a:extLst>
            <a:ext uri="{FF2B5EF4-FFF2-40B4-BE49-F238E27FC236}">
              <a16:creationId xmlns:a16="http://schemas.microsoft.com/office/drawing/2014/main" xmlns="" id="{00000000-0008-0000-0E00-00004C000000}"/>
            </a:ext>
          </a:extLst>
        </xdr:cNvPr>
        <xdr:cNvSpPr txBox="1">
          <a:spLocks noChangeArrowheads="1"/>
        </xdr:cNvSpPr>
      </xdr:nvSpPr>
      <xdr:spPr bwMode="auto">
        <a:xfrm>
          <a:off x="26342340" y="447675"/>
          <a:ext cx="7791681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22</xdr:col>
      <xdr:colOff>835890</xdr:colOff>
      <xdr:row>4</xdr:row>
      <xdr:rowOff>166007</xdr:rowOff>
    </xdr:to>
    <xdr:sp macro="" textlink="">
      <xdr:nvSpPr>
        <xdr:cNvPr id="77" name="checksum">
          <a:extLst>
            <a:ext uri="{FF2B5EF4-FFF2-40B4-BE49-F238E27FC236}">
              <a16:creationId xmlns:a16="http://schemas.microsoft.com/office/drawing/2014/main" xmlns="" id="{00000000-0008-0000-0E00-00004D000000}"/>
            </a:ext>
          </a:extLst>
        </xdr:cNvPr>
        <xdr:cNvSpPr txBox="1">
          <a:spLocks noChangeArrowheads="1"/>
        </xdr:cNvSpPr>
      </xdr:nvSpPr>
      <xdr:spPr bwMode="auto">
        <a:xfrm>
          <a:off x="26342340" y="674370"/>
          <a:ext cx="681632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22</xdr:col>
      <xdr:colOff>854940</xdr:colOff>
      <xdr:row>4</xdr:row>
      <xdr:rowOff>166007</xdr:rowOff>
    </xdr:to>
    <xdr:sp macro="" textlink="">
      <xdr:nvSpPr>
        <xdr:cNvPr id="78" name="checksum">
          <a:extLst>
            <a:ext uri="{FF2B5EF4-FFF2-40B4-BE49-F238E27FC236}">
              <a16:creationId xmlns:a16="http://schemas.microsoft.com/office/drawing/2014/main" xmlns="" id="{00000000-0008-0000-0E00-00004E000000}"/>
            </a:ext>
          </a:extLst>
        </xdr:cNvPr>
        <xdr:cNvSpPr txBox="1">
          <a:spLocks noChangeArrowheads="1"/>
        </xdr:cNvSpPr>
      </xdr:nvSpPr>
      <xdr:spPr bwMode="auto">
        <a:xfrm>
          <a:off x="26342340" y="674370"/>
          <a:ext cx="683537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22</xdr:col>
      <xdr:colOff>797790</xdr:colOff>
      <xdr:row>4</xdr:row>
      <xdr:rowOff>166007</xdr:rowOff>
    </xdr:to>
    <xdr:sp macro="" textlink="">
      <xdr:nvSpPr>
        <xdr:cNvPr id="79" name="checksum">
          <a:extLst>
            <a:ext uri="{FF2B5EF4-FFF2-40B4-BE49-F238E27FC236}">
              <a16:creationId xmlns:a16="http://schemas.microsoft.com/office/drawing/2014/main" xmlns="" id="{00000000-0008-0000-0E00-00004F000000}"/>
            </a:ext>
          </a:extLst>
        </xdr:cNvPr>
        <xdr:cNvSpPr txBox="1">
          <a:spLocks noChangeArrowheads="1"/>
        </xdr:cNvSpPr>
      </xdr:nvSpPr>
      <xdr:spPr bwMode="auto">
        <a:xfrm>
          <a:off x="26342340" y="680085"/>
          <a:ext cx="677822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23</xdr:col>
      <xdr:colOff>531091</xdr:colOff>
      <xdr:row>4</xdr:row>
      <xdr:rowOff>175532</xdr:rowOff>
    </xdr:to>
    <xdr:sp macro="" textlink="">
      <xdr:nvSpPr>
        <xdr:cNvPr id="80" name="checksum">
          <a:extLst>
            <a:ext uri="{FF2B5EF4-FFF2-40B4-BE49-F238E27FC236}">
              <a16:creationId xmlns:a16="http://schemas.microsoft.com/office/drawing/2014/main" xmlns="" id="{00000000-0008-0000-0E00-000050000000}"/>
            </a:ext>
          </a:extLst>
        </xdr:cNvPr>
        <xdr:cNvSpPr txBox="1">
          <a:spLocks noChangeArrowheads="1"/>
        </xdr:cNvSpPr>
      </xdr:nvSpPr>
      <xdr:spPr bwMode="auto">
        <a:xfrm>
          <a:off x="26342340" y="447675"/>
          <a:ext cx="7791681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22</xdr:col>
      <xdr:colOff>835889</xdr:colOff>
      <xdr:row>4</xdr:row>
      <xdr:rowOff>166007</xdr:rowOff>
    </xdr:to>
    <xdr:sp macro="" textlink="">
      <xdr:nvSpPr>
        <xdr:cNvPr id="81" name="checksum">
          <a:extLst>
            <a:ext uri="{FF2B5EF4-FFF2-40B4-BE49-F238E27FC236}">
              <a16:creationId xmlns:a16="http://schemas.microsoft.com/office/drawing/2014/main" xmlns="" id="{00000000-0008-0000-0E00-000051000000}"/>
            </a:ext>
          </a:extLst>
        </xdr:cNvPr>
        <xdr:cNvSpPr txBox="1">
          <a:spLocks noChangeArrowheads="1"/>
        </xdr:cNvSpPr>
      </xdr:nvSpPr>
      <xdr:spPr bwMode="auto">
        <a:xfrm>
          <a:off x="26342340" y="674370"/>
          <a:ext cx="681631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22</xdr:col>
      <xdr:colOff>854939</xdr:colOff>
      <xdr:row>4</xdr:row>
      <xdr:rowOff>166007</xdr:rowOff>
    </xdr:to>
    <xdr:sp macro="" textlink="">
      <xdr:nvSpPr>
        <xdr:cNvPr id="82" name="checksum">
          <a:extLst>
            <a:ext uri="{FF2B5EF4-FFF2-40B4-BE49-F238E27FC236}">
              <a16:creationId xmlns:a16="http://schemas.microsoft.com/office/drawing/2014/main" xmlns="" id="{00000000-0008-0000-0E00-000052000000}"/>
            </a:ext>
          </a:extLst>
        </xdr:cNvPr>
        <xdr:cNvSpPr txBox="1">
          <a:spLocks noChangeArrowheads="1"/>
        </xdr:cNvSpPr>
      </xdr:nvSpPr>
      <xdr:spPr bwMode="auto">
        <a:xfrm>
          <a:off x="26342340" y="674370"/>
          <a:ext cx="683536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22</xdr:col>
      <xdr:colOff>797789</xdr:colOff>
      <xdr:row>4</xdr:row>
      <xdr:rowOff>166007</xdr:rowOff>
    </xdr:to>
    <xdr:sp macro="" textlink="">
      <xdr:nvSpPr>
        <xdr:cNvPr id="83" name="checksum">
          <a:extLst>
            <a:ext uri="{FF2B5EF4-FFF2-40B4-BE49-F238E27FC236}">
              <a16:creationId xmlns:a16="http://schemas.microsoft.com/office/drawing/2014/main" xmlns="" id="{00000000-0008-0000-0E00-000053000000}"/>
            </a:ext>
          </a:extLst>
        </xdr:cNvPr>
        <xdr:cNvSpPr txBox="1">
          <a:spLocks noChangeArrowheads="1"/>
        </xdr:cNvSpPr>
      </xdr:nvSpPr>
      <xdr:spPr bwMode="auto">
        <a:xfrm>
          <a:off x="26342340" y="680085"/>
          <a:ext cx="677821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23</xdr:col>
      <xdr:colOff>531091</xdr:colOff>
      <xdr:row>4</xdr:row>
      <xdr:rowOff>175532</xdr:rowOff>
    </xdr:to>
    <xdr:sp macro="" textlink="">
      <xdr:nvSpPr>
        <xdr:cNvPr id="84" name="checksum">
          <a:extLst>
            <a:ext uri="{FF2B5EF4-FFF2-40B4-BE49-F238E27FC236}">
              <a16:creationId xmlns:a16="http://schemas.microsoft.com/office/drawing/2014/main" xmlns="" id="{00000000-0008-0000-0E00-000054000000}"/>
            </a:ext>
          </a:extLst>
        </xdr:cNvPr>
        <xdr:cNvSpPr txBox="1">
          <a:spLocks noChangeArrowheads="1"/>
        </xdr:cNvSpPr>
      </xdr:nvSpPr>
      <xdr:spPr bwMode="auto">
        <a:xfrm>
          <a:off x="26342340" y="447675"/>
          <a:ext cx="7791681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22</xdr:col>
      <xdr:colOff>835889</xdr:colOff>
      <xdr:row>4</xdr:row>
      <xdr:rowOff>166007</xdr:rowOff>
    </xdr:to>
    <xdr:sp macro="" textlink="">
      <xdr:nvSpPr>
        <xdr:cNvPr id="85" name="checksum">
          <a:extLst>
            <a:ext uri="{FF2B5EF4-FFF2-40B4-BE49-F238E27FC236}">
              <a16:creationId xmlns:a16="http://schemas.microsoft.com/office/drawing/2014/main" xmlns="" id="{00000000-0008-0000-0E00-000055000000}"/>
            </a:ext>
          </a:extLst>
        </xdr:cNvPr>
        <xdr:cNvSpPr txBox="1">
          <a:spLocks noChangeArrowheads="1"/>
        </xdr:cNvSpPr>
      </xdr:nvSpPr>
      <xdr:spPr bwMode="auto">
        <a:xfrm>
          <a:off x="26342340" y="674370"/>
          <a:ext cx="681631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22</xdr:col>
      <xdr:colOff>854939</xdr:colOff>
      <xdr:row>4</xdr:row>
      <xdr:rowOff>166007</xdr:rowOff>
    </xdr:to>
    <xdr:sp macro="" textlink="">
      <xdr:nvSpPr>
        <xdr:cNvPr id="86" name="checksum">
          <a:extLst>
            <a:ext uri="{FF2B5EF4-FFF2-40B4-BE49-F238E27FC236}">
              <a16:creationId xmlns:a16="http://schemas.microsoft.com/office/drawing/2014/main" xmlns="" id="{00000000-0008-0000-0E00-000056000000}"/>
            </a:ext>
          </a:extLst>
        </xdr:cNvPr>
        <xdr:cNvSpPr txBox="1">
          <a:spLocks noChangeArrowheads="1"/>
        </xdr:cNvSpPr>
      </xdr:nvSpPr>
      <xdr:spPr bwMode="auto">
        <a:xfrm>
          <a:off x="26342340" y="674370"/>
          <a:ext cx="683536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22</xdr:col>
      <xdr:colOff>797789</xdr:colOff>
      <xdr:row>4</xdr:row>
      <xdr:rowOff>166007</xdr:rowOff>
    </xdr:to>
    <xdr:sp macro="" textlink="">
      <xdr:nvSpPr>
        <xdr:cNvPr id="87" name="checksum">
          <a:extLst>
            <a:ext uri="{FF2B5EF4-FFF2-40B4-BE49-F238E27FC236}">
              <a16:creationId xmlns:a16="http://schemas.microsoft.com/office/drawing/2014/main" xmlns="" id="{00000000-0008-0000-0E00-000057000000}"/>
            </a:ext>
          </a:extLst>
        </xdr:cNvPr>
        <xdr:cNvSpPr txBox="1">
          <a:spLocks noChangeArrowheads="1"/>
        </xdr:cNvSpPr>
      </xdr:nvSpPr>
      <xdr:spPr bwMode="auto">
        <a:xfrm>
          <a:off x="26342340" y="680085"/>
          <a:ext cx="677821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23</xdr:col>
      <xdr:colOff>531090</xdr:colOff>
      <xdr:row>4</xdr:row>
      <xdr:rowOff>175532</xdr:rowOff>
    </xdr:to>
    <xdr:sp macro="" textlink="">
      <xdr:nvSpPr>
        <xdr:cNvPr id="88" name="checksum">
          <a:extLst>
            <a:ext uri="{FF2B5EF4-FFF2-40B4-BE49-F238E27FC236}">
              <a16:creationId xmlns:a16="http://schemas.microsoft.com/office/drawing/2014/main" xmlns="" id="{00000000-0008-0000-0E00-000058000000}"/>
            </a:ext>
          </a:extLst>
        </xdr:cNvPr>
        <xdr:cNvSpPr txBox="1">
          <a:spLocks noChangeArrowheads="1"/>
        </xdr:cNvSpPr>
      </xdr:nvSpPr>
      <xdr:spPr bwMode="auto">
        <a:xfrm>
          <a:off x="26342340" y="447675"/>
          <a:ext cx="7791680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22</xdr:col>
      <xdr:colOff>835889</xdr:colOff>
      <xdr:row>4</xdr:row>
      <xdr:rowOff>166007</xdr:rowOff>
    </xdr:to>
    <xdr:sp macro="" textlink="">
      <xdr:nvSpPr>
        <xdr:cNvPr id="89" name="checksum">
          <a:extLst>
            <a:ext uri="{FF2B5EF4-FFF2-40B4-BE49-F238E27FC236}">
              <a16:creationId xmlns:a16="http://schemas.microsoft.com/office/drawing/2014/main" xmlns="" id="{00000000-0008-0000-0E00-000059000000}"/>
            </a:ext>
          </a:extLst>
        </xdr:cNvPr>
        <xdr:cNvSpPr txBox="1">
          <a:spLocks noChangeArrowheads="1"/>
        </xdr:cNvSpPr>
      </xdr:nvSpPr>
      <xdr:spPr bwMode="auto">
        <a:xfrm>
          <a:off x="26342340" y="674370"/>
          <a:ext cx="681631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22</xdr:col>
      <xdr:colOff>854939</xdr:colOff>
      <xdr:row>4</xdr:row>
      <xdr:rowOff>166007</xdr:rowOff>
    </xdr:to>
    <xdr:sp macro="" textlink="">
      <xdr:nvSpPr>
        <xdr:cNvPr id="90" name="checksum">
          <a:extLst>
            <a:ext uri="{FF2B5EF4-FFF2-40B4-BE49-F238E27FC236}">
              <a16:creationId xmlns:a16="http://schemas.microsoft.com/office/drawing/2014/main" xmlns="" id="{00000000-0008-0000-0E00-00005A000000}"/>
            </a:ext>
          </a:extLst>
        </xdr:cNvPr>
        <xdr:cNvSpPr txBox="1">
          <a:spLocks noChangeArrowheads="1"/>
        </xdr:cNvSpPr>
      </xdr:nvSpPr>
      <xdr:spPr bwMode="auto">
        <a:xfrm>
          <a:off x="26342340" y="674370"/>
          <a:ext cx="683536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22</xdr:col>
      <xdr:colOff>797789</xdr:colOff>
      <xdr:row>4</xdr:row>
      <xdr:rowOff>166007</xdr:rowOff>
    </xdr:to>
    <xdr:sp macro="" textlink="">
      <xdr:nvSpPr>
        <xdr:cNvPr id="91" name="checksum">
          <a:extLst>
            <a:ext uri="{FF2B5EF4-FFF2-40B4-BE49-F238E27FC236}">
              <a16:creationId xmlns:a16="http://schemas.microsoft.com/office/drawing/2014/main" xmlns="" id="{00000000-0008-0000-0E00-00005B000000}"/>
            </a:ext>
          </a:extLst>
        </xdr:cNvPr>
        <xdr:cNvSpPr txBox="1">
          <a:spLocks noChangeArrowheads="1"/>
        </xdr:cNvSpPr>
      </xdr:nvSpPr>
      <xdr:spPr bwMode="auto">
        <a:xfrm>
          <a:off x="26342340" y="680085"/>
          <a:ext cx="677821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23</xdr:col>
      <xdr:colOff>531090</xdr:colOff>
      <xdr:row>4</xdr:row>
      <xdr:rowOff>175532</xdr:rowOff>
    </xdr:to>
    <xdr:sp macro="" textlink="">
      <xdr:nvSpPr>
        <xdr:cNvPr id="92" name="checksum">
          <a:extLst>
            <a:ext uri="{FF2B5EF4-FFF2-40B4-BE49-F238E27FC236}">
              <a16:creationId xmlns:a16="http://schemas.microsoft.com/office/drawing/2014/main" xmlns="" id="{00000000-0008-0000-0E00-00005C000000}"/>
            </a:ext>
          </a:extLst>
        </xdr:cNvPr>
        <xdr:cNvSpPr txBox="1">
          <a:spLocks noChangeArrowheads="1"/>
        </xdr:cNvSpPr>
      </xdr:nvSpPr>
      <xdr:spPr bwMode="auto">
        <a:xfrm>
          <a:off x="26342340" y="447675"/>
          <a:ext cx="7791680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22</xdr:col>
      <xdr:colOff>835889</xdr:colOff>
      <xdr:row>4</xdr:row>
      <xdr:rowOff>166007</xdr:rowOff>
    </xdr:to>
    <xdr:sp macro="" textlink="">
      <xdr:nvSpPr>
        <xdr:cNvPr id="93" name="checksum">
          <a:extLst>
            <a:ext uri="{FF2B5EF4-FFF2-40B4-BE49-F238E27FC236}">
              <a16:creationId xmlns:a16="http://schemas.microsoft.com/office/drawing/2014/main" xmlns="" id="{00000000-0008-0000-0E00-00005D000000}"/>
            </a:ext>
          </a:extLst>
        </xdr:cNvPr>
        <xdr:cNvSpPr txBox="1">
          <a:spLocks noChangeArrowheads="1"/>
        </xdr:cNvSpPr>
      </xdr:nvSpPr>
      <xdr:spPr bwMode="auto">
        <a:xfrm>
          <a:off x="26342340" y="674370"/>
          <a:ext cx="681631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22</xdr:col>
      <xdr:colOff>854939</xdr:colOff>
      <xdr:row>4</xdr:row>
      <xdr:rowOff>166007</xdr:rowOff>
    </xdr:to>
    <xdr:sp macro="" textlink="">
      <xdr:nvSpPr>
        <xdr:cNvPr id="94" name="checksum">
          <a:extLst>
            <a:ext uri="{FF2B5EF4-FFF2-40B4-BE49-F238E27FC236}">
              <a16:creationId xmlns:a16="http://schemas.microsoft.com/office/drawing/2014/main" xmlns="" id="{00000000-0008-0000-0E00-00005E000000}"/>
            </a:ext>
          </a:extLst>
        </xdr:cNvPr>
        <xdr:cNvSpPr txBox="1">
          <a:spLocks noChangeArrowheads="1"/>
        </xdr:cNvSpPr>
      </xdr:nvSpPr>
      <xdr:spPr bwMode="auto">
        <a:xfrm>
          <a:off x="26342340" y="674370"/>
          <a:ext cx="683536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22</xdr:col>
      <xdr:colOff>797789</xdr:colOff>
      <xdr:row>4</xdr:row>
      <xdr:rowOff>166007</xdr:rowOff>
    </xdr:to>
    <xdr:sp macro="" textlink="">
      <xdr:nvSpPr>
        <xdr:cNvPr id="95" name="checksum">
          <a:extLst>
            <a:ext uri="{FF2B5EF4-FFF2-40B4-BE49-F238E27FC236}">
              <a16:creationId xmlns:a16="http://schemas.microsoft.com/office/drawing/2014/main" xmlns="" id="{00000000-0008-0000-0E00-00005F000000}"/>
            </a:ext>
          </a:extLst>
        </xdr:cNvPr>
        <xdr:cNvSpPr txBox="1">
          <a:spLocks noChangeArrowheads="1"/>
        </xdr:cNvSpPr>
      </xdr:nvSpPr>
      <xdr:spPr bwMode="auto">
        <a:xfrm>
          <a:off x="26342340" y="680085"/>
          <a:ext cx="677821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</xdr:rowOff>
    </xdr:from>
    <xdr:to>
      <xdr:col>31</xdr:col>
      <xdr:colOff>107952</xdr:colOff>
      <xdr:row>4</xdr:row>
      <xdr:rowOff>175532</xdr:rowOff>
    </xdr:to>
    <xdr:sp macro="" textlink="">
      <xdr:nvSpPr>
        <xdr:cNvPr id="96" name="checksum">
          <a:extLst>
            <a:ext uri="{FF2B5EF4-FFF2-40B4-BE49-F238E27FC236}">
              <a16:creationId xmlns:a16="http://schemas.microsoft.com/office/drawing/2014/main" xmlns="" id="{00000000-0008-0000-0E00-000060000000}"/>
            </a:ext>
          </a:extLst>
        </xdr:cNvPr>
        <xdr:cNvSpPr txBox="1">
          <a:spLocks noChangeArrowheads="1"/>
        </xdr:cNvSpPr>
      </xdr:nvSpPr>
      <xdr:spPr bwMode="auto">
        <a:xfrm>
          <a:off x="36918900" y="447675"/>
          <a:ext cx="7788912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412751</xdr:colOff>
      <xdr:row>4</xdr:row>
      <xdr:rowOff>166007</xdr:rowOff>
    </xdr:to>
    <xdr:sp macro="" textlink="">
      <xdr:nvSpPr>
        <xdr:cNvPr id="97" name="checksum">
          <a:extLst>
            <a:ext uri="{FF2B5EF4-FFF2-40B4-BE49-F238E27FC236}">
              <a16:creationId xmlns:a16="http://schemas.microsoft.com/office/drawing/2014/main" xmlns="" id="{00000000-0008-0000-0E00-000061000000}"/>
            </a:ext>
          </a:extLst>
        </xdr:cNvPr>
        <xdr:cNvSpPr txBox="1">
          <a:spLocks noChangeArrowheads="1"/>
        </xdr:cNvSpPr>
      </xdr:nvSpPr>
      <xdr:spPr bwMode="auto">
        <a:xfrm>
          <a:off x="36614100" y="674370"/>
          <a:ext cx="6813551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431801</xdr:colOff>
      <xdr:row>4</xdr:row>
      <xdr:rowOff>166007</xdr:rowOff>
    </xdr:to>
    <xdr:sp macro="" textlink="">
      <xdr:nvSpPr>
        <xdr:cNvPr id="98" name="checksum">
          <a:extLst>
            <a:ext uri="{FF2B5EF4-FFF2-40B4-BE49-F238E27FC236}">
              <a16:creationId xmlns:a16="http://schemas.microsoft.com/office/drawing/2014/main" xmlns="" id="{00000000-0008-0000-0E00-000062000000}"/>
            </a:ext>
          </a:extLst>
        </xdr:cNvPr>
        <xdr:cNvSpPr txBox="1">
          <a:spLocks noChangeArrowheads="1"/>
        </xdr:cNvSpPr>
      </xdr:nvSpPr>
      <xdr:spPr bwMode="auto">
        <a:xfrm>
          <a:off x="36614100" y="674370"/>
          <a:ext cx="6832601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374651</xdr:colOff>
      <xdr:row>4</xdr:row>
      <xdr:rowOff>166007</xdr:rowOff>
    </xdr:to>
    <xdr:sp macro="" textlink="">
      <xdr:nvSpPr>
        <xdr:cNvPr id="99" name="checksum">
          <a:extLst>
            <a:ext uri="{FF2B5EF4-FFF2-40B4-BE49-F238E27FC236}">
              <a16:creationId xmlns:a16="http://schemas.microsoft.com/office/drawing/2014/main" xmlns="" id="{00000000-0008-0000-0E00-000063000000}"/>
            </a:ext>
          </a:extLst>
        </xdr:cNvPr>
        <xdr:cNvSpPr txBox="1">
          <a:spLocks noChangeArrowheads="1"/>
        </xdr:cNvSpPr>
      </xdr:nvSpPr>
      <xdr:spPr bwMode="auto">
        <a:xfrm>
          <a:off x="36614100" y="680085"/>
          <a:ext cx="6775451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4</xdr:row>
      <xdr:rowOff>363906</xdr:rowOff>
    </xdr:to>
    <xdr:sp macro="" textlink="">
      <xdr:nvSpPr>
        <xdr:cNvPr id="10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E00-000064000000}"/>
            </a:ext>
          </a:extLst>
        </xdr:cNvPr>
        <xdr:cNvSpPr txBox="1">
          <a:spLocks noChangeArrowheads="1"/>
        </xdr:cNvSpPr>
      </xdr:nvSpPr>
      <xdr:spPr bwMode="auto">
        <a:xfrm>
          <a:off x="28933140" y="419100"/>
          <a:ext cx="0" cy="76776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25</xdr:col>
      <xdr:colOff>0</xdr:colOff>
      <xdr:row>2</xdr:row>
      <xdr:rowOff>28575</xdr:rowOff>
    </xdr:from>
    <xdr:to>
      <xdr:col>31</xdr:col>
      <xdr:colOff>107952</xdr:colOff>
      <xdr:row>4</xdr:row>
      <xdr:rowOff>175532</xdr:rowOff>
    </xdr:to>
    <xdr:sp macro="" textlink="">
      <xdr:nvSpPr>
        <xdr:cNvPr id="101" name="checksum">
          <a:extLst>
            <a:ext uri="{FF2B5EF4-FFF2-40B4-BE49-F238E27FC236}">
              <a16:creationId xmlns:a16="http://schemas.microsoft.com/office/drawing/2014/main" xmlns="" id="{00000000-0008-0000-0E00-000065000000}"/>
            </a:ext>
          </a:extLst>
        </xdr:cNvPr>
        <xdr:cNvSpPr txBox="1">
          <a:spLocks noChangeArrowheads="1"/>
        </xdr:cNvSpPr>
      </xdr:nvSpPr>
      <xdr:spPr bwMode="auto">
        <a:xfrm>
          <a:off x="36918900" y="447675"/>
          <a:ext cx="7788912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412751</xdr:colOff>
      <xdr:row>4</xdr:row>
      <xdr:rowOff>166007</xdr:rowOff>
    </xdr:to>
    <xdr:sp macro="" textlink="">
      <xdr:nvSpPr>
        <xdr:cNvPr id="102" name="checksum">
          <a:extLst>
            <a:ext uri="{FF2B5EF4-FFF2-40B4-BE49-F238E27FC236}">
              <a16:creationId xmlns:a16="http://schemas.microsoft.com/office/drawing/2014/main" xmlns="" id="{00000000-0008-0000-0E00-000066000000}"/>
            </a:ext>
          </a:extLst>
        </xdr:cNvPr>
        <xdr:cNvSpPr txBox="1">
          <a:spLocks noChangeArrowheads="1"/>
        </xdr:cNvSpPr>
      </xdr:nvSpPr>
      <xdr:spPr bwMode="auto">
        <a:xfrm>
          <a:off x="36614100" y="674370"/>
          <a:ext cx="6813551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431801</xdr:colOff>
      <xdr:row>4</xdr:row>
      <xdr:rowOff>166007</xdr:rowOff>
    </xdr:to>
    <xdr:sp macro="" textlink="">
      <xdr:nvSpPr>
        <xdr:cNvPr id="103" name="checksum">
          <a:extLst>
            <a:ext uri="{FF2B5EF4-FFF2-40B4-BE49-F238E27FC236}">
              <a16:creationId xmlns:a16="http://schemas.microsoft.com/office/drawing/2014/main" xmlns="" id="{00000000-0008-0000-0E00-000067000000}"/>
            </a:ext>
          </a:extLst>
        </xdr:cNvPr>
        <xdr:cNvSpPr txBox="1">
          <a:spLocks noChangeArrowheads="1"/>
        </xdr:cNvSpPr>
      </xdr:nvSpPr>
      <xdr:spPr bwMode="auto">
        <a:xfrm>
          <a:off x="36614100" y="674370"/>
          <a:ext cx="6832601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374651</xdr:colOff>
      <xdr:row>4</xdr:row>
      <xdr:rowOff>166007</xdr:rowOff>
    </xdr:to>
    <xdr:sp macro="" textlink="">
      <xdr:nvSpPr>
        <xdr:cNvPr id="104" name="checksum">
          <a:extLst>
            <a:ext uri="{FF2B5EF4-FFF2-40B4-BE49-F238E27FC236}">
              <a16:creationId xmlns:a16="http://schemas.microsoft.com/office/drawing/2014/main" xmlns="" id="{00000000-0008-0000-0E00-000068000000}"/>
            </a:ext>
          </a:extLst>
        </xdr:cNvPr>
        <xdr:cNvSpPr txBox="1">
          <a:spLocks noChangeArrowheads="1"/>
        </xdr:cNvSpPr>
      </xdr:nvSpPr>
      <xdr:spPr bwMode="auto">
        <a:xfrm>
          <a:off x="36614100" y="680085"/>
          <a:ext cx="6775451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5</xdr:row>
      <xdr:rowOff>361950</xdr:rowOff>
    </xdr:to>
    <xdr:sp macro="" textlink="">
      <xdr:nvSpPr>
        <xdr:cNvPr id="105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E00-000069000000}"/>
            </a:ext>
          </a:extLst>
        </xdr:cNvPr>
        <xdr:cNvSpPr txBox="1">
          <a:spLocks noChangeArrowheads="1"/>
        </xdr:cNvSpPr>
      </xdr:nvSpPr>
      <xdr:spPr bwMode="auto">
        <a:xfrm>
          <a:off x="28933140" y="419100"/>
          <a:ext cx="0" cy="98679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15</xdr:col>
      <xdr:colOff>112899</xdr:colOff>
      <xdr:row>10</xdr:row>
      <xdr:rowOff>969736</xdr:rowOff>
    </xdr:to>
    <xdr:sp macro="" textlink="">
      <xdr:nvSpPr>
        <xdr:cNvPr id="106" name="checksum">
          <a:extLst>
            <a:ext uri="{FF2B5EF4-FFF2-40B4-BE49-F238E27FC236}">
              <a16:creationId xmlns:a16="http://schemas.microsoft.com/office/drawing/2014/main" xmlns="" id="{00000000-0008-0000-0E00-00006A000000}"/>
            </a:ext>
          </a:extLst>
        </xdr:cNvPr>
        <xdr:cNvSpPr txBox="1">
          <a:spLocks noChangeArrowheads="1"/>
        </xdr:cNvSpPr>
      </xdr:nvSpPr>
      <xdr:spPr bwMode="auto">
        <a:xfrm>
          <a:off x="12565380" y="447675"/>
          <a:ext cx="7793858" cy="2522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417698</xdr:colOff>
      <xdr:row>9</xdr:row>
      <xdr:rowOff>141061</xdr:rowOff>
    </xdr:to>
    <xdr:sp macro="" textlink="">
      <xdr:nvSpPr>
        <xdr:cNvPr id="107" name="checksum">
          <a:extLst>
            <a:ext uri="{FF2B5EF4-FFF2-40B4-BE49-F238E27FC236}">
              <a16:creationId xmlns:a16="http://schemas.microsoft.com/office/drawing/2014/main" xmlns="" id="{00000000-0008-0000-0E00-00006B000000}"/>
            </a:ext>
          </a:extLst>
        </xdr:cNvPr>
        <xdr:cNvSpPr txBox="1">
          <a:spLocks noChangeArrowheads="1"/>
        </xdr:cNvSpPr>
      </xdr:nvSpPr>
      <xdr:spPr bwMode="auto">
        <a:xfrm>
          <a:off x="12260580" y="674370"/>
          <a:ext cx="6818497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436748</xdr:colOff>
      <xdr:row>9</xdr:row>
      <xdr:rowOff>141061</xdr:rowOff>
    </xdr:to>
    <xdr:sp macro="" textlink="">
      <xdr:nvSpPr>
        <xdr:cNvPr id="108" name="checksum">
          <a:extLst>
            <a:ext uri="{FF2B5EF4-FFF2-40B4-BE49-F238E27FC236}">
              <a16:creationId xmlns:a16="http://schemas.microsoft.com/office/drawing/2014/main" xmlns="" id="{00000000-0008-0000-0E00-00006C000000}"/>
            </a:ext>
          </a:extLst>
        </xdr:cNvPr>
        <xdr:cNvSpPr txBox="1">
          <a:spLocks noChangeArrowheads="1"/>
        </xdr:cNvSpPr>
      </xdr:nvSpPr>
      <xdr:spPr bwMode="auto">
        <a:xfrm>
          <a:off x="12260580" y="674370"/>
          <a:ext cx="6837547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379598</xdr:colOff>
      <xdr:row>9</xdr:row>
      <xdr:rowOff>141061</xdr:rowOff>
    </xdr:to>
    <xdr:sp macro="" textlink="">
      <xdr:nvSpPr>
        <xdr:cNvPr id="109" name="checksum">
          <a:extLst>
            <a:ext uri="{FF2B5EF4-FFF2-40B4-BE49-F238E27FC236}">
              <a16:creationId xmlns:a16="http://schemas.microsoft.com/office/drawing/2014/main" xmlns="" id="{00000000-0008-0000-0E00-00006D000000}"/>
            </a:ext>
          </a:extLst>
        </xdr:cNvPr>
        <xdr:cNvSpPr txBox="1">
          <a:spLocks noChangeArrowheads="1"/>
        </xdr:cNvSpPr>
      </xdr:nvSpPr>
      <xdr:spPr bwMode="auto">
        <a:xfrm>
          <a:off x="12260580" y="680085"/>
          <a:ext cx="6780397" cy="13277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11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E00-00006E000000}"/>
            </a:ext>
          </a:extLst>
        </xdr:cNvPr>
        <xdr:cNvSpPr txBox="1">
          <a:spLocks noChangeArrowheads="1"/>
        </xdr:cNvSpPr>
      </xdr:nvSpPr>
      <xdr:spPr bwMode="auto">
        <a:xfrm>
          <a:off x="4579620" y="419100"/>
          <a:ext cx="0" cy="76776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12</xdr:col>
      <xdr:colOff>870857</xdr:colOff>
      <xdr:row>2</xdr:row>
      <xdr:rowOff>28575</xdr:rowOff>
    </xdr:from>
    <xdr:to>
      <xdr:col>12</xdr:col>
      <xdr:colOff>968829</xdr:colOff>
      <xdr:row>2</xdr:row>
      <xdr:rowOff>74294</xdr:rowOff>
    </xdr:to>
    <xdr:sp macro="" textlink="">
      <xdr:nvSpPr>
        <xdr:cNvPr id="111" name="checksum">
          <a:extLst>
            <a:ext uri="{FF2B5EF4-FFF2-40B4-BE49-F238E27FC236}">
              <a16:creationId xmlns:a16="http://schemas.microsoft.com/office/drawing/2014/main" xmlns="" id="{00000000-0008-0000-0E00-00006F000000}"/>
            </a:ext>
          </a:extLst>
        </xdr:cNvPr>
        <xdr:cNvSpPr txBox="1">
          <a:spLocks noChangeArrowheads="1"/>
        </xdr:cNvSpPr>
      </xdr:nvSpPr>
      <xdr:spPr bwMode="auto">
        <a:xfrm>
          <a:off x="18252077" y="447675"/>
          <a:ext cx="97972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417698</xdr:colOff>
      <xdr:row>9</xdr:row>
      <xdr:rowOff>141061</xdr:rowOff>
    </xdr:to>
    <xdr:sp macro="" textlink="">
      <xdr:nvSpPr>
        <xdr:cNvPr id="112" name="checksum">
          <a:extLst>
            <a:ext uri="{FF2B5EF4-FFF2-40B4-BE49-F238E27FC236}">
              <a16:creationId xmlns:a16="http://schemas.microsoft.com/office/drawing/2014/main" xmlns="" id="{00000000-0008-0000-0E00-000070000000}"/>
            </a:ext>
          </a:extLst>
        </xdr:cNvPr>
        <xdr:cNvSpPr txBox="1">
          <a:spLocks noChangeArrowheads="1"/>
        </xdr:cNvSpPr>
      </xdr:nvSpPr>
      <xdr:spPr bwMode="auto">
        <a:xfrm>
          <a:off x="12260580" y="674370"/>
          <a:ext cx="6818497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436748</xdr:colOff>
      <xdr:row>9</xdr:row>
      <xdr:rowOff>141061</xdr:rowOff>
    </xdr:to>
    <xdr:sp macro="" textlink="">
      <xdr:nvSpPr>
        <xdr:cNvPr id="113" name="checksum">
          <a:extLst>
            <a:ext uri="{FF2B5EF4-FFF2-40B4-BE49-F238E27FC236}">
              <a16:creationId xmlns:a16="http://schemas.microsoft.com/office/drawing/2014/main" xmlns="" id="{00000000-0008-0000-0E00-000071000000}"/>
            </a:ext>
          </a:extLst>
        </xdr:cNvPr>
        <xdr:cNvSpPr txBox="1">
          <a:spLocks noChangeArrowheads="1"/>
        </xdr:cNvSpPr>
      </xdr:nvSpPr>
      <xdr:spPr bwMode="auto">
        <a:xfrm>
          <a:off x="12260580" y="674370"/>
          <a:ext cx="6837547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337457</xdr:colOff>
      <xdr:row>2</xdr:row>
      <xdr:rowOff>260985</xdr:rowOff>
    </xdr:from>
    <xdr:to>
      <xdr:col>21</xdr:col>
      <xdr:colOff>598715</xdr:colOff>
      <xdr:row>3</xdr:row>
      <xdr:rowOff>95251</xdr:rowOff>
    </xdr:to>
    <xdr:sp macro="" textlink="">
      <xdr:nvSpPr>
        <xdr:cNvPr id="114" name="checksum">
          <a:extLst>
            <a:ext uri="{FF2B5EF4-FFF2-40B4-BE49-F238E27FC236}">
              <a16:creationId xmlns:a16="http://schemas.microsoft.com/office/drawing/2014/main" xmlns="" id="{00000000-0008-0000-0E00-000072000000}"/>
            </a:ext>
          </a:extLst>
        </xdr:cNvPr>
        <xdr:cNvSpPr txBox="1">
          <a:spLocks noChangeArrowheads="1"/>
        </xdr:cNvSpPr>
      </xdr:nvSpPr>
      <xdr:spPr bwMode="auto">
        <a:xfrm>
          <a:off x="31830917" y="680085"/>
          <a:ext cx="261258" cy="96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5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E00-000073000000}"/>
            </a:ext>
          </a:extLst>
        </xdr:cNvPr>
        <xdr:cNvSpPr txBox="1">
          <a:spLocks noChangeArrowheads="1"/>
        </xdr:cNvSpPr>
      </xdr:nvSpPr>
      <xdr:spPr bwMode="auto">
        <a:xfrm>
          <a:off x="4579620" y="419100"/>
          <a:ext cx="0" cy="98679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34</xdr:col>
      <xdr:colOff>0</xdr:colOff>
      <xdr:row>2</xdr:row>
      <xdr:rowOff>28575</xdr:rowOff>
    </xdr:from>
    <xdr:ext cx="7819983" cy="753836"/>
    <xdr:sp macro="" textlink="">
      <xdr:nvSpPr>
        <xdr:cNvPr id="116" name="checksum">
          <a:extLst>
            <a:ext uri="{FF2B5EF4-FFF2-40B4-BE49-F238E27FC236}">
              <a16:creationId xmlns:a16="http://schemas.microsoft.com/office/drawing/2014/main" xmlns="" id="{00000000-0008-0000-0E00-000074000000}"/>
            </a:ext>
          </a:extLst>
        </xdr:cNvPr>
        <xdr:cNvSpPr txBox="1">
          <a:spLocks noChangeArrowheads="1"/>
        </xdr:cNvSpPr>
      </xdr:nvSpPr>
      <xdr:spPr bwMode="auto">
        <a:xfrm>
          <a:off x="51899820" y="447675"/>
          <a:ext cx="7819983" cy="753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40268" cy="437334"/>
    <xdr:sp macro="" textlink="">
      <xdr:nvSpPr>
        <xdr:cNvPr id="117" name="checksum">
          <a:extLst>
            <a:ext uri="{FF2B5EF4-FFF2-40B4-BE49-F238E27FC236}">
              <a16:creationId xmlns:a16="http://schemas.microsoft.com/office/drawing/2014/main" xmlns="" id="{00000000-0008-0000-0E00-000075000000}"/>
            </a:ext>
          </a:extLst>
        </xdr:cNvPr>
        <xdr:cNvSpPr txBox="1">
          <a:spLocks noChangeArrowheads="1"/>
        </xdr:cNvSpPr>
      </xdr:nvSpPr>
      <xdr:spPr bwMode="auto">
        <a:xfrm>
          <a:off x="51899820" y="674370"/>
          <a:ext cx="6840268" cy="437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59318" cy="437334"/>
    <xdr:sp macro="" textlink="">
      <xdr:nvSpPr>
        <xdr:cNvPr id="118" name="checksum">
          <a:extLst>
            <a:ext uri="{FF2B5EF4-FFF2-40B4-BE49-F238E27FC236}">
              <a16:creationId xmlns:a16="http://schemas.microsoft.com/office/drawing/2014/main" xmlns="" id="{00000000-0008-0000-0E00-000076000000}"/>
            </a:ext>
          </a:extLst>
        </xdr:cNvPr>
        <xdr:cNvSpPr txBox="1">
          <a:spLocks noChangeArrowheads="1"/>
        </xdr:cNvSpPr>
      </xdr:nvSpPr>
      <xdr:spPr bwMode="auto">
        <a:xfrm>
          <a:off x="51899820" y="674370"/>
          <a:ext cx="6859318" cy="437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276225</xdr:rowOff>
    </xdr:from>
    <xdr:ext cx="6802168" cy="431619"/>
    <xdr:sp macro="" textlink="">
      <xdr:nvSpPr>
        <xdr:cNvPr id="119" name="checksum">
          <a:extLst>
            <a:ext uri="{FF2B5EF4-FFF2-40B4-BE49-F238E27FC236}">
              <a16:creationId xmlns:a16="http://schemas.microsoft.com/office/drawing/2014/main" xmlns="" id="{00000000-0008-0000-0E00-000077000000}"/>
            </a:ext>
          </a:extLst>
        </xdr:cNvPr>
        <xdr:cNvSpPr txBox="1">
          <a:spLocks noChangeArrowheads="1"/>
        </xdr:cNvSpPr>
      </xdr:nvSpPr>
      <xdr:spPr bwMode="auto">
        <a:xfrm>
          <a:off x="51899820" y="680085"/>
          <a:ext cx="6802168" cy="4316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</xdr:rowOff>
    </xdr:from>
    <xdr:ext cx="7819983" cy="753836"/>
    <xdr:sp macro="" textlink="">
      <xdr:nvSpPr>
        <xdr:cNvPr id="120" name="checksum">
          <a:extLst>
            <a:ext uri="{FF2B5EF4-FFF2-40B4-BE49-F238E27FC236}">
              <a16:creationId xmlns:a16="http://schemas.microsoft.com/office/drawing/2014/main" xmlns="" id="{00000000-0008-0000-0E00-000078000000}"/>
            </a:ext>
          </a:extLst>
        </xdr:cNvPr>
        <xdr:cNvSpPr txBox="1">
          <a:spLocks noChangeArrowheads="1"/>
        </xdr:cNvSpPr>
      </xdr:nvSpPr>
      <xdr:spPr bwMode="auto">
        <a:xfrm>
          <a:off x="51899820" y="447675"/>
          <a:ext cx="7819983" cy="753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40268" cy="437334"/>
    <xdr:sp macro="" textlink="">
      <xdr:nvSpPr>
        <xdr:cNvPr id="121" name="checksum">
          <a:extLst>
            <a:ext uri="{FF2B5EF4-FFF2-40B4-BE49-F238E27FC236}">
              <a16:creationId xmlns:a16="http://schemas.microsoft.com/office/drawing/2014/main" xmlns="" id="{00000000-0008-0000-0E00-000079000000}"/>
            </a:ext>
          </a:extLst>
        </xdr:cNvPr>
        <xdr:cNvSpPr txBox="1">
          <a:spLocks noChangeArrowheads="1"/>
        </xdr:cNvSpPr>
      </xdr:nvSpPr>
      <xdr:spPr bwMode="auto">
        <a:xfrm>
          <a:off x="51899820" y="674370"/>
          <a:ext cx="6840268" cy="437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59318" cy="437334"/>
    <xdr:sp macro="" textlink="">
      <xdr:nvSpPr>
        <xdr:cNvPr id="122" name="checksum">
          <a:extLst>
            <a:ext uri="{FF2B5EF4-FFF2-40B4-BE49-F238E27FC236}">
              <a16:creationId xmlns:a16="http://schemas.microsoft.com/office/drawing/2014/main" xmlns="" id="{00000000-0008-0000-0E00-00007A000000}"/>
            </a:ext>
          </a:extLst>
        </xdr:cNvPr>
        <xdr:cNvSpPr txBox="1">
          <a:spLocks noChangeArrowheads="1"/>
        </xdr:cNvSpPr>
      </xdr:nvSpPr>
      <xdr:spPr bwMode="auto">
        <a:xfrm>
          <a:off x="51899820" y="674370"/>
          <a:ext cx="6859318" cy="437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276225</xdr:rowOff>
    </xdr:from>
    <xdr:ext cx="6802168" cy="431619"/>
    <xdr:sp macro="" textlink="">
      <xdr:nvSpPr>
        <xdr:cNvPr id="123" name="checksum">
          <a:extLst>
            <a:ext uri="{FF2B5EF4-FFF2-40B4-BE49-F238E27FC236}">
              <a16:creationId xmlns:a16="http://schemas.microsoft.com/office/drawing/2014/main" xmlns="" id="{00000000-0008-0000-0E00-00007B000000}"/>
            </a:ext>
          </a:extLst>
        </xdr:cNvPr>
        <xdr:cNvSpPr txBox="1">
          <a:spLocks noChangeArrowheads="1"/>
        </xdr:cNvSpPr>
      </xdr:nvSpPr>
      <xdr:spPr bwMode="auto">
        <a:xfrm>
          <a:off x="51899820" y="680085"/>
          <a:ext cx="6802168" cy="4316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</xdr:rowOff>
    </xdr:from>
    <xdr:ext cx="7819984" cy="549729"/>
    <xdr:sp macro="" textlink="">
      <xdr:nvSpPr>
        <xdr:cNvPr id="124" name="checksum">
          <a:extLst>
            <a:ext uri="{FF2B5EF4-FFF2-40B4-BE49-F238E27FC236}">
              <a16:creationId xmlns:a16="http://schemas.microsoft.com/office/drawing/2014/main" xmlns="" id="{00000000-0008-0000-0E00-00007C000000}"/>
            </a:ext>
          </a:extLst>
        </xdr:cNvPr>
        <xdr:cNvSpPr txBox="1">
          <a:spLocks noChangeArrowheads="1"/>
        </xdr:cNvSpPr>
      </xdr:nvSpPr>
      <xdr:spPr bwMode="auto">
        <a:xfrm>
          <a:off x="51899820" y="447675"/>
          <a:ext cx="7819984" cy="5497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40269" cy="370659"/>
    <xdr:sp macro="" textlink="">
      <xdr:nvSpPr>
        <xdr:cNvPr id="125" name="checksum">
          <a:extLst>
            <a:ext uri="{FF2B5EF4-FFF2-40B4-BE49-F238E27FC236}">
              <a16:creationId xmlns:a16="http://schemas.microsoft.com/office/drawing/2014/main" xmlns="" id="{00000000-0008-0000-0E00-00007D000000}"/>
            </a:ext>
          </a:extLst>
        </xdr:cNvPr>
        <xdr:cNvSpPr txBox="1">
          <a:spLocks noChangeArrowheads="1"/>
        </xdr:cNvSpPr>
      </xdr:nvSpPr>
      <xdr:spPr bwMode="auto">
        <a:xfrm>
          <a:off x="51899820" y="674370"/>
          <a:ext cx="6840269" cy="370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59319" cy="370659"/>
    <xdr:sp macro="" textlink="">
      <xdr:nvSpPr>
        <xdr:cNvPr id="126" name="checksum">
          <a:extLst>
            <a:ext uri="{FF2B5EF4-FFF2-40B4-BE49-F238E27FC236}">
              <a16:creationId xmlns:a16="http://schemas.microsoft.com/office/drawing/2014/main" xmlns="" id="{00000000-0008-0000-0E00-00007E000000}"/>
            </a:ext>
          </a:extLst>
        </xdr:cNvPr>
        <xdr:cNvSpPr txBox="1">
          <a:spLocks noChangeArrowheads="1"/>
        </xdr:cNvSpPr>
      </xdr:nvSpPr>
      <xdr:spPr bwMode="auto">
        <a:xfrm>
          <a:off x="51899820" y="674370"/>
          <a:ext cx="6859319" cy="370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276225</xdr:rowOff>
    </xdr:from>
    <xdr:ext cx="6802169" cy="364944"/>
    <xdr:sp macro="" textlink="">
      <xdr:nvSpPr>
        <xdr:cNvPr id="127" name="checksum">
          <a:extLst>
            <a:ext uri="{FF2B5EF4-FFF2-40B4-BE49-F238E27FC236}">
              <a16:creationId xmlns:a16="http://schemas.microsoft.com/office/drawing/2014/main" xmlns="" id="{00000000-0008-0000-0E00-00007F000000}"/>
            </a:ext>
          </a:extLst>
        </xdr:cNvPr>
        <xdr:cNvSpPr txBox="1">
          <a:spLocks noChangeArrowheads="1"/>
        </xdr:cNvSpPr>
      </xdr:nvSpPr>
      <xdr:spPr bwMode="auto">
        <a:xfrm>
          <a:off x="51899820" y="680085"/>
          <a:ext cx="6802169" cy="3649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</xdr:rowOff>
    </xdr:from>
    <xdr:ext cx="7819984" cy="549729"/>
    <xdr:sp macro="" textlink="">
      <xdr:nvSpPr>
        <xdr:cNvPr id="128" name="checksum">
          <a:extLst>
            <a:ext uri="{FF2B5EF4-FFF2-40B4-BE49-F238E27FC236}">
              <a16:creationId xmlns:a16="http://schemas.microsoft.com/office/drawing/2014/main" xmlns="" id="{00000000-0008-0000-0E00-000080000000}"/>
            </a:ext>
          </a:extLst>
        </xdr:cNvPr>
        <xdr:cNvSpPr txBox="1">
          <a:spLocks noChangeArrowheads="1"/>
        </xdr:cNvSpPr>
      </xdr:nvSpPr>
      <xdr:spPr bwMode="auto">
        <a:xfrm>
          <a:off x="51899820" y="447675"/>
          <a:ext cx="7819984" cy="5497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40269" cy="370659"/>
    <xdr:sp macro="" textlink="">
      <xdr:nvSpPr>
        <xdr:cNvPr id="129" name="checksum">
          <a:extLst>
            <a:ext uri="{FF2B5EF4-FFF2-40B4-BE49-F238E27FC236}">
              <a16:creationId xmlns:a16="http://schemas.microsoft.com/office/drawing/2014/main" xmlns="" id="{00000000-0008-0000-0E00-000081000000}"/>
            </a:ext>
          </a:extLst>
        </xdr:cNvPr>
        <xdr:cNvSpPr txBox="1">
          <a:spLocks noChangeArrowheads="1"/>
        </xdr:cNvSpPr>
      </xdr:nvSpPr>
      <xdr:spPr bwMode="auto">
        <a:xfrm>
          <a:off x="51899820" y="674370"/>
          <a:ext cx="6840269" cy="370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59319" cy="370659"/>
    <xdr:sp macro="" textlink="">
      <xdr:nvSpPr>
        <xdr:cNvPr id="130" name="checksum">
          <a:extLst>
            <a:ext uri="{FF2B5EF4-FFF2-40B4-BE49-F238E27FC236}">
              <a16:creationId xmlns:a16="http://schemas.microsoft.com/office/drawing/2014/main" xmlns="" id="{00000000-0008-0000-0E00-000082000000}"/>
            </a:ext>
          </a:extLst>
        </xdr:cNvPr>
        <xdr:cNvSpPr txBox="1">
          <a:spLocks noChangeArrowheads="1"/>
        </xdr:cNvSpPr>
      </xdr:nvSpPr>
      <xdr:spPr bwMode="auto">
        <a:xfrm>
          <a:off x="51899820" y="674370"/>
          <a:ext cx="6859319" cy="370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276225</xdr:rowOff>
    </xdr:from>
    <xdr:ext cx="6802169" cy="364944"/>
    <xdr:sp macro="" textlink="">
      <xdr:nvSpPr>
        <xdr:cNvPr id="131" name="checksum">
          <a:extLst>
            <a:ext uri="{FF2B5EF4-FFF2-40B4-BE49-F238E27FC236}">
              <a16:creationId xmlns:a16="http://schemas.microsoft.com/office/drawing/2014/main" xmlns="" id="{00000000-0008-0000-0E00-000083000000}"/>
            </a:ext>
          </a:extLst>
        </xdr:cNvPr>
        <xdr:cNvSpPr txBox="1">
          <a:spLocks noChangeArrowheads="1"/>
        </xdr:cNvSpPr>
      </xdr:nvSpPr>
      <xdr:spPr bwMode="auto">
        <a:xfrm>
          <a:off x="51899820" y="680085"/>
          <a:ext cx="6802169" cy="3649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</xdr:rowOff>
    </xdr:from>
    <xdr:ext cx="7819984" cy="549729"/>
    <xdr:sp macro="" textlink="">
      <xdr:nvSpPr>
        <xdr:cNvPr id="132" name="checksum">
          <a:extLst>
            <a:ext uri="{FF2B5EF4-FFF2-40B4-BE49-F238E27FC236}">
              <a16:creationId xmlns:a16="http://schemas.microsoft.com/office/drawing/2014/main" xmlns="" id="{00000000-0008-0000-0E00-000084000000}"/>
            </a:ext>
          </a:extLst>
        </xdr:cNvPr>
        <xdr:cNvSpPr txBox="1">
          <a:spLocks noChangeArrowheads="1"/>
        </xdr:cNvSpPr>
      </xdr:nvSpPr>
      <xdr:spPr bwMode="auto">
        <a:xfrm>
          <a:off x="51899820" y="447675"/>
          <a:ext cx="7819984" cy="5497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40268" cy="370659"/>
    <xdr:sp macro="" textlink="">
      <xdr:nvSpPr>
        <xdr:cNvPr id="133" name="checksum">
          <a:extLst>
            <a:ext uri="{FF2B5EF4-FFF2-40B4-BE49-F238E27FC236}">
              <a16:creationId xmlns:a16="http://schemas.microsoft.com/office/drawing/2014/main" xmlns="" id="{00000000-0008-0000-0E00-000085000000}"/>
            </a:ext>
          </a:extLst>
        </xdr:cNvPr>
        <xdr:cNvSpPr txBox="1">
          <a:spLocks noChangeArrowheads="1"/>
        </xdr:cNvSpPr>
      </xdr:nvSpPr>
      <xdr:spPr bwMode="auto">
        <a:xfrm>
          <a:off x="51899820" y="674370"/>
          <a:ext cx="6840268" cy="370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59318" cy="370659"/>
    <xdr:sp macro="" textlink="">
      <xdr:nvSpPr>
        <xdr:cNvPr id="134" name="checksum">
          <a:extLst>
            <a:ext uri="{FF2B5EF4-FFF2-40B4-BE49-F238E27FC236}">
              <a16:creationId xmlns:a16="http://schemas.microsoft.com/office/drawing/2014/main" xmlns="" id="{00000000-0008-0000-0E00-000086000000}"/>
            </a:ext>
          </a:extLst>
        </xdr:cNvPr>
        <xdr:cNvSpPr txBox="1">
          <a:spLocks noChangeArrowheads="1"/>
        </xdr:cNvSpPr>
      </xdr:nvSpPr>
      <xdr:spPr bwMode="auto">
        <a:xfrm>
          <a:off x="51899820" y="674370"/>
          <a:ext cx="6859318" cy="370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276225</xdr:rowOff>
    </xdr:from>
    <xdr:ext cx="6802168" cy="364944"/>
    <xdr:sp macro="" textlink="">
      <xdr:nvSpPr>
        <xdr:cNvPr id="135" name="checksum">
          <a:extLst>
            <a:ext uri="{FF2B5EF4-FFF2-40B4-BE49-F238E27FC236}">
              <a16:creationId xmlns:a16="http://schemas.microsoft.com/office/drawing/2014/main" xmlns="" id="{00000000-0008-0000-0E00-000087000000}"/>
            </a:ext>
          </a:extLst>
        </xdr:cNvPr>
        <xdr:cNvSpPr txBox="1">
          <a:spLocks noChangeArrowheads="1"/>
        </xdr:cNvSpPr>
      </xdr:nvSpPr>
      <xdr:spPr bwMode="auto">
        <a:xfrm>
          <a:off x="51899820" y="680085"/>
          <a:ext cx="6802168" cy="3649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</xdr:rowOff>
    </xdr:from>
    <xdr:ext cx="7819984" cy="549729"/>
    <xdr:sp macro="" textlink="">
      <xdr:nvSpPr>
        <xdr:cNvPr id="136" name="checksum">
          <a:extLst>
            <a:ext uri="{FF2B5EF4-FFF2-40B4-BE49-F238E27FC236}">
              <a16:creationId xmlns:a16="http://schemas.microsoft.com/office/drawing/2014/main" xmlns="" id="{00000000-0008-0000-0E00-000088000000}"/>
            </a:ext>
          </a:extLst>
        </xdr:cNvPr>
        <xdr:cNvSpPr txBox="1">
          <a:spLocks noChangeArrowheads="1"/>
        </xdr:cNvSpPr>
      </xdr:nvSpPr>
      <xdr:spPr bwMode="auto">
        <a:xfrm>
          <a:off x="51899820" y="447675"/>
          <a:ext cx="7819984" cy="5497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40268" cy="370659"/>
    <xdr:sp macro="" textlink="">
      <xdr:nvSpPr>
        <xdr:cNvPr id="137" name="checksum">
          <a:extLst>
            <a:ext uri="{FF2B5EF4-FFF2-40B4-BE49-F238E27FC236}">
              <a16:creationId xmlns:a16="http://schemas.microsoft.com/office/drawing/2014/main" xmlns="" id="{00000000-0008-0000-0E00-000089000000}"/>
            </a:ext>
          </a:extLst>
        </xdr:cNvPr>
        <xdr:cNvSpPr txBox="1">
          <a:spLocks noChangeArrowheads="1"/>
        </xdr:cNvSpPr>
      </xdr:nvSpPr>
      <xdr:spPr bwMode="auto">
        <a:xfrm>
          <a:off x="51899820" y="674370"/>
          <a:ext cx="6840268" cy="370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59318" cy="370659"/>
    <xdr:sp macro="" textlink="">
      <xdr:nvSpPr>
        <xdr:cNvPr id="138" name="checksum">
          <a:extLst>
            <a:ext uri="{FF2B5EF4-FFF2-40B4-BE49-F238E27FC236}">
              <a16:creationId xmlns:a16="http://schemas.microsoft.com/office/drawing/2014/main" xmlns="" id="{00000000-0008-0000-0E00-00008A000000}"/>
            </a:ext>
          </a:extLst>
        </xdr:cNvPr>
        <xdr:cNvSpPr txBox="1">
          <a:spLocks noChangeArrowheads="1"/>
        </xdr:cNvSpPr>
      </xdr:nvSpPr>
      <xdr:spPr bwMode="auto">
        <a:xfrm>
          <a:off x="51899820" y="674370"/>
          <a:ext cx="6859318" cy="370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276225</xdr:rowOff>
    </xdr:from>
    <xdr:ext cx="6802168" cy="364944"/>
    <xdr:sp macro="" textlink="">
      <xdr:nvSpPr>
        <xdr:cNvPr id="139" name="checksum">
          <a:extLst>
            <a:ext uri="{FF2B5EF4-FFF2-40B4-BE49-F238E27FC236}">
              <a16:creationId xmlns:a16="http://schemas.microsoft.com/office/drawing/2014/main" xmlns="" id="{00000000-0008-0000-0E00-00008B000000}"/>
            </a:ext>
          </a:extLst>
        </xdr:cNvPr>
        <xdr:cNvSpPr txBox="1">
          <a:spLocks noChangeArrowheads="1"/>
        </xdr:cNvSpPr>
      </xdr:nvSpPr>
      <xdr:spPr bwMode="auto">
        <a:xfrm>
          <a:off x="51899820" y="680085"/>
          <a:ext cx="6802168" cy="3649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</xdr:rowOff>
    </xdr:from>
    <xdr:ext cx="7819983" cy="549729"/>
    <xdr:sp macro="" textlink="">
      <xdr:nvSpPr>
        <xdr:cNvPr id="140" name="checksum">
          <a:extLst>
            <a:ext uri="{FF2B5EF4-FFF2-40B4-BE49-F238E27FC236}">
              <a16:creationId xmlns:a16="http://schemas.microsoft.com/office/drawing/2014/main" xmlns="" id="{00000000-0008-0000-0E00-00008C000000}"/>
            </a:ext>
          </a:extLst>
        </xdr:cNvPr>
        <xdr:cNvSpPr txBox="1">
          <a:spLocks noChangeArrowheads="1"/>
        </xdr:cNvSpPr>
      </xdr:nvSpPr>
      <xdr:spPr bwMode="auto">
        <a:xfrm>
          <a:off x="51899820" y="447675"/>
          <a:ext cx="7819983" cy="5497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40268" cy="370659"/>
    <xdr:sp macro="" textlink="">
      <xdr:nvSpPr>
        <xdr:cNvPr id="141" name="checksum">
          <a:extLst>
            <a:ext uri="{FF2B5EF4-FFF2-40B4-BE49-F238E27FC236}">
              <a16:creationId xmlns:a16="http://schemas.microsoft.com/office/drawing/2014/main" xmlns="" id="{00000000-0008-0000-0E00-00008D000000}"/>
            </a:ext>
          </a:extLst>
        </xdr:cNvPr>
        <xdr:cNvSpPr txBox="1">
          <a:spLocks noChangeArrowheads="1"/>
        </xdr:cNvSpPr>
      </xdr:nvSpPr>
      <xdr:spPr bwMode="auto">
        <a:xfrm>
          <a:off x="51899820" y="674370"/>
          <a:ext cx="6840268" cy="370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59318" cy="370659"/>
    <xdr:sp macro="" textlink="">
      <xdr:nvSpPr>
        <xdr:cNvPr id="142" name="checksum">
          <a:extLst>
            <a:ext uri="{FF2B5EF4-FFF2-40B4-BE49-F238E27FC236}">
              <a16:creationId xmlns:a16="http://schemas.microsoft.com/office/drawing/2014/main" xmlns="" id="{00000000-0008-0000-0E00-00008E000000}"/>
            </a:ext>
          </a:extLst>
        </xdr:cNvPr>
        <xdr:cNvSpPr txBox="1">
          <a:spLocks noChangeArrowheads="1"/>
        </xdr:cNvSpPr>
      </xdr:nvSpPr>
      <xdr:spPr bwMode="auto">
        <a:xfrm>
          <a:off x="51899820" y="674370"/>
          <a:ext cx="6859318" cy="370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276225</xdr:rowOff>
    </xdr:from>
    <xdr:ext cx="6802168" cy="364944"/>
    <xdr:sp macro="" textlink="">
      <xdr:nvSpPr>
        <xdr:cNvPr id="143" name="checksum">
          <a:extLst>
            <a:ext uri="{FF2B5EF4-FFF2-40B4-BE49-F238E27FC236}">
              <a16:creationId xmlns:a16="http://schemas.microsoft.com/office/drawing/2014/main" xmlns="" id="{00000000-0008-0000-0E00-00008F000000}"/>
            </a:ext>
          </a:extLst>
        </xdr:cNvPr>
        <xdr:cNvSpPr txBox="1">
          <a:spLocks noChangeArrowheads="1"/>
        </xdr:cNvSpPr>
      </xdr:nvSpPr>
      <xdr:spPr bwMode="auto">
        <a:xfrm>
          <a:off x="51899820" y="680085"/>
          <a:ext cx="6802168" cy="3649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</xdr:rowOff>
    </xdr:from>
    <xdr:ext cx="7819983" cy="549729"/>
    <xdr:sp macro="" textlink="">
      <xdr:nvSpPr>
        <xdr:cNvPr id="144" name="checksum">
          <a:extLst>
            <a:ext uri="{FF2B5EF4-FFF2-40B4-BE49-F238E27FC236}">
              <a16:creationId xmlns:a16="http://schemas.microsoft.com/office/drawing/2014/main" xmlns="" id="{00000000-0008-0000-0E00-000090000000}"/>
            </a:ext>
          </a:extLst>
        </xdr:cNvPr>
        <xdr:cNvSpPr txBox="1">
          <a:spLocks noChangeArrowheads="1"/>
        </xdr:cNvSpPr>
      </xdr:nvSpPr>
      <xdr:spPr bwMode="auto">
        <a:xfrm>
          <a:off x="51899820" y="447675"/>
          <a:ext cx="7819983" cy="5497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40268" cy="370659"/>
    <xdr:sp macro="" textlink="">
      <xdr:nvSpPr>
        <xdr:cNvPr id="145" name="checksum">
          <a:extLst>
            <a:ext uri="{FF2B5EF4-FFF2-40B4-BE49-F238E27FC236}">
              <a16:creationId xmlns:a16="http://schemas.microsoft.com/office/drawing/2014/main" xmlns="" id="{00000000-0008-0000-0E00-000091000000}"/>
            </a:ext>
          </a:extLst>
        </xdr:cNvPr>
        <xdr:cNvSpPr txBox="1">
          <a:spLocks noChangeArrowheads="1"/>
        </xdr:cNvSpPr>
      </xdr:nvSpPr>
      <xdr:spPr bwMode="auto">
        <a:xfrm>
          <a:off x="51899820" y="674370"/>
          <a:ext cx="6840268" cy="370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59318" cy="370659"/>
    <xdr:sp macro="" textlink="">
      <xdr:nvSpPr>
        <xdr:cNvPr id="146" name="checksum">
          <a:extLst>
            <a:ext uri="{FF2B5EF4-FFF2-40B4-BE49-F238E27FC236}">
              <a16:creationId xmlns:a16="http://schemas.microsoft.com/office/drawing/2014/main" xmlns="" id="{00000000-0008-0000-0E00-000092000000}"/>
            </a:ext>
          </a:extLst>
        </xdr:cNvPr>
        <xdr:cNvSpPr txBox="1">
          <a:spLocks noChangeArrowheads="1"/>
        </xdr:cNvSpPr>
      </xdr:nvSpPr>
      <xdr:spPr bwMode="auto">
        <a:xfrm>
          <a:off x="51899820" y="674370"/>
          <a:ext cx="6859318" cy="370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276225</xdr:rowOff>
    </xdr:from>
    <xdr:ext cx="6802168" cy="364944"/>
    <xdr:sp macro="" textlink="">
      <xdr:nvSpPr>
        <xdr:cNvPr id="147" name="checksum">
          <a:extLst>
            <a:ext uri="{FF2B5EF4-FFF2-40B4-BE49-F238E27FC236}">
              <a16:creationId xmlns:a16="http://schemas.microsoft.com/office/drawing/2014/main" xmlns="" id="{00000000-0008-0000-0E00-000093000000}"/>
            </a:ext>
          </a:extLst>
        </xdr:cNvPr>
        <xdr:cNvSpPr txBox="1">
          <a:spLocks noChangeArrowheads="1"/>
        </xdr:cNvSpPr>
      </xdr:nvSpPr>
      <xdr:spPr bwMode="auto">
        <a:xfrm>
          <a:off x="51899820" y="680085"/>
          <a:ext cx="6802168" cy="3649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</xdr:rowOff>
    </xdr:from>
    <xdr:ext cx="7815037" cy="549729"/>
    <xdr:sp macro="" textlink="">
      <xdr:nvSpPr>
        <xdr:cNvPr id="148" name="checksum">
          <a:extLst>
            <a:ext uri="{FF2B5EF4-FFF2-40B4-BE49-F238E27FC236}">
              <a16:creationId xmlns:a16="http://schemas.microsoft.com/office/drawing/2014/main" xmlns="" id="{00000000-0008-0000-0E00-000094000000}"/>
            </a:ext>
          </a:extLst>
        </xdr:cNvPr>
        <xdr:cNvSpPr txBox="1">
          <a:spLocks noChangeArrowheads="1"/>
        </xdr:cNvSpPr>
      </xdr:nvSpPr>
      <xdr:spPr bwMode="auto">
        <a:xfrm>
          <a:off x="62445900" y="447675"/>
          <a:ext cx="7815037" cy="5497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835322" cy="370659"/>
    <xdr:sp macro="" textlink="">
      <xdr:nvSpPr>
        <xdr:cNvPr id="149" name="checksum">
          <a:extLst>
            <a:ext uri="{FF2B5EF4-FFF2-40B4-BE49-F238E27FC236}">
              <a16:creationId xmlns:a16="http://schemas.microsoft.com/office/drawing/2014/main" xmlns="" id="{00000000-0008-0000-0E00-000095000000}"/>
            </a:ext>
          </a:extLst>
        </xdr:cNvPr>
        <xdr:cNvSpPr txBox="1">
          <a:spLocks noChangeArrowheads="1"/>
        </xdr:cNvSpPr>
      </xdr:nvSpPr>
      <xdr:spPr bwMode="auto">
        <a:xfrm>
          <a:off x="62141100" y="674370"/>
          <a:ext cx="6835322" cy="370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854372" cy="370659"/>
    <xdr:sp macro="" textlink="">
      <xdr:nvSpPr>
        <xdr:cNvPr id="150" name="checksum">
          <a:extLst>
            <a:ext uri="{FF2B5EF4-FFF2-40B4-BE49-F238E27FC236}">
              <a16:creationId xmlns:a16="http://schemas.microsoft.com/office/drawing/2014/main" xmlns="" id="{00000000-0008-0000-0E00-000096000000}"/>
            </a:ext>
          </a:extLst>
        </xdr:cNvPr>
        <xdr:cNvSpPr txBox="1">
          <a:spLocks noChangeArrowheads="1"/>
        </xdr:cNvSpPr>
      </xdr:nvSpPr>
      <xdr:spPr bwMode="auto">
        <a:xfrm>
          <a:off x="62141100" y="674370"/>
          <a:ext cx="6854372" cy="370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276225</xdr:rowOff>
    </xdr:from>
    <xdr:ext cx="6797222" cy="364944"/>
    <xdr:sp macro="" textlink="">
      <xdr:nvSpPr>
        <xdr:cNvPr id="151" name="checksum">
          <a:extLst>
            <a:ext uri="{FF2B5EF4-FFF2-40B4-BE49-F238E27FC236}">
              <a16:creationId xmlns:a16="http://schemas.microsoft.com/office/drawing/2014/main" xmlns="" id="{00000000-0008-0000-0E00-000097000000}"/>
            </a:ext>
          </a:extLst>
        </xdr:cNvPr>
        <xdr:cNvSpPr txBox="1">
          <a:spLocks noChangeArrowheads="1"/>
        </xdr:cNvSpPr>
      </xdr:nvSpPr>
      <xdr:spPr bwMode="auto">
        <a:xfrm>
          <a:off x="62141100" y="680085"/>
          <a:ext cx="6797222" cy="3649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35</xdr:col>
      <xdr:colOff>0</xdr:colOff>
      <xdr:row>2</xdr:row>
      <xdr:rowOff>0</xdr:rowOff>
    </xdr:from>
    <xdr:to>
      <xdr:col>35</xdr:col>
      <xdr:colOff>0</xdr:colOff>
      <xdr:row>4</xdr:row>
      <xdr:rowOff>363906</xdr:rowOff>
    </xdr:to>
    <xdr:sp macro="" textlink="">
      <xdr:nvSpPr>
        <xdr:cNvPr id="152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E00-000098000000}"/>
            </a:ext>
          </a:extLst>
        </xdr:cNvPr>
        <xdr:cNvSpPr txBox="1">
          <a:spLocks noChangeArrowheads="1"/>
        </xdr:cNvSpPr>
      </xdr:nvSpPr>
      <xdr:spPr bwMode="auto">
        <a:xfrm>
          <a:off x="54460140" y="419100"/>
          <a:ext cx="0" cy="76776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41</xdr:col>
      <xdr:colOff>0</xdr:colOff>
      <xdr:row>2</xdr:row>
      <xdr:rowOff>28575</xdr:rowOff>
    </xdr:from>
    <xdr:ext cx="7815037" cy="549729"/>
    <xdr:sp macro="" textlink="">
      <xdr:nvSpPr>
        <xdr:cNvPr id="153" name="checksum">
          <a:extLst>
            <a:ext uri="{FF2B5EF4-FFF2-40B4-BE49-F238E27FC236}">
              <a16:creationId xmlns:a16="http://schemas.microsoft.com/office/drawing/2014/main" xmlns="" id="{00000000-0008-0000-0E00-000099000000}"/>
            </a:ext>
          </a:extLst>
        </xdr:cNvPr>
        <xdr:cNvSpPr txBox="1">
          <a:spLocks noChangeArrowheads="1"/>
        </xdr:cNvSpPr>
      </xdr:nvSpPr>
      <xdr:spPr bwMode="auto">
        <a:xfrm>
          <a:off x="62445900" y="447675"/>
          <a:ext cx="7815037" cy="5497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835322" cy="370659"/>
    <xdr:sp macro="" textlink="">
      <xdr:nvSpPr>
        <xdr:cNvPr id="154" name="checksum">
          <a:extLst>
            <a:ext uri="{FF2B5EF4-FFF2-40B4-BE49-F238E27FC236}">
              <a16:creationId xmlns:a16="http://schemas.microsoft.com/office/drawing/2014/main" xmlns="" id="{00000000-0008-0000-0E00-00009A000000}"/>
            </a:ext>
          </a:extLst>
        </xdr:cNvPr>
        <xdr:cNvSpPr txBox="1">
          <a:spLocks noChangeArrowheads="1"/>
        </xdr:cNvSpPr>
      </xdr:nvSpPr>
      <xdr:spPr bwMode="auto">
        <a:xfrm>
          <a:off x="62141100" y="674370"/>
          <a:ext cx="6835322" cy="370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854372" cy="370659"/>
    <xdr:sp macro="" textlink="">
      <xdr:nvSpPr>
        <xdr:cNvPr id="155" name="checksum">
          <a:extLst>
            <a:ext uri="{FF2B5EF4-FFF2-40B4-BE49-F238E27FC236}">
              <a16:creationId xmlns:a16="http://schemas.microsoft.com/office/drawing/2014/main" xmlns="" id="{00000000-0008-0000-0E00-00009B000000}"/>
            </a:ext>
          </a:extLst>
        </xdr:cNvPr>
        <xdr:cNvSpPr txBox="1">
          <a:spLocks noChangeArrowheads="1"/>
        </xdr:cNvSpPr>
      </xdr:nvSpPr>
      <xdr:spPr bwMode="auto">
        <a:xfrm>
          <a:off x="62141100" y="674370"/>
          <a:ext cx="6854372" cy="370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276225</xdr:rowOff>
    </xdr:from>
    <xdr:ext cx="6797222" cy="364944"/>
    <xdr:sp macro="" textlink="">
      <xdr:nvSpPr>
        <xdr:cNvPr id="156" name="checksum">
          <a:extLst>
            <a:ext uri="{FF2B5EF4-FFF2-40B4-BE49-F238E27FC236}">
              <a16:creationId xmlns:a16="http://schemas.microsoft.com/office/drawing/2014/main" xmlns="" id="{00000000-0008-0000-0E00-00009C000000}"/>
            </a:ext>
          </a:extLst>
        </xdr:cNvPr>
        <xdr:cNvSpPr txBox="1">
          <a:spLocks noChangeArrowheads="1"/>
        </xdr:cNvSpPr>
      </xdr:nvSpPr>
      <xdr:spPr bwMode="auto">
        <a:xfrm>
          <a:off x="62141100" y="680085"/>
          <a:ext cx="6797222" cy="3649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35</xdr:col>
      <xdr:colOff>0</xdr:colOff>
      <xdr:row>2</xdr:row>
      <xdr:rowOff>0</xdr:rowOff>
    </xdr:from>
    <xdr:to>
      <xdr:col>35</xdr:col>
      <xdr:colOff>0</xdr:colOff>
      <xdr:row>5</xdr:row>
      <xdr:rowOff>361950</xdr:rowOff>
    </xdr:to>
    <xdr:sp macro="" textlink="">
      <xdr:nvSpPr>
        <xdr:cNvPr id="157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E00-00009D000000}"/>
            </a:ext>
          </a:extLst>
        </xdr:cNvPr>
        <xdr:cNvSpPr txBox="1">
          <a:spLocks noChangeArrowheads="1"/>
        </xdr:cNvSpPr>
      </xdr:nvSpPr>
      <xdr:spPr bwMode="auto">
        <a:xfrm>
          <a:off x="54460140" y="419100"/>
          <a:ext cx="0" cy="98679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37</xdr:col>
      <xdr:colOff>337457</xdr:colOff>
      <xdr:row>2</xdr:row>
      <xdr:rowOff>260985</xdr:rowOff>
    </xdr:from>
    <xdr:ext cx="261258" cy="98244"/>
    <xdr:sp macro="" textlink="">
      <xdr:nvSpPr>
        <xdr:cNvPr id="158" name="checksum">
          <a:extLst>
            <a:ext uri="{FF2B5EF4-FFF2-40B4-BE49-F238E27FC236}">
              <a16:creationId xmlns:a16="http://schemas.microsoft.com/office/drawing/2014/main" xmlns="" id="{00000000-0008-0000-0E00-00009E000000}"/>
            </a:ext>
          </a:extLst>
        </xdr:cNvPr>
        <xdr:cNvSpPr txBox="1">
          <a:spLocks noChangeArrowheads="1"/>
        </xdr:cNvSpPr>
      </xdr:nvSpPr>
      <xdr:spPr bwMode="auto">
        <a:xfrm>
          <a:off x="57357917" y="680085"/>
          <a:ext cx="261258" cy="98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F00-000006000000}"/>
            </a:ext>
          </a:extLst>
        </xdr:cNvPr>
        <xdr:cNvSpPr txBox="1">
          <a:spLocks noChangeArrowheads="1"/>
        </xdr:cNvSpPr>
      </xdr:nvSpPr>
      <xdr:spPr bwMode="auto">
        <a:xfrm>
          <a:off x="89154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F00-00000B000000}"/>
            </a:ext>
          </a:extLst>
        </xdr:cNvPr>
        <xdr:cNvSpPr txBox="1">
          <a:spLocks noChangeArrowheads="1"/>
        </xdr:cNvSpPr>
      </xdr:nvSpPr>
      <xdr:spPr bwMode="auto">
        <a:xfrm>
          <a:off x="89154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19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06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0B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51</xdr:col>
      <xdr:colOff>0</xdr:colOff>
      <xdr:row>2</xdr:row>
      <xdr:rowOff>0</xdr:rowOff>
    </xdr:from>
    <xdr:to>
      <xdr:col>51</xdr:col>
      <xdr:colOff>0</xdr:colOff>
      <xdr:row>4</xdr:row>
      <xdr:rowOff>363906</xdr:rowOff>
    </xdr:to>
    <xdr:sp macro="" textlink="">
      <xdr:nvSpPr>
        <xdr:cNvPr id="1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10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51</xdr:col>
      <xdr:colOff>0</xdr:colOff>
      <xdr:row>2</xdr:row>
      <xdr:rowOff>0</xdr:rowOff>
    </xdr:from>
    <xdr:to>
      <xdr:col>51</xdr:col>
      <xdr:colOff>0</xdr:colOff>
      <xdr:row>5</xdr:row>
      <xdr:rowOff>361950</xdr:rowOff>
    </xdr:to>
    <xdr:sp macro="" textlink="">
      <xdr:nvSpPr>
        <xdr:cNvPr id="2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15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179</xdr:col>
      <xdr:colOff>0</xdr:colOff>
      <xdr:row>2</xdr:row>
      <xdr:rowOff>0</xdr:rowOff>
    </xdr:from>
    <xdr:to>
      <xdr:col>179</xdr:col>
      <xdr:colOff>0</xdr:colOff>
      <xdr:row>4</xdr:row>
      <xdr:rowOff>363906</xdr:rowOff>
    </xdr:to>
    <xdr:sp macro="" textlink="">
      <xdr:nvSpPr>
        <xdr:cNvPr id="2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1A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179</xdr:col>
      <xdr:colOff>0</xdr:colOff>
      <xdr:row>2</xdr:row>
      <xdr:rowOff>0</xdr:rowOff>
    </xdr:from>
    <xdr:to>
      <xdr:col>179</xdr:col>
      <xdr:colOff>0</xdr:colOff>
      <xdr:row>5</xdr:row>
      <xdr:rowOff>361950</xdr:rowOff>
    </xdr:to>
    <xdr:sp macro="" textlink="">
      <xdr:nvSpPr>
        <xdr:cNvPr id="3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1F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211</xdr:col>
      <xdr:colOff>0</xdr:colOff>
      <xdr:row>2</xdr:row>
      <xdr:rowOff>0</xdr:rowOff>
    </xdr:from>
    <xdr:to>
      <xdr:col>211</xdr:col>
      <xdr:colOff>0</xdr:colOff>
      <xdr:row>4</xdr:row>
      <xdr:rowOff>363906</xdr:rowOff>
    </xdr:to>
    <xdr:sp macro="" textlink="">
      <xdr:nvSpPr>
        <xdr:cNvPr id="3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24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211</xdr:col>
      <xdr:colOff>467590</xdr:colOff>
      <xdr:row>7</xdr:row>
      <xdr:rowOff>32039</xdr:rowOff>
    </xdr:from>
    <xdr:to>
      <xdr:col>216</xdr:col>
      <xdr:colOff>899390</xdr:colOff>
      <xdr:row>9</xdr:row>
      <xdr:rowOff>10391</xdr:rowOff>
    </xdr:to>
    <xdr:sp macro="" textlink="">
      <xdr:nvSpPr>
        <xdr:cNvPr id="39" name="checksum">
          <a:extLst>
            <a:ext uri="{FF2B5EF4-FFF2-40B4-BE49-F238E27FC236}">
              <a16:creationId xmlns:a16="http://schemas.microsoft.com/office/drawing/2014/main" xmlns="" id="{00000000-0008-0000-1000-000027000000}"/>
            </a:ext>
          </a:extLst>
        </xdr:cNvPr>
        <xdr:cNvSpPr txBox="1">
          <a:spLocks noChangeArrowheads="1"/>
        </xdr:cNvSpPr>
      </xdr:nvSpPr>
      <xdr:spPr bwMode="auto">
        <a:xfrm>
          <a:off x="103216363" y="1677266"/>
          <a:ext cx="6666346" cy="376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211</xdr:col>
      <xdr:colOff>0</xdr:colOff>
      <xdr:row>2</xdr:row>
      <xdr:rowOff>0</xdr:rowOff>
    </xdr:from>
    <xdr:to>
      <xdr:col>211</xdr:col>
      <xdr:colOff>0</xdr:colOff>
      <xdr:row>5</xdr:row>
      <xdr:rowOff>361950</xdr:rowOff>
    </xdr:to>
    <xdr:sp macro="" textlink="">
      <xdr:nvSpPr>
        <xdr:cNvPr id="4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29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15</xdr:col>
      <xdr:colOff>107950</xdr:colOff>
      <xdr:row>10</xdr:row>
      <xdr:rowOff>1051378</xdr:rowOff>
    </xdr:to>
    <xdr:sp macro="" textlink="">
      <xdr:nvSpPr>
        <xdr:cNvPr id="42" name="checksum">
          <a:extLst>
            <a:ext uri="{FF2B5EF4-FFF2-40B4-BE49-F238E27FC236}">
              <a16:creationId xmlns:a16="http://schemas.microsoft.com/office/drawing/2014/main" xmlns="" id="{00000000-0008-0000-1000-00002A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2533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412751</xdr:colOff>
      <xdr:row>10</xdr:row>
      <xdr:rowOff>3628</xdr:rowOff>
    </xdr:to>
    <xdr:sp macro="" textlink="">
      <xdr:nvSpPr>
        <xdr:cNvPr id="43" name="checksum">
          <a:extLst>
            <a:ext uri="{FF2B5EF4-FFF2-40B4-BE49-F238E27FC236}">
              <a16:creationId xmlns:a16="http://schemas.microsoft.com/office/drawing/2014/main" xmlns="" id="{00000000-0008-0000-1000-00002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431801</xdr:colOff>
      <xdr:row>10</xdr:row>
      <xdr:rowOff>3628</xdr:rowOff>
    </xdr:to>
    <xdr:sp macro="" textlink="">
      <xdr:nvSpPr>
        <xdr:cNvPr id="44" name="checksum">
          <a:extLst>
            <a:ext uri="{FF2B5EF4-FFF2-40B4-BE49-F238E27FC236}">
              <a16:creationId xmlns:a16="http://schemas.microsoft.com/office/drawing/2014/main" xmlns="" id="{00000000-0008-0000-1000-00002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374651</xdr:colOff>
      <xdr:row>10</xdr:row>
      <xdr:rowOff>3628</xdr:rowOff>
    </xdr:to>
    <xdr:sp macro="" textlink="">
      <xdr:nvSpPr>
        <xdr:cNvPr id="45" name="checksum">
          <a:extLst>
            <a:ext uri="{FF2B5EF4-FFF2-40B4-BE49-F238E27FC236}">
              <a16:creationId xmlns:a16="http://schemas.microsoft.com/office/drawing/2014/main" xmlns="" id="{00000000-0008-0000-1000-00002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2E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412751</xdr:colOff>
      <xdr:row>10</xdr:row>
      <xdr:rowOff>3628</xdr:rowOff>
    </xdr:to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1000-00003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1229591</xdr:colOff>
      <xdr:row>1</xdr:row>
      <xdr:rowOff>170585</xdr:rowOff>
    </xdr:from>
    <xdr:to>
      <xdr:col>14</xdr:col>
      <xdr:colOff>414483</xdr:colOff>
      <xdr:row>9</xdr:row>
      <xdr:rowOff>22555</xdr:rowOff>
    </xdr:to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1000-000031000000}"/>
            </a:ext>
          </a:extLst>
        </xdr:cNvPr>
        <xdr:cNvSpPr txBox="1">
          <a:spLocks noChangeArrowheads="1"/>
        </xdr:cNvSpPr>
      </xdr:nvSpPr>
      <xdr:spPr bwMode="auto">
        <a:xfrm>
          <a:off x="11914909" y="378403"/>
          <a:ext cx="6666346" cy="13551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5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33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35</xdr:col>
      <xdr:colOff>0</xdr:colOff>
      <xdr:row>2</xdr:row>
      <xdr:rowOff>0</xdr:rowOff>
    </xdr:from>
    <xdr:to>
      <xdr:col>35</xdr:col>
      <xdr:colOff>0</xdr:colOff>
      <xdr:row>4</xdr:row>
      <xdr:rowOff>363906</xdr:rowOff>
    </xdr:to>
    <xdr:sp macro="" textlink="">
      <xdr:nvSpPr>
        <xdr:cNvPr id="19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13000000}"/>
            </a:ext>
          </a:extLst>
        </xdr:cNvPr>
        <xdr:cNvSpPr txBox="1">
          <a:spLocks noChangeArrowheads="1"/>
        </xdr:cNvSpPr>
      </xdr:nvSpPr>
      <xdr:spPr bwMode="auto">
        <a:xfrm>
          <a:off x="31345909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35</xdr:col>
      <xdr:colOff>0</xdr:colOff>
      <xdr:row>2</xdr:row>
      <xdr:rowOff>0</xdr:rowOff>
    </xdr:from>
    <xdr:to>
      <xdr:col>35</xdr:col>
      <xdr:colOff>0</xdr:colOff>
      <xdr:row>5</xdr:row>
      <xdr:rowOff>361950</xdr:rowOff>
    </xdr:to>
    <xdr:sp macro="" textlink="">
      <xdr:nvSpPr>
        <xdr:cNvPr id="2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14000000}"/>
            </a:ext>
          </a:extLst>
        </xdr:cNvPr>
        <xdr:cNvSpPr txBox="1">
          <a:spLocks noChangeArrowheads="1"/>
        </xdr:cNvSpPr>
      </xdr:nvSpPr>
      <xdr:spPr bwMode="auto">
        <a:xfrm>
          <a:off x="31345909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67</xdr:col>
      <xdr:colOff>0</xdr:colOff>
      <xdr:row>2</xdr:row>
      <xdr:rowOff>0</xdr:rowOff>
    </xdr:from>
    <xdr:to>
      <xdr:col>67</xdr:col>
      <xdr:colOff>0</xdr:colOff>
      <xdr:row>4</xdr:row>
      <xdr:rowOff>363906</xdr:rowOff>
    </xdr:to>
    <xdr:sp macro="" textlink="">
      <xdr:nvSpPr>
        <xdr:cNvPr id="22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16000000}"/>
            </a:ext>
          </a:extLst>
        </xdr:cNvPr>
        <xdr:cNvSpPr txBox="1">
          <a:spLocks noChangeArrowheads="1"/>
        </xdr:cNvSpPr>
      </xdr:nvSpPr>
      <xdr:spPr bwMode="auto">
        <a:xfrm>
          <a:off x="80477591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67</xdr:col>
      <xdr:colOff>0</xdr:colOff>
      <xdr:row>2</xdr:row>
      <xdr:rowOff>0</xdr:rowOff>
    </xdr:from>
    <xdr:to>
      <xdr:col>67</xdr:col>
      <xdr:colOff>0</xdr:colOff>
      <xdr:row>5</xdr:row>
      <xdr:rowOff>361950</xdr:rowOff>
    </xdr:to>
    <xdr:sp macro="" textlink="">
      <xdr:nvSpPr>
        <xdr:cNvPr id="23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17000000}"/>
            </a:ext>
          </a:extLst>
        </xdr:cNvPr>
        <xdr:cNvSpPr txBox="1">
          <a:spLocks noChangeArrowheads="1"/>
        </xdr:cNvSpPr>
      </xdr:nvSpPr>
      <xdr:spPr bwMode="auto">
        <a:xfrm>
          <a:off x="80477591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83</xdr:col>
      <xdr:colOff>0</xdr:colOff>
      <xdr:row>2</xdr:row>
      <xdr:rowOff>0</xdr:rowOff>
    </xdr:from>
    <xdr:to>
      <xdr:col>83</xdr:col>
      <xdr:colOff>0</xdr:colOff>
      <xdr:row>4</xdr:row>
      <xdr:rowOff>363906</xdr:rowOff>
    </xdr:to>
    <xdr:sp macro="" textlink="">
      <xdr:nvSpPr>
        <xdr:cNvPr id="24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18000000}"/>
            </a:ext>
          </a:extLst>
        </xdr:cNvPr>
        <xdr:cNvSpPr txBox="1">
          <a:spLocks noChangeArrowheads="1"/>
        </xdr:cNvSpPr>
      </xdr:nvSpPr>
      <xdr:spPr bwMode="auto">
        <a:xfrm>
          <a:off x="105346500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83</xdr:col>
      <xdr:colOff>0</xdr:colOff>
      <xdr:row>2</xdr:row>
      <xdr:rowOff>0</xdr:rowOff>
    </xdr:from>
    <xdr:to>
      <xdr:col>83</xdr:col>
      <xdr:colOff>0</xdr:colOff>
      <xdr:row>5</xdr:row>
      <xdr:rowOff>361950</xdr:rowOff>
    </xdr:to>
    <xdr:sp macro="" textlink="">
      <xdr:nvSpPr>
        <xdr:cNvPr id="25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19000000}"/>
            </a:ext>
          </a:extLst>
        </xdr:cNvPr>
        <xdr:cNvSpPr txBox="1">
          <a:spLocks noChangeArrowheads="1"/>
        </xdr:cNvSpPr>
      </xdr:nvSpPr>
      <xdr:spPr bwMode="auto">
        <a:xfrm>
          <a:off x="105346500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99</xdr:col>
      <xdr:colOff>0</xdr:colOff>
      <xdr:row>2</xdr:row>
      <xdr:rowOff>0</xdr:rowOff>
    </xdr:from>
    <xdr:to>
      <xdr:col>99</xdr:col>
      <xdr:colOff>0</xdr:colOff>
      <xdr:row>4</xdr:row>
      <xdr:rowOff>363906</xdr:rowOff>
    </xdr:to>
    <xdr:sp macro="" textlink="">
      <xdr:nvSpPr>
        <xdr:cNvPr id="27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1B000000}"/>
            </a:ext>
          </a:extLst>
        </xdr:cNvPr>
        <xdr:cNvSpPr txBox="1">
          <a:spLocks noChangeArrowheads="1"/>
        </xdr:cNvSpPr>
      </xdr:nvSpPr>
      <xdr:spPr bwMode="auto">
        <a:xfrm>
          <a:off x="130215409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99</xdr:col>
      <xdr:colOff>0</xdr:colOff>
      <xdr:row>2</xdr:row>
      <xdr:rowOff>0</xdr:rowOff>
    </xdr:from>
    <xdr:to>
      <xdr:col>99</xdr:col>
      <xdr:colOff>0</xdr:colOff>
      <xdr:row>5</xdr:row>
      <xdr:rowOff>361950</xdr:rowOff>
    </xdr:to>
    <xdr:sp macro="" textlink="">
      <xdr:nvSpPr>
        <xdr:cNvPr id="28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1C000000}"/>
            </a:ext>
          </a:extLst>
        </xdr:cNvPr>
        <xdr:cNvSpPr txBox="1">
          <a:spLocks noChangeArrowheads="1"/>
        </xdr:cNvSpPr>
      </xdr:nvSpPr>
      <xdr:spPr bwMode="auto">
        <a:xfrm>
          <a:off x="130215409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115</xdr:col>
      <xdr:colOff>0</xdr:colOff>
      <xdr:row>2</xdr:row>
      <xdr:rowOff>0</xdr:rowOff>
    </xdr:from>
    <xdr:to>
      <xdr:col>115</xdr:col>
      <xdr:colOff>0</xdr:colOff>
      <xdr:row>4</xdr:row>
      <xdr:rowOff>363906</xdr:rowOff>
    </xdr:to>
    <xdr:sp macro="" textlink="">
      <xdr:nvSpPr>
        <xdr:cNvPr id="29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1D000000}"/>
            </a:ext>
          </a:extLst>
        </xdr:cNvPr>
        <xdr:cNvSpPr txBox="1">
          <a:spLocks noChangeArrowheads="1"/>
        </xdr:cNvSpPr>
      </xdr:nvSpPr>
      <xdr:spPr bwMode="auto">
        <a:xfrm>
          <a:off x="155084318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115</xdr:col>
      <xdr:colOff>0</xdr:colOff>
      <xdr:row>2</xdr:row>
      <xdr:rowOff>0</xdr:rowOff>
    </xdr:from>
    <xdr:to>
      <xdr:col>115</xdr:col>
      <xdr:colOff>0</xdr:colOff>
      <xdr:row>5</xdr:row>
      <xdr:rowOff>361950</xdr:rowOff>
    </xdr:to>
    <xdr:sp macro="" textlink="">
      <xdr:nvSpPr>
        <xdr:cNvPr id="3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1E000000}"/>
            </a:ext>
          </a:extLst>
        </xdr:cNvPr>
        <xdr:cNvSpPr txBox="1">
          <a:spLocks noChangeArrowheads="1"/>
        </xdr:cNvSpPr>
      </xdr:nvSpPr>
      <xdr:spPr bwMode="auto">
        <a:xfrm>
          <a:off x="155084318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131</xdr:col>
      <xdr:colOff>0</xdr:colOff>
      <xdr:row>2</xdr:row>
      <xdr:rowOff>0</xdr:rowOff>
    </xdr:from>
    <xdr:to>
      <xdr:col>131</xdr:col>
      <xdr:colOff>0</xdr:colOff>
      <xdr:row>4</xdr:row>
      <xdr:rowOff>363906</xdr:rowOff>
    </xdr:to>
    <xdr:sp macro="" textlink="">
      <xdr:nvSpPr>
        <xdr:cNvPr id="32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20000000}"/>
            </a:ext>
          </a:extLst>
        </xdr:cNvPr>
        <xdr:cNvSpPr txBox="1">
          <a:spLocks noChangeArrowheads="1"/>
        </xdr:cNvSpPr>
      </xdr:nvSpPr>
      <xdr:spPr bwMode="auto">
        <a:xfrm>
          <a:off x="179953227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131</xdr:col>
      <xdr:colOff>0</xdr:colOff>
      <xdr:row>2</xdr:row>
      <xdr:rowOff>0</xdr:rowOff>
    </xdr:from>
    <xdr:to>
      <xdr:col>131</xdr:col>
      <xdr:colOff>0</xdr:colOff>
      <xdr:row>5</xdr:row>
      <xdr:rowOff>361950</xdr:rowOff>
    </xdr:to>
    <xdr:sp macro="" textlink="">
      <xdr:nvSpPr>
        <xdr:cNvPr id="33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21000000}"/>
            </a:ext>
          </a:extLst>
        </xdr:cNvPr>
        <xdr:cNvSpPr txBox="1">
          <a:spLocks noChangeArrowheads="1"/>
        </xdr:cNvSpPr>
      </xdr:nvSpPr>
      <xdr:spPr bwMode="auto">
        <a:xfrm>
          <a:off x="179953227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147</xdr:col>
      <xdr:colOff>0</xdr:colOff>
      <xdr:row>2</xdr:row>
      <xdr:rowOff>0</xdr:rowOff>
    </xdr:from>
    <xdr:to>
      <xdr:col>147</xdr:col>
      <xdr:colOff>0</xdr:colOff>
      <xdr:row>4</xdr:row>
      <xdr:rowOff>363906</xdr:rowOff>
    </xdr:to>
    <xdr:sp macro="" textlink="">
      <xdr:nvSpPr>
        <xdr:cNvPr id="34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22000000}"/>
            </a:ext>
          </a:extLst>
        </xdr:cNvPr>
        <xdr:cNvSpPr txBox="1">
          <a:spLocks noChangeArrowheads="1"/>
        </xdr:cNvSpPr>
      </xdr:nvSpPr>
      <xdr:spPr bwMode="auto">
        <a:xfrm>
          <a:off x="204822136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147</xdr:col>
      <xdr:colOff>0</xdr:colOff>
      <xdr:row>2</xdr:row>
      <xdr:rowOff>0</xdr:rowOff>
    </xdr:from>
    <xdr:to>
      <xdr:col>147</xdr:col>
      <xdr:colOff>0</xdr:colOff>
      <xdr:row>5</xdr:row>
      <xdr:rowOff>361950</xdr:rowOff>
    </xdr:to>
    <xdr:sp macro="" textlink="">
      <xdr:nvSpPr>
        <xdr:cNvPr id="35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23000000}"/>
            </a:ext>
          </a:extLst>
        </xdr:cNvPr>
        <xdr:cNvSpPr txBox="1">
          <a:spLocks noChangeArrowheads="1"/>
        </xdr:cNvSpPr>
      </xdr:nvSpPr>
      <xdr:spPr bwMode="auto">
        <a:xfrm>
          <a:off x="204822136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163</xdr:col>
      <xdr:colOff>0</xdr:colOff>
      <xdr:row>2</xdr:row>
      <xdr:rowOff>0</xdr:rowOff>
    </xdr:from>
    <xdr:to>
      <xdr:col>163</xdr:col>
      <xdr:colOff>0</xdr:colOff>
      <xdr:row>4</xdr:row>
      <xdr:rowOff>363906</xdr:rowOff>
    </xdr:to>
    <xdr:sp macro="" textlink="">
      <xdr:nvSpPr>
        <xdr:cNvPr id="37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25000000}"/>
            </a:ext>
          </a:extLst>
        </xdr:cNvPr>
        <xdr:cNvSpPr txBox="1">
          <a:spLocks noChangeArrowheads="1"/>
        </xdr:cNvSpPr>
      </xdr:nvSpPr>
      <xdr:spPr bwMode="auto">
        <a:xfrm>
          <a:off x="229691045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163</xdr:col>
      <xdr:colOff>0</xdr:colOff>
      <xdr:row>2</xdr:row>
      <xdr:rowOff>0</xdr:rowOff>
    </xdr:from>
    <xdr:to>
      <xdr:col>163</xdr:col>
      <xdr:colOff>0</xdr:colOff>
      <xdr:row>5</xdr:row>
      <xdr:rowOff>361950</xdr:rowOff>
    </xdr:to>
    <xdr:sp macro="" textlink="">
      <xdr:nvSpPr>
        <xdr:cNvPr id="38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26000000}"/>
            </a:ext>
          </a:extLst>
        </xdr:cNvPr>
        <xdr:cNvSpPr txBox="1">
          <a:spLocks noChangeArrowheads="1"/>
        </xdr:cNvSpPr>
      </xdr:nvSpPr>
      <xdr:spPr bwMode="auto">
        <a:xfrm>
          <a:off x="229691045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195</xdr:col>
      <xdr:colOff>0</xdr:colOff>
      <xdr:row>2</xdr:row>
      <xdr:rowOff>0</xdr:rowOff>
    </xdr:from>
    <xdr:to>
      <xdr:col>195</xdr:col>
      <xdr:colOff>0</xdr:colOff>
      <xdr:row>4</xdr:row>
      <xdr:rowOff>363906</xdr:rowOff>
    </xdr:to>
    <xdr:sp macro="" textlink="">
      <xdr:nvSpPr>
        <xdr:cNvPr id="4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28000000}"/>
            </a:ext>
          </a:extLst>
        </xdr:cNvPr>
        <xdr:cNvSpPr txBox="1">
          <a:spLocks noChangeArrowheads="1"/>
        </xdr:cNvSpPr>
      </xdr:nvSpPr>
      <xdr:spPr bwMode="auto">
        <a:xfrm>
          <a:off x="279428864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195</xdr:col>
      <xdr:colOff>0</xdr:colOff>
      <xdr:row>2</xdr:row>
      <xdr:rowOff>0</xdr:rowOff>
    </xdr:from>
    <xdr:to>
      <xdr:col>195</xdr:col>
      <xdr:colOff>0</xdr:colOff>
      <xdr:row>5</xdr:row>
      <xdr:rowOff>361950</xdr:rowOff>
    </xdr:to>
    <xdr:sp macro="" textlink="">
      <xdr:nvSpPr>
        <xdr:cNvPr id="47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2F000000}"/>
            </a:ext>
          </a:extLst>
        </xdr:cNvPr>
        <xdr:cNvSpPr txBox="1">
          <a:spLocks noChangeArrowheads="1"/>
        </xdr:cNvSpPr>
      </xdr:nvSpPr>
      <xdr:spPr bwMode="auto">
        <a:xfrm>
          <a:off x="279428864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227</xdr:col>
      <xdr:colOff>0</xdr:colOff>
      <xdr:row>2</xdr:row>
      <xdr:rowOff>0</xdr:rowOff>
    </xdr:from>
    <xdr:to>
      <xdr:col>227</xdr:col>
      <xdr:colOff>0</xdr:colOff>
      <xdr:row>4</xdr:row>
      <xdr:rowOff>363906</xdr:rowOff>
    </xdr:to>
    <xdr:sp macro="" textlink="">
      <xdr:nvSpPr>
        <xdr:cNvPr id="5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32000000}"/>
            </a:ext>
          </a:extLst>
        </xdr:cNvPr>
        <xdr:cNvSpPr txBox="1">
          <a:spLocks noChangeArrowheads="1"/>
        </xdr:cNvSpPr>
      </xdr:nvSpPr>
      <xdr:spPr bwMode="auto">
        <a:xfrm>
          <a:off x="329166682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227</xdr:col>
      <xdr:colOff>0</xdr:colOff>
      <xdr:row>2</xdr:row>
      <xdr:rowOff>0</xdr:rowOff>
    </xdr:from>
    <xdr:to>
      <xdr:col>227</xdr:col>
      <xdr:colOff>0</xdr:colOff>
      <xdr:row>5</xdr:row>
      <xdr:rowOff>361950</xdr:rowOff>
    </xdr:to>
    <xdr:sp macro="" textlink="">
      <xdr:nvSpPr>
        <xdr:cNvPr id="53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35000000}"/>
            </a:ext>
          </a:extLst>
        </xdr:cNvPr>
        <xdr:cNvSpPr txBox="1">
          <a:spLocks noChangeArrowheads="1"/>
        </xdr:cNvSpPr>
      </xdr:nvSpPr>
      <xdr:spPr bwMode="auto">
        <a:xfrm>
          <a:off x="329166682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28575</xdr:rowOff>
    </xdr:from>
    <xdr:to>
      <xdr:col>24</xdr:col>
      <xdr:colOff>322490</xdr:colOff>
      <xdr:row>4</xdr:row>
      <xdr:rowOff>66675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SpPr txBox="1">
          <a:spLocks noChangeArrowheads="1"/>
        </xdr:cNvSpPr>
      </xdr:nvSpPr>
      <xdr:spPr bwMode="auto">
        <a:xfrm>
          <a:off x="12249150" y="419100"/>
          <a:ext cx="15176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21</xdr:col>
      <xdr:colOff>0</xdr:colOff>
      <xdr:row>4</xdr:row>
      <xdr:rowOff>114300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30333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21</xdr:col>
      <xdr:colOff>19050</xdr:colOff>
      <xdr:row>4</xdr:row>
      <xdr:rowOff>114300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1100-000004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30524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20</xdr:col>
      <xdr:colOff>565150</xdr:colOff>
      <xdr:row>4</xdr:row>
      <xdr:rowOff>114300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1100-000005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29952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06000000}"/>
            </a:ext>
          </a:extLst>
        </xdr:cNvPr>
        <xdr:cNvSpPr txBox="1">
          <a:spLocks noChangeArrowheads="1"/>
        </xdr:cNvSpPr>
      </xdr:nvSpPr>
      <xdr:spPr bwMode="auto">
        <a:xfrm>
          <a:off x="4457700" y="390525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24</xdr:col>
      <xdr:colOff>322490</xdr:colOff>
      <xdr:row>4</xdr:row>
      <xdr:rowOff>66675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1100-000007000000}"/>
            </a:ext>
          </a:extLst>
        </xdr:cNvPr>
        <xdr:cNvSpPr txBox="1">
          <a:spLocks noChangeArrowheads="1"/>
        </xdr:cNvSpPr>
      </xdr:nvSpPr>
      <xdr:spPr bwMode="auto">
        <a:xfrm>
          <a:off x="12249150" y="419100"/>
          <a:ext cx="15176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21</xdr:col>
      <xdr:colOff>0</xdr:colOff>
      <xdr:row>4</xdr:row>
      <xdr:rowOff>114300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1100-000008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30333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21</xdr:col>
      <xdr:colOff>19050</xdr:colOff>
      <xdr:row>4</xdr:row>
      <xdr:rowOff>114300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1100-000009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30524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20</xdr:col>
      <xdr:colOff>565150</xdr:colOff>
      <xdr:row>4</xdr:row>
      <xdr:rowOff>114300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1100-00000A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29952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0B000000}"/>
            </a:ext>
          </a:extLst>
        </xdr:cNvPr>
        <xdr:cNvSpPr txBox="1">
          <a:spLocks noChangeArrowheads="1"/>
        </xdr:cNvSpPr>
      </xdr:nvSpPr>
      <xdr:spPr bwMode="auto">
        <a:xfrm>
          <a:off x="4457700" y="390525"/>
          <a:ext cx="0" cy="9715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QO115"/>
  <sheetViews>
    <sheetView view="pageBreakPreview" topLeftCell="CQ16" zoomScale="85" zoomScaleNormal="70" zoomScaleSheetLayoutView="85" workbookViewId="0">
      <selection activeCell="O20" sqref="O20"/>
    </sheetView>
  </sheetViews>
  <sheetFormatPr defaultRowHeight="15" x14ac:dyDescent="0.25"/>
  <cols>
    <col min="1" max="1" width="13.7109375" customWidth="1"/>
    <col min="2" max="2" width="5" style="169" customWidth="1"/>
    <col min="3" max="3" width="28.85546875" customWidth="1"/>
    <col min="4" max="4" width="16.140625" customWidth="1"/>
    <col min="6" max="7" width="12.140625" customWidth="1"/>
    <col min="8" max="8" width="16.5703125" customWidth="1"/>
    <col min="9" max="25" width="12.140625" customWidth="1"/>
    <col min="26" max="43" width="12.140625" style="126" customWidth="1"/>
    <col min="44" max="44" width="16.5703125" customWidth="1"/>
    <col min="45" max="61" width="12.140625" customWidth="1"/>
    <col min="62" max="79" width="12.140625" style="126" customWidth="1"/>
    <col min="80" max="80" width="16.5703125" customWidth="1"/>
    <col min="81" max="97" width="12.140625" customWidth="1"/>
    <col min="98" max="98" width="16.5703125" customWidth="1"/>
    <col min="99" max="115" width="12.140625" customWidth="1"/>
    <col min="116" max="133" width="12.140625" style="126" customWidth="1"/>
    <col min="134" max="134" width="16.5703125" customWidth="1"/>
    <col min="135" max="151" width="12.140625" customWidth="1"/>
    <col min="152" max="169" width="12.140625" style="126" customWidth="1"/>
    <col min="170" max="170" width="16.5703125" customWidth="1"/>
    <col min="171" max="187" width="12.140625" customWidth="1"/>
    <col min="188" max="188" width="16.5703125" customWidth="1"/>
    <col min="189" max="205" width="12.140625" customWidth="1"/>
    <col min="206" max="206" width="16.5703125" style="126" customWidth="1"/>
    <col min="207" max="223" width="12.140625" style="126" customWidth="1"/>
    <col min="224" max="224" width="16.5703125" customWidth="1"/>
    <col min="225" max="241" width="12.140625" customWidth="1"/>
    <col min="242" max="242" width="16.5703125" style="126" customWidth="1"/>
    <col min="243" max="259" width="12.140625" style="126" customWidth="1"/>
    <col min="260" max="260" width="16.5703125" style="126" customWidth="1"/>
    <col min="261" max="277" width="12.140625" style="126" customWidth="1"/>
    <col min="278" max="278" width="16.5703125" style="126" customWidth="1"/>
    <col min="279" max="295" width="12.140625" style="126" customWidth="1"/>
    <col min="296" max="296" width="16.5703125" style="126" customWidth="1"/>
    <col min="297" max="313" width="12.140625" style="126" customWidth="1"/>
    <col min="314" max="314" width="16.5703125" style="126" customWidth="1"/>
    <col min="315" max="331" width="12.140625" style="126" customWidth="1"/>
    <col min="332" max="332" width="16.5703125" style="126" customWidth="1"/>
    <col min="333" max="349" width="12.140625" style="126" customWidth="1"/>
    <col min="350" max="350" width="16.5703125" style="126" customWidth="1"/>
    <col min="351" max="367" width="12.140625" style="126" customWidth="1"/>
    <col min="368" max="368" width="16.5703125" customWidth="1"/>
    <col min="369" max="385" width="12.140625" customWidth="1"/>
    <col min="386" max="386" width="16.5703125" style="126" customWidth="1"/>
    <col min="387" max="403" width="12.140625" style="126" customWidth="1"/>
    <col min="404" max="404" width="16.5703125" customWidth="1"/>
    <col min="405" max="421" width="12.140625" customWidth="1"/>
    <col min="422" max="422" width="16.5703125" style="126" customWidth="1"/>
    <col min="423" max="439" width="12.140625" style="126" customWidth="1"/>
    <col min="440" max="440" width="16.5703125" customWidth="1"/>
    <col min="441" max="457" width="12.140625" customWidth="1"/>
  </cols>
  <sheetData>
    <row r="1" spans="1:457" ht="15.75" x14ac:dyDescent="0.25">
      <c r="C1" s="1"/>
    </row>
    <row r="2" spans="1:457" ht="20.25" x14ac:dyDescent="0.3">
      <c r="B2" s="170"/>
      <c r="C2" s="2" t="s">
        <v>0</v>
      </c>
      <c r="D2" t="s">
        <v>1092</v>
      </c>
    </row>
    <row r="3" spans="1:457" ht="20.25" x14ac:dyDescent="0.3">
      <c r="B3" s="170"/>
      <c r="C3" s="2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  <c r="CJ3" s="128"/>
      <c r="CK3" s="128"/>
      <c r="CL3" s="128"/>
      <c r="CM3" s="128"/>
      <c r="CN3" s="128"/>
      <c r="CO3" s="128"/>
      <c r="CP3" s="128"/>
      <c r="CQ3" s="128"/>
      <c r="CR3" s="128"/>
      <c r="CS3" s="128"/>
      <c r="CT3" s="128"/>
      <c r="CU3" s="128"/>
      <c r="CV3" s="128"/>
      <c r="CW3" s="128"/>
      <c r="CX3" s="128"/>
      <c r="CY3" s="128"/>
      <c r="CZ3" s="128"/>
      <c r="DA3" s="128"/>
      <c r="DB3" s="128"/>
      <c r="DC3" s="128"/>
      <c r="DD3" s="128"/>
      <c r="DE3" s="128"/>
      <c r="DF3" s="128"/>
      <c r="DG3" s="128"/>
      <c r="DH3" s="128"/>
      <c r="DI3" s="128"/>
      <c r="DJ3" s="128"/>
      <c r="DK3" s="128"/>
      <c r="DL3" s="128"/>
      <c r="DM3" s="128"/>
      <c r="DN3" s="128"/>
      <c r="DO3" s="128"/>
      <c r="DP3" s="128"/>
      <c r="DQ3" s="128"/>
      <c r="DR3" s="128"/>
      <c r="DS3" s="128"/>
      <c r="DT3" s="128"/>
      <c r="DU3" s="128"/>
      <c r="DV3" s="128"/>
      <c r="DW3" s="128"/>
      <c r="DX3" s="128"/>
      <c r="DY3" s="128"/>
      <c r="DZ3" s="128"/>
      <c r="EA3" s="128"/>
      <c r="EB3" s="128"/>
      <c r="EC3" s="128"/>
      <c r="ED3" s="128"/>
      <c r="EE3" s="128"/>
      <c r="EF3" s="128"/>
      <c r="EG3" s="128"/>
      <c r="EH3" s="128"/>
      <c r="EI3" s="128"/>
      <c r="EJ3" s="128"/>
      <c r="EK3" s="128"/>
      <c r="EL3" s="128"/>
      <c r="EM3" s="128"/>
      <c r="EN3" s="128"/>
      <c r="EO3" s="128"/>
      <c r="EP3" s="128"/>
      <c r="EQ3" s="128"/>
      <c r="ER3" s="128"/>
      <c r="ES3" s="128"/>
      <c r="ET3" s="128"/>
      <c r="EU3" s="128"/>
      <c r="EV3" s="128"/>
      <c r="EW3" s="128"/>
      <c r="EX3" s="128"/>
      <c r="EY3" s="128"/>
      <c r="EZ3" s="128"/>
      <c r="FA3" s="128"/>
      <c r="FB3" s="128"/>
      <c r="FC3" s="128"/>
      <c r="FD3" s="128"/>
      <c r="FE3" s="128"/>
      <c r="FF3" s="128"/>
      <c r="FG3" s="128"/>
      <c r="FH3" s="128"/>
      <c r="FI3" s="128"/>
      <c r="FJ3" s="128"/>
      <c r="FK3" s="128"/>
      <c r="FL3" s="128"/>
      <c r="FM3" s="128"/>
      <c r="FN3" s="128"/>
      <c r="FO3" s="128"/>
      <c r="FP3" s="128"/>
      <c r="FQ3" s="128"/>
      <c r="FR3" s="128"/>
      <c r="FS3" s="128"/>
      <c r="FT3" s="128"/>
      <c r="FU3" s="128"/>
      <c r="FV3" s="128"/>
      <c r="FW3" s="128"/>
      <c r="FX3" s="128"/>
      <c r="FY3" s="128"/>
      <c r="FZ3" s="128"/>
      <c r="GA3" s="128"/>
      <c r="GB3" s="128"/>
      <c r="GC3" s="128"/>
      <c r="GD3" s="128"/>
      <c r="GE3" s="128"/>
      <c r="GF3" s="128"/>
      <c r="GG3" s="128"/>
      <c r="GH3" s="128"/>
      <c r="GI3" s="128"/>
      <c r="GJ3" s="128"/>
      <c r="GK3" s="128"/>
      <c r="GL3" s="128"/>
      <c r="GM3" s="128"/>
      <c r="GN3" s="128"/>
      <c r="GO3" s="128"/>
      <c r="GP3" s="128"/>
      <c r="GQ3" s="128"/>
      <c r="GR3" s="128"/>
      <c r="GS3" s="128"/>
      <c r="GT3" s="128"/>
      <c r="GU3" s="128"/>
      <c r="GV3" s="128"/>
      <c r="GW3" s="128"/>
      <c r="GX3" s="128"/>
      <c r="GY3" s="128"/>
      <c r="GZ3" s="128"/>
      <c r="HA3" s="128"/>
      <c r="HB3" s="128"/>
      <c r="HC3" s="128"/>
      <c r="HD3" s="128"/>
      <c r="HE3" s="128"/>
      <c r="HF3" s="128"/>
      <c r="HG3" s="128"/>
      <c r="HH3" s="128"/>
      <c r="HI3" s="128"/>
      <c r="HJ3" s="128"/>
      <c r="HK3" s="128"/>
      <c r="HL3" s="128"/>
      <c r="HM3" s="128"/>
      <c r="HN3" s="128"/>
      <c r="HO3" s="128"/>
      <c r="HP3" s="128"/>
      <c r="HQ3" s="128"/>
      <c r="HR3" s="128"/>
      <c r="HS3" s="128"/>
      <c r="HT3" s="128"/>
      <c r="HU3" s="128"/>
      <c r="HV3" s="128"/>
      <c r="HW3" s="128"/>
      <c r="HX3" s="128"/>
      <c r="HY3" s="128"/>
      <c r="HZ3" s="128"/>
      <c r="IA3" s="128"/>
      <c r="IB3" s="128"/>
      <c r="IC3" s="128"/>
      <c r="ID3" s="128"/>
      <c r="IE3" s="128"/>
      <c r="IF3" s="128"/>
      <c r="IG3" s="128"/>
      <c r="IH3" s="128"/>
      <c r="II3" s="128"/>
      <c r="IJ3" s="128"/>
      <c r="IK3" s="128"/>
      <c r="IL3" s="128"/>
      <c r="IM3" s="128"/>
      <c r="IN3" s="128"/>
      <c r="IO3" s="128"/>
      <c r="IP3" s="128"/>
      <c r="IQ3" s="128"/>
      <c r="IR3" s="128"/>
      <c r="IS3" s="128"/>
      <c r="IT3" s="128"/>
      <c r="IU3" s="128"/>
      <c r="IV3" s="128"/>
      <c r="IW3" s="128"/>
      <c r="IX3" s="128"/>
      <c r="IY3" s="128"/>
      <c r="IZ3" s="128"/>
      <c r="JA3" s="128"/>
      <c r="JB3" s="128"/>
      <c r="JC3" s="128"/>
      <c r="JD3" s="128"/>
      <c r="JE3" s="128"/>
      <c r="JF3" s="128"/>
      <c r="JG3" s="128"/>
      <c r="JH3" s="128"/>
      <c r="JI3" s="128"/>
      <c r="JJ3" s="128"/>
      <c r="JK3" s="128"/>
      <c r="JL3" s="128"/>
      <c r="JM3" s="128"/>
      <c r="JN3" s="128"/>
      <c r="JO3" s="128"/>
      <c r="JP3" s="128"/>
      <c r="JQ3" s="128"/>
      <c r="JR3" s="128"/>
      <c r="JS3" s="128"/>
      <c r="JT3" s="128"/>
      <c r="JU3" s="128"/>
      <c r="JV3" s="128"/>
      <c r="JW3" s="128"/>
      <c r="JX3" s="128"/>
      <c r="JY3" s="128"/>
      <c r="JZ3" s="128"/>
      <c r="KA3" s="128"/>
      <c r="KB3" s="128"/>
      <c r="KC3" s="128"/>
      <c r="KD3" s="128"/>
      <c r="KE3" s="128"/>
      <c r="KF3" s="128"/>
      <c r="KG3" s="128"/>
      <c r="KH3" s="128"/>
      <c r="KI3" s="128"/>
      <c r="KJ3" s="128"/>
      <c r="KK3" s="128"/>
      <c r="KL3" s="128"/>
      <c r="KM3" s="128"/>
      <c r="KN3" s="128"/>
      <c r="KO3" s="128"/>
      <c r="KP3" s="128"/>
      <c r="KQ3" s="128"/>
      <c r="KR3" s="128"/>
      <c r="KS3" s="128"/>
      <c r="KT3" s="128"/>
      <c r="KU3" s="128"/>
      <c r="KV3" s="128"/>
      <c r="KW3" s="128"/>
      <c r="KX3" s="128"/>
      <c r="KY3" s="128"/>
      <c r="KZ3" s="128"/>
      <c r="LA3" s="128"/>
      <c r="LB3" s="128"/>
      <c r="LC3" s="128"/>
      <c r="LD3" s="128"/>
      <c r="LE3" s="128"/>
      <c r="LF3" s="128"/>
      <c r="LG3" s="128"/>
      <c r="LH3" s="128"/>
      <c r="LI3" s="128"/>
      <c r="LJ3" s="128"/>
      <c r="LK3" s="128"/>
      <c r="LL3" s="128"/>
      <c r="LM3" s="128"/>
      <c r="LN3" s="128"/>
      <c r="LO3" s="128"/>
      <c r="LP3" s="128"/>
      <c r="LQ3" s="128"/>
      <c r="LR3" s="128"/>
      <c r="LS3" s="128"/>
      <c r="LT3" s="128"/>
      <c r="LU3" s="128"/>
      <c r="LV3" s="128"/>
      <c r="LW3" s="128"/>
      <c r="LX3" s="128"/>
      <c r="LY3" s="128"/>
      <c r="LZ3" s="128"/>
      <c r="MA3" s="128"/>
      <c r="MB3" s="128"/>
      <c r="MC3" s="128"/>
      <c r="MD3" s="128"/>
      <c r="ME3" s="128"/>
      <c r="MF3" s="128"/>
      <c r="MG3" s="128"/>
      <c r="MH3" s="128"/>
      <c r="MI3" s="128"/>
      <c r="MJ3" s="128"/>
      <c r="MK3" s="128"/>
      <c r="ML3" s="128"/>
      <c r="MM3" s="128"/>
      <c r="MN3" s="128"/>
      <c r="MO3" s="128"/>
      <c r="MP3" s="128"/>
      <c r="MQ3" s="128"/>
      <c r="MR3" s="128"/>
      <c r="MS3" s="128"/>
      <c r="MT3" s="128"/>
      <c r="MU3" s="128"/>
      <c r="MV3" s="128"/>
      <c r="MW3" s="128"/>
      <c r="MX3" s="128"/>
      <c r="MY3" s="128"/>
      <c r="MZ3" s="128"/>
      <c r="NA3" s="128"/>
      <c r="NB3" s="128"/>
      <c r="NC3" s="128"/>
      <c r="ND3" s="128"/>
      <c r="NE3" s="128"/>
      <c r="NF3" s="128"/>
      <c r="NG3" s="128"/>
      <c r="NH3" s="128"/>
      <c r="NI3" s="128"/>
      <c r="NJ3" s="128"/>
      <c r="NK3" s="128"/>
      <c r="NL3" s="128"/>
      <c r="NM3" s="128"/>
      <c r="NN3" s="128"/>
      <c r="NO3" s="128"/>
      <c r="NP3" s="128"/>
      <c r="NQ3" s="128"/>
      <c r="NR3" s="128"/>
      <c r="NS3" s="128"/>
      <c r="NT3" s="128"/>
      <c r="NU3" s="128"/>
      <c r="NV3" s="128"/>
      <c r="NW3" s="128"/>
      <c r="NX3" s="128"/>
      <c r="NY3" s="128"/>
      <c r="NZ3" s="128"/>
      <c r="OA3" s="128"/>
      <c r="OB3" s="128"/>
      <c r="OC3" s="128"/>
      <c r="OD3" s="128"/>
      <c r="OE3" s="128"/>
      <c r="OF3" s="128"/>
      <c r="OG3" s="128"/>
      <c r="OH3" s="128"/>
      <c r="OI3" s="128"/>
      <c r="OJ3" s="128"/>
      <c r="OK3" s="128"/>
      <c r="OL3" s="128"/>
      <c r="OM3" s="128"/>
      <c r="ON3" s="128"/>
      <c r="OO3" s="128"/>
      <c r="OP3" s="128"/>
      <c r="OQ3" s="128"/>
      <c r="OR3" s="128"/>
      <c r="OS3" s="128"/>
      <c r="OT3" s="128"/>
      <c r="OU3" s="128"/>
      <c r="OV3" s="128"/>
      <c r="OW3" s="128"/>
      <c r="OX3" s="128"/>
      <c r="OY3" s="128"/>
      <c r="OZ3" s="128"/>
      <c r="PA3" s="128"/>
      <c r="PB3" s="128"/>
      <c r="PC3" s="128"/>
      <c r="PD3" s="128"/>
      <c r="PE3" s="128"/>
      <c r="PF3" s="128"/>
      <c r="PG3" s="128"/>
      <c r="PH3" s="128"/>
      <c r="PI3" s="128"/>
      <c r="PJ3" s="128"/>
      <c r="PK3" s="128"/>
      <c r="PL3" s="128"/>
      <c r="PM3" s="128"/>
      <c r="PN3" s="128"/>
      <c r="PO3" s="128"/>
      <c r="PP3" s="128"/>
      <c r="PQ3" s="128"/>
      <c r="PR3" s="128"/>
      <c r="PS3" s="128"/>
      <c r="PT3" s="128"/>
      <c r="PU3" s="128"/>
      <c r="PV3" s="128"/>
      <c r="PW3" s="128"/>
      <c r="PX3" s="128"/>
      <c r="PY3" s="128"/>
      <c r="PZ3" s="128"/>
      <c r="QA3" s="128"/>
      <c r="QB3" s="128"/>
      <c r="QC3" s="128"/>
      <c r="QD3" s="128"/>
      <c r="QE3" s="128"/>
      <c r="QF3" s="128"/>
      <c r="QG3" s="128"/>
      <c r="QH3" s="128"/>
      <c r="QI3" s="128"/>
      <c r="QJ3" s="128"/>
      <c r="QK3" s="128"/>
      <c r="QL3" s="128"/>
      <c r="QM3" s="128"/>
      <c r="QN3" s="128"/>
      <c r="QO3" s="128"/>
    </row>
    <row r="4" spans="1:457" ht="21" thickBot="1" x14ac:dyDescent="0.35">
      <c r="A4" s="3"/>
      <c r="B4" s="170"/>
      <c r="C4" s="2"/>
    </row>
    <row r="5" spans="1:457" ht="18.75" thickBot="1" x14ac:dyDescent="0.3">
      <c r="C5" s="4"/>
      <c r="D5" s="4"/>
      <c r="E5" s="4"/>
      <c r="F5" s="21"/>
      <c r="G5" s="21"/>
      <c r="H5" s="187">
        <v>17</v>
      </c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09"/>
      <c r="X5" s="109"/>
      <c r="Y5" s="109"/>
      <c r="Z5" s="206" t="s">
        <v>1006</v>
      </c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6"/>
      <c r="AP5" s="206"/>
      <c r="AQ5" s="208"/>
      <c r="AR5" s="187">
        <v>62</v>
      </c>
      <c r="AS5" s="187"/>
      <c r="AT5" s="187"/>
      <c r="AU5" s="187"/>
      <c r="AV5" s="187"/>
      <c r="AW5" s="187"/>
      <c r="AX5" s="187"/>
      <c r="AY5" s="187"/>
      <c r="AZ5" s="187"/>
      <c r="BA5" s="187"/>
      <c r="BB5" s="187"/>
      <c r="BC5" s="187"/>
      <c r="BD5" s="187"/>
      <c r="BE5" s="187"/>
      <c r="BF5" s="187"/>
      <c r="BG5" s="109"/>
      <c r="BH5" s="109"/>
      <c r="BI5" s="109"/>
      <c r="BJ5" s="206" t="s">
        <v>1008</v>
      </c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6"/>
      <c r="BZ5" s="206"/>
      <c r="CA5" s="208"/>
      <c r="CB5" s="187">
        <v>37</v>
      </c>
      <c r="CC5" s="187"/>
      <c r="CD5" s="187"/>
      <c r="CE5" s="187"/>
      <c r="CF5" s="187"/>
      <c r="CG5" s="187"/>
      <c r="CH5" s="187"/>
      <c r="CI5" s="187"/>
      <c r="CJ5" s="187"/>
      <c r="CK5" s="187"/>
      <c r="CL5" s="187"/>
      <c r="CM5" s="187"/>
      <c r="CN5" s="187"/>
      <c r="CO5" s="187"/>
      <c r="CP5" s="187"/>
      <c r="CQ5" s="109"/>
      <c r="CR5" s="109"/>
      <c r="CS5" s="109"/>
      <c r="CT5" s="187">
        <v>45</v>
      </c>
      <c r="CU5" s="187"/>
      <c r="CV5" s="187"/>
      <c r="CW5" s="187"/>
      <c r="CX5" s="187"/>
      <c r="CY5" s="187"/>
      <c r="CZ5" s="187"/>
      <c r="DA5" s="187"/>
      <c r="DB5" s="187"/>
      <c r="DC5" s="187"/>
      <c r="DD5" s="187"/>
      <c r="DE5" s="187"/>
      <c r="DF5" s="187"/>
      <c r="DG5" s="187"/>
      <c r="DH5" s="187"/>
      <c r="DI5" s="109"/>
      <c r="DJ5" s="109"/>
      <c r="DK5" s="109"/>
      <c r="DL5" s="206" t="s">
        <v>1010</v>
      </c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6"/>
      <c r="EB5" s="206"/>
      <c r="EC5" s="208"/>
      <c r="ED5" s="187">
        <v>75</v>
      </c>
      <c r="EE5" s="187"/>
      <c r="EF5" s="187"/>
      <c r="EG5" s="187"/>
      <c r="EH5" s="187"/>
      <c r="EI5" s="187"/>
      <c r="EJ5" s="187"/>
      <c r="EK5" s="187"/>
      <c r="EL5" s="187"/>
      <c r="EM5" s="187"/>
      <c r="EN5" s="187"/>
      <c r="EO5" s="187"/>
      <c r="EP5" s="187"/>
      <c r="EQ5" s="187"/>
      <c r="ER5" s="187"/>
      <c r="ES5" s="109"/>
      <c r="ET5" s="109"/>
      <c r="EU5" s="109"/>
      <c r="EV5" s="206" t="s">
        <v>1012</v>
      </c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6"/>
      <c r="FL5" s="206"/>
      <c r="FM5" s="208"/>
      <c r="FN5" s="187">
        <v>61</v>
      </c>
      <c r="FO5" s="187"/>
      <c r="FP5" s="187"/>
      <c r="FQ5" s="187"/>
      <c r="FR5" s="187"/>
      <c r="FS5" s="187"/>
      <c r="FT5" s="187"/>
      <c r="FU5" s="187"/>
      <c r="FV5" s="187"/>
      <c r="FW5" s="187"/>
      <c r="FX5" s="187"/>
      <c r="FY5" s="187"/>
      <c r="FZ5" s="187"/>
      <c r="GA5" s="187"/>
      <c r="GB5" s="187"/>
      <c r="GC5" s="109"/>
      <c r="GD5" s="109"/>
      <c r="GE5" s="109"/>
      <c r="GF5" s="187">
        <v>49</v>
      </c>
      <c r="GG5" s="187"/>
      <c r="GH5" s="187"/>
      <c r="GI5" s="187"/>
      <c r="GJ5" s="187"/>
      <c r="GK5" s="187"/>
      <c r="GL5" s="187"/>
      <c r="GM5" s="187"/>
      <c r="GN5" s="187"/>
      <c r="GO5" s="187"/>
      <c r="GP5" s="187"/>
      <c r="GQ5" s="187"/>
      <c r="GR5" s="187"/>
      <c r="GS5" s="187"/>
      <c r="GT5" s="187"/>
      <c r="GU5" s="109"/>
      <c r="GV5" s="109"/>
      <c r="GW5" s="109"/>
      <c r="GX5" s="188" t="s">
        <v>760</v>
      </c>
      <c r="GY5" s="188"/>
      <c r="GZ5" s="187"/>
      <c r="HA5" s="187"/>
      <c r="HB5" s="187"/>
      <c r="HC5" s="187"/>
      <c r="HD5" s="187" t="s">
        <v>995</v>
      </c>
      <c r="HE5" s="187"/>
      <c r="HF5" s="187"/>
      <c r="HG5" s="187"/>
      <c r="HH5" s="187"/>
      <c r="HI5" s="187"/>
      <c r="HJ5" s="187"/>
      <c r="HK5" s="187"/>
      <c r="HL5" s="187"/>
      <c r="HM5" s="109"/>
      <c r="HN5" s="109"/>
      <c r="HO5" s="109"/>
      <c r="HP5" s="187">
        <v>51</v>
      </c>
      <c r="HQ5" s="187"/>
      <c r="HR5" s="187"/>
      <c r="HS5" s="187"/>
      <c r="HT5" s="187"/>
      <c r="HU5" s="187"/>
      <c r="HV5" s="187"/>
      <c r="HW5" s="187"/>
      <c r="HX5" s="187"/>
      <c r="HY5" s="187"/>
      <c r="HZ5" s="187"/>
      <c r="IA5" s="187"/>
      <c r="IB5" s="187"/>
      <c r="IC5" s="187"/>
      <c r="ID5" s="187"/>
      <c r="IE5" s="109"/>
      <c r="IF5" s="109"/>
      <c r="IG5" s="109"/>
      <c r="IH5" s="188" t="s">
        <v>761</v>
      </c>
      <c r="II5" s="187"/>
      <c r="IJ5" s="187"/>
      <c r="IK5" s="187"/>
      <c r="IL5" s="187"/>
      <c r="IM5" s="187"/>
      <c r="IN5" s="187"/>
      <c r="IO5" s="187"/>
      <c r="IP5" s="187"/>
      <c r="IQ5" s="187"/>
      <c r="IR5" s="187"/>
      <c r="IS5" s="187"/>
      <c r="IT5" s="187"/>
      <c r="IU5" s="187"/>
      <c r="IV5" s="187"/>
      <c r="IW5" s="109"/>
      <c r="IX5" s="109"/>
      <c r="IY5" s="109"/>
      <c r="IZ5" s="187">
        <v>52</v>
      </c>
      <c r="JA5" s="187"/>
      <c r="JB5" s="187"/>
      <c r="JC5" s="187"/>
      <c r="JD5" s="187"/>
      <c r="JE5" s="187"/>
      <c r="JF5" s="187"/>
      <c r="JG5" s="187"/>
      <c r="JH5" s="187"/>
      <c r="JI5" s="187"/>
      <c r="JJ5" s="187"/>
      <c r="JK5" s="187"/>
      <c r="JL5" s="187"/>
      <c r="JM5" s="187"/>
      <c r="JN5" s="187"/>
      <c r="JO5" s="109"/>
      <c r="JP5" s="109"/>
      <c r="JQ5" s="109"/>
      <c r="JR5" s="188" t="s">
        <v>762</v>
      </c>
      <c r="JS5" s="187"/>
      <c r="JT5" s="187"/>
      <c r="JU5" s="187"/>
      <c r="JV5" s="187"/>
      <c r="JW5" s="187"/>
      <c r="JX5" s="187"/>
      <c r="JY5" s="187"/>
      <c r="JZ5" s="187"/>
      <c r="KA5" s="187"/>
      <c r="KB5" s="187"/>
      <c r="KC5" s="187"/>
      <c r="KD5" s="187"/>
      <c r="KE5" s="187"/>
      <c r="KF5" s="187"/>
      <c r="KG5" s="109"/>
      <c r="KH5" s="109"/>
      <c r="KI5" s="109"/>
      <c r="KJ5" s="187">
        <v>53</v>
      </c>
      <c r="KK5" s="187"/>
      <c r="KL5" s="187"/>
      <c r="KM5" s="187"/>
      <c r="KN5" s="187"/>
      <c r="KO5" s="187"/>
      <c r="KP5" s="187"/>
      <c r="KQ5" s="187"/>
      <c r="KR5" s="187"/>
      <c r="KS5" s="187"/>
      <c r="KT5" s="187"/>
      <c r="KU5" s="187"/>
      <c r="KV5" s="187"/>
      <c r="KW5" s="187"/>
      <c r="KX5" s="187"/>
      <c r="KY5" s="109"/>
      <c r="KZ5" s="109"/>
      <c r="LA5" s="109"/>
      <c r="LB5" s="188" t="s">
        <v>763</v>
      </c>
      <c r="LC5" s="187"/>
      <c r="LD5" s="187"/>
      <c r="LE5" s="187"/>
      <c r="LF5" s="187"/>
      <c r="LG5" s="187"/>
      <c r="LH5" s="187"/>
      <c r="LI5" s="187"/>
      <c r="LJ5" s="187"/>
      <c r="LK5" s="187"/>
      <c r="LL5" s="187"/>
      <c r="LM5" s="187"/>
      <c r="LN5" s="187"/>
      <c r="LO5" s="187"/>
      <c r="LP5" s="187"/>
      <c r="LQ5" s="109"/>
      <c r="LR5" s="109"/>
      <c r="LS5" s="109"/>
      <c r="LT5" s="187">
        <v>54</v>
      </c>
      <c r="LU5" s="187"/>
      <c r="LV5" s="187"/>
      <c r="LW5" s="187"/>
      <c r="LX5" s="187"/>
      <c r="LY5" s="187"/>
      <c r="LZ5" s="187"/>
      <c r="MA5" s="187"/>
      <c r="MB5" s="187"/>
      <c r="MC5" s="187"/>
      <c r="MD5" s="187"/>
      <c r="ME5" s="187"/>
      <c r="MF5" s="187"/>
      <c r="MG5" s="187"/>
      <c r="MH5" s="187"/>
      <c r="MI5" s="109"/>
      <c r="MJ5" s="109"/>
      <c r="MK5" s="109"/>
      <c r="ML5" s="188" t="s">
        <v>764</v>
      </c>
      <c r="MM5" s="187"/>
      <c r="MN5" s="187"/>
      <c r="MO5" s="187"/>
      <c r="MP5" s="187"/>
      <c r="MQ5" s="187"/>
      <c r="MR5" s="187"/>
      <c r="MS5" s="187"/>
      <c r="MT5" s="187"/>
      <c r="MU5" s="187"/>
      <c r="MV5" s="187"/>
      <c r="MW5" s="187"/>
      <c r="MX5" s="187"/>
      <c r="MY5" s="187"/>
      <c r="MZ5" s="187"/>
      <c r="NA5" s="109"/>
      <c r="NB5" s="109"/>
      <c r="NC5" s="109"/>
      <c r="ND5" s="187">
        <v>55</v>
      </c>
      <c r="NE5" s="187"/>
      <c r="NF5" s="187"/>
      <c r="NG5" s="187"/>
      <c r="NH5" s="187"/>
      <c r="NI5" s="187"/>
      <c r="NJ5" s="187"/>
      <c r="NK5" s="187"/>
      <c r="NL5" s="187"/>
      <c r="NM5" s="187"/>
      <c r="NN5" s="187"/>
      <c r="NO5" s="187"/>
      <c r="NP5" s="187"/>
      <c r="NQ5" s="187"/>
      <c r="NR5" s="187"/>
      <c r="NS5" s="109"/>
      <c r="NT5" s="109"/>
      <c r="NU5" s="109"/>
      <c r="NV5" s="188" t="s">
        <v>765</v>
      </c>
      <c r="NW5" s="187"/>
      <c r="NX5" s="187"/>
      <c r="NY5" s="187"/>
      <c r="NZ5" s="187"/>
      <c r="OA5" s="187"/>
      <c r="OB5" s="187"/>
      <c r="OC5" s="187"/>
      <c r="OD5" s="187"/>
      <c r="OE5" s="187"/>
      <c r="OF5" s="187"/>
      <c r="OG5" s="187"/>
      <c r="OH5" s="187"/>
      <c r="OI5" s="187"/>
      <c r="OJ5" s="187"/>
      <c r="OK5" s="109"/>
      <c r="OL5" s="109"/>
      <c r="OM5" s="109"/>
      <c r="ON5" s="187">
        <v>60</v>
      </c>
      <c r="OO5" s="187"/>
      <c r="OP5" s="187"/>
      <c r="OQ5" s="187"/>
      <c r="OR5" s="187"/>
      <c r="OS5" s="187"/>
      <c r="OT5" s="187"/>
      <c r="OU5" s="187"/>
      <c r="OV5" s="187"/>
      <c r="OW5" s="187"/>
      <c r="OX5" s="187"/>
      <c r="OY5" s="187"/>
      <c r="OZ5" s="187"/>
      <c r="PA5" s="187"/>
      <c r="PB5" s="187"/>
      <c r="PC5" s="109"/>
      <c r="PD5" s="109"/>
      <c r="PE5" s="109"/>
      <c r="PF5" s="188" t="s">
        <v>766</v>
      </c>
      <c r="PG5" s="187"/>
      <c r="PH5" s="187"/>
      <c r="PI5" s="187"/>
      <c r="PJ5" s="187"/>
      <c r="PK5" s="187"/>
      <c r="PL5" s="187"/>
      <c r="PM5" s="187"/>
      <c r="PN5" s="187"/>
      <c r="PO5" s="187"/>
      <c r="PP5" s="187"/>
      <c r="PQ5" s="187"/>
      <c r="PR5" s="187"/>
      <c r="PS5" s="187"/>
      <c r="PT5" s="187"/>
      <c r="PU5" s="109"/>
      <c r="PV5" s="109"/>
      <c r="PW5" s="109"/>
      <c r="PX5" s="187">
        <v>57</v>
      </c>
      <c r="PY5" s="187"/>
      <c r="PZ5" s="187"/>
      <c r="QA5" s="187"/>
      <c r="QB5" s="187"/>
      <c r="QC5" s="187"/>
      <c r="QD5" s="187"/>
      <c r="QE5" s="187"/>
      <c r="QF5" s="187"/>
      <c r="QG5" s="187"/>
      <c r="QH5" s="187"/>
      <c r="QI5" s="187"/>
      <c r="QJ5" s="187"/>
      <c r="QK5" s="187"/>
      <c r="QL5" s="187"/>
      <c r="QM5" s="109"/>
      <c r="QN5" s="109"/>
      <c r="QO5" s="109"/>
    </row>
    <row r="6" spans="1:457" s="159" customFormat="1" ht="63.75" customHeight="1" x14ac:dyDescent="0.25">
      <c r="B6" s="247"/>
      <c r="C6" s="250"/>
      <c r="D6" s="164"/>
      <c r="E6" s="165"/>
      <c r="G6" s="166"/>
      <c r="H6" s="241" t="s">
        <v>971</v>
      </c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2"/>
      <c r="U6" s="242"/>
      <c r="V6" s="242"/>
      <c r="W6" s="242"/>
      <c r="X6" s="242"/>
      <c r="Y6" s="243"/>
      <c r="Z6" s="244" t="s">
        <v>1007</v>
      </c>
      <c r="AA6" s="245"/>
      <c r="AB6" s="245"/>
      <c r="AC6" s="245"/>
      <c r="AD6" s="245"/>
      <c r="AE6" s="245"/>
      <c r="AF6" s="245"/>
      <c r="AG6" s="245"/>
      <c r="AH6" s="245"/>
      <c r="AI6" s="245"/>
      <c r="AJ6" s="245"/>
      <c r="AK6" s="245"/>
      <c r="AL6" s="245"/>
      <c r="AM6" s="245"/>
      <c r="AN6" s="245"/>
      <c r="AO6" s="245"/>
      <c r="AP6" s="245"/>
      <c r="AQ6" s="246"/>
      <c r="AR6" s="241" t="s">
        <v>972</v>
      </c>
      <c r="AS6" s="242"/>
      <c r="AT6" s="242"/>
      <c r="AU6" s="242"/>
      <c r="AV6" s="242"/>
      <c r="AW6" s="242"/>
      <c r="AX6" s="242"/>
      <c r="AY6" s="242"/>
      <c r="AZ6" s="242"/>
      <c r="BA6" s="242"/>
      <c r="BB6" s="242"/>
      <c r="BC6" s="242"/>
      <c r="BD6" s="242"/>
      <c r="BE6" s="242"/>
      <c r="BF6" s="242"/>
      <c r="BG6" s="242"/>
      <c r="BH6" s="242"/>
      <c r="BI6" s="243"/>
      <c r="BJ6" s="244" t="s">
        <v>1009</v>
      </c>
      <c r="BK6" s="245"/>
      <c r="BL6" s="245"/>
      <c r="BM6" s="245"/>
      <c r="BN6" s="245"/>
      <c r="BO6" s="245"/>
      <c r="BP6" s="245"/>
      <c r="BQ6" s="245"/>
      <c r="BR6" s="245"/>
      <c r="BS6" s="245"/>
      <c r="BT6" s="245"/>
      <c r="BU6" s="245"/>
      <c r="BV6" s="245"/>
      <c r="BW6" s="245"/>
      <c r="BX6" s="245"/>
      <c r="BY6" s="245"/>
      <c r="BZ6" s="245"/>
      <c r="CA6" s="246"/>
      <c r="CB6" s="241" t="s">
        <v>973</v>
      </c>
      <c r="CC6" s="242"/>
      <c r="CD6" s="242"/>
      <c r="CE6" s="242"/>
      <c r="CF6" s="242"/>
      <c r="CG6" s="242"/>
      <c r="CH6" s="242"/>
      <c r="CI6" s="242"/>
      <c r="CJ6" s="242"/>
      <c r="CK6" s="242"/>
      <c r="CL6" s="242"/>
      <c r="CM6" s="242"/>
      <c r="CN6" s="242"/>
      <c r="CO6" s="242"/>
      <c r="CP6" s="242"/>
      <c r="CQ6" s="242"/>
      <c r="CR6" s="242"/>
      <c r="CS6" s="243"/>
      <c r="CT6" s="241" t="s">
        <v>974</v>
      </c>
      <c r="CU6" s="242"/>
      <c r="CV6" s="242"/>
      <c r="CW6" s="242"/>
      <c r="CX6" s="242"/>
      <c r="CY6" s="242"/>
      <c r="CZ6" s="242"/>
      <c r="DA6" s="242"/>
      <c r="DB6" s="242"/>
      <c r="DC6" s="242"/>
      <c r="DD6" s="242"/>
      <c r="DE6" s="242"/>
      <c r="DF6" s="242"/>
      <c r="DG6" s="242"/>
      <c r="DH6" s="242"/>
      <c r="DI6" s="242"/>
      <c r="DJ6" s="242"/>
      <c r="DK6" s="243"/>
      <c r="DL6" s="244" t="s">
        <v>1011</v>
      </c>
      <c r="DM6" s="245"/>
      <c r="DN6" s="245"/>
      <c r="DO6" s="245"/>
      <c r="DP6" s="245"/>
      <c r="DQ6" s="245"/>
      <c r="DR6" s="245"/>
      <c r="DS6" s="245"/>
      <c r="DT6" s="245"/>
      <c r="DU6" s="245"/>
      <c r="DV6" s="245"/>
      <c r="DW6" s="245"/>
      <c r="DX6" s="245"/>
      <c r="DY6" s="245"/>
      <c r="DZ6" s="245"/>
      <c r="EA6" s="245"/>
      <c r="EB6" s="245"/>
      <c r="EC6" s="246"/>
      <c r="ED6" s="241" t="s">
        <v>975</v>
      </c>
      <c r="EE6" s="242"/>
      <c r="EF6" s="242"/>
      <c r="EG6" s="242"/>
      <c r="EH6" s="242"/>
      <c r="EI6" s="242"/>
      <c r="EJ6" s="242"/>
      <c r="EK6" s="242"/>
      <c r="EL6" s="242"/>
      <c r="EM6" s="242"/>
      <c r="EN6" s="242"/>
      <c r="EO6" s="242"/>
      <c r="EP6" s="242"/>
      <c r="EQ6" s="242"/>
      <c r="ER6" s="242"/>
      <c r="ES6" s="242"/>
      <c r="ET6" s="242"/>
      <c r="EU6" s="243"/>
      <c r="EV6" s="244" t="s">
        <v>1013</v>
      </c>
      <c r="EW6" s="245"/>
      <c r="EX6" s="245"/>
      <c r="EY6" s="245"/>
      <c r="EZ6" s="245"/>
      <c r="FA6" s="245"/>
      <c r="FB6" s="245"/>
      <c r="FC6" s="245"/>
      <c r="FD6" s="245"/>
      <c r="FE6" s="245"/>
      <c r="FF6" s="245"/>
      <c r="FG6" s="245"/>
      <c r="FH6" s="245"/>
      <c r="FI6" s="245"/>
      <c r="FJ6" s="245"/>
      <c r="FK6" s="245"/>
      <c r="FL6" s="245"/>
      <c r="FM6" s="246"/>
      <c r="FN6" s="241" t="s">
        <v>976</v>
      </c>
      <c r="FO6" s="242"/>
      <c r="FP6" s="242"/>
      <c r="FQ6" s="242"/>
      <c r="FR6" s="242"/>
      <c r="FS6" s="242"/>
      <c r="FT6" s="242"/>
      <c r="FU6" s="242"/>
      <c r="FV6" s="242"/>
      <c r="FW6" s="242"/>
      <c r="FX6" s="242"/>
      <c r="FY6" s="242"/>
      <c r="FZ6" s="242"/>
      <c r="GA6" s="242"/>
      <c r="GB6" s="242"/>
      <c r="GC6" s="242"/>
      <c r="GD6" s="242"/>
      <c r="GE6" s="243"/>
      <c r="GF6" s="241" t="s">
        <v>977</v>
      </c>
      <c r="GG6" s="242"/>
      <c r="GH6" s="242"/>
      <c r="GI6" s="242"/>
      <c r="GJ6" s="242"/>
      <c r="GK6" s="242"/>
      <c r="GL6" s="242"/>
      <c r="GM6" s="242"/>
      <c r="GN6" s="242"/>
      <c r="GO6" s="242"/>
      <c r="GP6" s="242"/>
      <c r="GQ6" s="242"/>
      <c r="GR6" s="242"/>
      <c r="GS6" s="242"/>
      <c r="GT6" s="242"/>
      <c r="GU6" s="242"/>
      <c r="GV6" s="242"/>
      <c r="GW6" s="243"/>
      <c r="GX6" s="235" t="s">
        <v>978</v>
      </c>
      <c r="GY6" s="236"/>
      <c r="GZ6" s="236"/>
      <c r="HA6" s="236"/>
      <c r="HB6" s="236"/>
      <c r="HC6" s="236"/>
      <c r="HD6" s="236"/>
      <c r="HE6" s="236"/>
      <c r="HF6" s="236"/>
      <c r="HG6" s="236"/>
      <c r="HH6" s="236"/>
      <c r="HI6" s="236"/>
      <c r="HJ6" s="236"/>
      <c r="HK6" s="236"/>
      <c r="HL6" s="236"/>
      <c r="HM6" s="236"/>
      <c r="HN6" s="236"/>
      <c r="HO6" s="237"/>
      <c r="HP6" s="241" t="s">
        <v>979</v>
      </c>
      <c r="HQ6" s="242"/>
      <c r="HR6" s="242"/>
      <c r="HS6" s="242"/>
      <c r="HT6" s="242"/>
      <c r="HU6" s="242"/>
      <c r="HV6" s="242"/>
      <c r="HW6" s="242"/>
      <c r="HX6" s="242"/>
      <c r="HY6" s="242"/>
      <c r="HZ6" s="242"/>
      <c r="IA6" s="242"/>
      <c r="IB6" s="242"/>
      <c r="IC6" s="242"/>
      <c r="ID6" s="242"/>
      <c r="IE6" s="242"/>
      <c r="IF6" s="242"/>
      <c r="IG6" s="243"/>
      <c r="IH6" s="235" t="s">
        <v>980</v>
      </c>
      <c r="II6" s="236"/>
      <c r="IJ6" s="236"/>
      <c r="IK6" s="236"/>
      <c r="IL6" s="236"/>
      <c r="IM6" s="236"/>
      <c r="IN6" s="236"/>
      <c r="IO6" s="236"/>
      <c r="IP6" s="236"/>
      <c r="IQ6" s="236"/>
      <c r="IR6" s="236"/>
      <c r="IS6" s="236"/>
      <c r="IT6" s="236"/>
      <c r="IU6" s="236"/>
      <c r="IV6" s="236"/>
      <c r="IW6" s="236"/>
      <c r="IX6" s="236"/>
      <c r="IY6" s="237"/>
      <c r="IZ6" s="241" t="s">
        <v>981</v>
      </c>
      <c r="JA6" s="242"/>
      <c r="JB6" s="242"/>
      <c r="JC6" s="242"/>
      <c r="JD6" s="242"/>
      <c r="JE6" s="242"/>
      <c r="JF6" s="242"/>
      <c r="JG6" s="242"/>
      <c r="JH6" s="242"/>
      <c r="JI6" s="242"/>
      <c r="JJ6" s="242"/>
      <c r="JK6" s="242"/>
      <c r="JL6" s="242"/>
      <c r="JM6" s="242"/>
      <c r="JN6" s="242"/>
      <c r="JO6" s="242"/>
      <c r="JP6" s="242"/>
      <c r="JQ6" s="243"/>
      <c r="JR6" s="235" t="s">
        <v>982</v>
      </c>
      <c r="JS6" s="236"/>
      <c r="JT6" s="236"/>
      <c r="JU6" s="236"/>
      <c r="JV6" s="236"/>
      <c r="JW6" s="236"/>
      <c r="JX6" s="236"/>
      <c r="JY6" s="236"/>
      <c r="JZ6" s="236"/>
      <c r="KA6" s="236"/>
      <c r="KB6" s="236"/>
      <c r="KC6" s="236"/>
      <c r="KD6" s="236"/>
      <c r="KE6" s="236"/>
      <c r="KF6" s="236"/>
      <c r="KG6" s="236"/>
      <c r="KH6" s="236"/>
      <c r="KI6" s="237"/>
      <c r="KJ6" s="241" t="s">
        <v>983</v>
      </c>
      <c r="KK6" s="242"/>
      <c r="KL6" s="242"/>
      <c r="KM6" s="242"/>
      <c r="KN6" s="242"/>
      <c r="KO6" s="242"/>
      <c r="KP6" s="242"/>
      <c r="KQ6" s="242"/>
      <c r="KR6" s="242"/>
      <c r="KS6" s="242"/>
      <c r="KT6" s="242"/>
      <c r="KU6" s="242"/>
      <c r="KV6" s="242"/>
      <c r="KW6" s="242"/>
      <c r="KX6" s="242"/>
      <c r="KY6" s="242"/>
      <c r="KZ6" s="242"/>
      <c r="LA6" s="243"/>
      <c r="LB6" s="235" t="s">
        <v>984</v>
      </c>
      <c r="LC6" s="236"/>
      <c r="LD6" s="236"/>
      <c r="LE6" s="236"/>
      <c r="LF6" s="236"/>
      <c r="LG6" s="236"/>
      <c r="LH6" s="236"/>
      <c r="LI6" s="236"/>
      <c r="LJ6" s="236"/>
      <c r="LK6" s="236"/>
      <c r="LL6" s="236"/>
      <c r="LM6" s="236"/>
      <c r="LN6" s="236"/>
      <c r="LO6" s="236"/>
      <c r="LP6" s="236"/>
      <c r="LQ6" s="236"/>
      <c r="LR6" s="236"/>
      <c r="LS6" s="237"/>
      <c r="LT6" s="241" t="s">
        <v>985</v>
      </c>
      <c r="LU6" s="242"/>
      <c r="LV6" s="242"/>
      <c r="LW6" s="242"/>
      <c r="LX6" s="242"/>
      <c r="LY6" s="242"/>
      <c r="LZ6" s="242"/>
      <c r="MA6" s="242"/>
      <c r="MB6" s="242"/>
      <c r="MC6" s="242"/>
      <c r="MD6" s="242"/>
      <c r="ME6" s="242"/>
      <c r="MF6" s="242"/>
      <c r="MG6" s="242"/>
      <c r="MH6" s="242"/>
      <c r="MI6" s="242"/>
      <c r="MJ6" s="242"/>
      <c r="MK6" s="243"/>
      <c r="ML6" s="235" t="s">
        <v>986</v>
      </c>
      <c r="MM6" s="236"/>
      <c r="MN6" s="236"/>
      <c r="MO6" s="236"/>
      <c r="MP6" s="236"/>
      <c r="MQ6" s="236"/>
      <c r="MR6" s="236"/>
      <c r="MS6" s="236"/>
      <c r="MT6" s="236"/>
      <c r="MU6" s="236"/>
      <c r="MV6" s="236"/>
      <c r="MW6" s="236"/>
      <c r="MX6" s="236"/>
      <c r="MY6" s="236"/>
      <c r="MZ6" s="236"/>
      <c r="NA6" s="236"/>
      <c r="NB6" s="236"/>
      <c r="NC6" s="237"/>
      <c r="ND6" s="241" t="s">
        <v>988</v>
      </c>
      <c r="NE6" s="242"/>
      <c r="NF6" s="242"/>
      <c r="NG6" s="242"/>
      <c r="NH6" s="242"/>
      <c r="NI6" s="242"/>
      <c r="NJ6" s="242"/>
      <c r="NK6" s="242"/>
      <c r="NL6" s="242"/>
      <c r="NM6" s="242"/>
      <c r="NN6" s="242"/>
      <c r="NO6" s="242"/>
      <c r="NP6" s="242"/>
      <c r="NQ6" s="242"/>
      <c r="NR6" s="242"/>
      <c r="NS6" s="242"/>
      <c r="NT6" s="242"/>
      <c r="NU6" s="243"/>
      <c r="NV6" s="235" t="s">
        <v>987</v>
      </c>
      <c r="NW6" s="236"/>
      <c r="NX6" s="236"/>
      <c r="NY6" s="236"/>
      <c r="NZ6" s="236"/>
      <c r="OA6" s="236"/>
      <c r="OB6" s="236"/>
      <c r="OC6" s="236"/>
      <c r="OD6" s="236"/>
      <c r="OE6" s="236"/>
      <c r="OF6" s="236"/>
      <c r="OG6" s="236"/>
      <c r="OH6" s="236"/>
      <c r="OI6" s="236"/>
      <c r="OJ6" s="236"/>
      <c r="OK6" s="236"/>
      <c r="OL6" s="236"/>
      <c r="OM6" s="237"/>
      <c r="ON6" s="241" t="s">
        <v>989</v>
      </c>
      <c r="OO6" s="242"/>
      <c r="OP6" s="242"/>
      <c r="OQ6" s="242"/>
      <c r="OR6" s="242"/>
      <c r="OS6" s="242"/>
      <c r="OT6" s="242"/>
      <c r="OU6" s="242"/>
      <c r="OV6" s="242"/>
      <c r="OW6" s="242"/>
      <c r="OX6" s="242"/>
      <c r="OY6" s="242"/>
      <c r="OZ6" s="242"/>
      <c r="PA6" s="242"/>
      <c r="PB6" s="242"/>
      <c r="PC6" s="242"/>
      <c r="PD6" s="242"/>
      <c r="PE6" s="243"/>
      <c r="PF6" s="235" t="s">
        <v>992</v>
      </c>
      <c r="PG6" s="236"/>
      <c r="PH6" s="236"/>
      <c r="PI6" s="236"/>
      <c r="PJ6" s="236"/>
      <c r="PK6" s="236"/>
      <c r="PL6" s="236"/>
      <c r="PM6" s="236"/>
      <c r="PN6" s="236"/>
      <c r="PO6" s="236"/>
      <c r="PP6" s="236"/>
      <c r="PQ6" s="236"/>
      <c r="PR6" s="236"/>
      <c r="PS6" s="236"/>
      <c r="PT6" s="236"/>
      <c r="PU6" s="236"/>
      <c r="PV6" s="236"/>
      <c r="PW6" s="237"/>
      <c r="PX6" s="241" t="s">
        <v>990</v>
      </c>
      <c r="PY6" s="242"/>
      <c r="PZ6" s="242"/>
      <c r="QA6" s="242"/>
      <c r="QB6" s="242"/>
      <c r="QC6" s="242"/>
      <c r="QD6" s="242"/>
      <c r="QE6" s="242"/>
      <c r="QF6" s="242"/>
      <c r="QG6" s="242"/>
      <c r="QH6" s="242"/>
      <c r="QI6" s="242"/>
      <c r="QJ6" s="242"/>
      <c r="QK6" s="242"/>
      <c r="QL6" s="242"/>
      <c r="QM6" s="242"/>
      <c r="QN6" s="242"/>
      <c r="QO6" s="243"/>
    </row>
    <row r="7" spans="1:457" ht="15.75" customHeight="1" x14ac:dyDescent="0.25">
      <c r="B7" s="248"/>
      <c r="C7" s="251"/>
      <c r="D7" s="22"/>
      <c r="E7" s="23"/>
      <c r="F7" s="219" t="s">
        <v>320</v>
      </c>
      <c r="G7" s="219" t="s">
        <v>322</v>
      </c>
      <c r="H7" s="238" t="s">
        <v>257</v>
      </c>
      <c r="I7" s="219" t="s">
        <v>258</v>
      </c>
      <c r="J7" s="219" t="s">
        <v>259</v>
      </c>
      <c r="K7" s="219" t="s">
        <v>260</v>
      </c>
      <c r="L7" s="224" t="s">
        <v>261</v>
      </c>
      <c r="M7" s="219" t="s">
        <v>262</v>
      </c>
      <c r="N7" s="219" t="s">
        <v>272</v>
      </c>
      <c r="O7" s="219" t="s">
        <v>263</v>
      </c>
      <c r="P7" s="219" t="s">
        <v>264</v>
      </c>
      <c r="Q7" s="219" t="s">
        <v>271</v>
      </c>
      <c r="R7" s="219" t="s">
        <v>260</v>
      </c>
      <c r="S7" s="219" t="s">
        <v>265</v>
      </c>
      <c r="T7" s="224" t="s">
        <v>266</v>
      </c>
      <c r="U7" s="219" t="s">
        <v>267</v>
      </c>
      <c r="V7" s="219" t="s">
        <v>321</v>
      </c>
      <c r="W7" s="226" t="s">
        <v>268</v>
      </c>
      <c r="X7" s="229" t="s">
        <v>313</v>
      </c>
      <c r="Y7" s="232" t="s">
        <v>994</v>
      </c>
      <c r="Z7" s="229" t="s">
        <v>257</v>
      </c>
      <c r="AA7" s="229" t="s">
        <v>258</v>
      </c>
      <c r="AB7" s="229" t="s">
        <v>259</v>
      </c>
      <c r="AC7" s="229" t="s">
        <v>260</v>
      </c>
      <c r="AD7" s="229" t="s">
        <v>261</v>
      </c>
      <c r="AE7" s="229" t="s">
        <v>262</v>
      </c>
      <c r="AF7" s="229" t="s">
        <v>272</v>
      </c>
      <c r="AG7" s="229" t="s">
        <v>263</v>
      </c>
      <c r="AH7" s="229" t="s">
        <v>264</v>
      </c>
      <c r="AI7" s="229" t="s">
        <v>271</v>
      </c>
      <c r="AJ7" s="229" t="s">
        <v>260</v>
      </c>
      <c r="AK7" s="229" t="s">
        <v>265</v>
      </c>
      <c r="AL7" s="229" t="s">
        <v>266</v>
      </c>
      <c r="AM7" s="229" t="s">
        <v>267</v>
      </c>
      <c r="AN7" s="229" t="s">
        <v>321</v>
      </c>
      <c r="AO7" s="229" t="s">
        <v>268</v>
      </c>
      <c r="AP7" s="229" t="s">
        <v>313</v>
      </c>
      <c r="AQ7" s="229" t="s">
        <v>994</v>
      </c>
      <c r="AR7" s="238" t="s">
        <v>257</v>
      </c>
      <c r="AS7" s="219" t="s">
        <v>258</v>
      </c>
      <c r="AT7" s="219" t="s">
        <v>259</v>
      </c>
      <c r="AU7" s="219" t="s">
        <v>260</v>
      </c>
      <c r="AV7" s="224" t="s">
        <v>261</v>
      </c>
      <c r="AW7" s="219" t="s">
        <v>262</v>
      </c>
      <c r="AX7" s="219" t="s">
        <v>272</v>
      </c>
      <c r="AY7" s="219" t="s">
        <v>263</v>
      </c>
      <c r="AZ7" s="219" t="s">
        <v>264</v>
      </c>
      <c r="BA7" s="219" t="s">
        <v>271</v>
      </c>
      <c r="BB7" s="219" t="s">
        <v>260</v>
      </c>
      <c r="BC7" s="219" t="s">
        <v>265</v>
      </c>
      <c r="BD7" s="224" t="s">
        <v>266</v>
      </c>
      <c r="BE7" s="219" t="s">
        <v>267</v>
      </c>
      <c r="BF7" s="219" t="s">
        <v>321</v>
      </c>
      <c r="BG7" s="226" t="s">
        <v>268</v>
      </c>
      <c r="BH7" s="229" t="s">
        <v>313</v>
      </c>
      <c r="BI7" s="232" t="s">
        <v>994</v>
      </c>
      <c r="BJ7" s="238" t="s">
        <v>257</v>
      </c>
      <c r="BK7" s="219" t="s">
        <v>258</v>
      </c>
      <c r="BL7" s="219" t="s">
        <v>259</v>
      </c>
      <c r="BM7" s="219" t="s">
        <v>260</v>
      </c>
      <c r="BN7" s="224" t="s">
        <v>261</v>
      </c>
      <c r="BO7" s="219" t="s">
        <v>262</v>
      </c>
      <c r="BP7" s="219" t="s">
        <v>272</v>
      </c>
      <c r="BQ7" s="219" t="s">
        <v>263</v>
      </c>
      <c r="BR7" s="219" t="s">
        <v>264</v>
      </c>
      <c r="BS7" s="219" t="s">
        <v>271</v>
      </c>
      <c r="BT7" s="219" t="s">
        <v>260</v>
      </c>
      <c r="BU7" s="219" t="s">
        <v>265</v>
      </c>
      <c r="BV7" s="224" t="s">
        <v>266</v>
      </c>
      <c r="BW7" s="219" t="s">
        <v>267</v>
      </c>
      <c r="BX7" s="219" t="s">
        <v>321</v>
      </c>
      <c r="BY7" s="226" t="s">
        <v>268</v>
      </c>
      <c r="BZ7" s="229" t="s">
        <v>313</v>
      </c>
      <c r="CA7" s="232" t="s">
        <v>994</v>
      </c>
      <c r="CB7" s="238" t="s">
        <v>257</v>
      </c>
      <c r="CC7" s="219" t="s">
        <v>258</v>
      </c>
      <c r="CD7" s="219" t="s">
        <v>259</v>
      </c>
      <c r="CE7" s="219" t="s">
        <v>260</v>
      </c>
      <c r="CF7" s="224" t="s">
        <v>261</v>
      </c>
      <c r="CG7" s="219" t="s">
        <v>262</v>
      </c>
      <c r="CH7" s="219" t="s">
        <v>272</v>
      </c>
      <c r="CI7" s="219" t="s">
        <v>263</v>
      </c>
      <c r="CJ7" s="219" t="s">
        <v>264</v>
      </c>
      <c r="CK7" s="219" t="s">
        <v>271</v>
      </c>
      <c r="CL7" s="219" t="s">
        <v>260</v>
      </c>
      <c r="CM7" s="219" t="s">
        <v>265</v>
      </c>
      <c r="CN7" s="224" t="s">
        <v>266</v>
      </c>
      <c r="CO7" s="219" t="s">
        <v>267</v>
      </c>
      <c r="CP7" s="219" t="s">
        <v>321</v>
      </c>
      <c r="CQ7" s="226" t="s">
        <v>268</v>
      </c>
      <c r="CR7" s="229" t="s">
        <v>313</v>
      </c>
      <c r="CS7" s="232" t="s">
        <v>994</v>
      </c>
      <c r="CT7" s="238" t="s">
        <v>257</v>
      </c>
      <c r="CU7" s="219" t="s">
        <v>258</v>
      </c>
      <c r="CV7" s="219" t="s">
        <v>259</v>
      </c>
      <c r="CW7" s="219" t="s">
        <v>260</v>
      </c>
      <c r="CX7" s="224" t="s">
        <v>261</v>
      </c>
      <c r="CY7" s="219" t="s">
        <v>262</v>
      </c>
      <c r="CZ7" s="219" t="s">
        <v>272</v>
      </c>
      <c r="DA7" s="219" t="s">
        <v>263</v>
      </c>
      <c r="DB7" s="219" t="s">
        <v>264</v>
      </c>
      <c r="DC7" s="219" t="s">
        <v>271</v>
      </c>
      <c r="DD7" s="219" t="s">
        <v>260</v>
      </c>
      <c r="DE7" s="219" t="s">
        <v>265</v>
      </c>
      <c r="DF7" s="224" t="s">
        <v>266</v>
      </c>
      <c r="DG7" s="219" t="s">
        <v>267</v>
      </c>
      <c r="DH7" s="219" t="s">
        <v>321</v>
      </c>
      <c r="DI7" s="226" t="s">
        <v>268</v>
      </c>
      <c r="DJ7" s="229" t="s">
        <v>313</v>
      </c>
      <c r="DK7" s="232" t="s">
        <v>994</v>
      </c>
      <c r="DL7" s="229" t="s">
        <v>257</v>
      </c>
      <c r="DM7" s="229" t="s">
        <v>258</v>
      </c>
      <c r="DN7" s="229" t="s">
        <v>259</v>
      </c>
      <c r="DO7" s="229" t="s">
        <v>260</v>
      </c>
      <c r="DP7" s="229" t="s">
        <v>261</v>
      </c>
      <c r="DQ7" s="229" t="s">
        <v>262</v>
      </c>
      <c r="DR7" s="229" t="s">
        <v>272</v>
      </c>
      <c r="DS7" s="229" t="s">
        <v>263</v>
      </c>
      <c r="DT7" s="229" t="s">
        <v>264</v>
      </c>
      <c r="DU7" s="229" t="s">
        <v>271</v>
      </c>
      <c r="DV7" s="229" t="s">
        <v>260</v>
      </c>
      <c r="DW7" s="229" t="s">
        <v>265</v>
      </c>
      <c r="DX7" s="229" t="s">
        <v>266</v>
      </c>
      <c r="DY7" s="229" t="s">
        <v>267</v>
      </c>
      <c r="DZ7" s="229" t="s">
        <v>321</v>
      </c>
      <c r="EA7" s="229" t="s">
        <v>268</v>
      </c>
      <c r="EB7" s="229" t="s">
        <v>313</v>
      </c>
      <c r="EC7" s="229" t="s">
        <v>994</v>
      </c>
      <c r="ED7" s="238" t="s">
        <v>257</v>
      </c>
      <c r="EE7" s="219" t="s">
        <v>258</v>
      </c>
      <c r="EF7" s="219" t="s">
        <v>259</v>
      </c>
      <c r="EG7" s="219" t="s">
        <v>260</v>
      </c>
      <c r="EH7" s="224" t="s">
        <v>261</v>
      </c>
      <c r="EI7" s="219" t="s">
        <v>262</v>
      </c>
      <c r="EJ7" s="219" t="s">
        <v>272</v>
      </c>
      <c r="EK7" s="219" t="s">
        <v>263</v>
      </c>
      <c r="EL7" s="219" t="s">
        <v>264</v>
      </c>
      <c r="EM7" s="219" t="s">
        <v>271</v>
      </c>
      <c r="EN7" s="219" t="s">
        <v>260</v>
      </c>
      <c r="EO7" s="219" t="s">
        <v>265</v>
      </c>
      <c r="EP7" s="224" t="s">
        <v>266</v>
      </c>
      <c r="EQ7" s="219" t="s">
        <v>267</v>
      </c>
      <c r="ER7" s="219" t="s">
        <v>321</v>
      </c>
      <c r="ES7" s="226" t="s">
        <v>268</v>
      </c>
      <c r="ET7" s="229" t="s">
        <v>313</v>
      </c>
      <c r="EU7" s="232" t="s">
        <v>994</v>
      </c>
      <c r="EV7" s="229" t="s">
        <v>257</v>
      </c>
      <c r="EW7" s="229" t="s">
        <v>258</v>
      </c>
      <c r="EX7" s="229" t="s">
        <v>259</v>
      </c>
      <c r="EY7" s="229" t="s">
        <v>260</v>
      </c>
      <c r="EZ7" s="229" t="s">
        <v>261</v>
      </c>
      <c r="FA7" s="229" t="s">
        <v>262</v>
      </c>
      <c r="FB7" s="229" t="s">
        <v>272</v>
      </c>
      <c r="FC7" s="229" t="s">
        <v>263</v>
      </c>
      <c r="FD7" s="229" t="s">
        <v>264</v>
      </c>
      <c r="FE7" s="229" t="s">
        <v>271</v>
      </c>
      <c r="FF7" s="229" t="s">
        <v>260</v>
      </c>
      <c r="FG7" s="229" t="s">
        <v>265</v>
      </c>
      <c r="FH7" s="229" t="s">
        <v>266</v>
      </c>
      <c r="FI7" s="229" t="s">
        <v>267</v>
      </c>
      <c r="FJ7" s="229" t="s">
        <v>321</v>
      </c>
      <c r="FK7" s="229" t="s">
        <v>268</v>
      </c>
      <c r="FL7" s="229" t="s">
        <v>313</v>
      </c>
      <c r="FM7" s="229" t="s">
        <v>994</v>
      </c>
      <c r="FN7" s="238" t="s">
        <v>257</v>
      </c>
      <c r="FO7" s="219" t="s">
        <v>258</v>
      </c>
      <c r="FP7" s="219" t="s">
        <v>259</v>
      </c>
      <c r="FQ7" s="219" t="s">
        <v>260</v>
      </c>
      <c r="FR7" s="224" t="s">
        <v>261</v>
      </c>
      <c r="FS7" s="219" t="s">
        <v>262</v>
      </c>
      <c r="FT7" s="219" t="s">
        <v>272</v>
      </c>
      <c r="FU7" s="219" t="s">
        <v>263</v>
      </c>
      <c r="FV7" s="219" t="s">
        <v>264</v>
      </c>
      <c r="FW7" s="219" t="s">
        <v>271</v>
      </c>
      <c r="FX7" s="219" t="s">
        <v>260</v>
      </c>
      <c r="FY7" s="219" t="s">
        <v>265</v>
      </c>
      <c r="FZ7" s="224" t="s">
        <v>266</v>
      </c>
      <c r="GA7" s="219" t="s">
        <v>267</v>
      </c>
      <c r="GB7" s="219" t="s">
        <v>321</v>
      </c>
      <c r="GC7" s="226" t="s">
        <v>268</v>
      </c>
      <c r="GD7" s="229" t="s">
        <v>313</v>
      </c>
      <c r="GE7" s="232" t="s">
        <v>994</v>
      </c>
      <c r="GF7" s="238" t="s">
        <v>257</v>
      </c>
      <c r="GG7" s="219" t="s">
        <v>258</v>
      </c>
      <c r="GH7" s="219" t="s">
        <v>259</v>
      </c>
      <c r="GI7" s="219" t="s">
        <v>260</v>
      </c>
      <c r="GJ7" s="224" t="s">
        <v>261</v>
      </c>
      <c r="GK7" s="219" t="s">
        <v>262</v>
      </c>
      <c r="GL7" s="219" t="s">
        <v>272</v>
      </c>
      <c r="GM7" s="219" t="s">
        <v>263</v>
      </c>
      <c r="GN7" s="219" t="s">
        <v>264</v>
      </c>
      <c r="GO7" s="219" t="s">
        <v>271</v>
      </c>
      <c r="GP7" s="219" t="s">
        <v>260</v>
      </c>
      <c r="GQ7" s="219" t="s">
        <v>265</v>
      </c>
      <c r="GR7" s="224" t="s">
        <v>266</v>
      </c>
      <c r="GS7" s="219" t="s">
        <v>267</v>
      </c>
      <c r="GT7" s="219" t="s">
        <v>321</v>
      </c>
      <c r="GU7" s="226" t="s">
        <v>268</v>
      </c>
      <c r="GV7" s="229" t="s">
        <v>313</v>
      </c>
      <c r="GW7" s="232" t="s">
        <v>994</v>
      </c>
      <c r="GX7" s="238" t="s">
        <v>257</v>
      </c>
      <c r="GY7" s="219" t="s">
        <v>258</v>
      </c>
      <c r="GZ7" s="219" t="s">
        <v>259</v>
      </c>
      <c r="HA7" s="219" t="s">
        <v>260</v>
      </c>
      <c r="HB7" s="224" t="s">
        <v>261</v>
      </c>
      <c r="HC7" s="219" t="s">
        <v>262</v>
      </c>
      <c r="HD7" s="219" t="s">
        <v>272</v>
      </c>
      <c r="HE7" s="219" t="s">
        <v>263</v>
      </c>
      <c r="HF7" s="219" t="s">
        <v>264</v>
      </c>
      <c r="HG7" s="219" t="s">
        <v>271</v>
      </c>
      <c r="HH7" s="219" t="s">
        <v>260</v>
      </c>
      <c r="HI7" s="219" t="s">
        <v>265</v>
      </c>
      <c r="HJ7" s="224" t="s">
        <v>266</v>
      </c>
      <c r="HK7" s="219" t="s">
        <v>267</v>
      </c>
      <c r="HL7" s="219" t="s">
        <v>321</v>
      </c>
      <c r="HM7" s="226" t="s">
        <v>268</v>
      </c>
      <c r="HN7" s="229" t="s">
        <v>313</v>
      </c>
      <c r="HO7" s="232" t="s">
        <v>994</v>
      </c>
      <c r="HP7" s="238" t="s">
        <v>257</v>
      </c>
      <c r="HQ7" s="219" t="s">
        <v>258</v>
      </c>
      <c r="HR7" s="219" t="s">
        <v>259</v>
      </c>
      <c r="HS7" s="219" t="s">
        <v>260</v>
      </c>
      <c r="HT7" s="224" t="s">
        <v>261</v>
      </c>
      <c r="HU7" s="219" t="s">
        <v>262</v>
      </c>
      <c r="HV7" s="219" t="s">
        <v>272</v>
      </c>
      <c r="HW7" s="219" t="s">
        <v>263</v>
      </c>
      <c r="HX7" s="219" t="s">
        <v>264</v>
      </c>
      <c r="HY7" s="219" t="s">
        <v>271</v>
      </c>
      <c r="HZ7" s="219" t="s">
        <v>260</v>
      </c>
      <c r="IA7" s="219" t="s">
        <v>265</v>
      </c>
      <c r="IB7" s="224" t="s">
        <v>266</v>
      </c>
      <c r="IC7" s="219" t="s">
        <v>267</v>
      </c>
      <c r="ID7" s="219" t="s">
        <v>321</v>
      </c>
      <c r="IE7" s="226" t="s">
        <v>268</v>
      </c>
      <c r="IF7" s="229" t="s">
        <v>313</v>
      </c>
      <c r="IG7" s="232" t="s">
        <v>994</v>
      </c>
      <c r="IH7" s="238" t="s">
        <v>257</v>
      </c>
      <c r="II7" s="219" t="s">
        <v>258</v>
      </c>
      <c r="IJ7" s="219" t="s">
        <v>259</v>
      </c>
      <c r="IK7" s="219" t="s">
        <v>260</v>
      </c>
      <c r="IL7" s="224" t="s">
        <v>261</v>
      </c>
      <c r="IM7" s="219" t="s">
        <v>262</v>
      </c>
      <c r="IN7" s="219" t="s">
        <v>272</v>
      </c>
      <c r="IO7" s="219" t="s">
        <v>263</v>
      </c>
      <c r="IP7" s="219" t="s">
        <v>264</v>
      </c>
      <c r="IQ7" s="219" t="s">
        <v>271</v>
      </c>
      <c r="IR7" s="219" t="s">
        <v>260</v>
      </c>
      <c r="IS7" s="219" t="s">
        <v>265</v>
      </c>
      <c r="IT7" s="224" t="s">
        <v>266</v>
      </c>
      <c r="IU7" s="219" t="s">
        <v>267</v>
      </c>
      <c r="IV7" s="219" t="s">
        <v>321</v>
      </c>
      <c r="IW7" s="226" t="s">
        <v>268</v>
      </c>
      <c r="IX7" s="229" t="s">
        <v>313</v>
      </c>
      <c r="IY7" s="232" t="s">
        <v>994</v>
      </c>
      <c r="IZ7" s="238" t="s">
        <v>257</v>
      </c>
      <c r="JA7" s="219" t="s">
        <v>258</v>
      </c>
      <c r="JB7" s="219" t="s">
        <v>259</v>
      </c>
      <c r="JC7" s="219" t="s">
        <v>260</v>
      </c>
      <c r="JD7" s="224" t="s">
        <v>261</v>
      </c>
      <c r="JE7" s="219" t="s">
        <v>262</v>
      </c>
      <c r="JF7" s="219" t="s">
        <v>272</v>
      </c>
      <c r="JG7" s="219" t="s">
        <v>263</v>
      </c>
      <c r="JH7" s="219" t="s">
        <v>264</v>
      </c>
      <c r="JI7" s="219" t="s">
        <v>271</v>
      </c>
      <c r="JJ7" s="219" t="s">
        <v>260</v>
      </c>
      <c r="JK7" s="219" t="s">
        <v>265</v>
      </c>
      <c r="JL7" s="224" t="s">
        <v>266</v>
      </c>
      <c r="JM7" s="219" t="s">
        <v>267</v>
      </c>
      <c r="JN7" s="219" t="s">
        <v>321</v>
      </c>
      <c r="JO7" s="226" t="s">
        <v>268</v>
      </c>
      <c r="JP7" s="229" t="s">
        <v>313</v>
      </c>
      <c r="JQ7" s="232" t="s">
        <v>994</v>
      </c>
      <c r="JR7" s="238" t="s">
        <v>257</v>
      </c>
      <c r="JS7" s="219" t="s">
        <v>258</v>
      </c>
      <c r="JT7" s="219" t="s">
        <v>259</v>
      </c>
      <c r="JU7" s="219" t="s">
        <v>260</v>
      </c>
      <c r="JV7" s="224" t="s">
        <v>261</v>
      </c>
      <c r="JW7" s="219" t="s">
        <v>262</v>
      </c>
      <c r="JX7" s="219" t="s">
        <v>272</v>
      </c>
      <c r="JY7" s="219" t="s">
        <v>263</v>
      </c>
      <c r="JZ7" s="219" t="s">
        <v>264</v>
      </c>
      <c r="KA7" s="219" t="s">
        <v>271</v>
      </c>
      <c r="KB7" s="219" t="s">
        <v>260</v>
      </c>
      <c r="KC7" s="219" t="s">
        <v>265</v>
      </c>
      <c r="KD7" s="224" t="s">
        <v>266</v>
      </c>
      <c r="KE7" s="219" t="s">
        <v>267</v>
      </c>
      <c r="KF7" s="219" t="s">
        <v>321</v>
      </c>
      <c r="KG7" s="226" t="s">
        <v>268</v>
      </c>
      <c r="KH7" s="229" t="s">
        <v>313</v>
      </c>
      <c r="KI7" s="232" t="s">
        <v>994</v>
      </c>
      <c r="KJ7" s="238" t="s">
        <v>257</v>
      </c>
      <c r="KK7" s="219" t="s">
        <v>258</v>
      </c>
      <c r="KL7" s="219" t="s">
        <v>259</v>
      </c>
      <c r="KM7" s="219" t="s">
        <v>260</v>
      </c>
      <c r="KN7" s="224" t="s">
        <v>261</v>
      </c>
      <c r="KO7" s="219" t="s">
        <v>262</v>
      </c>
      <c r="KP7" s="219" t="s">
        <v>272</v>
      </c>
      <c r="KQ7" s="219" t="s">
        <v>263</v>
      </c>
      <c r="KR7" s="219" t="s">
        <v>264</v>
      </c>
      <c r="KS7" s="219" t="s">
        <v>271</v>
      </c>
      <c r="KT7" s="219" t="s">
        <v>260</v>
      </c>
      <c r="KU7" s="219" t="s">
        <v>265</v>
      </c>
      <c r="KV7" s="224" t="s">
        <v>266</v>
      </c>
      <c r="KW7" s="219" t="s">
        <v>267</v>
      </c>
      <c r="KX7" s="219" t="s">
        <v>321</v>
      </c>
      <c r="KY7" s="226" t="s">
        <v>268</v>
      </c>
      <c r="KZ7" s="229" t="s">
        <v>313</v>
      </c>
      <c r="LA7" s="232" t="s">
        <v>994</v>
      </c>
      <c r="LB7" s="238" t="s">
        <v>257</v>
      </c>
      <c r="LC7" s="219" t="s">
        <v>258</v>
      </c>
      <c r="LD7" s="219" t="s">
        <v>259</v>
      </c>
      <c r="LE7" s="219" t="s">
        <v>260</v>
      </c>
      <c r="LF7" s="224" t="s">
        <v>261</v>
      </c>
      <c r="LG7" s="219" t="s">
        <v>262</v>
      </c>
      <c r="LH7" s="219" t="s">
        <v>272</v>
      </c>
      <c r="LI7" s="219" t="s">
        <v>263</v>
      </c>
      <c r="LJ7" s="219" t="s">
        <v>264</v>
      </c>
      <c r="LK7" s="219" t="s">
        <v>271</v>
      </c>
      <c r="LL7" s="219" t="s">
        <v>260</v>
      </c>
      <c r="LM7" s="219" t="s">
        <v>265</v>
      </c>
      <c r="LN7" s="224" t="s">
        <v>266</v>
      </c>
      <c r="LO7" s="219" t="s">
        <v>267</v>
      </c>
      <c r="LP7" s="219" t="s">
        <v>321</v>
      </c>
      <c r="LQ7" s="226" t="s">
        <v>268</v>
      </c>
      <c r="LR7" s="229" t="s">
        <v>313</v>
      </c>
      <c r="LS7" s="232" t="s">
        <v>994</v>
      </c>
      <c r="LT7" s="238" t="s">
        <v>257</v>
      </c>
      <c r="LU7" s="219" t="s">
        <v>258</v>
      </c>
      <c r="LV7" s="219" t="s">
        <v>259</v>
      </c>
      <c r="LW7" s="219" t="s">
        <v>260</v>
      </c>
      <c r="LX7" s="224" t="s">
        <v>261</v>
      </c>
      <c r="LY7" s="219" t="s">
        <v>262</v>
      </c>
      <c r="LZ7" s="219" t="s">
        <v>272</v>
      </c>
      <c r="MA7" s="219" t="s">
        <v>263</v>
      </c>
      <c r="MB7" s="219" t="s">
        <v>264</v>
      </c>
      <c r="MC7" s="219" t="s">
        <v>271</v>
      </c>
      <c r="MD7" s="219" t="s">
        <v>260</v>
      </c>
      <c r="ME7" s="219" t="s">
        <v>265</v>
      </c>
      <c r="MF7" s="224" t="s">
        <v>266</v>
      </c>
      <c r="MG7" s="219" t="s">
        <v>267</v>
      </c>
      <c r="MH7" s="219" t="s">
        <v>321</v>
      </c>
      <c r="MI7" s="226" t="s">
        <v>268</v>
      </c>
      <c r="MJ7" s="229" t="s">
        <v>313</v>
      </c>
      <c r="MK7" s="232" t="s">
        <v>994</v>
      </c>
      <c r="ML7" s="238" t="s">
        <v>257</v>
      </c>
      <c r="MM7" s="219" t="s">
        <v>258</v>
      </c>
      <c r="MN7" s="219" t="s">
        <v>259</v>
      </c>
      <c r="MO7" s="219" t="s">
        <v>260</v>
      </c>
      <c r="MP7" s="224" t="s">
        <v>261</v>
      </c>
      <c r="MQ7" s="219" t="s">
        <v>262</v>
      </c>
      <c r="MR7" s="219" t="s">
        <v>272</v>
      </c>
      <c r="MS7" s="219" t="s">
        <v>263</v>
      </c>
      <c r="MT7" s="219" t="s">
        <v>264</v>
      </c>
      <c r="MU7" s="219" t="s">
        <v>271</v>
      </c>
      <c r="MV7" s="219" t="s">
        <v>260</v>
      </c>
      <c r="MW7" s="219" t="s">
        <v>265</v>
      </c>
      <c r="MX7" s="224" t="s">
        <v>266</v>
      </c>
      <c r="MY7" s="219" t="s">
        <v>267</v>
      </c>
      <c r="MZ7" s="219" t="s">
        <v>321</v>
      </c>
      <c r="NA7" s="226" t="s">
        <v>268</v>
      </c>
      <c r="NB7" s="229" t="s">
        <v>313</v>
      </c>
      <c r="NC7" s="232" t="s">
        <v>994</v>
      </c>
      <c r="ND7" s="238" t="s">
        <v>257</v>
      </c>
      <c r="NE7" s="219" t="s">
        <v>258</v>
      </c>
      <c r="NF7" s="219" t="s">
        <v>259</v>
      </c>
      <c r="NG7" s="219" t="s">
        <v>260</v>
      </c>
      <c r="NH7" s="224" t="s">
        <v>261</v>
      </c>
      <c r="NI7" s="219" t="s">
        <v>262</v>
      </c>
      <c r="NJ7" s="219" t="s">
        <v>272</v>
      </c>
      <c r="NK7" s="219" t="s">
        <v>263</v>
      </c>
      <c r="NL7" s="219" t="s">
        <v>264</v>
      </c>
      <c r="NM7" s="219" t="s">
        <v>271</v>
      </c>
      <c r="NN7" s="219" t="s">
        <v>260</v>
      </c>
      <c r="NO7" s="219" t="s">
        <v>265</v>
      </c>
      <c r="NP7" s="224" t="s">
        <v>266</v>
      </c>
      <c r="NQ7" s="219" t="s">
        <v>267</v>
      </c>
      <c r="NR7" s="219" t="s">
        <v>321</v>
      </c>
      <c r="NS7" s="226" t="s">
        <v>268</v>
      </c>
      <c r="NT7" s="229" t="s">
        <v>313</v>
      </c>
      <c r="NU7" s="232" t="s">
        <v>994</v>
      </c>
      <c r="NV7" s="238" t="s">
        <v>257</v>
      </c>
      <c r="NW7" s="219" t="s">
        <v>258</v>
      </c>
      <c r="NX7" s="219" t="s">
        <v>259</v>
      </c>
      <c r="NY7" s="219" t="s">
        <v>260</v>
      </c>
      <c r="NZ7" s="224" t="s">
        <v>261</v>
      </c>
      <c r="OA7" s="219" t="s">
        <v>262</v>
      </c>
      <c r="OB7" s="219" t="s">
        <v>272</v>
      </c>
      <c r="OC7" s="219" t="s">
        <v>263</v>
      </c>
      <c r="OD7" s="219" t="s">
        <v>264</v>
      </c>
      <c r="OE7" s="219" t="s">
        <v>271</v>
      </c>
      <c r="OF7" s="219" t="s">
        <v>260</v>
      </c>
      <c r="OG7" s="219" t="s">
        <v>265</v>
      </c>
      <c r="OH7" s="224" t="s">
        <v>266</v>
      </c>
      <c r="OI7" s="219" t="s">
        <v>267</v>
      </c>
      <c r="OJ7" s="219" t="s">
        <v>321</v>
      </c>
      <c r="OK7" s="226" t="s">
        <v>268</v>
      </c>
      <c r="OL7" s="229" t="s">
        <v>313</v>
      </c>
      <c r="OM7" s="232" t="s">
        <v>994</v>
      </c>
      <c r="ON7" s="238" t="s">
        <v>257</v>
      </c>
      <c r="OO7" s="219" t="s">
        <v>258</v>
      </c>
      <c r="OP7" s="219" t="s">
        <v>259</v>
      </c>
      <c r="OQ7" s="219" t="s">
        <v>260</v>
      </c>
      <c r="OR7" s="224" t="s">
        <v>261</v>
      </c>
      <c r="OS7" s="219" t="s">
        <v>262</v>
      </c>
      <c r="OT7" s="219" t="s">
        <v>272</v>
      </c>
      <c r="OU7" s="219" t="s">
        <v>263</v>
      </c>
      <c r="OV7" s="219" t="s">
        <v>264</v>
      </c>
      <c r="OW7" s="219" t="s">
        <v>271</v>
      </c>
      <c r="OX7" s="219" t="s">
        <v>260</v>
      </c>
      <c r="OY7" s="219" t="s">
        <v>265</v>
      </c>
      <c r="OZ7" s="224" t="s">
        <v>266</v>
      </c>
      <c r="PA7" s="219" t="s">
        <v>267</v>
      </c>
      <c r="PB7" s="219" t="s">
        <v>321</v>
      </c>
      <c r="PC7" s="226" t="s">
        <v>268</v>
      </c>
      <c r="PD7" s="229" t="s">
        <v>313</v>
      </c>
      <c r="PE7" s="232" t="s">
        <v>994</v>
      </c>
      <c r="PF7" s="238" t="s">
        <v>257</v>
      </c>
      <c r="PG7" s="219" t="s">
        <v>258</v>
      </c>
      <c r="PH7" s="219" t="s">
        <v>259</v>
      </c>
      <c r="PI7" s="219" t="s">
        <v>260</v>
      </c>
      <c r="PJ7" s="224" t="s">
        <v>261</v>
      </c>
      <c r="PK7" s="219" t="s">
        <v>262</v>
      </c>
      <c r="PL7" s="219" t="s">
        <v>272</v>
      </c>
      <c r="PM7" s="219" t="s">
        <v>263</v>
      </c>
      <c r="PN7" s="219" t="s">
        <v>264</v>
      </c>
      <c r="PO7" s="219" t="s">
        <v>271</v>
      </c>
      <c r="PP7" s="219" t="s">
        <v>260</v>
      </c>
      <c r="PQ7" s="219" t="s">
        <v>265</v>
      </c>
      <c r="PR7" s="224" t="s">
        <v>266</v>
      </c>
      <c r="PS7" s="219" t="s">
        <v>267</v>
      </c>
      <c r="PT7" s="219" t="s">
        <v>321</v>
      </c>
      <c r="PU7" s="226" t="s">
        <v>268</v>
      </c>
      <c r="PV7" s="229" t="s">
        <v>313</v>
      </c>
      <c r="PW7" s="232" t="s">
        <v>994</v>
      </c>
      <c r="PX7" s="238" t="s">
        <v>257</v>
      </c>
      <c r="PY7" s="219" t="s">
        <v>258</v>
      </c>
      <c r="PZ7" s="219" t="s">
        <v>259</v>
      </c>
      <c r="QA7" s="219" t="s">
        <v>260</v>
      </c>
      <c r="QB7" s="224" t="s">
        <v>261</v>
      </c>
      <c r="QC7" s="219" t="s">
        <v>262</v>
      </c>
      <c r="QD7" s="219" t="s">
        <v>272</v>
      </c>
      <c r="QE7" s="219" t="s">
        <v>263</v>
      </c>
      <c r="QF7" s="219" t="s">
        <v>264</v>
      </c>
      <c r="QG7" s="219" t="s">
        <v>271</v>
      </c>
      <c r="QH7" s="219" t="s">
        <v>260</v>
      </c>
      <c r="QI7" s="219" t="s">
        <v>265</v>
      </c>
      <c r="QJ7" s="224" t="s">
        <v>266</v>
      </c>
      <c r="QK7" s="219" t="s">
        <v>267</v>
      </c>
      <c r="QL7" s="219" t="s">
        <v>321</v>
      </c>
      <c r="QM7" s="226" t="s">
        <v>268</v>
      </c>
      <c r="QN7" s="229" t="s">
        <v>313</v>
      </c>
      <c r="QO7" s="232" t="s">
        <v>994</v>
      </c>
    </row>
    <row r="8" spans="1:457" ht="15.75" x14ac:dyDescent="0.25">
      <c r="B8" s="248"/>
      <c r="C8" s="251"/>
      <c r="D8" s="22"/>
      <c r="E8" s="23"/>
      <c r="F8" s="222"/>
      <c r="G8" s="222"/>
      <c r="H8" s="239"/>
      <c r="I8" s="220"/>
      <c r="J8" s="222"/>
      <c r="K8" s="222"/>
      <c r="L8" s="224"/>
      <c r="M8" s="220"/>
      <c r="N8" s="220"/>
      <c r="O8" s="220"/>
      <c r="P8" s="222"/>
      <c r="Q8" s="220"/>
      <c r="R8" s="222"/>
      <c r="S8" s="222"/>
      <c r="T8" s="224"/>
      <c r="U8" s="222"/>
      <c r="V8" s="222"/>
      <c r="W8" s="227"/>
      <c r="X8" s="230"/>
      <c r="Y8" s="233"/>
      <c r="Z8" s="230"/>
      <c r="AA8" s="230"/>
      <c r="AB8" s="230"/>
      <c r="AC8" s="230"/>
      <c r="AD8" s="230"/>
      <c r="AE8" s="230"/>
      <c r="AF8" s="230"/>
      <c r="AG8" s="230"/>
      <c r="AH8" s="230"/>
      <c r="AI8" s="230"/>
      <c r="AJ8" s="230"/>
      <c r="AK8" s="230"/>
      <c r="AL8" s="230"/>
      <c r="AM8" s="230"/>
      <c r="AN8" s="230"/>
      <c r="AO8" s="230"/>
      <c r="AP8" s="230"/>
      <c r="AQ8" s="230"/>
      <c r="AR8" s="239"/>
      <c r="AS8" s="220"/>
      <c r="AT8" s="222"/>
      <c r="AU8" s="222"/>
      <c r="AV8" s="224"/>
      <c r="AW8" s="220"/>
      <c r="AX8" s="220"/>
      <c r="AY8" s="220"/>
      <c r="AZ8" s="222"/>
      <c r="BA8" s="220"/>
      <c r="BB8" s="222"/>
      <c r="BC8" s="222"/>
      <c r="BD8" s="224"/>
      <c r="BE8" s="222"/>
      <c r="BF8" s="222"/>
      <c r="BG8" s="227"/>
      <c r="BH8" s="230"/>
      <c r="BI8" s="233"/>
      <c r="BJ8" s="239"/>
      <c r="BK8" s="220"/>
      <c r="BL8" s="222"/>
      <c r="BM8" s="222"/>
      <c r="BN8" s="224"/>
      <c r="BO8" s="220"/>
      <c r="BP8" s="220"/>
      <c r="BQ8" s="220"/>
      <c r="BR8" s="222"/>
      <c r="BS8" s="220"/>
      <c r="BT8" s="222"/>
      <c r="BU8" s="222"/>
      <c r="BV8" s="224"/>
      <c r="BW8" s="222"/>
      <c r="BX8" s="222"/>
      <c r="BY8" s="227"/>
      <c r="BZ8" s="230"/>
      <c r="CA8" s="233"/>
      <c r="CB8" s="239"/>
      <c r="CC8" s="220"/>
      <c r="CD8" s="222"/>
      <c r="CE8" s="222"/>
      <c r="CF8" s="224"/>
      <c r="CG8" s="220"/>
      <c r="CH8" s="220"/>
      <c r="CI8" s="220"/>
      <c r="CJ8" s="222"/>
      <c r="CK8" s="220"/>
      <c r="CL8" s="222"/>
      <c r="CM8" s="222"/>
      <c r="CN8" s="224"/>
      <c r="CO8" s="222"/>
      <c r="CP8" s="222"/>
      <c r="CQ8" s="227"/>
      <c r="CR8" s="230"/>
      <c r="CS8" s="233"/>
      <c r="CT8" s="239"/>
      <c r="CU8" s="220"/>
      <c r="CV8" s="222"/>
      <c r="CW8" s="222"/>
      <c r="CX8" s="224"/>
      <c r="CY8" s="220"/>
      <c r="CZ8" s="220"/>
      <c r="DA8" s="220"/>
      <c r="DB8" s="222"/>
      <c r="DC8" s="220"/>
      <c r="DD8" s="222"/>
      <c r="DE8" s="222"/>
      <c r="DF8" s="224"/>
      <c r="DG8" s="222"/>
      <c r="DH8" s="222"/>
      <c r="DI8" s="227"/>
      <c r="DJ8" s="230"/>
      <c r="DK8" s="233"/>
      <c r="DL8" s="230"/>
      <c r="DM8" s="230"/>
      <c r="DN8" s="230"/>
      <c r="DO8" s="230"/>
      <c r="DP8" s="230"/>
      <c r="DQ8" s="230"/>
      <c r="DR8" s="230"/>
      <c r="DS8" s="230"/>
      <c r="DT8" s="230"/>
      <c r="DU8" s="230"/>
      <c r="DV8" s="230"/>
      <c r="DW8" s="230"/>
      <c r="DX8" s="230"/>
      <c r="DY8" s="230"/>
      <c r="DZ8" s="230"/>
      <c r="EA8" s="230"/>
      <c r="EB8" s="230"/>
      <c r="EC8" s="230"/>
      <c r="ED8" s="239"/>
      <c r="EE8" s="220"/>
      <c r="EF8" s="222"/>
      <c r="EG8" s="222"/>
      <c r="EH8" s="224"/>
      <c r="EI8" s="220"/>
      <c r="EJ8" s="220"/>
      <c r="EK8" s="220"/>
      <c r="EL8" s="222"/>
      <c r="EM8" s="220"/>
      <c r="EN8" s="222"/>
      <c r="EO8" s="222"/>
      <c r="EP8" s="224"/>
      <c r="EQ8" s="222"/>
      <c r="ER8" s="222"/>
      <c r="ES8" s="227"/>
      <c r="ET8" s="230"/>
      <c r="EU8" s="233"/>
      <c r="EV8" s="230"/>
      <c r="EW8" s="230"/>
      <c r="EX8" s="230"/>
      <c r="EY8" s="230"/>
      <c r="EZ8" s="230"/>
      <c r="FA8" s="230"/>
      <c r="FB8" s="230"/>
      <c r="FC8" s="230"/>
      <c r="FD8" s="230"/>
      <c r="FE8" s="230"/>
      <c r="FF8" s="230"/>
      <c r="FG8" s="230"/>
      <c r="FH8" s="230"/>
      <c r="FI8" s="230"/>
      <c r="FJ8" s="230"/>
      <c r="FK8" s="230"/>
      <c r="FL8" s="230"/>
      <c r="FM8" s="230"/>
      <c r="FN8" s="239"/>
      <c r="FO8" s="220"/>
      <c r="FP8" s="222"/>
      <c r="FQ8" s="222"/>
      <c r="FR8" s="224"/>
      <c r="FS8" s="220"/>
      <c r="FT8" s="220"/>
      <c r="FU8" s="220"/>
      <c r="FV8" s="222"/>
      <c r="FW8" s="220"/>
      <c r="FX8" s="222"/>
      <c r="FY8" s="222"/>
      <c r="FZ8" s="224"/>
      <c r="GA8" s="222"/>
      <c r="GB8" s="222"/>
      <c r="GC8" s="227"/>
      <c r="GD8" s="230"/>
      <c r="GE8" s="233"/>
      <c r="GF8" s="239"/>
      <c r="GG8" s="220"/>
      <c r="GH8" s="222"/>
      <c r="GI8" s="222"/>
      <c r="GJ8" s="224"/>
      <c r="GK8" s="220"/>
      <c r="GL8" s="220"/>
      <c r="GM8" s="220"/>
      <c r="GN8" s="222"/>
      <c r="GO8" s="220"/>
      <c r="GP8" s="222"/>
      <c r="GQ8" s="222"/>
      <c r="GR8" s="224"/>
      <c r="GS8" s="222"/>
      <c r="GT8" s="222"/>
      <c r="GU8" s="227"/>
      <c r="GV8" s="230"/>
      <c r="GW8" s="233"/>
      <c r="GX8" s="239"/>
      <c r="GY8" s="220"/>
      <c r="GZ8" s="222"/>
      <c r="HA8" s="222"/>
      <c r="HB8" s="224"/>
      <c r="HC8" s="220"/>
      <c r="HD8" s="220"/>
      <c r="HE8" s="220"/>
      <c r="HF8" s="222"/>
      <c r="HG8" s="220"/>
      <c r="HH8" s="222"/>
      <c r="HI8" s="222"/>
      <c r="HJ8" s="224"/>
      <c r="HK8" s="222"/>
      <c r="HL8" s="222"/>
      <c r="HM8" s="227"/>
      <c r="HN8" s="230"/>
      <c r="HO8" s="233"/>
      <c r="HP8" s="239"/>
      <c r="HQ8" s="220"/>
      <c r="HR8" s="222"/>
      <c r="HS8" s="222"/>
      <c r="HT8" s="224"/>
      <c r="HU8" s="220"/>
      <c r="HV8" s="220"/>
      <c r="HW8" s="220"/>
      <c r="HX8" s="222"/>
      <c r="HY8" s="220"/>
      <c r="HZ8" s="222"/>
      <c r="IA8" s="222"/>
      <c r="IB8" s="224"/>
      <c r="IC8" s="222"/>
      <c r="ID8" s="222"/>
      <c r="IE8" s="227"/>
      <c r="IF8" s="230"/>
      <c r="IG8" s="233"/>
      <c r="IH8" s="239"/>
      <c r="II8" s="220"/>
      <c r="IJ8" s="222"/>
      <c r="IK8" s="222"/>
      <c r="IL8" s="224"/>
      <c r="IM8" s="220"/>
      <c r="IN8" s="220"/>
      <c r="IO8" s="220"/>
      <c r="IP8" s="222"/>
      <c r="IQ8" s="220"/>
      <c r="IR8" s="222"/>
      <c r="IS8" s="222"/>
      <c r="IT8" s="224"/>
      <c r="IU8" s="222"/>
      <c r="IV8" s="222"/>
      <c r="IW8" s="227"/>
      <c r="IX8" s="230"/>
      <c r="IY8" s="233"/>
      <c r="IZ8" s="239"/>
      <c r="JA8" s="220"/>
      <c r="JB8" s="222"/>
      <c r="JC8" s="222"/>
      <c r="JD8" s="224"/>
      <c r="JE8" s="220"/>
      <c r="JF8" s="220"/>
      <c r="JG8" s="220"/>
      <c r="JH8" s="222"/>
      <c r="JI8" s="220"/>
      <c r="JJ8" s="222"/>
      <c r="JK8" s="222"/>
      <c r="JL8" s="224"/>
      <c r="JM8" s="222"/>
      <c r="JN8" s="222"/>
      <c r="JO8" s="227"/>
      <c r="JP8" s="230"/>
      <c r="JQ8" s="233"/>
      <c r="JR8" s="239"/>
      <c r="JS8" s="220"/>
      <c r="JT8" s="222"/>
      <c r="JU8" s="222"/>
      <c r="JV8" s="224"/>
      <c r="JW8" s="220"/>
      <c r="JX8" s="220"/>
      <c r="JY8" s="220"/>
      <c r="JZ8" s="222"/>
      <c r="KA8" s="220"/>
      <c r="KB8" s="222"/>
      <c r="KC8" s="222"/>
      <c r="KD8" s="224"/>
      <c r="KE8" s="222"/>
      <c r="KF8" s="222"/>
      <c r="KG8" s="227"/>
      <c r="KH8" s="230"/>
      <c r="KI8" s="233"/>
      <c r="KJ8" s="239"/>
      <c r="KK8" s="220"/>
      <c r="KL8" s="222"/>
      <c r="KM8" s="222"/>
      <c r="KN8" s="224"/>
      <c r="KO8" s="220"/>
      <c r="KP8" s="220"/>
      <c r="KQ8" s="220"/>
      <c r="KR8" s="222"/>
      <c r="KS8" s="220"/>
      <c r="KT8" s="222"/>
      <c r="KU8" s="222"/>
      <c r="KV8" s="224"/>
      <c r="KW8" s="222"/>
      <c r="KX8" s="222"/>
      <c r="KY8" s="227"/>
      <c r="KZ8" s="230"/>
      <c r="LA8" s="233"/>
      <c r="LB8" s="239"/>
      <c r="LC8" s="220"/>
      <c r="LD8" s="222"/>
      <c r="LE8" s="222"/>
      <c r="LF8" s="224"/>
      <c r="LG8" s="220"/>
      <c r="LH8" s="220"/>
      <c r="LI8" s="220"/>
      <c r="LJ8" s="222"/>
      <c r="LK8" s="220"/>
      <c r="LL8" s="222"/>
      <c r="LM8" s="222"/>
      <c r="LN8" s="224"/>
      <c r="LO8" s="222"/>
      <c r="LP8" s="222"/>
      <c r="LQ8" s="227"/>
      <c r="LR8" s="230"/>
      <c r="LS8" s="233"/>
      <c r="LT8" s="239"/>
      <c r="LU8" s="220"/>
      <c r="LV8" s="222"/>
      <c r="LW8" s="222"/>
      <c r="LX8" s="224"/>
      <c r="LY8" s="220"/>
      <c r="LZ8" s="220"/>
      <c r="MA8" s="220"/>
      <c r="MB8" s="222"/>
      <c r="MC8" s="220"/>
      <c r="MD8" s="222"/>
      <c r="ME8" s="222"/>
      <c r="MF8" s="224"/>
      <c r="MG8" s="222"/>
      <c r="MH8" s="222"/>
      <c r="MI8" s="227"/>
      <c r="MJ8" s="230"/>
      <c r="MK8" s="233"/>
      <c r="ML8" s="239"/>
      <c r="MM8" s="220"/>
      <c r="MN8" s="222"/>
      <c r="MO8" s="222"/>
      <c r="MP8" s="224"/>
      <c r="MQ8" s="220"/>
      <c r="MR8" s="220"/>
      <c r="MS8" s="220"/>
      <c r="MT8" s="222"/>
      <c r="MU8" s="220"/>
      <c r="MV8" s="222"/>
      <c r="MW8" s="222"/>
      <c r="MX8" s="224"/>
      <c r="MY8" s="222"/>
      <c r="MZ8" s="222"/>
      <c r="NA8" s="227"/>
      <c r="NB8" s="230"/>
      <c r="NC8" s="233"/>
      <c r="ND8" s="239"/>
      <c r="NE8" s="220"/>
      <c r="NF8" s="222"/>
      <c r="NG8" s="222"/>
      <c r="NH8" s="224"/>
      <c r="NI8" s="220"/>
      <c r="NJ8" s="220"/>
      <c r="NK8" s="220"/>
      <c r="NL8" s="222"/>
      <c r="NM8" s="220"/>
      <c r="NN8" s="222"/>
      <c r="NO8" s="222"/>
      <c r="NP8" s="224"/>
      <c r="NQ8" s="222"/>
      <c r="NR8" s="222"/>
      <c r="NS8" s="227"/>
      <c r="NT8" s="230"/>
      <c r="NU8" s="233"/>
      <c r="NV8" s="239"/>
      <c r="NW8" s="220"/>
      <c r="NX8" s="222"/>
      <c r="NY8" s="222"/>
      <c r="NZ8" s="224"/>
      <c r="OA8" s="220"/>
      <c r="OB8" s="220"/>
      <c r="OC8" s="220"/>
      <c r="OD8" s="222"/>
      <c r="OE8" s="220"/>
      <c r="OF8" s="222"/>
      <c r="OG8" s="222"/>
      <c r="OH8" s="224"/>
      <c r="OI8" s="222"/>
      <c r="OJ8" s="222"/>
      <c r="OK8" s="227"/>
      <c r="OL8" s="230"/>
      <c r="OM8" s="233"/>
      <c r="ON8" s="239"/>
      <c r="OO8" s="220"/>
      <c r="OP8" s="222"/>
      <c r="OQ8" s="222"/>
      <c r="OR8" s="224"/>
      <c r="OS8" s="220"/>
      <c r="OT8" s="220"/>
      <c r="OU8" s="220"/>
      <c r="OV8" s="222"/>
      <c r="OW8" s="220"/>
      <c r="OX8" s="222"/>
      <c r="OY8" s="222"/>
      <c r="OZ8" s="224"/>
      <c r="PA8" s="222"/>
      <c r="PB8" s="222"/>
      <c r="PC8" s="227"/>
      <c r="PD8" s="230"/>
      <c r="PE8" s="233"/>
      <c r="PF8" s="239"/>
      <c r="PG8" s="220"/>
      <c r="PH8" s="222"/>
      <c r="PI8" s="222"/>
      <c r="PJ8" s="224"/>
      <c r="PK8" s="220"/>
      <c r="PL8" s="220"/>
      <c r="PM8" s="220"/>
      <c r="PN8" s="222"/>
      <c r="PO8" s="220"/>
      <c r="PP8" s="222"/>
      <c r="PQ8" s="222"/>
      <c r="PR8" s="224"/>
      <c r="PS8" s="222"/>
      <c r="PT8" s="222"/>
      <c r="PU8" s="227"/>
      <c r="PV8" s="230"/>
      <c r="PW8" s="233"/>
      <c r="PX8" s="239"/>
      <c r="PY8" s="220"/>
      <c r="PZ8" s="222"/>
      <c r="QA8" s="222"/>
      <c r="QB8" s="224"/>
      <c r="QC8" s="220"/>
      <c r="QD8" s="220"/>
      <c r="QE8" s="220"/>
      <c r="QF8" s="222"/>
      <c r="QG8" s="220"/>
      <c r="QH8" s="222"/>
      <c r="QI8" s="222"/>
      <c r="QJ8" s="224"/>
      <c r="QK8" s="222"/>
      <c r="QL8" s="222"/>
      <c r="QM8" s="227"/>
      <c r="QN8" s="230"/>
      <c r="QO8" s="233"/>
    </row>
    <row r="9" spans="1:457" ht="15.75" x14ac:dyDescent="0.25">
      <c r="B9" s="248"/>
      <c r="C9" s="251"/>
      <c r="D9" s="22"/>
      <c r="E9" s="23"/>
      <c r="F9" s="222"/>
      <c r="G9" s="222"/>
      <c r="H9" s="239"/>
      <c r="I9" s="220"/>
      <c r="J9" s="222"/>
      <c r="K9" s="222"/>
      <c r="L9" s="224"/>
      <c r="M9" s="220"/>
      <c r="N9" s="220"/>
      <c r="O9" s="220"/>
      <c r="P9" s="222"/>
      <c r="Q9" s="220"/>
      <c r="R9" s="222"/>
      <c r="S9" s="222"/>
      <c r="T9" s="224"/>
      <c r="U9" s="222"/>
      <c r="V9" s="222"/>
      <c r="W9" s="227"/>
      <c r="X9" s="230"/>
      <c r="Y9" s="233"/>
      <c r="Z9" s="230"/>
      <c r="AA9" s="230"/>
      <c r="AB9" s="230"/>
      <c r="AC9" s="230"/>
      <c r="AD9" s="230"/>
      <c r="AE9" s="230"/>
      <c r="AF9" s="230"/>
      <c r="AG9" s="230"/>
      <c r="AH9" s="230"/>
      <c r="AI9" s="230"/>
      <c r="AJ9" s="230"/>
      <c r="AK9" s="230"/>
      <c r="AL9" s="230"/>
      <c r="AM9" s="230"/>
      <c r="AN9" s="230"/>
      <c r="AO9" s="230"/>
      <c r="AP9" s="230"/>
      <c r="AQ9" s="230"/>
      <c r="AR9" s="239"/>
      <c r="AS9" s="220"/>
      <c r="AT9" s="222"/>
      <c r="AU9" s="222"/>
      <c r="AV9" s="224"/>
      <c r="AW9" s="220"/>
      <c r="AX9" s="220"/>
      <c r="AY9" s="220"/>
      <c r="AZ9" s="222"/>
      <c r="BA9" s="220"/>
      <c r="BB9" s="222"/>
      <c r="BC9" s="222"/>
      <c r="BD9" s="224"/>
      <c r="BE9" s="222"/>
      <c r="BF9" s="222"/>
      <c r="BG9" s="227"/>
      <c r="BH9" s="230"/>
      <c r="BI9" s="233"/>
      <c r="BJ9" s="239"/>
      <c r="BK9" s="220"/>
      <c r="BL9" s="222"/>
      <c r="BM9" s="222"/>
      <c r="BN9" s="224"/>
      <c r="BO9" s="220"/>
      <c r="BP9" s="220"/>
      <c r="BQ9" s="220"/>
      <c r="BR9" s="222"/>
      <c r="BS9" s="220"/>
      <c r="BT9" s="222"/>
      <c r="BU9" s="222"/>
      <c r="BV9" s="224"/>
      <c r="BW9" s="222"/>
      <c r="BX9" s="222"/>
      <c r="BY9" s="227"/>
      <c r="BZ9" s="230"/>
      <c r="CA9" s="233"/>
      <c r="CB9" s="239"/>
      <c r="CC9" s="220"/>
      <c r="CD9" s="222"/>
      <c r="CE9" s="222"/>
      <c r="CF9" s="224"/>
      <c r="CG9" s="220"/>
      <c r="CH9" s="220"/>
      <c r="CI9" s="220"/>
      <c r="CJ9" s="222"/>
      <c r="CK9" s="220"/>
      <c r="CL9" s="222"/>
      <c r="CM9" s="222"/>
      <c r="CN9" s="224"/>
      <c r="CO9" s="222"/>
      <c r="CP9" s="222"/>
      <c r="CQ9" s="227"/>
      <c r="CR9" s="230"/>
      <c r="CS9" s="233"/>
      <c r="CT9" s="239"/>
      <c r="CU9" s="220"/>
      <c r="CV9" s="222"/>
      <c r="CW9" s="222"/>
      <c r="CX9" s="224"/>
      <c r="CY9" s="220"/>
      <c r="CZ9" s="220"/>
      <c r="DA9" s="220"/>
      <c r="DB9" s="222"/>
      <c r="DC9" s="220"/>
      <c r="DD9" s="222"/>
      <c r="DE9" s="222"/>
      <c r="DF9" s="224"/>
      <c r="DG9" s="222"/>
      <c r="DH9" s="222"/>
      <c r="DI9" s="227"/>
      <c r="DJ9" s="230"/>
      <c r="DK9" s="233"/>
      <c r="DL9" s="230"/>
      <c r="DM9" s="230"/>
      <c r="DN9" s="230"/>
      <c r="DO9" s="230"/>
      <c r="DP9" s="230"/>
      <c r="DQ9" s="230"/>
      <c r="DR9" s="230"/>
      <c r="DS9" s="230"/>
      <c r="DT9" s="230"/>
      <c r="DU9" s="230"/>
      <c r="DV9" s="230"/>
      <c r="DW9" s="230"/>
      <c r="DX9" s="230"/>
      <c r="DY9" s="230"/>
      <c r="DZ9" s="230"/>
      <c r="EA9" s="230"/>
      <c r="EB9" s="230"/>
      <c r="EC9" s="230"/>
      <c r="ED9" s="239"/>
      <c r="EE9" s="220"/>
      <c r="EF9" s="222"/>
      <c r="EG9" s="222"/>
      <c r="EH9" s="224"/>
      <c r="EI9" s="220"/>
      <c r="EJ9" s="220"/>
      <c r="EK9" s="220"/>
      <c r="EL9" s="222"/>
      <c r="EM9" s="220"/>
      <c r="EN9" s="222"/>
      <c r="EO9" s="222"/>
      <c r="EP9" s="224"/>
      <c r="EQ9" s="222"/>
      <c r="ER9" s="222"/>
      <c r="ES9" s="227"/>
      <c r="ET9" s="230"/>
      <c r="EU9" s="233"/>
      <c r="EV9" s="230"/>
      <c r="EW9" s="230"/>
      <c r="EX9" s="230"/>
      <c r="EY9" s="230"/>
      <c r="EZ9" s="230"/>
      <c r="FA9" s="230"/>
      <c r="FB9" s="230"/>
      <c r="FC9" s="230"/>
      <c r="FD9" s="230"/>
      <c r="FE9" s="230"/>
      <c r="FF9" s="230"/>
      <c r="FG9" s="230"/>
      <c r="FH9" s="230"/>
      <c r="FI9" s="230"/>
      <c r="FJ9" s="230"/>
      <c r="FK9" s="230"/>
      <c r="FL9" s="230"/>
      <c r="FM9" s="230"/>
      <c r="FN9" s="239"/>
      <c r="FO9" s="220"/>
      <c r="FP9" s="222"/>
      <c r="FQ9" s="222"/>
      <c r="FR9" s="224"/>
      <c r="FS9" s="220"/>
      <c r="FT9" s="220"/>
      <c r="FU9" s="220"/>
      <c r="FV9" s="222"/>
      <c r="FW9" s="220"/>
      <c r="FX9" s="222"/>
      <c r="FY9" s="222"/>
      <c r="FZ9" s="224"/>
      <c r="GA9" s="222"/>
      <c r="GB9" s="222"/>
      <c r="GC9" s="227"/>
      <c r="GD9" s="230"/>
      <c r="GE9" s="233"/>
      <c r="GF9" s="239"/>
      <c r="GG9" s="220"/>
      <c r="GH9" s="222"/>
      <c r="GI9" s="222"/>
      <c r="GJ9" s="224"/>
      <c r="GK9" s="220"/>
      <c r="GL9" s="220"/>
      <c r="GM9" s="220"/>
      <c r="GN9" s="222"/>
      <c r="GO9" s="220"/>
      <c r="GP9" s="222"/>
      <c r="GQ9" s="222"/>
      <c r="GR9" s="224"/>
      <c r="GS9" s="222"/>
      <c r="GT9" s="222"/>
      <c r="GU9" s="227"/>
      <c r="GV9" s="230"/>
      <c r="GW9" s="233"/>
      <c r="GX9" s="239"/>
      <c r="GY9" s="220"/>
      <c r="GZ9" s="222"/>
      <c r="HA9" s="222"/>
      <c r="HB9" s="224"/>
      <c r="HC9" s="220"/>
      <c r="HD9" s="220"/>
      <c r="HE9" s="220"/>
      <c r="HF9" s="222"/>
      <c r="HG9" s="220"/>
      <c r="HH9" s="222"/>
      <c r="HI9" s="222"/>
      <c r="HJ9" s="224"/>
      <c r="HK9" s="222"/>
      <c r="HL9" s="222"/>
      <c r="HM9" s="227"/>
      <c r="HN9" s="230"/>
      <c r="HO9" s="233"/>
      <c r="HP9" s="239"/>
      <c r="HQ9" s="220"/>
      <c r="HR9" s="222"/>
      <c r="HS9" s="222"/>
      <c r="HT9" s="224"/>
      <c r="HU9" s="220"/>
      <c r="HV9" s="220"/>
      <c r="HW9" s="220"/>
      <c r="HX9" s="222"/>
      <c r="HY9" s="220"/>
      <c r="HZ9" s="222"/>
      <c r="IA9" s="222"/>
      <c r="IB9" s="224"/>
      <c r="IC9" s="222"/>
      <c r="ID9" s="222"/>
      <c r="IE9" s="227"/>
      <c r="IF9" s="230"/>
      <c r="IG9" s="233"/>
      <c r="IH9" s="239"/>
      <c r="II9" s="220"/>
      <c r="IJ9" s="222"/>
      <c r="IK9" s="222"/>
      <c r="IL9" s="224"/>
      <c r="IM9" s="220"/>
      <c r="IN9" s="220"/>
      <c r="IO9" s="220"/>
      <c r="IP9" s="222"/>
      <c r="IQ9" s="220"/>
      <c r="IR9" s="222"/>
      <c r="IS9" s="222"/>
      <c r="IT9" s="224"/>
      <c r="IU9" s="222"/>
      <c r="IV9" s="222"/>
      <c r="IW9" s="227"/>
      <c r="IX9" s="230"/>
      <c r="IY9" s="233"/>
      <c r="IZ9" s="239"/>
      <c r="JA9" s="220"/>
      <c r="JB9" s="222"/>
      <c r="JC9" s="222"/>
      <c r="JD9" s="224"/>
      <c r="JE9" s="220"/>
      <c r="JF9" s="220"/>
      <c r="JG9" s="220"/>
      <c r="JH9" s="222"/>
      <c r="JI9" s="220"/>
      <c r="JJ9" s="222"/>
      <c r="JK9" s="222"/>
      <c r="JL9" s="224"/>
      <c r="JM9" s="222"/>
      <c r="JN9" s="222"/>
      <c r="JO9" s="227"/>
      <c r="JP9" s="230"/>
      <c r="JQ9" s="233"/>
      <c r="JR9" s="239"/>
      <c r="JS9" s="220"/>
      <c r="JT9" s="222"/>
      <c r="JU9" s="222"/>
      <c r="JV9" s="224"/>
      <c r="JW9" s="220"/>
      <c r="JX9" s="220"/>
      <c r="JY9" s="220"/>
      <c r="JZ9" s="222"/>
      <c r="KA9" s="220"/>
      <c r="KB9" s="222"/>
      <c r="KC9" s="222"/>
      <c r="KD9" s="224"/>
      <c r="KE9" s="222"/>
      <c r="KF9" s="222"/>
      <c r="KG9" s="227"/>
      <c r="KH9" s="230"/>
      <c r="KI9" s="233"/>
      <c r="KJ9" s="239"/>
      <c r="KK9" s="220"/>
      <c r="KL9" s="222"/>
      <c r="KM9" s="222"/>
      <c r="KN9" s="224"/>
      <c r="KO9" s="220"/>
      <c r="KP9" s="220"/>
      <c r="KQ9" s="220"/>
      <c r="KR9" s="222"/>
      <c r="KS9" s="220"/>
      <c r="KT9" s="222"/>
      <c r="KU9" s="222"/>
      <c r="KV9" s="224"/>
      <c r="KW9" s="222"/>
      <c r="KX9" s="222"/>
      <c r="KY9" s="227"/>
      <c r="KZ9" s="230"/>
      <c r="LA9" s="233"/>
      <c r="LB9" s="239"/>
      <c r="LC9" s="220"/>
      <c r="LD9" s="222"/>
      <c r="LE9" s="222"/>
      <c r="LF9" s="224"/>
      <c r="LG9" s="220"/>
      <c r="LH9" s="220"/>
      <c r="LI9" s="220"/>
      <c r="LJ9" s="222"/>
      <c r="LK9" s="220"/>
      <c r="LL9" s="222"/>
      <c r="LM9" s="222"/>
      <c r="LN9" s="224"/>
      <c r="LO9" s="222"/>
      <c r="LP9" s="222"/>
      <c r="LQ9" s="227"/>
      <c r="LR9" s="230"/>
      <c r="LS9" s="233"/>
      <c r="LT9" s="239"/>
      <c r="LU9" s="220"/>
      <c r="LV9" s="222"/>
      <c r="LW9" s="222"/>
      <c r="LX9" s="224"/>
      <c r="LY9" s="220"/>
      <c r="LZ9" s="220"/>
      <c r="MA9" s="220"/>
      <c r="MB9" s="222"/>
      <c r="MC9" s="220"/>
      <c r="MD9" s="222"/>
      <c r="ME9" s="222"/>
      <c r="MF9" s="224"/>
      <c r="MG9" s="222"/>
      <c r="MH9" s="222"/>
      <c r="MI9" s="227"/>
      <c r="MJ9" s="230"/>
      <c r="MK9" s="233"/>
      <c r="ML9" s="239"/>
      <c r="MM9" s="220"/>
      <c r="MN9" s="222"/>
      <c r="MO9" s="222"/>
      <c r="MP9" s="224"/>
      <c r="MQ9" s="220"/>
      <c r="MR9" s="220"/>
      <c r="MS9" s="220"/>
      <c r="MT9" s="222"/>
      <c r="MU9" s="220"/>
      <c r="MV9" s="222"/>
      <c r="MW9" s="222"/>
      <c r="MX9" s="224"/>
      <c r="MY9" s="222"/>
      <c r="MZ9" s="222"/>
      <c r="NA9" s="227"/>
      <c r="NB9" s="230"/>
      <c r="NC9" s="233"/>
      <c r="ND9" s="239"/>
      <c r="NE9" s="220"/>
      <c r="NF9" s="222"/>
      <c r="NG9" s="222"/>
      <c r="NH9" s="224"/>
      <c r="NI9" s="220"/>
      <c r="NJ9" s="220"/>
      <c r="NK9" s="220"/>
      <c r="NL9" s="222"/>
      <c r="NM9" s="220"/>
      <c r="NN9" s="222"/>
      <c r="NO9" s="222"/>
      <c r="NP9" s="224"/>
      <c r="NQ9" s="222"/>
      <c r="NR9" s="222"/>
      <c r="NS9" s="227"/>
      <c r="NT9" s="230"/>
      <c r="NU9" s="233"/>
      <c r="NV9" s="239"/>
      <c r="NW9" s="220"/>
      <c r="NX9" s="222"/>
      <c r="NY9" s="222"/>
      <c r="NZ9" s="224"/>
      <c r="OA9" s="220"/>
      <c r="OB9" s="220"/>
      <c r="OC9" s="220"/>
      <c r="OD9" s="222"/>
      <c r="OE9" s="220"/>
      <c r="OF9" s="222"/>
      <c r="OG9" s="222"/>
      <c r="OH9" s="224"/>
      <c r="OI9" s="222"/>
      <c r="OJ9" s="222"/>
      <c r="OK9" s="227"/>
      <c r="OL9" s="230"/>
      <c r="OM9" s="233"/>
      <c r="ON9" s="239"/>
      <c r="OO9" s="220"/>
      <c r="OP9" s="222"/>
      <c r="OQ9" s="222"/>
      <c r="OR9" s="224"/>
      <c r="OS9" s="220"/>
      <c r="OT9" s="220"/>
      <c r="OU9" s="220"/>
      <c r="OV9" s="222"/>
      <c r="OW9" s="220"/>
      <c r="OX9" s="222"/>
      <c r="OY9" s="222"/>
      <c r="OZ9" s="224"/>
      <c r="PA9" s="222"/>
      <c r="PB9" s="222"/>
      <c r="PC9" s="227"/>
      <c r="PD9" s="230"/>
      <c r="PE9" s="233"/>
      <c r="PF9" s="239"/>
      <c r="PG9" s="220"/>
      <c r="PH9" s="222"/>
      <c r="PI9" s="222"/>
      <c r="PJ9" s="224"/>
      <c r="PK9" s="220"/>
      <c r="PL9" s="220"/>
      <c r="PM9" s="220"/>
      <c r="PN9" s="222"/>
      <c r="PO9" s="220"/>
      <c r="PP9" s="222"/>
      <c r="PQ9" s="222"/>
      <c r="PR9" s="224"/>
      <c r="PS9" s="222"/>
      <c r="PT9" s="222"/>
      <c r="PU9" s="227"/>
      <c r="PV9" s="230"/>
      <c r="PW9" s="233"/>
      <c r="PX9" s="239"/>
      <c r="PY9" s="220"/>
      <c r="PZ9" s="222"/>
      <c r="QA9" s="222"/>
      <c r="QB9" s="224"/>
      <c r="QC9" s="220"/>
      <c r="QD9" s="220"/>
      <c r="QE9" s="220"/>
      <c r="QF9" s="222"/>
      <c r="QG9" s="220"/>
      <c r="QH9" s="222"/>
      <c r="QI9" s="222"/>
      <c r="QJ9" s="224"/>
      <c r="QK9" s="222"/>
      <c r="QL9" s="222"/>
      <c r="QM9" s="227"/>
      <c r="QN9" s="230"/>
      <c r="QO9" s="233"/>
    </row>
    <row r="10" spans="1:457" ht="15.75" x14ac:dyDescent="0.25">
      <c r="B10" s="248"/>
      <c r="C10" s="251"/>
      <c r="D10" s="22"/>
      <c r="E10" s="23"/>
      <c r="F10" s="222"/>
      <c r="G10" s="222"/>
      <c r="H10" s="239"/>
      <c r="I10" s="220"/>
      <c r="J10" s="222"/>
      <c r="K10" s="222"/>
      <c r="L10" s="224"/>
      <c r="M10" s="220"/>
      <c r="N10" s="220"/>
      <c r="O10" s="220"/>
      <c r="P10" s="222"/>
      <c r="Q10" s="220"/>
      <c r="R10" s="222"/>
      <c r="S10" s="222"/>
      <c r="T10" s="224"/>
      <c r="U10" s="222"/>
      <c r="V10" s="222"/>
      <c r="W10" s="227"/>
      <c r="X10" s="230"/>
      <c r="Y10" s="233"/>
      <c r="Z10" s="230"/>
      <c r="AA10" s="230"/>
      <c r="AB10" s="230"/>
      <c r="AC10" s="230"/>
      <c r="AD10" s="230"/>
      <c r="AE10" s="230"/>
      <c r="AF10" s="230"/>
      <c r="AG10" s="230"/>
      <c r="AH10" s="230"/>
      <c r="AI10" s="230"/>
      <c r="AJ10" s="230"/>
      <c r="AK10" s="230"/>
      <c r="AL10" s="230"/>
      <c r="AM10" s="230"/>
      <c r="AN10" s="230"/>
      <c r="AO10" s="230"/>
      <c r="AP10" s="230"/>
      <c r="AQ10" s="230"/>
      <c r="AR10" s="239"/>
      <c r="AS10" s="220"/>
      <c r="AT10" s="222"/>
      <c r="AU10" s="222"/>
      <c r="AV10" s="224"/>
      <c r="AW10" s="220"/>
      <c r="AX10" s="220"/>
      <c r="AY10" s="220"/>
      <c r="AZ10" s="222"/>
      <c r="BA10" s="220"/>
      <c r="BB10" s="222"/>
      <c r="BC10" s="222"/>
      <c r="BD10" s="224"/>
      <c r="BE10" s="222"/>
      <c r="BF10" s="222"/>
      <c r="BG10" s="227"/>
      <c r="BH10" s="230"/>
      <c r="BI10" s="233"/>
      <c r="BJ10" s="239"/>
      <c r="BK10" s="220"/>
      <c r="BL10" s="222"/>
      <c r="BM10" s="222"/>
      <c r="BN10" s="224"/>
      <c r="BO10" s="220"/>
      <c r="BP10" s="220"/>
      <c r="BQ10" s="220"/>
      <c r="BR10" s="222"/>
      <c r="BS10" s="220"/>
      <c r="BT10" s="222"/>
      <c r="BU10" s="222"/>
      <c r="BV10" s="224"/>
      <c r="BW10" s="222"/>
      <c r="BX10" s="222"/>
      <c r="BY10" s="227"/>
      <c r="BZ10" s="230"/>
      <c r="CA10" s="233"/>
      <c r="CB10" s="239"/>
      <c r="CC10" s="220"/>
      <c r="CD10" s="222"/>
      <c r="CE10" s="222"/>
      <c r="CF10" s="224"/>
      <c r="CG10" s="220"/>
      <c r="CH10" s="220"/>
      <c r="CI10" s="220"/>
      <c r="CJ10" s="222"/>
      <c r="CK10" s="220"/>
      <c r="CL10" s="222"/>
      <c r="CM10" s="222"/>
      <c r="CN10" s="224"/>
      <c r="CO10" s="222"/>
      <c r="CP10" s="222"/>
      <c r="CQ10" s="227"/>
      <c r="CR10" s="230"/>
      <c r="CS10" s="233"/>
      <c r="CT10" s="239"/>
      <c r="CU10" s="220"/>
      <c r="CV10" s="222"/>
      <c r="CW10" s="222"/>
      <c r="CX10" s="224"/>
      <c r="CY10" s="220"/>
      <c r="CZ10" s="220"/>
      <c r="DA10" s="220"/>
      <c r="DB10" s="222"/>
      <c r="DC10" s="220"/>
      <c r="DD10" s="222"/>
      <c r="DE10" s="222"/>
      <c r="DF10" s="224"/>
      <c r="DG10" s="222"/>
      <c r="DH10" s="222"/>
      <c r="DI10" s="227"/>
      <c r="DJ10" s="230"/>
      <c r="DK10" s="233"/>
      <c r="DL10" s="230"/>
      <c r="DM10" s="230"/>
      <c r="DN10" s="230"/>
      <c r="DO10" s="230"/>
      <c r="DP10" s="230"/>
      <c r="DQ10" s="230"/>
      <c r="DR10" s="230"/>
      <c r="DS10" s="230"/>
      <c r="DT10" s="230"/>
      <c r="DU10" s="230"/>
      <c r="DV10" s="230"/>
      <c r="DW10" s="230"/>
      <c r="DX10" s="230"/>
      <c r="DY10" s="230"/>
      <c r="DZ10" s="230"/>
      <c r="EA10" s="230"/>
      <c r="EB10" s="230"/>
      <c r="EC10" s="230"/>
      <c r="ED10" s="239"/>
      <c r="EE10" s="220"/>
      <c r="EF10" s="222"/>
      <c r="EG10" s="222"/>
      <c r="EH10" s="224"/>
      <c r="EI10" s="220"/>
      <c r="EJ10" s="220"/>
      <c r="EK10" s="220"/>
      <c r="EL10" s="222"/>
      <c r="EM10" s="220"/>
      <c r="EN10" s="222"/>
      <c r="EO10" s="222"/>
      <c r="EP10" s="224"/>
      <c r="EQ10" s="222"/>
      <c r="ER10" s="222"/>
      <c r="ES10" s="227"/>
      <c r="ET10" s="230"/>
      <c r="EU10" s="233"/>
      <c r="EV10" s="230"/>
      <c r="EW10" s="230"/>
      <c r="EX10" s="230"/>
      <c r="EY10" s="230"/>
      <c r="EZ10" s="230"/>
      <c r="FA10" s="230"/>
      <c r="FB10" s="230"/>
      <c r="FC10" s="230"/>
      <c r="FD10" s="230"/>
      <c r="FE10" s="230"/>
      <c r="FF10" s="230"/>
      <c r="FG10" s="230"/>
      <c r="FH10" s="230"/>
      <c r="FI10" s="230"/>
      <c r="FJ10" s="230"/>
      <c r="FK10" s="230"/>
      <c r="FL10" s="230"/>
      <c r="FM10" s="230"/>
      <c r="FN10" s="239"/>
      <c r="FO10" s="220"/>
      <c r="FP10" s="222"/>
      <c r="FQ10" s="222"/>
      <c r="FR10" s="224"/>
      <c r="FS10" s="220"/>
      <c r="FT10" s="220"/>
      <c r="FU10" s="220"/>
      <c r="FV10" s="222"/>
      <c r="FW10" s="220"/>
      <c r="FX10" s="222"/>
      <c r="FY10" s="222"/>
      <c r="FZ10" s="224"/>
      <c r="GA10" s="222"/>
      <c r="GB10" s="222"/>
      <c r="GC10" s="227"/>
      <c r="GD10" s="230"/>
      <c r="GE10" s="233"/>
      <c r="GF10" s="239"/>
      <c r="GG10" s="220"/>
      <c r="GH10" s="222"/>
      <c r="GI10" s="222"/>
      <c r="GJ10" s="224"/>
      <c r="GK10" s="220"/>
      <c r="GL10" s="220"/>
      <c r="GM10" s="220"/>
      <c r="GN10" s="222"/>
      <c r="GO10" s="220"/>
      <c r="GP10" s="222"/>
      <c r="GQ10" s="222"/>
      <c r="GR10" s="224"/>
      <c r="GS10" s="222"/>
      <c r="GT10" s="222"/>
      <c r="GU10" s="227"/>
      <c r="GV10" s="230"/>
      <c r="GW10" s="233"/>
      <c r="GX10" s="239"/>
      <c r="GY10" s="220"/>
      <c r="GZ10" s="222"/>
      <c r="HA10" s="222"/>
      <c r="HB10" s="224"/>
      <c r="HC10" s="220"/>
      <c r="HD10" s="220"/>
      <c r="HE10" s="220"/>
      <c r="HF10" s="222"/>
      <c r="HG10" s="220"/>
      <c r="HH10" s="222"/>
      <c r="HI10" s="222"/>
      <c r="HJ10" s="224"/>
      <c r="HK10" s="222"/>
      <c r="HL10" s="222"/>
      <c r="HM10" s="227"/>
      <c r="HN10" s="230"/>
      <c r="HO10" s="233"/>
      <c r="HP10" s="239"/>
      <c r="HQ10" s="220"/>
      <c r="HR10" s="222"/>
      <c r="HS10" s="222"/>
      <c r="HT10" s="224"/>
      <c r="HU10" s="220"/>
      <c r="HV10" s="220"/>
      <c r="HW10" s="220"/>
      <c r="HX10" s="222"/>
      <c r="HY10" s="220"/>
      <c r="HZ10" s="222"/>
      <c r="IA10" s="222"/>
      <c r="IB10" s="224"/>
      <c r="IC10" s="222"/>
      <c r="ID10" s="222"/>
      <c r="IE10" s="227"/>
      <c r="IF10" s="230"/>
      <c r="IG10" s="233"/>
      <c r="IH10" s="239"/>
      <c r="II10" s="220"/>
      <c r="IJ10" s="222"/>
      <c r="IK10" s="222"/>
      <c r="IL10" s="224"/>
      <c r="IM10" s="220"/>
      <c r="IN10" s="220"/>
      <c r="IO10" s="220"/>
      <c r="IP10" s="222"/>
      <c r="IQ10" s="220"/>
      <c r="IR10" s="222"/>
      <c r="IS10" s="222"/>
      <c r="IT10" s="224"/>
      <c r="IU10" s="222"/>
      <c r="IV10" s="222"/>
      <c r="IW10" s="227"/>
      <c r="IX10" s="230"/>
      <c r="IY10" s="233"/>
      <c r="IZ10" s="239"/>
      <c r="JA10" s="220"/>
      <c r="JB10" s="222"/>
      <c r="JC10" s="222"/>
      <c r="JD10" s="224"/>
      <c r="JE10" s="220"/>
      <c r="JF10" s="220"/>
      <c r="JG10" s="220"/>
      <c r="JH10" s="222"/>
      <c r="JI10" s="220"/>
      <c r="JJ10" s="222"/>
      <c r="JK10" s="222"/>
      <c r="JL10" s="224"/>
      <c r="JM10" s="222"/>
      <c r="JN10" s="222"/>
      <c r="JO10" s="227"/>
      <c r="JP10" s="230"/>
      <c r="JQ10" s="233"/>
      <c r="JR10" s="239"/>
      <c r="JS10" s="220"/>
      <c r="JT10" s="222"/>
      <c r="JU10" s="222"/>
      <c r="JV10" s="224"/>
      <c r="JW10" s="220"/>
      <c r="JX10" s="220"/>
      <c r="JY10" s="220"/>
      <c r="JZ10" s="222"/>
      <c r="KA10" s="220"/>
      <c r="KB10" s="222"/>
      <c r="KC10" s="222"/>
      <c r="KD10" s="224"/>
      <c r="KE10" s="222"/>
      <c r="KF10" s="222"/>
      <c r="KG10" s="227"/>
      <c r="KH10" s="230"/>
      <c r="KI10" s="233"/>
      <c r="KJ10" s="239"/>
      <c r="KK10" s="220"/>
      <c r="KL10" s="222"/>
      <c r="KM10" s="222"/>
      <c r="KN10" s="224"/>
      <c r="KO10" s="220"/>
      <c r="KP10" s="220"/>
      <c r="KQ10" s="220"/>
      <c r="KR10" s="222"/>
      <c r="KS10" s="220"/>
      <c r="KT10" s="222"/>
      <c r="KU10" s="222"/>
      <c r="KV10" s="224"/>
      <c r="KW10" s="222"/>
      <c r="KX10" s="222"/>
      <c r="KY10" s="227"/>
      <c r="KZ10" s="230"/>
      <c r="LA10" s="233"/>
      <c r="LB10" s="239"/>
      <c r="LC10" s="220"/>
      <c r="LD10" s="222"/>
      <c r="LE10" s="222"/>
      <c r="LF10" s="224"/>
      <c r="LG10" s="220"/>
      <c r="LH10" s="220"/>
      <c r="LI10" s="220"/>
      <c r="LJ10" s="222"/>
      <c r="LK10" s="220"/>
      <c r="LL10" s="222"/>
      <c r="LM10" s="222"/>
      <c r="LN10" s="224"/>
      <c r="LO10" s="222"/>
      <c r="LP10" s="222"/>
      <c r="LQ10" s="227"/>
      <c r="LR10" s="230"/>
      <c r="LS10" s="233"/>
      <c r="LT10" s="239"/>
      <c r="LU10" s="220"/>
      <c r="LV10" s="222"/>
      <c r="LW10" s="222"/>
      <c r="LX10" s="224"/>
      <c r="LY10" s="220"/>
      <c r="LZ10" s="220"/>
      <c r="MA10" s="220"/>
      <c r="MB10" s="222"/>
      <c r="MC10" s="220"/>
      <c r="MD10" s="222"/>
      <c r="ME10" s="222"/>
      <c r="MF10" s="224"/>
      <c r="MG10" s="222"/>
      <c r="MH10" s="222"/>
      <c r="MI10" s="227"/>
      <c r="MJ10" s="230"/>
      <c r="MK10" s="233"/>
      <c r="ML10" s="239"/>
      <c r="MM10" s="220"/>
      <c r="MN10" s="222"/>
      <c r="MO10" s="222"/>
      <c r="MP10" s="224"/>
      <c r="MQ10" s="220"/>
      <c r="MR10" s="220"/>
      <c r="MS10" s="220"/>
      <c r="MT10" s="222"/>
      <c r="MU10" s="220"/>
      <c r="MV10" s="222"/>
      <c r="MW10" s="222"/>
      <c r="MX10" s="224"/>
      <c r="MY10" s="222"/>
      <c r="MZ10" s="222"/>
      <c r="NA10" s="227"/>
      <c r="NB10" s="230"/>
      <c r="NC10" s="233"/>
      <c r="ND10" s="239"/>
      <c r="NE10" s="220"/>
      <c r="NF10" s="222"/>
      <c r="NG10" s="222"/>
      <c r="NH10" s="224"/>
      <c r="NI10" s="220"/>
      <c r="NJ10" s="220"/>
      <c r="NK10" s="220"/>
      <c r="NL10" s="222"/>
      <c r="NM10" s="220"/>
      <c r="NN10" s="222"/>
      <c r="NO10" s="222"/>
      <c r="NP10" s="224"/>
      <c r="NQ10" s="222"/>
      <c r="NR10" s="222"/>
      <c r="NS10" s="227"/>
      <c r="NT10" s="230"/>
      <c r="NU10" s="233"/>
      <c r="NV10" s="239"/>
      <c r="NW10" s="220"/>
      <c r="NX10" s="222"/>
      <c r="NY10" s="222"/>
      <c r="NZ10" s="224"/>
      <c r="OA10" s="220"/>
      <c r="OB10" s="220"/>
      <c r="OC10" s="220"/>
      <c r="OD10" s="222"/>
      <c r="OE10" s="220"/>
      <c r="OF10" s="222"/>
      <c r="OG10" s="222"/>
      <c r="OH10" s="224"/>
      <c r="OI10" s="222"/>
      <c r="OJ10" s="222"/>
      <c r="OK10" s="227"/>
      <c r="OL10" s="230"/>
      <c r="OM10" s="233"/>
      <c r="ON10" s="239"/>
      <c r="OO10" s="220"/>
      <c r="OP10" s="222"/>
      <c r="OQ10" s="222"/>
      <c r="OR10" s="224"/>
      <c r="OS10" s="220"/>
      <c r="OT10" s="220"/>
      <c r="OU10" s="220"/>
      <c r="OV10" s="222"/>
      <c r="OW10" s="220"/>
      <c r="OX10" s="222"/>
      <c r="OY10" s="222"/>
      <c r="OZ10" s="224"/>
      <c r="PA10" s="222"/>
      <c r="PB10" s="222"/>
      <c r="PC10" s="227"/>
      <c r="PD10" s="230"/>
      <c r="PE10" s="233"/>
      <c r="PF10" s="239"/>
      <c r="PG10" s="220"/>
      <c r="PH10" s="222"/>
      <c r="PI10" s="222"/>
      <c r="PJ10" s="224"/>
      <c r="PK10" s="220"/>
      <c r="PL10" s="220"/>
      <c r="PM10" s="220"/>
      <c r="PN10" s="222"/>
      <c r="PO10" s="220"/>
      <c r="PP10" s="222"/>
      <c r="PQ10" s="222"/>
      <c r="PR10" s="224"/>
      <c r="PS10" s="222"/>
      <c r="PT10" s="222"/>
      <c r="PU10" s="227"/>
      <c r="PV10" s="230"/>
      <c r="PW10" s="233"/>
      <c r="PX10" s="239"/>
      <c r="PY10" s="220"/>
      <c r="PZ10" s="222"/>
      <c r="QA10" s="222"/>
      <c r="QB10" s="224"/>
      <c r="QC10" s="220"/>
      <c r="QD10" s="220"/>
      <c r="QE10" s="220"/>
      <c r="QF10" s="222"/>
      <c r="QG10" s="220"/>
      <c r="QH10" s="222"/>
      <c r="QI10" s="222"/>
      <c r="QJ10" s="224"/>
      <c r="QK10" s="222"/>
      <c r="QL10" s="222"/>
      <c r="QM10" s="227"/>
      <c r="QN10" s="230"/>
      <c r="QO10" s="233"/>
    </row>
    <row r="11" spans="1:457" ht="16.5" thickBot="1" x14ac:dyDescent="0.3">
      <c r="B11" s="248"/>
      <c r="C11" s="251"/>
      <c r="D11" s="22"/>
      <c r="E11" s="23"/>
      <c r="F11" s="222"/>
      <c r="G11" s="222"/>
      <c r="H11" s="239"/>
      <c r="I11" s="220"/>
      <c r="J11" s="222"/>
      <c r="K11" s="222"/>
      <c r="L11" s="224"/>
      <c r="M11" s="220"/>
      <c r="N11" s="220"/>
      <c r="O11" s="220"/>
      <c r="P11" s="222"/>
      <c r="Q11" s="220"/>
      <c r="R11" s="222"/>
      <c r="S11" s="222"/>
      <c r="T11" s="224"/>
      <c r="U11" s="222"/>
      <c r="V11" s="222"/>
      <c r="W11" s="227"/>
      <c r="X11" s="230"/>
      <c r="Y11" s="233"/>
      <c r="Z11" s="230"/>
      <c r="AA11" s="230"/>
      <c r="AB11" s="230"/>
      <c r="AC11" s="230"/>
      <c r="AD11" s="230"/>
      <c r="AE11" s="230"/>
      <c r="AF11" s="230"/>
      <c r="AG11" s="230"/>
      <c r="AH11" s="230"/>
      <c r="AI11" s="230"/>
      <c r="AJ11" s="230"/>
      <c r="AK11" s="230"/>
      <c r="AL11" s="230"/>
      <c r="AM11" s="230"/>
      <c r="AN11" s="230"/>
      <c r="AO11" s="230"/>
      <c r="AP11" s="230"/>
      <c r="AQ11" s="230"/>
      <c r="AR11" s="239"/>
      <c r="AS11" s="220"/>
      <c r="AT11" s="222"/>
      <c r="AU11" s="222"/>
      <c r="AV11" s="224"/>
      <c r="AW11" s="220"/>
      <c r="AX11" s="220"/>
      <c r="AY11" s="220"/>
      <c r="AZ11" s="222"/>
      <c r="BA11" s="220"/>
      <c r="BB11" s="222"/>
      <c r="BC11" s="222"/>
      <c r="BD11" s="224"/>
      <c r="BE11" s="222"/>
      <c r="BF11" s="222"/>
      <c r="BG11" s="227"/>
      <c r="BH11" s="230"/>
      <c r="BI11" s="233"/>
      <c r="BJ11" s="239"/>
      <c r="BK11" s="220"/>
      <c r="BL11" s="222"/>
      <c r="BM11" s="222"/>
      <c r="BN11" s="224"/>
      <c r="BO11" s="220"/>
      <c r="BP11" s="220"/>
      <c r="BQ11" s="220"/>
      <c r="BR11" s="222"/>
      <c r="BS11" s="220"/>
      <c r="BT11" s="222"/>
      <c r="BU11" s="222"/>
      <c r="BV11" s="224"/>
      <c r="BW11" s="222"/>
      <c r="BX11" s="222"/>
      <c r="BY11" s="227"/>
      <c r="BZ11" s="230"/>
      <c r="CA11" s="233"/>
      <c r="CB11" s="239"/>
      <c r="CC11" s="220"/>
      <c r="CD11" s="222"/>
      <c r="CE11" s="222"/>
      <c r="CF11" s="224"/>
      <c r="CG11" s="220"/>
      <c r="CH11" s="220"/>
      <c r="CI11" s="220"/>
      <c r="CJ11" s="222"/>
      <c r="CK11" s="220"/>
      <c r="CL11" s="222"/>
      <c r="CM11" s="222"/>
      <c r="CN11" s="224"/>
      <c r="CO11" s="222"/>
      <c r="CP11" s="222"/>
      <c r="CQ11" s="227"/>
      <c r="CR11" s="230"/>
      <c r="CS11" s="233"/>
      <c r="CT11" s="239"/>
      <c r="CU11" s="220"/>
      <c r="CV11" s="222"/>
      <c r="CW11" s="222"/>
      <c r="CX11" s="224"/>
      <c r="CY11" s="220"/>
      <c r="CZ11" s="220"/>
      <c r="DA11" s="220"/>
      <c r="DB11" s="222"/>
      <c r="DC11" s="220"/>
      <c r="DD11" s="222"/>
      <c r="DE11" s="222"/>
      <c r="DF11" s="224"/>
      <c r="DG11" s="222"/>
      <c r="DH11" s="222"/>
      <c r="DI11" s="227"/>
      <c r="DJ11" s="230"/>
      <c r="DK11" s="233"/>
      <c r="DL11" s="230"/>
      <c r="DM11" s="230"/>
      <c r="DN11" s="230"/>
      <c r="DO11" s="230"/>
      <c r="DP11" s="230"/>
      <c r="DQ11" s="230"/>
      <c r="DR11" s="230"/>
      <c r="DS11" s="230"/>
      <c r="DT11" s="230"/>
      <c r="DU11" s="230"/>
      <c r="DV11" s="230"/>
      <c r="DW11" s="230"/>
      <c r="DX11" s="230"/>
      <c r="DY11" s="230"/>
      <c r="DZ11" s="230"/>
      <c r="EA11" s="230"/>
      <c r="EB11" s="230"/>
      <c r="EC11" s="230"/>
      <c r="ED11" s="239"/>
      <c r="EE11" s="220"/>
      <c r="EF11" s="222"/>
      <c r="EG11" s="222"/>
      <c r="EH11" s="224"/>
      <c r="EI11" s="220"/>
      <c r="EJ11" s="220"/>
      <c r="EK11" s="220"/>
      <c r="EL11" s="222"/>
      <c r="EM11" s="220"/>
      <c r="EN11" s="222"/>
      <c r="EO11" s="222"/>
      <c r="EP11" s="224"/>
      <c r="EQ11" s="222"/>
      <c r="ER11" s="222"/>
      <c r="ES11" s="227"/>
      <c r="ET11" s="230"/>
      <c r="EU11" s="233"/>
      <c r="EV11" s="230"/>
      <c r="EW11" s="230"/>
      <c r="EX11" s="230"/>
      <c r="EY11" s="230"/>
      <c r="EZ11" s="230"/>
      <c r="FA11" s="230"/>
      <c r="FB11" s="230"/>
      <c r="FC11" s="230"/>
      <c r="FD11" s="230"/>
      <c r="FE11" s="230"/>
      <c r="FF11" s="230"/>
      <c r="FG11" s="230"/>
      <c r="FH11" s="230"/>
      <c r="FI11" s="230"/>
      <c r="FJ11" s="230"/>
      <c r="FK11" s="230"/>
      <c r="FL11" s="230"/>
      <c r="FM11" s="230"/>
      <c r="FN11" s="239"/>
      <c r="FO11" s="220"/>
      <c r="FP11" s="222"/>
      <c r="FQ11" s="222"/>
      <c r="FR11" s="224"/>
      <c r="FS11" s="220"/>
      <c r="FT11" s="220"/>
      <c r="FU11" s="220"/>
      <c r="FV11" s="222"/>
      <c r="FW11" s="220"/>
      <c r="FX11" s="222"/>
      <c r="FY11" s="222"/>
      <c r="FZ11" s="224"/>
      <c r="GA11" s="222"/>
      <c r="GB11" s="222"/>
      <c r="GC11" s="227"/>
      <c r="GD11" s="230"/>
      <c r="GE11" s="233"/>
      <c r="GF11" s="239"/>
      <c r="GG11" s="220"/>
      <c r="GH11" s="222"/>
      <c r="GI11" s="222"/>
      <c r="GJ11" s="224"/>
      <c r="GK11" s="220"/>
      <c r="GL11" s="220"/>
      <c r="GM11" s="220"/>
      <c r="GN11" s="222"/>
      <c r="GO11" s="220"/>
      <c r="GP11" s="222"/>
      <c r="GQ11" s="222"/>
      <c r="GR11" s="224"/>
      <c r="GS11" s="222"/>
      <c r="GT11" s="222"/>
      <c r="GU11" s="227"/>
      <c r="GV11" s="230"/>
      <c r="GW11" s="233"/>
      <c r="GX11" s="239"/>
      <c r="GY11" s="220"/>
      <c r="GZ11" s="222"/>
      <c r="HA11" s="222"/>
      <c r="HB11" s="224"/>
      <c r="HC11" s="220"/>
      <c r="HD11" s="220"/>
      <c r="HE11" s="220"/>
      <c r="HF11" s="222"/>
      <c r="HG11" s="220"/>
      <c r="HH11" s="222"/>
      <c r="HI11" s="222"/>
      <c r="HJ11" s="224"/>
      <c r="HK11" s="222"/>
      <c r="HL11" s="222"/>
      <c r="HM11" s="227"/>
      <c r="HN11" s="230"/>
      <c r="HO11" s="233"/>
      <c r="HP11" s="239"/>
      <c r="HQ11" s="220"/>
      <c r="HR11" s="222"/>
      <c r="HS11" s="222"/>
      <c r="HT11" s="224"/>
      <c r="HU11" s="220"/>
      <c r="HV11" s="220"/>
      <c r="HW11" s="220"/>
      <c r="HX11" s="222"/>
      <c r="HY11" s="220"/>
      <c r="HZ11" s="222"/>
      <c r="IA11" s="222"/>
      <c r="IB11" s="224"/>
      <c r="IC11" s="222"/>
      <c r="ID11" s="222"/>
      <c r="IE11" s="227"/>
      <c r="IF11" s="230"/>
      <c r="IG11" s="233"/>
      <c r="IH11" s="239"/>
      <c r="II11" s="220"/>
      <c r="IJ11" s="222"/>
      <c r="IK11" s="222"/>
      <c r="IL11" s="224"/>
      <c r="IM11" s="220"/>
      <c r="IN11" s="220"/>
      <c r="IO11" s="220"/>
      <c r="IP11" s="222"/>
      <c r="IQ11" s="220"/>
      <c r="IR11" s="222"/>
      <c r="IS11" s="222"/>
      <c r="IT11" s="224"/>
      <c r="IU11" s="222"/>
      <c r="IV11" s="222"/>
      <c r="IW11" s="227"/>
      <c r="IX11" s="230"/>
      <c r="IY11" s="233"/>
      <c r="IZ11" s="239"/>
      <c r="JA11" s="220"/>
      <c r="JB11" s="222"/>
      <c r="JC11" s="222"/>
      <c r="JD11" s="224"/>
      <c r="JE11" s="220"/>
      <c r="JF11" s="220"/>
      <c r="JG11" s="220"/>
      <c r="JH11" s="222"/>
      <c r="JI11" s="220"/>
      <c r="JJ11" s="222"/>
      <c r="JK11" s="222"/>
      <c r="JL11" s="224"/>
      <c r="JM11" s="222"/>
      <c r="JN11" s="222"/>
      <c r="JO11" s="227"/>
      <c r="JP11" s="230"/>
      <c r="JQ11" s="233"/>
      <c r="JR11" s="239"/>
      <c r="JS11" s="220"/>
      <c r="JT11" s="222"/>
      <c r="JU11" s="222"/>
      <c r="JV11" s="224"/>
      <c r="JW11" s="220"/>
      <c r="JX11" s="220"/>
      <c r="JY11" s="220"/>
      <c r="JZ11" s="222"/>
      <c r="KA11" s="220"/>
      <c r="KB11" s="222"/>
      <c r="KC11" s="222"/>
      <c r="KD11" s="224"/>
      <c r="KE11" s="222"/>
      <c r="KF11" s="222"/>
      <c r="KG11" s="227"/>
      <c r="KH11" s="230"/>
      <c r="KI11" s="233"/>
      <c r="KJ11" s="239"/>
      <c r="KK11" s="220"/>
      <c r="KL11" s="222"/>
      <c r="KM11" s="222"/>
      <c r="KN11" s="224"/>
      <c r="KO11" s="220"/>
      <c r="KP11" s="220"/>
      <c r="KQ11" s="220"/>
      <c r="KR11" s="222"/>
      <c r="KS11" s="220"/>
      <c r="KT11" s="222"/>
      <c r="KU11" s="222"/>
      <c r="KV11" s="224"/>
      <c r="KW11" s="222"/>
      <c r="KX11" s="222"/>
      <c r="KY11" s="227"/>
      <c r="KZ11" s="230"/>
      <c r="LA11" s="233"/>
      <c r="LB11" s="239"/>
      <c r="LC11" s="220"/>
      <c r="LD11" s="222"/>
      <c r="LE11" s="222"/>
      <c r="LF11" s="224"/>
      <c r="LG11" s="220"/>
      <c r="LH11" s="220"/>
      <c r="LI11" s="220"/>
      <c r="LJ11" s="222"/>
      <c r="LK11" s="220"/>
      <c r="LL11" s="222"/>
      <c r="LM11" s="222"/>
      <c r="LN11" s="224"/>
      <c r="LO11" s="222"/>
      <c r="LP11" s="222"/>
      <c r="LQ11" s="227"/>
      <c r="LR11" s="230"/>
      <c r="LS11" s="233"/>
      <c r="LT11" s="239"/>
      <c r="LU11" s="220"/>
      <c r="LV11" s="222"/>
      <c r="LW11" s="222"/>
      <c r="LX11" s="224"/>
      <c r="LY11" s="220"/>
      <c r="LZ11" s="220"/>
      <c r="MA11" s="220"/>
      <c r="MB11" s="222"/>
      <c r="MC11" s="220"/>
      <c r="MD11" s="222"/>
      <c r="ME11" s="222"/>
      <c r="MF11" s="224"/>
      <c r="MG11" s="222"/>
      <c r="MH11" s="222"/>
      <c r="MI11" s="227"/>
      <c r="MJ11" s="230"/>
      <c r="MK11" s="233"/>
      <c r="ML11" s="239"/>
      <c r="MM11" s="220"/>
      <c r="MN11" s="222"/>
      <c r="MO11" s="222"/>
      <c r="MP11" s="224"/>
      <c r="MQ11" s="220"/>
      <c r="MR11" s="220"/>
      <c r="MS11" s="220"/>
      <c r="MT11" s="222"/>
      <c r="MU11" s="220"/>
      <c r="MV11" s="222"/>
      <c r="MW11" s="222"/>
      <c r="MX11" s="224"/>
      <c r="MY11" s="222"/>
      <c r="MZ11" s="222"/>
      <c r="NA11" s="227"/>
      <c r="NB11" s="230"/>
      <c r="NC11" s="233"/>
      <c r="ND11" s="239"/>
      <c r="NE11" s="220"/>
      <c r="NF11" s="222"/>
      <c r="NG11" s="222"/>
      <c r="NH11" s="224"/>
      <c r="NI11" s="220"/>
      <c r="NJ11" s="220"/>
      <c r="NK11" s="220"/>
      <c r="NL11" s="222"/>
      <c r="NM11" s="220"/>
      <c r="NN11" s="222"/>
      <c r="NO11" s="222"/>
      <c r="NP11" s="224"/>
      <c r="NQ11" s="222"/>
      <c r="NR11" s="222"/>
      <c r="NS11" s="227"/>
      <c r="NT11" s="230"/>
      <c r="NU11" s="233"/>
      <c r="NV11" s="239"/>
      <c r="NW11" s="220"/>
      <c r="NX11" s="222"/>
      <c r="NY11" s="222"/>
      <c r="NZ11" s="224"/>
      <c r="OA11" s="220"/>
      <c r="OB11" s="220"/>
      <c r="OC11" s="220"/>
      <c r="OD11" s="222"/>
      <c r="OE11" s="220"/>
      <c r="OF11" s="222"/>
      <c r="OG11" s="222"/>
      <c r="OH11" s="224"/>
      <c r="OI11" s="222"/>
      <c r="OJ11" s="222"/>
      <c r="OK11" s="227"/>
      <c r="OL11" s="230"/>
      <c r="OM11" s="233"/>
      <c r="ON11" s="239"/>
      <c r="OO11" s="220"/>
      <c r="OP11" s="222"/>
      <c r="OQ11" s="222"/>
      <c r="OR11" s="224"/>
      <c r="OS11" s="220"/>
      <c r="OT11" s="220"/>
      <c r="OU11" s="220"/>
      <c r="OV11" s="222"/>
      <c r="OW11" s="220"/>
      <c r="OX11" s="222"/>
      <c r="OY11" s="222"/>
      <c r="OZ11" s="224"/>
      <c r="PA11" s="222"/>
      <c r="PB11" s="222"/>
      <c r="PC11" s="227"/>
      <c r="PD11" s="230"/>
      <c r="PE11" s="233"/>
      <c r="PF11" s="239"/>
      <c r="PG11" s="220"/>
      <c r="PH11" s="222"/>
      <c r="PI11" s="222"/>
      <c r="PJ11" s="224"/>
      <c r="PK11" s="220"/>
      <c r="PL11" s="220"/>
      <c r="PM11" s="220"/>
      <c r="PN11" s="222"/>
      <c r="PO11" s="220"/>
      <c r="PP11" s="222"/>
      <c r="PQ11" s="222"/>
      <c r="PR11" s="224"/>
      <c r="PS11" s="222"/>
      <c r="PT11" s="222"/>
      <c r="PU11" s="227"/>
      <c r="PV11" s="230"/>
      <c r="PW11" s="233"/>
      <c r="PX11" s="239"/>
      <c r="PY11" s="220"/>
      <c r="PZ11" s="222"/>
      <c r="QA11" s="222"/>
      <c r="QB11" s="224"/>
      <c r="QC11" s="220"/>
      <c r="QD11" s="220"/>
      <c r="QE11" s="220"/>
      <c r="QF11" s="222"/>
      <c r="QG11" s="220"/>
      <c r="QH11" s="222"/>
      <c r="QI11" s="222"/>
      <c r="QJ11" s="224"/>
      <c r="QK11" s="222"/>
      <c r="QL11" s="222"/>
      <c r="QM11" s="227"/>
      <c r="QN11" s="230"/>
      <c r="QO11" s="233"/>
    </row>
    <row r="12" spans="1:457" ht="15.75" thickBot="1" x14ac:dyDescent="0.3">
      <c r="A12" s="5"/>
      <c r="B12" s="249"/>
      <c r="C12" s="252"/>
      <c r="D12" s="24"/>
      <c r="E12" s="25"/>
      <c r="F12" s="223"/>
      <c r="G12" s="223"/>
      <c r="H12" s="240"/>
      <c r="I12" s="221"/>
      <c r="J12" s="223"/>
      <c r="K12" s="223"/>
      <c r="L12" s="225"/>
      <c r="M12" s="221"/>
      <c r="N12" s="221"/>
      <c r="O12" s="221"/>
      <c r="P12" s="223"/>
      <c r="Q12" s="221"/>
      <c r="R12" s="223"/>
      <c r="S12" s="223"/>
      <c r="T12" s="225"/>
      <c r="U12" s="223"/>
      <c r="V12" s="223"/>
      <c r="W12" s="228"/>
      <c r="X12" s="231"/>
      <c r="Y12" s="234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40"/>
      <c r="AS12" s="221"/>
      <c r="AT12" s="223"/>
      <c r="AU12" s="223"/>
      <c r="AV12" s="225"/>
      <c r="AW12" s="221"/>
      <c r="AX12" s="221"/>
      <c r="AY12" s="221"/>
      <c r="AZ12" s="223"/>
      <c r="BA12" s="221"/>
      <c r="BB12" s="223"/>
      <c r="BC12" s="223"/>
      <c r="BD12" s="225"/>
      <c r="BE12" s="223"/>
      <c r="BF12" s="223"/>
      <c r="BG12" s="228"/>
      <c r="BH12" s="231"/>
      <c r="BI12" s="234"/>
      <c r="BJ12" s="240"/>
      <c r="BK12" s="221"/>
      <c r="BL12" s="223"/>
      <c r="BM12" s="223"/>
      <c r="BN12" s="225"/>
      <c r="BO12" s="221"/>
      <c r="BP12" s="221"/>
      <c r="BQ12" s="221"/>
      <c r="BR12" s="223"/>
      <c r="BS12" s="221"/>
      <c r="BT12" s="223"/>
      <c r="BU12" s="223"/>
      <c r="BV12" s="225"/>
      <c r="BW12" s="223"/>
      <c r="BX12" s="223"/>
      <c r="BY12" s="228"/>
      <c r="BZ12" s="231"/>
      <c r="CA12" s="234"/>
      <c r="CB12" s="240"/>
      <c r="CC12" s="221"/>
      <c r="CD12" s="223"/>
      <c r="CE12" s="223"/>
      <c r="CF12" s="225"/>
      <c r="CG12" s="221"/>
      <c r="CH12" s="221"/>
      <c r="CI12" s="221"/>
      <c r="CJ12" s="223"/>
      <c r="CK12" s="221"/>
      <c r="CL12" s="223"/>
      <c r="CM12" s="223"/>
      <c r="CN12" s="225"/>
      <c r="CO12" s="223"/>
      <c r="CP12" s="223"/>
      <c r="CQ12" s="228"/>
      <c r="CR12" s="231"/>
      <c r="CS12" s="234"/>
      <c r="CT12" s="240"/>
      <c r="CU12" s="221"/>
      <c r="CV12" s="223"/>
      <c r="CW12" s="223"/>
      <c r="CX12" s="225"/>
      <c r="CY12" s="221"/>
      <c r="CZ12" s="221"/>
      <c r="DA12" s="221"/>
      <c r="DB12" s="223"/>
      <c r="DC12" s="221"/>
      <c r="DD12" s="223"/>
      <c r="DE12" s="223"/>
      <c r="DF12" s="225"/>
      <c r="DG12" s="223"/>
      <c r="DH12" s="223"/>
      <c r="DI12" s="228"/>
      <c r="DJ12" s="231"/>
      <c r="DK12" s="234"/>
      <c r="DL12" s="231"/>
      <c r="DM12" s="231"/>
      <c r="DN12" s="231"/>
      <c r="DO12" s="231"/>
      <c r="DP12" s="231"/>
      <c r="DQ12" s="231"/>
      <c r="DR12" s="231"/>
      <c r="DS12" s="231"/>
      <c r="DT12" s="231"/>
      <c r="DU12" s="231"/>
      <c r="DV12" s="231"/>
      <c r="DW12" s="231"/>
      <c r="DX12" s="231"/>
      <c r="DY12" s="231"/>
      <c r="DZ12" s="231"/>
      <c r="EA12" s="231"/>
      <c r="EB12" s="231"/>
      <c r="EC12" s="231"/>
      <c r="ED12" s="240"/>
      <c r="EE12" s="221"/>
      <c r="EF12" s="223"/>
      <c r="EG12" s="223"/>
      <c r="EH12" s="225"/>
      <c r="EI12" s="221"/>
      <c r="EJ12" s="221"/>
      <c r="EK12" s="221"/>
      <c r="EL12" s="223"/>
      <c r="EM12" s="221"/>
      <c r="EN12" s="223"/>
      <c r="EO12" s="223"/>
      <c r="EP12" s="225"/>
      <c r="EQ12" s="223"/>
      <c r="ER12" s="223"/>
      <c r="ES12" s="228"/>
      <c r="ET12" s="231"/>
      <c r="EU12" s="234"/>
      <c r="EV12" s="231"/>
      <c r="EW12" s="231"/>
      <c r="EX12" s="231"/>
      <c r="EY12" s="231"/>
      <c r="EZ12" s="231"/>
      <c r="FA12" s="231"/>
      <c r="FB12" s="231"/>
      <c r="FC12" s="231"/>
      <c r="FD12" s="231"/>
      <c r="FE12" s="231"/>
      <c r="FF12" s="231"/>
      <c r="FG12" s="231"/>
      <c r="FH12" s="231"/>
      <c r="FI12" s="231"/>
      <c r="FJ12" s="231"/>
      <c r="FK12" s="231"/>
      <c r="FL12" s="231"/>
      <c r="FM12" s="231"/>
      <c r="FN12" s="240"/>
      <c r="FO12" s="221"/>
      <c r="FP12" s="223"/>
      <c r="FQ12" s="223"/>
      <c r="FR12" s="225"/>
      <c r="FS12" s="221"/>
      <c r="FT12" s="221"/>
      <c r="FU12" s="221"/>
      <c r="FV12" s="223"/>
      <c r="FW12" s="221"/>
      <c r="FX12" s="223"/>
      <c r="FY12" s="223"/>
      <c r="FZ12" s="225"/>
      <c r="GA12" s="223"/>
      <c r="GB12" s="223"/>
      <c r="GC12" s="228"/>
      <c r="GD12" s="231"/>
      <c r="GE12" s="234"/>
      <c r="GF12" s="240"/>
      <c r="GG12" s="221"/>
      <c r="GH12" s="223"/>
      <c r="GI12" s="223"/>
      <c r="GJ12" s="225"/>
      <c r="GK12" s="221"/>
      <c r="GL12" s="221"/>
      <c r="GM12" s="221"/>
      <c r="GN12" s="223"/>
      <c r="GO12" s="221"/>
      <c r="GP12" s="223"/>
      <c r="GQ12" s="223"/>
      <c r="GR12" s="225"/>
      <c r="GS12" s="223"/>
      <c r="GT12" s="223"/>
      <c r="GU12" s="228"/>
      <c r="GV12" s="231"/>
      <c r="GW12" s="234"/>
      <c r="GX12" s="240"/>
      <c r="GY12" s="221"/>
      <c r="GZ12" s="223"/>
      <c r="HA12" s="223"/>
      <c r="HB12" s="225"/>
      <c r="HC12" s="221"/>
      <c r="HD12" s="221"/>
      <c r="HE12" s="221"/>
      <c r="HF12" s="223"/>
      <c r="HG12" s="221"/>
      <c r="HH12" s="223"/>
      <c r="HI12" s="223"/>
      <c r="HJ12" s="225"/>
      <c r="HK12" s="223"/>
      <c r="HL12" s="223"/>
      <c r="HM12" s="228"/>
      <c r="HN12" s="231"/>
      <c r="HO12" s="234"/>
      <c r="HP12" s="240"/>
      <c r="HQ12" s="221"/>
      <c r="HR12" s="223"/>
      <c r="HS12" s="223"/>
      <c r="HT12" s="225"/>
      <c r="HU12" s="221"/>
      <c r="HV12" s="221"/>
      <c r="HW12" s="221"/>
      <c r="HX12" s="223"/>
      <c r="HY12" s="221"/>
      <c r="HZ12" s="223"/>
      <c r="IA12" s="223"/>
      <c r="IB12" s="225"/>
      <c r="IC12" s="223"/>
      <c r="ID12" s="223"/>
      <c r="IE12" s="228"/>
      <c r="IF12" s="231"/>
      <c r="IG12" s="234"/>
      <c r="IH12" s="240"/>
      <c r="II12" s="221"/>
      <c r="IJ12" s="223"/>
      <c r="IK12" s="223"/>
      <c r="IL12" s="225"/>
      <c r="IM12" s="221"/>
      <c r="IN12" s="221"/>
      <c r="IO12" s="221"/>
      <c r="IP12" s="223"/>
      <c r="IQ12" s="221"/>
      <c r="IR12" s="223"/>
      <c r="IS12" s="223"/>
      <c r="IT12" s="225"/>
      <c r="IU12" s="223"/>
      <c r="IV12" s="223"/>
      <c r="IW12" s="228"/>
      <c r="IX12" s="231"/>
      <c r="IY12" s="234"/>
      <c r="IZ12" s="240"/>
      <c r="JA12" s="221"/>
      <c r="JB12" s="223"/>
      <c r="JC12" s="223"/>
      <c r="JD12" s="225"/>
      <c r="JE12" s="221"/>
      <c r="JF12" s="221"/>
      <c r="JG12" s="221"/>
      <c r="JH12" s="223"/>
      <c r="JI12" s="221"/>
      <c r="JJ12" s="223"/>
      <c r="JK12" s="223"/>
      <c r="JL12" s="225"/>
      <c r="JM12" s="223"/>
      <c r="JN12" s="223"/>
      <c r="JO12" s="228"/>
      <c r="JP12" s="231"/>
      <c r="JQ12" s="234"/>
      <c r="JR12" s="240"/>
      <c r="JS12" s="221"/>
      <c r="JT12" s="223"/>
      <c r="JU12" s="223"/>
      <c r="JV12" s="225"/>
      <c r="JW12" s="221"/>
      <c r="JX12" s="221"/>
      <c r="JY12" s="221"/>
      <c r="JZ12" s="223"/>
      <c r="KA12" s="221"/>
      <c r="KB12" s="223"/>
      <c r="KC12" s="223"/>
      <c r="KD12" s="225"/>
      <c r="KE12" s="223"/>
      <c r="KF12" s="223"/>
      <c r="KG12" s="228"/>
      <c r="KH12" s="231"/>
      <c r="KI12" s="234"/>
      <c r="KJ12" s="240"/>
      <c r="KK12" s="221"/>
      <c r="KL12" s="223"/>
      <c r="KM12" s="223"/>
      <c r="KN12" s="225"/>
      <c r="KO12" s="221"/>
      <c r="KP12" s="221"/>
      <c r="KQ12" s="221"/>
      <c r="KR12" s="223"/>
      <c r="KS12" s="221"/>
      <c r="KT12" s="223"/>
      <c r="KU12" s="223"/>
      <c r="KV12" s="225"/>
      <c r="KW12" s="223"/>
      <c r="KX12" s="223"/>
      <c r="KY12" s="228"/>
      <c r="KZ12" s="231"/>
      <c r="LA12" s="234"/>
      <c r="LB12" s="240"/>
      <c r="LC12" s="221"/>
      <c r="LD12" s="223"/>
      <c r="LE12" s="223"/>
      <c r="LF12" s="225"/>
      <c r="LG12" s="221"/>
      <c r="LH12" s="221"/>
      <c r="LI12" s="221"/>
      <c r="LJ12" s="223"/>
      <c r="LK12" s="221"/>
      <c r="LL12" s="223"/>
      <c r="LM12" s="223"/>
      <c r="LN12" s="225"/>
      <c r="LO12" s="223"/>
      <c r="LP12" s="223"/>
      <c r="LQ12" s="228"/>
      <c r="LR12" s="231"/>
      <c r="LS12" s="234"/>
      <c r="LT12" s="240"/>
      <c r="LU12" s="221"/>
      <c r="LV12" s="223"/>
      <c r="LW12" s="223"/>
      <c r="LX12" s="225"/>
      <c r="LY12" s="221"/>
      <c r="LZ12" s="221"/>
      <c r="MA12" s="221"/>
      <c r="MB12" s="223"/>
      <c r="MC12" s="221"/>
      <c r="MD12" s="223"/>
      <c r="ME12" s="223"/>
      <c r="MF12" s="225"/>
      <c r="MG12" s="223"/>
      <c r="MH12" s="223"/>
      <c r="MI12" s="228"/>
      <c r="MJ12" s="231"/>
      <c r="MK12" s="234"/>
      <c r="ML12" s="240"/>
      <c r="MM12" s="221"/>
      <c r="MN12" s="223"/>
      <c r="MO12" s="223"/>
      <c r="MP12" s="225"/>
      <c r="MQ12" s="221"/>
      <c r="MR12" s="221"/>
      <c r="MS12" s="221"/>
      <c r="MT12" s="223"/>
      <c r="MU12" s="221"/>
      <c r="MV12" s="223"/>
      <c r="MW12" s="223"/>
      <c r="MX12" s="225"/>
      <c r="MY12" s="223"/>
      <c r="MZ12" s="223"/>
      <c r="NA12" s="228"/>
      <c r="NB12" s="231"/>
      <c r="NC12" s="234"/>
      <c r="ND12" s="240"/>
      <c r="NE12" s="221"/>
      <c r="NF12" s="223"/>
      <c r="NG12" s="223"/>
      <c r="NH12" s="225"/>
      <c r="NI12" s="221"/>
      <c r="NJ12" s="221"/>
      <c r="NK12" s="221"/>
      <c r="NL12" s="223"/>
      <c r="NM12" s="221"/>
      <c r="NN12" s="223"/>
      <c r="NO12" s="223"/>
      <c r="NP12" s="225"/>
      <c r="NQ12" s="223"/>
      <c r="NR12" s="223"/>
      <c r="NS12" s="228"/>
      <c r="NT12" s="231"/>
      <c r="NU12" s="234"/>
      <c r="NV12" s="240"/>
      <c r="NW12" s="221"/>
      <c r="NX12" s="223"/>
      <c r="NY12" s="223"/>
      <c r="NZ12" s="225"/>
      <c r="OA12" s="221"/>
      <c r="OB12" s="221"/>
      <c r="OC12" s="221"/>
      <c r="OD12" s="223"/>
      <c r="OE12" s="221"/>
      <c r="OF12" s="223"/>
      <c r="OG12" s="223"/>
      <c r="OH12" s="225"/>
      <c r="OI12" s="223"/>
      <c r="OJ12" s="223"/>
      <c r="OK12" s="228"/>
      <c r="OL12" s="231"/>
      <c r="OM12" s="234"/>
      <c r="ON12" s="240"/>
      <c r="OO12" s="221"/>
      <c r="OP12" s="223"/>
      <c r="OQ12" s="223"/>
      <c r="OR12" s="225"/>
      <c r="OS12" s="221"/>
      <c r="OT12" s="221"/>
      <c r="OU12" s="221"/>
      <c r="OV12" s="223"/>
      <c r="OW12" s="221"/>
      <c r="OX12" s="223"/>
      <c r="OY12" s="223"/>
      <c r="OZ12" s="225"/>
      <c r="PA12" s="223"/>
      <c r="PB12" s="223"/>
      <c r="PC12" s="228"/>
      <c r="PD12" s="231"/>
      <c r="PE12" s="234"/>
      <c r="PF12" s="240"/>
      <c r="PG12" s="221"/>
      <c r="PH12" s="223"/>
      <c r="PI12" s="223"/>
      <c r="PJ12" s="225"/>
      <c r="PK12" s="221"/>
      <c r="PL12" s="221"/>
      <c r="PM12" s="221"/>
      <c r="PN12" s="223"/>
      <c r="PO12" s="221"/>
      <c r="PP12" s="223"/>
      <c r="PQ12" s="223"/>
      <c r="PR12" s="225"/>
      <c r="PS12" s="223"/>
      <c r="PT12" s="223"/>
      <c r="PU12" s="228"/>
      <c r="PV12" s="231"/>
      <c r="PW12" s="234"/>
      <c r="PX12" s="240"/>
      <c r="PY12" s="221"/>
      <c r="PZ12" s="223"/>
      <c r="QA12" s="223"/>
      <c r="QB12" s="225"/>
      <c r="QC12" s="221"/>
      <c r="QD12" s="221"/>
      <c r="QE12" s="221"/>
      <c r="QF12" s="223"/>
      <c r="QG12" s="221"/>
      <c r="QH12" s="223"/>
      <c r="QI12" s="223"/>
      <c r="QJ12" s="225"/>
      <c r="QK12" s="223"/>
      <c r="QL12" s="223"/>
      <c r="QM12" s="228"/>
      <c r="QN12" s="231"/>
      <c r="QO12" s="234"/>
    </row>
    <row r="13" spans="1:457" ht="15.75" thickBot="1" x14ac:dyDescent="0.3">
      <c r="A13" s="6"/>
      <c r="B13" s="171"/>
      <c r="C13" s="7"/>
      <c r="D13" s="7" t="s">
        <v>269</v>
      </c>
      <c r="E13" s="26" t="s">
        <v>270</v>
      </c>
      <c r="F13" s="95" t="s">
        <v>323</v>
      </c>
      <c r="G13" s="95" t="s">
        <v>324</v>
      </c>
      <c r="H13" s="28" t="str">
        <f>H5&amp;"04"</f>
        <v>1704</v>
      </c>
      <c r="I13" s="28" t="str">
        <f>H5&amp;"05"</f>
        <v>1705</v>
      </c>
      <c r="J13" s="28" t="str">
        <f>H5&amp;"06"</f>
        <v>1706</v>
      </c>
      <c r="K13" s="28" t="str">
        <f>H5&amp;"07"</f>
        <v>1707</v>
      </c>
      <c r="L13" s="28" t="str">
        <f>H5&amp;"08"</f>
        <v>1708</v>
      </c>
      <c r="M13" s="28" t="str">
        <f>H5&amp;"09"</f>
        <v>1709</v>
      </c>
      <c r="N13" s="28" t="str">
        <f>H5&amp;"52"</f>
        <v>1752</v>
      </c>
      <c r="O13" s="28" t="str">
        <f>H5&amp;"10"</f>
        <v>1710</v>
      </c>
      <c r="P13" s="28" t="str">
        <f>H5&amp;"11"</f>
        <v>1711</v>
      </c>
      <c r="Q13" s="28" t="str">
        <f>H5&amp;"12"</f>
        <v>1712</v>
      </c>
      <c r="R13" s="28" t="str">
        <f>H5&amp;"13"</f>
        <v>1713</v>
      </c>
      <c r="S13" s="28" t="str">
        <f>H5&amp;"14"</f>
        <v>1714</v>
      </c>
      <c r="T13" s="28" t="str">
        <f>H5&amp;"15"</f>
        <v>1715</v>
      </c>
      <c r="U13" s="28" t="str">
        <f>H5&amp;"16"</f>
        <v>1716</v>
      </c>
      <c r="V13" s="28" t="str">
        <f>H5&amp;"21"</f>
        <v>1721</v>
      </c>
      <c r="W13" s="92" t="str">
        <f>H5&amp;"19"</f>
        <v>1719</v>
      </c>
      <c r="X13" s="7" t="str">
        <f>H5&amp;"51"</f>
        <v>1751</v>
      </c>
      <c r="Y13" s="91" t="str">
        <f>H5&amp;"23"</f>
        <v>1723</v>
      </c>
      <c r="Z13" s="147" t="str">
        <f>Z5&amp;"04"</f>
        <v>КОЛ01704</v>
      </c>
      <c r="AA13" s="147" t="str">
        <f>Z5&amp;"05"</f>
        <v>КОЛ01705</v>
      </c>
      <c r="AB13" s="147" t="str">
        <f>Z5&amp;"06"</f>
        <v>КОЛ01706</v>
      </c>
      <c r="AC13" s="147" t="str">
        <f>Z5&amp;"07"</f>
        <v>КОЛ01707</v>
      </c>
      <c r="AD13" s="147" t="str">
        <f>Z5&amp;"08"</f>
        <v>КОЛ01708</v>
      </c>
      <c r="AE13" s="147" t="str">
        <f>Z5&amp;"09"</f>
        <v>КОЛ01709</v>
      </c>
      <c r="AF13" s="147" t="str">
        <f>Z5&amp;"52"</f>
        <v>КОЛ01752</v>
      </c>
      <c r="AG13" s="147" t="str">
        <f>Z5&amp;"10"</f>
        <v>КОЛ01710</v>
      </c>
      <c r="AH13" s="147" t="str">
        <f>Z5&amp;"11"</f>
        <v>КОЛ01711</v>
      </c>
      <c r="AI13" s="147" t="str">
        <f>Z5&amp;"12"</f>
        <v>КОЛ01712</v>
      </c>
      <c r="AJ13" s="147" t="str">
        <f>Z5&amp;"13"</f>
        <v>КОЛ01713</v>
      </c>
      <c r="AK13" s="147" t="str">
        <f>Z5&amp;"14"</f>
        <v>КОЛ01714</v>
      </c>
      <c r="AL13" s="147" t="str">
        <f>Z5&amp;"15"</f>
        <v>КОЛ01715</v>
      </c>
      <c r="AM13" s="147" t="str">
        <f>Z5&amp;"16"</f>
        <v>КОЛ01716</v>
      </c>
      <c r="AN13" s="147" t="str">
        <f>Z5&amp;"21"</f>
        <v>КОЛ01721</v>
      </c>
      <c r="AO13" s="153" t="str">
        <f>Z5&amp;"19"</f>
        <v>КОЛ01719</v>
      </c>
      <c r="AP13" s="132" t="str">
        <f>Z5&amp;"51"</f>
        <v>КОЛ01751</v>
      </c>
      <c r="AQ13" s="152" t="str">
        <f>Z5&amp;"23"</f>
        <v>КОЛ01723</v>
      </c>
      <c r="AR13" s="28" t="str">
        <f>AR5&amp;"04"</f>
        <v>6204</v>
      </c>
      <c r="AS13" s="28" t="str">
        <f>AR5&amp;"05"</f>
        <v>6205</v>
      </c>
      <c r="AT13" s="28" t="str">
        <f>AR5&amp;"06"</f>
        <v>6206</v>
      </c>
      <c r="AU13" s="28" t="str">
        <f>AR5&amp;"07"</f>
        <v>6207</v>
      </c>
      <c r="AV13" s="28" t="str">
        <f>AR5&amp;"08"</f>
        <v>6208</v>
      </c>
      <c r="AW13" s="28" t="str">
        <f>AR5&amp;"09"</f>
        <v>6209</v>
      </c>
      <c r="AX13" s="28" t="str">
        <f>AR5&amp;"52"</f>
        <v>6252</v>
      </c>
      <c r="AY13" s="28" t="str">
        <f>AR5&amp;"10"</f>
        <v>6210</v>
      </c>
      <c r="AZ13" s="28" t="str">
        <f>AR5&amp;"11"</f>
        <v>6211</v>
      </c>
      <c r="BA13" s="28" t="str">
        <f>AR5&amp;"12"</f>
        <v>6212</v>
      </c>
      <c r="BB13" s="28" t="str">
        <f>AR5&amp;"13"</f>
        <v>6213</v>
      </c>
      <c r="BC13" s="28" t="str">
        <f>AR5&amp;"14"</f>
        <v>6214</v>
      </c>
      <c r="BD13" s="28" t="str">
        <f>AR5&amp;"15"</f>
        <v>6215</v>
      </c>
      <c r="BE13" s="28" t="str">
        <f>AR5&amp;"16"</f>
        <v>6216</v>
      </c>
      <c r="BF13" s="28" t="str">
        <f>AR5&amp;"21"</f>
        <v>6221</v>
      </c>
      <c r="BG13" s="92" t="str">
        <f>AR5&amp;"19"</f>
        <v>6219</v>
      </c>
      <c r="BH13" s="7" t="str">
        <f>AR5&amp;"51"</f>
        <v>6251</v>
      </c>
      <c r="BI13" s="91" t="str">
        <f>AR5&amp;"23"</f>
        <v>6223</v>
      </c>
      <c r="BJ13" s="147" t="str">
        <f>BJ5&amp;"04"</f>
        <v>КОЛ06204</v>
      </c>
      <c r="BK13" s="147" t="str">
        <f>BJ5&amp;"05"</f>
        <v>КОЛ06205</v>
      </c>
      <c r="BL13" s="147" t="str">
        <f>BJ5&amp;"06"</f>
        <v>КОЛ06206</v>
      </c>
      <c r="BM13" s="147" t="str">
        <f>BJ5&amp;"07"</f>
        <v>КОЛ06207</v>
      </c>
      <c r="BN13" s="147" t="str">
        <f>BJ5&amp;"08"</f>
        <v>КОЛ06208</v>
      </c>
      <c r="BO13" s="147" t="str">
        <f>BJ5&amp;"09"</f>
        <v>КОЛ06209</v>
      </c>
      <c r="BP13" s="147" t="str">
        <f>BJ5&amp;"52"</f>
        <v>КОЛ06252</v>
      </c>
      <c r="BQ13" s="147" t="str">
        <f>BJ5&amp;"10"</f>
        <v>КОЛ06210</v>
      </c>
      <c r="BR13" s="147" t="str">
        <f>BJ5&amp;"11"</f>
        <v>КОЛ06211</v>
      </c>
      <c r="BS13" s="147" t="str">
        <f>BJ5&amp;"12"</f>
        <v>КОЛ06212</v>
      </c>
      <c r="BT13" s="147" t="str">
        <f>BJ5&amp;"13"</f>
        <v>КОЛ06213</v>
      </c>
      <c r="BU13" s="147" t="str">
        <f>BJ5&amp;"14"</f>
        <v>КОЛ06214</v>
      </c>
      <c r="BV13" s="147" t="str">
        <f>BJ5&amp;"15"</f>
        <v>КОЛ06215</v>
      </c>
      <c r="BW13" s="147" t="str">
        <f>BJ5&amp;"16"</f>
        <v>КОЛ06216</v>
      </c>
      <c r="BX13" s="147" t="str">
        <f>BJ5&amp;"21"</f>
        <v>КОЛ06221</v>
      </c>
      <c r="BY13" s="153" t="str">
        <f>BJ5&amp;"19"</f>
        <v>КОЛ06219</v>
      </c>
      <c r="BZ13" s="132" t="str">
        <f>BJ5&amp;"51"</f>
        <v>КОЛ06251</v>
      </c>
      <c r="CA13" s="152" t="str">
        <f>BJ5&amp;"23"</f>
        <v>КОЛ06223</v>
      </c>
      <c r="CB13" s="28" t="str">
        <f>CB5&amp;"04"</f>
        <v>3704</v>
      </c>
      <c r="CC13" s="28" t="str">
        <f>CB5&amp;"05"</f>
        <v>3705</v>
      </c>
      <c r="CD13" s="28" t="str">
        <f>CB5&amp;"06"</f>
        <v>3706</v>
      </c>
      <c r="CE13" s="28" t="str">
        <f>CB5&amp;"07"</f>
        <v>3707</v>
      </c>
      <c r="CF13" s="28" t="str">
        <f>CB5&amp;"08"</f>
        <v>3708</v>
      </c>
      <c r="CG13" s="28" t="str">
        <f>CB5&amp;"09"</f>
        <v>3709</v>
      </c>
      <c r="CH13" s="28" t="str">
        <f>CB5&amp;"52"</f>
        <v>3752</v>
      </c>
      <c r="CI13" s="28" t="str">
        <f>CB5&amp;"10"</f>
        <v>3710</v>
      </c>
      <c r="CJ13" s="28" t="str">
        <f>CB5&amp;"11"</f>
        <v>3711</v>
      </c>
      <c r="CK13" s="28" t="str">
        <f>CB5&amp;"12"</f>
        <v>3712</v>
      </c>
      <c r="CL13" s="28" t="str">
        <f>CB5&amp;"13"</f>
        <v>3713</v>
      </c>
      <c r="CM13" s="28" t="str">
        <f>CB5&amp;"14"</f>
        <v>3714</v>
      </c>
      <c r="CN13" s="28" t="str">
        <f>CB5&amp;"15"</f>
        <v>3715</v>
      </c>
      <c r="CO13" s="28" t="str">
        <f>CB5&amp;"16"</f>
        <v>3716</v>
      </c>
      <c r="CP13" s="28" t="str">
        <f>CB5&amp;"21"</f>
        <v>3721</v>
      </c>
      <c r="CQ13" s="92" t="str">
        <f>CB5&amp;"19"</f>
        <v>3719</v>
      </c>
      <c r="CR13" s="7" t="str">
        <f>CB5&amp;"51"</f>
        <v>3751</v>
      </c>
      <c r="CS13" s="91" t="str">
        <f>CB5&amp;"23"</f>
        <v>3723</v>
      </c>
      <c r="CT13" s="28" t="str">
        <f>CT5&amp;"04"</f>
        <v>4504</v>
      </c>
      <c r="CU13" s="28" t="str">
        <f>CT5&amp;"05"</f>
        <v>4505</v>
      </c>
      <c r="CV13" s="28" t="str">
        <f>CT5&amp;"06"</f>
        <v>4506</v>
      </c>
      <c r="CW13" s="28" t="str">
        <f>CT5&amp;"07"</f>
        <v>4507</v>
      </c>
      <c r="CX13" s="28" t="str">
        <f>CT5&amp;"08"</f>
        <v>4508</v>
      </c>
      <c r="CY13" s="28" t="str">
        <f>CT5&amp;"09"</f>
        <v>4509</v>
      </c>
      <c r="CZ13" s="28" t="str">
        <f>CT5&amp;"52"</f>
        <v>4552</v>
      </c>
      <c r="DA13" s="28" t="str">
        <f>CT5&amp;"10"</f>
        <v>4510</v>
      </c>
      <c r="DB13" s="28" t="str">
        <f>CT5&amp;"11"</f>
        <v>4511</v>
      </c>
      <c r="DC13" s="28" t="str">
        <f>CT5&amp;"12"</f>
        <v>4512</v>
      </c>
      <c r="DD13" s="28" t="str">
        <f>CT5&amp;"13"</f>
        <v>4513</v>
      </c>
      <c r="DE13" s="28" t="str">
        <f>CT5&amp;"14"</f>
        <v>4514</v>
      </c>
      <c r="DF13" s="28" t="str">
        <f>CT5&amp;"15"</f>
        <v>4515</v>
      </c>
      <c r="DG13" s="28" t="str">
        <f>CT5&amp;"16"</f>
        <v>4516</v>
      </c>
      <c r="DH13" s="28" t="str">
        <f>CT5&amp;"21"</f>
        <v>4521</v>
      </c>
      <c r="DI13" s="92" t="str">
        <f>CT5&amp;"19"</f>
        <v>4519</v>
      </c>
      <c r="DJ13" s="7" t="str">
        <f>CT5&amp;"51"</f>
        <v>4551</v>
      </c>
      <c r="DK13" s="91" t="str">
        <f>CT5&amp;"23"</f>
        <v>4523</v>
      </c>
      <c r="DL13" s="147" t="str">
        <f>DL5&amp;"04"</f>
        <v>КОЛ04504</v>
      </c>
      <c r="DM13" s="147" t="str">
        <f>DL5&amp;"05"</f>
        <v>КОЛ04505</v>
      </c>
      <c r="DN13" s="147" t="str">
        <f>DL5&amp;"06"</f>
        <v>КОЛ04506</v>
      </c>
      <c r="DO13" s="147" t="str">
        <f>DL5&amp;"07"</f>
        <v>КОЛ04507</v>
      </c>
      <c r="DP13" s="147" t="str">
        <f>DL5&amp;"08"</f>
        <v>КОЛ04508</v>
      </c>
      <c r="DQ13" s="147" t="str">
        <f>DL5&amp;"09"</f>
        <v>КОЛ04509</v>
      </c>
      <c r="DR13" s="147" t="str">
        <f>DL5&amp;"52"</f>
        <v>КОЛ04552</v>
      </c>
      <c r="DS13" s="147" t="str">
        <f>DL5&amp;"10"</f>
        <v>КОЛ04510</v>
      </c>
      <c r="DT13" s="147" t="str">
        <f>DL5&amp;"11"</f>
        <v>КОЛ04511</v>
      </c>
      <c r="DU13" s="147" t="str">
        <f>DL5&amp;"12"</f>
        <v>КОЛ04512</v>
      </c>
      <c r="DV13" s="147" t="str">
        <f>DL5&amp;"13"</f>
        <v>КОЛ04513</v>
      </c>
      <c r="DW13" s="147" t="str">
        <f>DL5&amp;"14"</f>
        <v>КОЛ04514</v>
      </c>
      <c r="DX13" s="147" t="str">
        <f>DL5&amp;"15"</f>
        <v>КОЛ04515</v>
      </c>
      <c r="DY13" s="147" t="str">
        <f>DL5&amp;"16"</f>
        <v>КОЛ04516</v>
      </c>
      <c r="DZ13" s="147" t="str">
        <f>DL5&amp;"21"</f>
        <v>КОЛ04521</v>
      </c>
      <c r="EA13" s="153" t="str">
        <f>DL5&amp;"19"</f>
        <v>КОЛ04519</v>
      </c>
      <c r="EB13" s="132" t="str">
        <f>DL5&amp;"51"</f>
        <v>КОЛ04551</v>
      </c>
      <c r="EC13" s="152" t="str">
        <f>DL5&amp;"23"</f>
        <v>КОЛ04523</v>
      </c>
      <c r="ED13" s="28" t="str">
        <f>ED5&amp;"04"</f>
        <v>7504</v>
      </c>
      <c r="EE13" s="28" t="str">
        <f>ED5&amp;"05"</f>
        <v>7505</v>
      </c>
      <c r="EF13" s="28" t="str">
        <f>ED5&amp;"06"</f>
        <v>7506</v>
      </c>
      <c r="EG13" s="28" t="str">
        <f>ED5&amp;"07"</f>
        <v>7507</v>
      </c>
      <c r="EH13" s="28" t="str">
        <f>ED5&amp;"08"</f>
        <v>7508</v>
      </c>
      <c r="EI13" s="28" t="str">
        <f>ED5&amp;"09"</f>
        <v>7509</v>
      </c>
      <c r="EJ13" s="28" t="str">
        <f>ED5&amp;"52"</f>
        <v>7552</v>
      </c>
      <c r="EK13" s="28" t="str">
        <f>ED5&amp;"10"</f>
        <v>7510</v>
      </c>
      <c r="EL13" s="28" t="str">
        <f>ED5&amp;"11"</f>
        <v>7511</v>
      </c>
      <c r="EM13" s="28" t="str">
        <f>ED5&amp;"12"</f>
        <v>7512</v>
      </c>
      <c r="EN13" s="28" t="str">
        <f>ED5&amp;"13"</f>
        <v>7513</v>
      </c>
      <c r="EO13" s="28" t="str">
        <f>ED5&amp;"14"</f>
        <v>7514</v>
      </c>
      <c r="EP13" s="28" t="str">
        <f>ED5&amp;"15"</f>
        <v>7515</v>
      </c>
      <c r="EQ13" s="28" t="str">
        <f>ED5&amp;"16"</f>
        <v>7516</v>
      </c>
      <c r="ER13" s="28" t="str">
        <f>ED5&amp;"21"</f>
        <v>7521</v>
      </c>
      <c r="ES13" s="92" t="str">
        <f>ED5&amp;"19"</f>
        <v>7519</v>
      </c>
      <c r="ET13" s="7" t="str">
        <f>ED5&amp;"51"</f>
        <v>7551</v>
      </c>
      <c r="EU13" s="91" t="str">
        <f>ED5&amp;"23"</f>
        <v>7523</v>
      </c>
      <c r="EV13" s="147" t="str">
        <f>EV5&amp;"04"</f>
        <v>КОЛ07504</v>
      </c>
      <c r="EW13" s="147" t="str">
        <f>EV5&amp;"05"</f>
        <v>КОЛ07505</v>
      </c>
      <c r="EX13" s="147" t="str">
        <f>EV5&amp;"06"</f>
        <v>КОЛ07506</v>
      </c>
      <c r="EY13" s="147" t="str">
        <f>EV5&amp;"07"</f>
        <v>КОЛ07507</v>
      </c>
      <c r="EZ13" s="147" t="str">
        <f>EV5&amp;"08"</f>
        <v>КОЛ07508</v>
      </c>
      <c r="FA13" s="147" t="str">
        <f>EV5&amp;"09"</f>
        <v>КОЛ07509</v>
      </c>
      <c r="FB13" s="147" t="str">
        <f>EV5&amp;"52"</f>
        <v>КОЛ07552</v>
      </c>
      <c r="FC13" s="147" t="str">
        <f>EV5&amp;"10"</f>
        <v>КОЛ07510</v>
      </c>
      <c r="FD13" s="147" t="str">
        <f>EV5&amp;"11"</f>
        <v>КОЛ07511</v>
      </c>
      <c r="FE13" s="147" t="str">
        <f>EV5&amp;"12"</f>
        <v>КОЛ07512</v>
      </c>
      <c r="FF13" s="147" t="str">
        <f>EV5&amp;"13"</f>
        <v>КОЛ07513</v>
      </c>
      <c r="FG13" s="147" t="str">
        <f>EV5&amp;"14"</f>
        <v>КОЛ07514</v>
      </c>
      <c r="FH13" s="147" t="str">
        <f>EV5&amp;"15"</f>
        <v>КОЛ07515</v>
      </c>
      <c r="FI13" s="147" t="str">
        <f>EV5&amp;"16"</f>
        <v>КОЛ07516</v>
      </c>
      <c r="FJ13" s="147" t="str">
        <f>EV5&amp;"21"</f>
        <v>КОЛ07521</v>
      </c>
      <c r="FK13" s="153" t="str">
        <f>EV5&amp;"19"</f>
        <v>КОЛ07519</v>
      </c>
      <c r="FL13" s="132" t="str">
        <f>EV5&amp;"51"</f>
        <v>КОЛ07551</v>
      </c>
      <c r="FM13" s="152" t="str">
        <f>EV5&amp;"23"</f>
        <v>КОЛ07523</v>
      </c>
      <c r="FN13" s="28" t="str">
        <f>FN5&amp;"04"</f>
        <v>6104</v>
      </c>
      <c r="FO13" s="28" t="str">
        <f>FN5&amp;"05"</f>
        <v>6105</v>
      </c>
      <c r="FP13" s="28" t="str">
        <f>FN5&amp;"06"</f>
        <v>6106</v>
      </c>
      <c r="FQ13" s="28" t="str">
        <f>FN5&amp;"07"</f>
        <v>6107</v>
      </c>
      <c r="FR13" s="28" t="str">
        <f>FN5&amp;"08"</f>
        <v>6108</v>
      </c>
      <c r="FS13" s="28" t="str">
        <f>FN5&amp;"09"</f>
        <v>6109</v>
      </c>
      <c r="FT13" s="28" t="str">
        <f>FN5&amp;"52"</f>
        <v>6152</v>
      </c>
      <c r="FU13" s="28" t="str">
        <f>FN5&amp;"10"</f>
        <v>6110</v>
      </c>
      <c r="FV13" s="28" t="str">
        <f>FN5&amp;"11"</f>
        <v>6111</v>
      </c>
      <c r="FW13" s="28" t="str">
        <f>FN5&amp;"12"</f>
        <v>6112</v>
      </c>
      <c r="FX13" s="28" t="str">
        <f>FN5&amp;"13"</f>
        <v>6113</v>
      </c>
      <c r="FY13" s="28" t="str">
        <f>FN5&amp;"14"</f>
        <v>6114</v>
      </c>
      <c r="FZ13" s="28" t="str">
        <f>FN5&amp;"15"</f>
        <v>6115</v>
      </c>
      <c r="GA13" s="28" t="str">
        <f>FN5&amp;"16"</f>
        <v>6116</v>
      </c>
      <c r="GB13" s="28" t="str">
        <f>FN5&amp;"21"</f>
        <v>6121</v>
      </c>
      <c r="GC13" s="92" t="str">
        <f>FN5&amp;"19"</f>
        <v>6119</v>
      </c>
      <c r="GD13" s="7" t="str">
        <f>FN5&amp;"51"</f>
        <v>6151</v>
      </c>
      <c r="GE13" s="91" t="str">
        <f>FN5&amp;"23"</f>
        <v>6123</v>
      </c>
      <c r="GF13" s="28" t="str">
        <f>GF5&amp;"04"</f>
        <v>4904</v>
      </c>
      <c r="GG13" s="28" t="str">
        <f>GF5&amp;"05"</f>
        <v>4905</v>
      </c>
      <c r="GH13" s="28" t="str">
        <f>GF5&amp;"06"</f>
        <v>4906</v>
      </c>
      <c r="GI13" s="28" t="str">
        <f>GF5&amp;"07"</f>
        <v>4907</v>
      </c>
      <c r="GJ13" s="28" t="str">
        <f>GF5&amp;"08"</f>
        <v>4908</v>
      </c>
      <c r="GK13" s="28" t="str">
        <f>GF5&amp;"09"</f>
        <v>4909</v>
      </c>
      <c r="GL13" s="28" t="str">
        <f>GF5&amp;"52"</f>
        <v>4952</v>
      </c>
      <c r="GM13" s="28" t="str">
        <f>GF5&amp;"10"</f>
        <v>4910</v>
      </c>
      <c r="GN13" s="28" t="str">
        <f>GF5&amp;"11"</f>
        <v>4911</v>
      </c>
      <c r="GO13" s="28" t="str">
        <f>GF5&amp;"12"</f>
        <v>4912</v>
      </c>
      <c r="GP13" s="28" t="str">
        <f>GF5&amp;"13"</f>
        <v>4913</v>
      </c>
      <c r="GQ13" s="28" t="str">
        <f>GF5&amp;"14"</f>
        <v>4914</v>
      </c>
      <c r="GR13" s="28" t="str">
        <f>GF5&amp;"15"</f>
        <v>4915</v>
      </c>
      <c r="GS13" s="28" t="str">
        <f>GF5&amp;"16"</f>
        <v>4916</v>
      </c>
      <c r="GT13" s="28" t="str">
        <f>GF5&amp;"21"</f>
        <v>4921</v>
      </c>
      <c r="GU13" s="92" t="str">
        <f>GF5&amp;"19"</f>
        <v>4919</v>
      </c>
      <c r="GV13" s="7" t="str">
        <f>GF5&amp;"51"</f>
        <v>4951</v>
      </c>
      <c r="GW13" s="91" t="str">
        <f>GF5&amp;"23"</f>
        <v>4923</v>
      </c>
      <c r="GX13" s="147" t="str">
        <f>GX5&amp;"04"</f>
        <v>КОЛ04904</v>
      </c>
      <c r="GY13" s="147" t="str">
        <f>GX5&amp;"05"</f>
        <v>КОЛ04905</v>
      </c>
      <c r="GZ13" s="147" t="str">
        <f>GX5&amp;"06"</f>
        <v>КОЛ04906</v>
      </c>
      <c r="HA13" s="147" t="str">
        <f>GX5&amp;"07"</f>
        <v>КОЛ04907</v>
      </c>
      <c r="HB13" s="147" t="str">
        <f>GX5&amp;"08"</f>
        <v>КОЛ04908</v>
      </c>
      <c r="HC13" s="147" t="str">
        <f>GX5&amp;"09"</f>
        <v>КОЛ04909</v>
      </c>
      <c r="HD13" s="147" t="str">
        <f>GX5&amp;"52"</f>
        <v>КОЛ04952</v>
      </c>
      <c r="HE13" s="147" t="str">
        <f>GX5&amp;"10"</f>
        <v>КОЛ04910</v>
      </c>
      <c r="HF13" s="147" t="str">
        <f>GX5&amp;"11"</f>
        <v>КОЛ04911</v>
      </c>
      <c r="HG13" s="147" t="str">
        <f>GX5&amp;"12"</f>
        <v>КОЛ04912</v>
      </c>
      <c r="HH13" s="147" t="str">
        <f>GX5&amp;"13"</f>
        <v>КОЛ04913</v>
      </c>
      <c r="HI13" s="147" t="str">
        <f>GX5&amp;"14"</f>
        <v>КОЛ04914</v>
      </c>
      <c r="HJ13" s="147" t="str">
        <f>GX5&amp;"15"</f>
        <v>КОЛ04915</v>
      </c>
      <c r="HK13" s="147" t="str">
        <f>GX5&amp;"16"</f>
        <v>КОЛ04916</v>
      </c>
      <c r="HL13" s="147" t="str">
        <f>GX5&amp;"21"</f>
        <v>КОЛ04921</v>
      </c>
      <c r="HM13" s="153" t="str">
        <f>GX5&amp;"19"</f>
        <v>КОЛ04919</v>
      </c>
      <c r="HN13" s="132" t="str">
        <f>GX5&amp;"51"</f>
        <v>КОЛ04951</v>
      </c>
      <c r="HO13" s="152" t="str">
        <f>GX5&amp;"23"</f>
        <v>КОЛ04923</v>
      </c>
      <c r="HP13" s="28" t="str">
        <f>HP5&amp;"04"</f>
        <v>5104</v>
      </c>
      <c r="HQ13" s="28" t="str">
        <f>HP5&amp;"05"</f>
        <v>5105</v>
      </c>
      <c r="HR13" s="28" t="str">
        <f>HP5&amp;"06"</f>
        <v>5106</v>
      </c>
      <c r="HS13" s="28" t="str">
        <f>HP5&amp;"07"</f>
        <v>5107</v>
      </c>
      <c r="HT13" s="28" t="str">
        <f>HP5&amp;"08"</f>
        <v>5108</v>
      </c>
      <c r="HU13" s="28" t="str">
        <f>HP5&amp;"09"</f>
        <v>5109</v>
      </c>
      <c r="HV13" s="28" t="str">
        <f>HP5&amp;"52"</f>
        <v>5152</v>
      </c>
      <c r="HW13" s="28" t="str">
        <f>HP5&amp;"10"</f>
        <v>5110</v>
      </c>
      <c r="HX13" s="28" t="str">
        <f>HP5&amp;"11"</f>
        <v>5111</v>
      </c>
      <c r="HY13" s="28" t="str">
        <f>HP5&amp;"12"</f>
        <v>5112</v>
      </c>
      <c r="HZ13" s="28" t="str">
        <f>HP5&amp;"13"</f>
        <v>5113</v>
      </c>
      <c r="IA13" s="28" t="str">
        <f>HP5&amp;"14"</f>
        <v>5114</v>
      </c>
      <c r="IB13" s="28" t="str">
        <f>HP5&amp;"15"</f>
        <v>5115</v>
      </c>
      <c r="IC13" s="28" t="str">
        <f>HP5&amp;"16"</f>
        <v>5116</v>
      </c>
      <c r="ID13" s="28" t="str">
        <f>HP5&amp;"21"</f>
        <v>5121</v>
      </c>
      <c r="IE13" s="92" t="str">
        <f>HP5&amp;"19"</f>
        <v>5119</v>
      </c>
      <c r="IF13" s="7" t="str">
        <f>HP5&amp;"51"</f>
        <v>5151</v>
      </c>
      <c r="IG13" s="91" t="str">
        <f>HP5&amp;"23"</f>
        <v>5123</v>
      </c>
      <c r="IH13" s="147" t="str">
        <f>IH5&amp;"04"</f>
        <v>КОЛ05104</v>
      </c>
      <c r="II13" s="147" t="str">
        <f>IH5&amp;"05"</f>
        <v>КОЛ05105</v>
      </c>
      <c r="IJ13" s="147" t="str">
        <f>IH5&amp;"06"</f>
        <v>КОЛ05106</v>
      </c>
      <c r="IK13" s="147" t="str">
        <f>IH5&amp;"07"</f>
        <v>КОЛ05107</v>
      </c>
      <c r="IL13" s="147" t="str">
        <f>IH5&amp;"08"</f>
        <v>КОЛ05108</v>
      </c>
      <c r="IM13" s="147" t="str">
        <f>IH5&amp;"09"</f>
        <v>КОЛ05109</v>
      </c>
      <c r="IN13" s="147" t="str">
        <f>IH5&amp;"52"</f>
        <v>КОЛ05152</v>
      </c>
      <c r="IO13" s="147" t="str">
        <f>IH5&amp;"10"</f>
        <v>КОЛ05110</v>
      </c>
      <c r="IP13" s="147" t="str">
        <f>IH5&amp;"11"</f>
        <v>КОЛ05111</v>
      </c>
      <c r="IQ13" s="147" t="str">
        <f>IH5&amp;"12"</f>
        <v>КОЛ05112</v>
      </c>
      <c r="IR13" s="147" t="str">
        <f>IH5&amp;"13"</f>
        <v>КОЛ05113</v>
      </c>
      <c r="IS13" s="147" t="str">
        <f>IH5&amp;"14"</f>
        <v>КОЛ05114</v>
      </c>
      <c r="IT13" s="147" t="str">
        <f>IH5&amp;"15"</f>
        <v>КОЛ05115</v>
      </c>
      <c r="IU13" s="147" t="str">
        <f>IH5&amp;"16"</f>
        <v>КОЛ05116</v>
      </c>
      <c r="IV13" s="147" t="str">
        <f>IH5&amp;"21"</f>
        <v>КОЛ05121</v>
      </c>
      <c r="IW13" s="153" t="str">
        <f>IH5&amp;"19"</f>
        <v>КОЛ05119</v>
      </c>
      <c r="IX13" s="132" t="str">
        <f>IH5&amp;"51"</f>
        <v>КОЛ05151</v>
      </c>
      <c r="IY13" s="152" t="str">
        <f>IH5&amp;"23"</f>
        <v>КОЛ05123</v>
      </c>
      <c r="IZ13" s="147" t="str">
        <f>IZ5&amp;"04"</f>
        <v>5204</v>
      </c>
      <c r="JA13" s="147" t="str">
        <f>IZ5&amp;"05"</f>
        <v>5205</v>
      </c>
      <c r="JB13" s="147" t="str">
        <f>IZ5&amp;"06"</f>
        <v>5206</v>
      </c>
      <c r="JC13" s="147" t="str">
        <f>IZ5&amp;"07"</f>
        <v>5207</v>
      </c>
      <c r="JD13" s="147" t="str">
        <f>IZ5&amp;"08"</f>
        <v>5208</v>
      </c>
      <c r="JE13" s="147" t="str">
        <f>IZ5&amp;"09"</f>
        <v>5209</v>
      </c>
      <c r="JF13" s="147" t="str">
        <f>IZ5&amp;"52"</f>
        <v>5252</v>
      </c>
      <c r="JG13" s="147" t="str">
        <f>IZ5&amp;"10"</f>
        <v>5210</v>
      </c>
      <c r="JH13" s="147" t="str">
        <f>IZ5&amp;"11"</f>
        <v>5211</v>
      </c>
      <c r="JI13" s="147" t="str">
        <f>IZ5&amp;"12"</f>
        <v>5212</v>
      </c>
      <c r="JJ13" s="147" t="str">
        <f>IZ5&amp;"13"</f>
        <v>5213</v>
      </c>
      <c r="JK13" s="147" t="str">
        <f>IZ5&amp;"14"</f>
        <v>5214</v>
      </c>
      <c r="JL13" s="147" t="str">
        <f>IZ5&amp;"15"</f>
        <v>5215</v>
      </c>
      <c r="JM13" s="147" t="str">
        <f>IZ5&amp;"16"</f>
        <v>5216</v>
      </c>
      <c r="JN13" s="147" t="str">
        <f>IZ5&amp;"21"</f>
        <v>5221</v>
      </c>
      <c r="JO13" s="153" t="str">
        <f>IZ5&amp;"19"</f>
        <v>5219</v>
      </c>
      <c r="JP13" s="132" t="str">
        <f>IZ5&amp;"51"</f>
        <v>5251</v>
      </c>
      <c r="JQ13" s="152" t="str">
        <f>IZ5&amp;"23"</f>
        <v>5223</v>
      </c>
      <c r="JR13" s="147" t="str">
        <f>JR5&amp;"04"</f>
        <v>КОЛ05204</v>
      </c>
      <c r="JS13" s="147" t="str">
        <f>JR5&amp;"05"</f>
        <v>КОЛ05205</v>
      </c>
      <c r="JT13" s="147" t="str">
        <f>JR5&amp;"06"</f>
        <v>КОЛ05206</v>
      </c>
      <c r="JU13" s="147" t="str">
        <f>JR5&amp;"07"</f>
        <v>КОЛ05207</v>
      </c>
      <c r="JV13" s="147" t="str">
        <f>JR5&amp;"08"</f>
        <v>КОЛ05208</v>
      </c>
      <c r="JW13" s="147" t="str">
        <f>JR5&amp;"09"</f>
        <v>КОЛ05209</v>
      </c>
      <c r="JX13" s="147" t="str">
        <f>JR5&amp;"52"</f>
        <v>КОЛ05252</v>
      </c>
      <c r="JY13" s="147" t="str">
        <f>JR5&amp;"10"</f>
        <v>КОЛ05210</v>
      </c>
      <c r="JZ13" s="147" t="str">
        <f>JR5&amp;"11"</f>
        <v>КОЛ05211</v>
      </c>
      <c r="KA13" s="147" t="str">
        <f>JR5&amp;"12"</f>
        <v>КОЛ05212</v>
      </c>
      <c r="KB13" s="147" t="str">
        <f>JR5&amp;"13"</f>
        <v>КОЛ05213</v>
      </c>
      <c r="KC13" s="147" t="str">
        <f>JR5&amp;"14"</f>
        <v>КОЛ05214</v>
      </c>
      <c r="KD13" s="147" t="str">
        <f>JR5&amp;"15"</f>
        <v>КОЛ05215</v>
      </c>
      <c r="KE13" s="147" t="str">
        <f>JR5&amp;"16"</f>
        <v>КОЛ05216</v>
      </c>
      <c r="KF13" s="147" t="str">
        <f>JR5&amp;"21"</f>
        <v>КОЛ05221</v>
      </c>
      <c r="KG13" s="153" t="str">
        <f>JR5&amp;"19"</f>
        <v>КОЛ05219</v>
      </c>
      <c r="KH13" s="132" t="str">
        <f>JR5&amp;"51"</f>
        <v>КОЛ05251</v>
      </c>
      <c r="KI13" s="152" t="str">
        <f>JR5&amp;"23"</f>
        <v>КОЛ05223</v>
      </c>
      <c r="KJ13" s="147" t="str">
        <f>KJ5&amp;"04"</f>
        <v>5304</v>
      </c>
      <c r="KK13" s="147" t="str">
        <f>KJ5&amp;"05"</f>
        <v>5305</v>
      </c>
      <c r="KL13" s="147" t="str">
        <f>KJ5&amp;"06"</f>
        <v>5306</v>
      </c>
      <c r="KM13" s="147" t="str">
        <f>KJ5&amp;"07"</f>
        <v>5307</v>
      </c>
      <c r="KN13" s="147" t="str">
        <f>KJ5&amp;"08"</f>
        <v>5308</v>
      </c>
      <c r="KO13" s="147" t="str">
        <f>KJ5&amp;"09"</f>
        <v>5309</v>
      </c>
      <c r="KP13" s="147" t="str">
        <f>KJ5&amp;"52"</f>
        <v>5352</v>
      </c>
      <c r="KQ13" s="147" t="str">
        <f>KJ5&amp;"10"</f>
        <v>5310</v>
      </c>
      <c r="KR13" s="147" t="str">
        <f>KJ5&amp;"11"</f>
        <v>5311</v>
      </c>
      <c r="KS13" s="147" t="str">
        <f>KJ5&amp;"12"</f>
        <v>5312</v>
      </c>
      <c r="KT13" s="147" t="str">
        <f>KJ5&amp;"13"</f>
        <v>5313</v>
      </c>
      <c r="KU13" s="147" t="str">
        <f>KJ5&amp;"14"</f>
        <v>5314</v>
      </c>
      <c r="KV13" s="147" t="str">
        <f>KJ5&amp;"15"</f>
        <v>5315</v>
      </c>
      <c r="KW13" s="147" t="str">
        <f>KJ5&amp;"16"</f>
        <v>5316</v>
      </c>
      <c r="KX13" s="147" t="str">
        <f>KJ5&amp;"21"</f>
        <v>5321</v>
      </c>
      <c r="KY13" s="153" t="str">
        <f>KJ5&amp;"19"</f>
        <v>5319</v>
      </c>
      <c r="KZ13" s="132" t="str">
        <f>KJ5&amp;"51"</f>
        <v>5351</v>
      </c>
      <c r="LA13" s="152" t="str">
        <f>KJ5&amp;"23"</f>
        <v>5323</v>
      </c>
      <c r="LB13" s="147" t="str">
        <f>LB5&amp;"04"</f>
        <v>КОЛ05304</v>
      </c>
      <c r="LC13" s="147" t="str">
        <f>LB5&amp;"05"</f>
        <v>КОЛ05305</v>
      </c>
      <c r="LD13" s="147" t="str">
        <f>LB5&amp;"06"</f>
        <v>КОЛ05306</v>
      </c>
      <c r="LE13" s="147" t="str">
        <f>LB5&amp;"07"</f>
        <v>КОЛ05307</v>
      </c>
      <c r="LF13" s="147" t="str">
        <f>LB5&amp;"08"</f>
        <v>КОЛ05308</v>
      </c>
      <c r="LG13" s="147" t="str">
        <f>LB5&amp;"09"</f>
        <v>КОЛ05309</v>
      </c>
      <c r="LH13" s="147" t="str">
        <f>LB5&amp;"52"</f>
        <v>КОЛ05352</v>
      </c>
      <c r="LI13" s="147" t="str">
        <f>LB5&amp;"10"</f>
        <v>КОЛ05310</v>
      </c>
      <c r="LJ13" s="147" t="str">
        <f>LB5&amp;"11"</f>
        <v>КОЛ05311</v>
      </c>
      <c r="LK13" s="147" t="str">
        <f>LB5&amp;"12"</f>
        <v>КОЛ05312</v>
      </c>
      <c r="LL13" s="147" t="str">
        <f>LB5&amp;"13"</f>
        <v>КОЛ05313</v>
      </c>
      <c r="LM13" s="147" t="str">
        <f>LB5&amp;"14"</f>
        <v>КОЛ05314</v>
      </c>
      <c r="LN13" s="147" t="str">
        <f>LB5&amp;"15"</f>
        <v>КОЛ05315</v>
      </c>
      <c r="LO13" s="147" t="str">
        <f>LB5&amp;"16"</f>
        <v>КОЛ05316</v>
      </c>
      <c r="LP13" s="147" t="str">
        <f>LB5&amp;"21"</f>
        <v>КОЛ05321</v>
      </c>
      <c r="LQ13" s="153" t="str">
        <f>LB5&amp;"19"</f>
        <v>КОЛ05319</v>
      </c>
      <c r="LR13" s="132" t="str">
        <f>LB5&amp;"51"</f>
        <v>КОЛ05351</v>
      </c>
      <c r="LS13" s="152" t="str">
        <f>LB5&amp;"23"</f>
        <v>КОЛ05323</v>
      </c>
      <c r="LT13" s="147" t="str">
        <f>LT5&amp;"04"</f>
        <v>5404</v>
      </c>
      <c r="LU13" s="147" t="str">
        <f>LT5&amp;"05"</f>
        <v>5405</v>
      </c>
      <c r="LV13" s="147" t="str">
        <f>LT5&amp;"06"</f>
        <v>5406</v>
      </c>
      <c r="LW13" s="147" t="str">
        <f>LT5&amp;"07"</f>
        <v>5407</v>
      </c>
      <c r="LX13" s="147" t="str">
        <f>LT5&amp;"08"</f>
        <v>5408</v>
      </c>
      <c r="LY13" s="147" t="str">
        <f>LT5&amp;"09"</f>
        <v>5409</v>
      </c>
      <c r="LZ13" s="147" t="str">
        <f>LT5&amp;"52"</f>
        <v>5452</v>
      </c>
      <c r="MA13" s="147" t="str">
        <f>LT5&amp;"10"</f>
        <v>5410</v>
      </c>
      <c r="MB13" s="147" t="str">
        <f>LT5&amp;"11"</f>
        <v>5411</v>
      </c>
      <c r="MC13" s="147" t="str">
        <f>LT5&amp;"12"</f>
        <v>5412</v>
      </c>
      <c r="MD13" s="147" t="str">
        <f>LT5&amp;"13"</f>
        <v>5413</v>
      </c>
      <c r="ME13" s="147" t="str">
        <f>LT5&amp;"14"</f>
        <v>5414</v>
      </c>
      <c r="MF13" s="147" t="str">
        <f>LT5&amp;"15"</f>
        <v>5415</v>
      </c>
      <c r="MG13" s="147" t="str">
        <f>LT5&amp;"16"</f>
        <v>5416</v>
      </c>
      <c r="MH13" s="147" t="str">
        <f>LT5&amp;"21"</f>
        <v>5421</v>
      </c>
      <c r="MI13" s="153" t="str">
        <f>LT5&amp;"19"</f>
        <v>5419</v>
      </c>
      <c r="MJ13" s="132" t="str">
        <f>LT5&amp;"51"</f>
        <v>5451</v>
      </c>
      <c r="MK13" s="152" t="str">
        <f>LT5&amp;"23"</f>
        <v>5423</v>
      </c>
      <c r="ML13" s="147" t="str">
        <f>ML5&amp;"04"</f>
        <v>КОЛ05404</v>
      </c>
      <c r="MM13" s="147" t="str">
        <f>ML5&amp;"05"</f>
        <v>КОЛ05405</v>
      </c>
      <c r="MN13" s="147" t="str">
        <f>ML5&amp;"06"</f>
        <v>КОЛ05406</v>
      </c>
      <c r="MO13" s="147" t="str">
        <f>ML5&amp;"07"</f>
        <v>КОЛ05407</v>
      </c>
      <c r="MP13" s="147" t="str">
        <f>ML5&amp;"08"</f>
        <v>КОЛ05408</v>
      </c>
      <c r="MQ13" s="147" t="str">
        <f>ML5&amp;"09"</f>
        <v>КОЛ05409</v>
      </c>
      <c r="MR13" s="147" t="str">
        <f>ML5&amp;"52"</f>
        <v>КОЛ05452</v>
      </c>
      <c r="MS13" s="147" t="str">
        <f>ML5&amp;"10"</f>
        <v>КОЛ05410</v>
      </c>
      <c r="MT13" s="147" t="str">
        <f>ML5&amp;"11"</f>
        <v>КОЛ05411</v>
      </c>
      <c r="MU13" s="147" t="str">
        <f>ML5&amp;"12"</f>
        <v>КОЛ05412</v>
      </c>
      <c r="MV13" s="147" t="str">
        <f>ML5&amp;"13"</f>
        <v>КОЛ05413</v>
      </c>
      <c r="MW13" s="147" t="str">
        <f>ML5&amp;"14"</f>
        <v>КОЛ05414</v>
      </c>
      <c r="MX13" s="147" t="str">
        <f>ML5&amp;"15"</f>
        <v>КОЛ05415</v>
      </c>
      <c r="MY13" s="147" t="str">
        <f>ML5&amp;"16"</f>
        <v>КОЛ05416</v>
      </c>
      <c r="MZ13" s="147" t="str">
        <f>ML5&amp;"21"</f>
        <v>КОЛ05421</v>
      </c>
      <c r="NA13" s="153" t="str">
        <f>ML5&amp;"19"</f>
        <v>КОЛ05419</v>
      </c>
      <c r="NB13" s="132" t="str">
        <f>ML5&amp;"51"</f>
        <v>КОЛ05451</v>
      </c>
      <c r="NC13" s="152" t="str">
        <f>ML5&amp;"23"</f>
        <v>КОЛ05423</v>
      </c>
      <c r="ND13" s="28" t="str">
        <f>ND5&amp;"04"</f>
        <v>5504</v>
      </c>
      <c r="NE13" s="28" t="str">
        <f>ND5&amp;"05"</f>
        <v>5505</v>
      </c>
      <c r="NF13" s="28" t="str">
        <f>ND5&amp;"06"</f>
        <v>5506</v>
      </c>
      <c r="NG13" s="28" t="str">
        <f>ND5&amp;"07"</f>
        <v>5507</v>
      </c>
      <c r="NH13" s="28" t="str">
        <f>ND5&amp;"08"</f>
        <v>5508</v>
      </c>
      <c r="NI13" s="28" t="str">
        <f>ND5&amp;"09"</f>
        <v>5509</v>
      </c>
      <c r="NJ13" s="28" t="str">
        <f>ND5&amp;"52"</f>
        <v>5552</v>
      </c>
      <c r="NK13" s="28" t="str">
        <f>ND5&amp;"10"</f>
        <v>5510</v>
      </c>
      <c r="NL13" s="28" t="str">
        <f>ND5&amp;"11"</f>
        <v>5511</v>
      </c>
      <c r="NM13" s="28" t="str">
        <f>ND5&amp;"12"</f>
        <v>5512</v>
      </c>
      <c r="NN13" s="28" t="str">
        <f>ND5&amp;"13"</f>
        <v>5513</v>
      </c>
      <c r="NO13" s="28" t="str">
        <f>ND5&amp;"14"</f>
        <v>5514</v>
      </c>
      <c r="NP13" s="28" t="str">
        <f>ND5&amp;"15"</f>
        <v>5515</v>
      </c>
      <c r="NQ13" s="28" t="str">
        <f>ND5&amp;"16"</f>
        <v>5516</v>
      </c>
      <c r="NR13" s="28" t="str">
        <f>ND5&amp;"21"</f>
        <v>5521</v>
      </c>
      <c r="NS13" s="92" t="str">
        <f>ND5&amp;"19"</f>
        <v>5519</v>
      </c>
      <c r="NT13" s="7" t="str">
        <f>ND5&amp;"51"</f>
        <v>5551</v>
      </c>
      <c r="NU13" s="91" t="str">
        <f>ND5&amp;"23"</f>
        <v>5523</v>
      </c>
      <c r="NV13" s="147" t="str">
        <f>NV5&amp;"04"</f>
        <v>КОЛ05504</v>
      </c>
      <c r="NW13" s="147" t="str">
        <f>NV5&amp;"05"</f>
        <v>КОЛ05505</v>
      </c>
      <c r="NX13" s="147" t="str">
        <f>NV5&amp;"06"</f>
        <v>КОЛ05506</v>
      </c>
      <c r="NY13" s="147" t="str">
        <f>NV5&amp;"07"</f>
        <v>КОЛ05507</v>
      </c>
      <c r="NZ13" s="147" t="str">
        <f>NV5&amp;"08"</f>
        <v>КОЛ05508</v>
      </c>
      <c r="OA13" s="147" t="str">
        <f>NV5&amp;"09"</f>
        <v>КОЛ05509</v>
      </c>
      <c r="OB13" s="147" t="str">
        <f>NV5&amp;"52"</f>
        <v>КОЛ05552</v>
      </c>
      <c r="OC13" s="147" t="str">
        <f>NV5&amp;"10"</f>
        <v>КОЛ05510</v>
      </c>
      <c r="OD13" s="147" t="str">
        <f>NV5&amp;"11"</f>
        <v>КОЛ05511</v>
      </c>
      <c r="OE13" s="147" t="str">
        <f>NV5&amp;"12"</f>
        <v>КОЛ05512</v>
      </c>
      <c r="OF13" s="147" t="str">
        <f>NV5&amp;"13"</f>
        <v>КОЛ05513</v>
      </c>
      <c r="OG13" s="147" t="str">
        <f>NV5&amp;"14"</f>
        <v>КОЛ05514</v>
      </c>
      <c r="OH13" s="147" t="str">
        <f>NV5&amp;"15"</f>
        <v>КОЛ05515</v>
      </c>
      <c r="OI13" s="147" t="str">
        <f>NV5&amp;"16"</f>
        <v>КОЛ05516</v>
      </c>
      <c r="OJ13" s="147" t="str">
        <f>NV5&amp;"21"</f>
        <v>КОЛ05521</v>
      </c>
      <c r="OK13" s="153" t="str">
        <f>NV5&amp;"19"</f>
        <v>КОЛ05519</v>
      </c>
      <c r="OL13" s="132" t="str">
        <f>NV5&amp;"51"</f>
        <v>КОЛ05551</v>
      </c>
      <c r="OM13" s="152" t="str">
        <f>NV5&amp;"23"</f>
        <v>КОЛ05523</v>
      </c>
      <c r="ON13" s="28" t="str">
        <f>ON5&amp;"04"</f>
        <v>6004</v>
      </c>
      <c r="OO13" s="28" t="str">
        <f>ON5&amp;"05"</f>
        <v>6005</v>
      </c>
      <c r="OP13" s="28" t="str">
        <f>ON5&amp;"06"</f>
        <v>6006</v>
      </c>
      <c r="OQ13" s="28" t="str">
        <f>ON5&amp;"07"</f>
        <v>6007</v>
      </c>
      <c r="OR13" s="28" t="str">
        <f>ON5&amp;"08"</f>
        <v>6008</v>
      </c>
      <c r="OS13" s="28" t="str">
        <f>ON5&amp;"09"</f>
        <v>6009</v>
      </c>
      <c r="OT13" s="28" t="str">
        <f>ON5&amp;"52"</f>
        <v>6052</v>
      </c>
      <c r="OU13" s="28" t="str">
        <f>ON5&amp;"10"</f>
        <v>6010</v>
      </c>
      <c r="OV13" s="28" t="str">
        <f>ON5&amp;"11"</f>
        <v>6011</v>
      </c>
      <c r="OW13" s="28" t="str">
        <f>ON5&amp;"12"</f>
        <v>6012</v>
      </c>
      <c r="OX13" s="28" t="str">
        <f>ON5&amp;"13"</f>
        <v>6013</v>
      </c>
      <c r="OY13" s="28" t="str">
        <f>ON5&amp;"14"</f>
        <v>6014</v>
      </c>
      <c r="OZ13" s="28" t="str">
        <f>ON5&amp;"15"</f>
        <v>6015</v>
      </c>
      <c r="PA13" s="28" t="str">
        <f>ON5&amp;"16"</f>
        <v>6016</v>
      </c>
      <c r="PB13" s="28" t="str">
        <f>ON5&amp;"21"</f>
        <v>6021</v>
      </c>
      <c r="PC13" s="92" t="str">
        <f>ON5&amp;"19"</f>
        <v>6019</v>
      </c>
      <c r="PD13" s="7" t="str">
        <f>ON5&amp;"51"</f>
        <v>6051</v>
      </c>
      <c r="PE13" s="91" t="str">
        <f>ON5&amp;"23"</f>
        <v>6023</v>
      </c>
      <c r="PF13" s="147" t="str">
        <f>PF5&amp;"04"</f>
        <v>КОЛ06004</v>
      </c>
      <c r="PG13" s="147" t="str">
        <f>PF5&amp;"05"</f>
        <v>КОЛ06005</v>
      </c>
      <c r="PH13" s="147" t="str">
        <f>PF5&amp;"06"</f>
        <v>КОЛ06006</v>
      </c>
      <c r="PI13" s="147" t="str">
        <f>PF5&amp;"07"</f>
        <v>КОЛ06007</v>
      </c>
      <c r="PJ13" s="147" t="str">
        <f>PF5&amp;"08"</f>
        <v>КОЛ06008</v>
      </c>
      <c r="PK13" s="147" t="str">
        <f>PF5&amp;"09"</f>
        <v>КОЛ06009</v>
      </c>
      <c r="PL13" s="147" t="str">
        <f>PF5&amp;"52"</f>
        <v>КОЛ06052</v>
      </c>
      <c r="PM13" s="147" t="str">
        <f>PF5&amp;"10"</f>
        <v>КОЛ06010</v>
      </c>
      <c r="PN13" s="147" t="str">
        <f>PF5&amp;"11"</f>
        <v>КОЛ06011</v>
      </c>
      <c r="PO13" s="147" t="str">
        <f>PF5&amp;"12"</f>
        <v>КОЛ06012</v>
      </c>
      <c r="PP13" s="147" t="str">
        <f>PF5&amp;"13"</f>
        <v>КОЛ06013</v>
      </c>
      <c r="PQ13" s="147" t="str">
        <f>PF5&amp;"14"</f>
        <v>КОЛ06014</v>
      </c>
      <c r="PR13" s="147" t="str">
        <f>PF5&amp;"15"</f>
        <v>КОЛ06015</v>
      </c>
      <c r="PS13" s="147" t="str">
        <f>PF5&amp;"16"</f>
        <v>КОЛ06016</v>
      </c>
      <c r="PT13" s="147" t="str">
        <f>PF5&amp;"21"</f>
        <v>КОЛ06021</v>
      </c>
      <c r="PU13" s="153" t="str">
        <f>PF5&amp;"19"</f>
        <v>КОЛ06019</v>
      </c>
      <c r="PV13" s="132" t="str">
        <f>PF5&amp;"51"</f>
        <v>КОЛ06051</v>
      </c>
      <c r="PW13" s="152" t="str">
        <f>PF5&amp;"23"</f>
        <v>КОЛ06023</v>
      </c>
      <c r="PX13" s="28" t="str">
        <f>PX5&amp;"04"</f>
        <v>5704</v>
      </c>
      <c r="PY13" s="28" t="str">
        <f>PX5&amp;"05"</f>
        <v>5705</v>
      </c>
      <c r="PZ13" s="28" t="str">
        <f>PX5&amp;"06"</f>
        <v>5706</v>
      </c>
      <c r="QA13" s="28" t="str">
        <f>PX5&amp;"07"</f>
        <v>5707</v>
      </c>
      <c r="QB13" s="28" t="str">
        <f>PX5&amp;"08"</f>
        <v>5708</v>
      </c>
      <c r="QC13" s="28" t="str">
        <f>PX5&amp;"09"</f>
        <v>5709</v>
      </c>
      <c r="QD13" s="28" t="str">
        <f>PX5&amp;"52"</f>
        <v>5752</v>
      </c>
      <c r="QE13" s="28" t="str">
        <f>PX5&amp;"10"</f>
        <v>5710</v>
      </c>
      <c r="QF13" s="28" t="str">
        <f>PX5&amp;"11"</f>
        <v>5711</v>
      </c>
      <c r="QG13" s="28" t="str">
        <f>PX5&amp;"12"</f>
        <v>5712</v>
      </c>
      <c r="QH13" s="28" t="str">
        <f>PX5&amp;"13"</f>
        <v>5713</v>
      </c>
      <c r="QI13" s="28" t="str">
        <f>PX5&amp;"14"</f>
        <v>5714</v>
      </c>
      <c r="QJ13" s="28" t="str">
        <f>PX5&amp;"15"</f>
        <v>5715</v>
      </c>
      <c r="QK13" s="28" t="str">
        <f>PX5&amp;"16"</f>
        <v>5716</v>
      </c>
      <c r="QL13" s="28" t="str">
        <f>PX5&amp;"21"</f>
        <v>5721</v>
      </c>
      <c r="QM13" s="92" t="str">
        <f>PX5&amp;"19"</f>
        <v>5719</v>
      </c>
      <c r="QN13" s="7" t="str">
        <f>PX5&amp;"51"</f>
        <v>5751</v>
      </c>
      <c r="QO13" s="91" t="str">
        <f>PX5&amp;"23"</f>
        <v>5723</v>
      </c>
    </row>
    <row r="14" spans="1:457" x14ac:dyDescent="0.25">
      <c r="A14" s="8" t="s">
        <v>1</v>
      </c>
      <c r="B14" s="172" t="s">
        <v>2</v>
      </c>
      <c r="C14" s="10" t="s">
        <v>3</v>
      </c>
      <c r="F14" s="89"/>
      <c r="G14" s="88"/>
      <c r="H14" s="30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93"/>
      <c r="Y14" s="34"/>
      <c r="Z14" s="30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93"/>
      <c r="AQ14" s="34"/>
      <c r="AR14" s="30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93"/>
      <c r="BI14" s="34"/>
      <c r="BJ14" s="30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93"/>
      <c r="CA14" s="34"/>
      <c r="CB14" s="30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93"/>
      <c r="CS14" s="34"/>
      <c r="CT14" s="30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93"/>
      <c r="DK14" s="34"/>
      <c r="DL14" s="30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93"/>
      <c r="EC14" s="34"/>
      <c r="ED14" s="30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93"/>
      <c r="EU14" s="34"/>
      <c r="EV14" s="30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93"/>
      <c r="FM14" s="34"/>
      <c r="FN14" s="30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93"/>
      <c r="GE14" s="34"/>
      <c r="GF14" s="30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93"/>
      <c r="GW14" s="34"/>
      <c r="GX14" s="30"/>
      <c r="GY14" s="31"/>
      <c r="GZ14" s="31"/>
      <c r="HA14" s="31"/>
      <c r="HB14" s="31"/>
      <c r="HC14" s="31"/>
      <c r="HD14" s="31"/>
      <c r="HE14" s="31"/>
      <c r="HF14" s="31"/>
      <c r="HG14" s="31"/>
      <c r="HH14" s="31"/>
      <c r="HI14" s="31"/>
      <c r="HJ14" s="31"/>
      <c r="HK14" s="31"/>
      <c r="HL14" s="31"/>
      <c r="HM14" s="31"/>
      <c r="HN14" s="93"/>
      <c r="HO14" s="34"/>
      <c r="HP14" s="30"/>
      <c r="HQ14" s="31"/>
      <c r="HR14" s="31"/>
      <c r="HS14" s="31"/>
      <c r="HT14" s="31"/>
      <c r="HU14" s="31"/>
      <c r="HV14" s="31"/>
      <c r="HW14" s="31"/>
      <c r="HX14" s="31"/>
      <c r="HY14" s="31"/>
      <c r="HZ14" s="31"/>
      <c r="IA14" s="31"/>
      <c r="IB14" s="31"/>
      <c r="IC14" s="31"/>
      <c r="ID14" s="31"/>
      <c r="IE14" s="31"/>
      <c r="IF14" s="93"/>
      <c r="IG14" s="34"/>
      <c r="IH14" s="30"/>
      <c r="II14" s="31"/>
      <c r="IJ14" s="31"/>
      <c r="IK14" s="31"/>
      <c r="IL14" s="31"/>
      <c r="IM14" s="31"/>
      <c r="IN14" s="31"/>
      <c r="IO14" s="31"/>
      <c r="IP14" s="31"/>
      <c r="IQ14" s="31"/>
      <c r="IR14" s="31"/>
      <c r="IS14" s="31"/>
      <c r="IT14" s="31"/>
      <c r="IU14" s="31"/>
      <c r="IV14" s="31"/>
      <c r="IW14" s="31"/>
      <c r="IX14" s="93"/>
      <c r="IY14" s="34"/>
      <c r="IZ14" s="30"/>
      <c r="JA14" s="31"/>
      <c r="JB14" s="31"/>
      <c r="JC14" s="31"/>
      <c r="JD14" s="31"/>
      <c r="JE14" s="31"/>
      <c r="JF14" s="31"/>
      <c r="JG14" s="31"/>
      <c r="JH14" s="31"/>
      <c r="JI14" s="31"/>
      <c r="JJ14" s="31"/>
      <c r="JK14" s="31"/>
      <c r="JL14" s="31"/>
      <c r="JM14" s="31"/>
      <c r="JN14" s="31"/>
      <c r="JO14" s="31"/>
      <c r="JP14" s="93"/>
      <c r="JQ14" s="34"/>
      <c r="JR14" s="30"/>
      <c r="JS14" s="31"/>
      <c r="JT14" s="31"/>
      <c r="JU14" s="31"/>
      <c r="JV14" s="31"/>
      <c r="JW14" s="31"/>
      <c r="JX14" s="31"/>
      <c r="JY14" s="31"/>
      <c r="JZ14" s="31"/>
      <c r="KA14" s="31"/>
      <c r="KB14" s="31"/>
      <c r="KC14" s="31"/>
      <c r="KD14" s="31"/>
      <c r="KE14" s="31"/>
      <c r="KF14" s="31"/>
      <c r="KG14" s="31"/>
      <c r="KH14" s="93"/>
      <c r="KI14" s="34"/>
      <c r="KJ14" s="30"/>
      <c r="KK14" s="31"/>
      <c r="KL14" s="31"/>
      <c r="KM14" s="31"/>
      <c r="KN14" s="31"/>
      <c r="KO14" s="31"/>
      <c r="KP14" s="31"/>
      <c r="KQ14" s="31"/>
      <c r="KR14" s="31"/>
      <c r="KS14" s="31"/>
      <c r="KT14" s="31"/>
      <c r="KU14" s="31"/>
      <c r="KV14" s="31"/>
      <c r="KW14" s="31"/>
      <c r="KX14" s="31"/>
      <c r="KY14" s="31"/>
      <c r="KZ14" s="93"/>
      <c r="LA14" s="34"/>
      <c r="LB14" s="30"/>
      <c r="LC14" s="31"/>
      <c r="LD14" s="31"/>
      <c r="LE14" s="31"/>
      <c r="LF14" s="31"/>
      <c r="LG14" s="31"/>
      <c r="LH14" s="31"/>
      <c r="LI14" s="31"/>
      <c r="LJ14" s="31"/>
      <c r="LK14" s="31"/>
      <c r="LL14" s="31"/>
      <c r="LM14" s="31"/>
      <c r="LN14" s="31"/>
      <c r="LO14" s="31"/>
      <c r="LP14" s="31"/>
      <c r="LQ14" s="31"/>
      <c r="LR14" s="93"/>
      <c r="LS14" s="34"/>
      <c r="LT14" s="30"/>
      <c r="LU14" s="31"/>
      <c r="LV14" s="31"/>
      <c r="LW14" s="31"/>
      <c r="LX14" s="31"/>
      <c r="LY14" s="31"/>
      <c r="LZ14" s="31"/>
      <c r="MA14" s="31"/>
      <c r="MB14" s="31"/>
      <c r="MC14" s="31"/>
      <c r="MD14" s="31"/>
      <c r="ME14" s="31"/>
      <c r="MF14" s="31"/>
      <c r="MG14" s="31"/>
      <c r="MH14" s="31"/>
      <c r="MI14" s="31"/>
      <c r="MJ14" s="93"/>
      <c r="MK14" s="34"/>
      <c r="ML14" s="30"/>
      <c r="MM14" s="31"/>
      <c r="MN14" s="31"/>
      <c r="MO14" s="31"/>
      <c r="MP14" s="31"/>
      <c r="MQ14" s="31"/>
      <c r="MR14" s="31"/>
      <c r="MS14" s="31"/>
      <c r="MT14" s="31"/>
      <c r="MU14" s="31"/>
      <c r="MV14" s="31"/>
      <c r="MW14" s="31"/>
      <c r="MX14" s="31"/>
      <c r="MY14" s="31"/>
      <c r="MZ14" s="31"/>
      <c r="NA14" s="31"/>
      <c r="NB14" s="93"/>
      <c r="NC14" s="34"/>
      <c r="ND14" s="30"/>
      <c r="NE14" s="31"/>
      <c r="NF14" s="31"/>
      <c r="NG14" s="31"/>
      <c r="NH14" s="31"/>
      <c r="NI14" s="31"/>
      <c r="NJ14" s="31"/>
      <c r="NK14" s="31"/>
      <c r="NL14" s="31"/>
      <c r="NM14" s="31"/>
      <c r="NN14" s="31"/>
      <c r="NO14" s="31"/>
      <c r="NP14" s="31"/>
      <c r="NQ14" s="31"/>
      <c r="NR14" s="31"/>
      <c r="NS14" s="31"/>
      <c r="NT14" s="93"/>
      <c r="NU14" s="34"/>
      <c r="NV14" s="30"/>
      <c r="NW14" s="31"/>
      <c r="NX14" s="31"/>
      <c r="NY14" s="31"/>
      <c r="NZ14" s="31"/>
      <c r="OA14" s="31"/>
      <c r="OB14" s="31"/>
      <c r="OC14" s="31"/>
      <c r="OD14" s="31"/>
      <c r="OE14" s="31"/>
      <c r="OF14" s="31"/>
      <c r="OG14" s="31"/>
      <c r="OH14" s="31"/>
      <c r="OI14" s="31"/>
      <c r="OJ14" s="31"/>
      <c r="OK14" s="31"/>
      <c r="OL14" s="93"/>
      <c r="OM14" s="34"/>
      <c r="ON14" s="30"/>
      <c r="OO14" s="31"/>
      <c r="OP14" s="31"/>
      <c r="OQ14" s="31"/>
      <c r="OR14" s="31"/>
      <c r="OS14" s="31"/>
      <c r="OT14" s="31"/>
      <c r="OU14" s="31"/>
      <c r="OV14" s="31"/>
      <c r="OW14" s="31"/>
      <c r="OX14" s="31"/>
      <c r="OY14" s="31"/>
      <c r="OZ14" s="31"/>
      <c r="PA14" s="31"/>
      <c r="PB14" s="31"/>
      <c r="PC14" s="31"/>
      <c r="PD14" s="93"/>
      <c r="PE14" s="34"/>
      <c r="PF14" s="30"/>
      <c r="PG14" s="31"/>
      <c r="PH14" s="31"/>
      <c r="PI14" s="31"/>
      <c r="PJ14" s="31"/>
      <c r="PK14" s="31"/>
      <c r="PL14" s="31"/>
      <c r="PM14" s="31"/>
      <c r="PN14" s="31"/>
      <c r="PO14" s="31"/>
      <c r="PP14" s="31"/>
      <c r="PQ14" s="31"/>
      <c r="PR14" s="31"/>
      <c r="PS14" s="31"/>
      <c r="PT14" s="31"/>
      <c r="PU14" s="31"/>
      <c r="PV14" s="93"/>
      <c r="PW14" s="34"/>
      <c r="PX14" s="30"/>
      <c r="PY14" s="31"/>
      <c r="PZ14" s="31"/>
      <c r="QA14" s="31"/>
      <c r="QB14" s="31"/>
      <c r="QC14" s="31"/>
      <c r="QD14" s="31"/>
      <c r="QE14" s="31"/>
      <c r="QF14" s="31"/>
      <c r="QG14" s="31"/>
      <c r="QH14" s="31"/>
      <c r="QI14" s="31"/>
      <c r="QJ14" s="31"/>
      <c r="QK14" s="31"/>
      <c r="QL14" s="31"/>
      <c r="QM14" s="31"/>
      <c r="QN14" s="93"/>
      <c r="QO14" s="34"/>
    </row>
    <row r="15" spans="1:457" x14ac:dyDescent="0.25">
      <c r="A15" s="8" t="s">
        <v>1</v>
      </c>
      <c r="B15" s="172" t="s">
        <v>2</v>
      </c>
      <c r="C15" s="10" t="s">
        <v>4</v>
      </c>
      <c r="F15" s="89"/>
      <c r="G15" s="89"/>
      <c r="H15" s="32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94"/>
      <c r="Y15" s="34"/>
      <c r="Z15" s="148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94"/>
      <c r="AQ15" s="34"/>
      <c r="AR15" s="148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94"/>
      <c r="BI15" s="34"/>
      <c r="BJ15" s="148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94"/>
      <c r="CA15" s="34"/>
      <c r="CB15" s="148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94"/>
      <c r="CS15" s="34"/>
      <c r="CT15" s="148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94"/>
      <c r="DK15" s="34"/>
      <c r="DL15" s="148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94"/>
      <c r="EC15" s="34"/>
      <c r="ED15" s="148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94"/>
      <c r="EU15" s="34"/>
      <c r="EV15" s="148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94"/>
      <c r="FM15" s="34"/>
      <c r="FN15" s="148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94"/>
      <c r="GE15" s="34"/>
      <c r="GF15" s="148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94"/>
      <c r="GW15" s="34"/>
      <c r="GX15" s="148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94"/>
      <c r="HO15" s="34"/>
      <c r="HP15" s="148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94"/>
      <c r="IG15" s="34"/>
      <c r="IH15" s="148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94"/>
      <c r="IY15" s="34"/>
      <c r="IZ15" s="148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94"/>
      <c r="JQ15" s="34"/>
      <c r="JR15" s="148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94"/>
      <c r="KI15" s="34"/>
      <c r="KJ15" s="148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94"/>
      <c r="LA15" s="34"/>
      <c r="LB15" s="148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94"/>
      <c r="LS15" s="34"/>
      <c r="LT15" s="148"/>
      <c r="LU15" s="33"/>
      <c r="LV15" s="33"/>
      <c r="LW15" s="33"/>
      <c r="LX15" s="33"/>
      <c r="LY15" s="33"/>
      <c r="LZ15" s="33"/>
      <c r="MA15" s="33"/>
      <c r="MB15" s="33"/>
      <c r="MC15" s="33"/>
      <c r="MD15" s="33"/>
      <c r="ME15" s="33"/>
      <c r="MF15" s="33"/>
      <c r="MG15" s="33"/>
      <c r="MH15" s="33"/>
      <c r="MI15" s="33"/>
      <c r="MJ15" s="94"/>
      <c r="MK15" s="34"/>
      <c r="ML15" s="148"/>
      <c r="MM15" s="33"/>
      <c r="MN15" s="33"/>
      <c r="MO15" s="33"/>
      <c r="MP15" s="33"/>
      <c r="MQ15" s="33"/>
      <c r="MR15" s="33"/>
      <c r="MS15" s="33"/>
      <c r="MT15" s="33"/>
      <c r="MU15" s="33"/>
      <c r="MV15" s="33"/>
      <c r="MW15" s="33"/>
      <c r="MX15" s="33"/>
      <c r="MY15" s="33"/>
      <c r="MZ15" s="33"/>
      <c r="NA15" s="33"/>
      <c r="NB15" s="94"/>
      <c r="NC15" s="34"/>
      <c r="ND15" s="148"/>
      <c r="NE15" s="33"/>
      <c r="NF15" s="33"/>
      <c r="NG15" s="33"/>
      <c r="NH15" s="33"/>
      <c r="NI15" s="33"/>
      <c r="NJ15" s="33"/>
      <c r="NK15" s="33"/>
      <c r="NL15" s="33"/>
      <c r="NM15" s="33"/>
      <c r="NN15" s="33"/>
      <c r="NO15" s="33"/>
      <c r="NP15" s="33"/>
      <c r="NQ15" s="33"/>
      <c r="NR15" s="33"/>
      <c r="NS15" s="33"/>
      <c r="NT15" s="94"/>
      <c r="NU15" s="34"/>
      <c r="NV15" s="148"/>
      <c r="NW15" s="33"/>
      <c r="NX15" s="33"/>
      <c r="NY15" s="33"/>
      <c r="NZ15" s="33"/>
      <c r="OA15" s="33"/>
      <c r="OB15" s="33"/>
      <c r="OC15" s="33"/>
      <c r="OD15" s="33"/>
      <c r="OE15" s="33"/>
      <c r="OF15" s="33"/>
      <c r="OG15" s="33"/>
      <c r="OH15" s="33"/>
      <c r="OI15" s="33"/>
      <c r="OJ15" s="33"/>
      <c r="OK15" s="33"/>
      <c r="OL15" s="94"/>
      <c r="OM15" s="34"/>
      <c r="ON15" s="148"/>
      <c r="OO15" s="33"/>
      <c r="OP15" s="33"/>
      <c r="OQ15" s="33"/>
      <c r="OR15" s="33"/>
      <c r="OS15" s="33"/>
      <c r="OT15" s="33"/>
      <c r="OU15" s="33"/>
      <c r="OV15" s="33"/>
      <c r="OW15" s="33"/>
      <c r="OX15" s="33"/>
      <c r="OY15" s="33"/>
      <c r="OZ15" s="33"/>
      <c r="PA15" s="33"/>
      <c r="PB15" s="33"/>
      <c r="PC15" s="33"/>
      <c r="PD15" s="94"/>
      <c r="PE15" s="34"/>
      <c r="PF15" s="148"/>
      <c r="PG15" s="33"/>
      <c r="PH15" s="33"/>
      <c r="PI15" s="33"/>
      <c r="PJ15" s="33"/>
      <c r="PK15" s="33"/>
      <c r="PL15" s="33"/>
      <c r="PM15" s="33"/>
      <c r="PN15" s="33"/>
      <c r="PO15" s="33"/>
      <c r="PP15" s="33"/>
      <c r="PQ15" s="33"/>
      <c r="PR15" s="33"/>
      <c r="PS15" s="33"/>
      <c r="PT15" s="33"/>
      <c r="PU15" s="33"/>
      <c r="PV15" s="94"/>
      <c r="PW15" s="34"/>
      <c r="PX15" s="148"/>
      <c r="PY15" s="33"/>
      <c r="PZ15" s="33"/>
      <c r="QA15" s="33"/>
      <c r="QB15" s="33"/>
      <c r="QC15" s="33"/>
      <c r="QD15" s="33"/>
      <c r="QE15" s="33"/>
      <c r="QF15" s="33"/>
      <c r="QG15" s="33"/>
      <c r="QH15" s="33"/>
      <c r="QI15" s="33"/>
      <c r="QJ15" s="33"/>
      <c r="QK15" s="33"/>
      <c r="QL15" s="33"/>
      <c r="QM15" s="33"/>
      <c r="QN15" s="94"/>
      <c r="QO15" s="34"/>
    </row>
    <row r="16" spans="1:457" ht="15.75" thickBot="1" x14ac:dyDescent="0.3">
      <c r="A16" s="8" t="s">
        <v>5</v>
      </c>
      <c r="B16" s="173" t="s">
        <v>6</v>
      </c>
      <c r="C16" s="12" t="s">
        <v>7</v>
      </c>
      <c r="F16" s="90"/>
      <c r="G16" s="90"/>
      <c r="H16" s="32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94"/>
      <c r="Y16" s="34"/>
      <c r="Z16" s="148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94"/>
      <c r="AQ16" s="34"/>
      <c r="AR16" s="148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94"/>
      <c r="BI16" s="34"/>
      <c r="BJ16" s="148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94"/>
      <c r="CA16" s="34"/>
      <c r="CB16" s="148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94"/>
      <c r="CS16" s="34"/>
      <c r="CT16" s="148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94"/>
      <c r="DK16" s="34"/>
      <c r="DL16" s="148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94"/>
      <c r="EC16" s="34"/>
      <c r="ED16" s="148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94"/>
      <c r="EU16" s="34"/>
      <c r="EV16" s="148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94"/>
      <c r="FM16" s="34"/>
      <c r="FN16" s="148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94"/>
      <c r="GE16" s="34"/>
      <c r="GF16" s="148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94"/>
      <c r="GW16" s="34"/>
      <c r="GX16" s="148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94"/>
      <c r="HO16" s="34"/>
      <c r="HP16" s="148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94"/>
      <c r="IG16" s="34"/>
      <c r="IH16" s="148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94"/>
      <c r="IY16" s="34"/>
      <c r="IZ16" s="148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94"/>
      <c r="JQ16" s="34"/>
      <c r="JR16" s="148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94"/>
      <c r="KI16" s="34"/>
      <c r="KJ16" s="148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94"/>
      <c r="LA16" s="34"/>
      <c r="LB16" s="148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94"/>
      <c r="LS16" s="34"/>
      <c r="LT16" s="148"/>
      <c r="LU16" s="33"/>
      <c r="LV16" s="33"/>
      <c r="LW16" s="33"/>
      <c r="LX16" s="33"/>
      <c r="LY16" s="33"/>
      <c r="LZ16" s="33"/>
      <c r="MA16" s="33"/>
      <c r="MB16" s="33"/>
      <c r="MC16" s="33"/>
      <c r="MD16" s="33"/>
      <c r="ME16" s="33"/>
      <c r="MF16" s="33"/>
      <c r="MG16" s="33"/>
      <c r="MH16" s="33"/>
      <c r="MI16" s="33"/>
      <c r="MJ16" s="94"/>
      <c r="MK16" s="34"/>
      <c r="ML16" s="148"/>
      <c r="MM16" s="33"/>
      <c r="MN16" s="33"/>
      <c r="MO16" s="33"/>
      <c r="MP16" s="33"/>
      <c r="MQ16" s="33"/>
      <c r="MR16" s="33"/>
      <c r="MS16" s="33"/>
      <c r="MT16" s="33"/>
      <c r="MU16" s="33"/>
      <c r="MV16" s="33"/>
      <c r="MW16" s="33"/>
      <c r="MX16" s="33"/>
      <c r="MY16" s="33"/>
      <c r="MZ16" s="33"/>
      <c r="NA16" s="33"/>
      <c r="NB16" s="94"/>
      <c r="NC16" s="34"/>
      <c r="ND16" s="148"/>
      <c r="NE16" s="33"/>
      <c r="NF16" s="33"/>
      <c r="NG16" s="33"/>
      <c r="NH16" s="33"/>
      <c r="NI16" s="33"/>
      <c r="NJ16" s="33"/>
      <c r="NK16" s="33"/>
      <c r="NL16" s="33"/>
      <c r="NM16" s="33"/>
      <c r="NN16" s="33"/>
      <c r="NO16" s="33"/>
      <c r="NP16" s="33"/>
      <c r="NQ16" s="33"/>
      <c r="NR16" s="33"/>
      <c r="NS16" s="33"/>
      <c r="NT16" s="94"/>
      <c r="NU16" s="34"/>
      <c r="NV16" s="148"/>
      <c r="NW16" s="33"/>
      <c r="NX16" s="33"/>
      <c r="NY16" s="33"/>
      <c r="NZ16" s="33"/>
      <c r="OA16" s="33"/>
      <c r="OB16" s="33"/>
      <c r="OC16" s="33"/>
      <c r="OD16" s="33"/>
      <c r="OE16" s="33"/>
      <c r="OF16" s="33"/>
      <c r="OG16" s="33"/>
      <c r="OH16" s="33"/>
      <c r="OI16" s="33"/>
      <c r="OJ16" s="33"/>
      <c r="OK16" s="33"/>
      <c r="OL16" s="94"/>
      <c r="OM16" s="34"/>
      <c r="ON16" s="148"/>
      <c r="OO16" s="33"/>
      <c r="OP16" s="33"/>
      <c r="OQ16" s="33"/>
      <c r="OR16" s="33"/>
      <c r="OS16" s="33"/>
      <c r="OT16" s="33"/>
      <c r="OU16" s="33"/>
      <c r="OV16" s="33"/>
      <c r="OW16" s="33"/>
      <c r="OX16" s="33"/>
      <c r="OY16" s="33"/>
      <c r="OZ16" s="33"/>
      <c r="PA16" s="33"/>
      <c r="PB16" s="33"/>
      <c r="PC16" s="33"/>
      <c r="PD16" s="94"/>
      <c r="PE16" s="34"/>
      <c r="PF16" s="148"/>
      <c r="PG16" s="33"/>
      <c r="PH16" s="33"/>
      <c r="PI16" s="33"/>
      <c r="PJ16" s="33"/>
      <c r="PK16" s="33"/>
      <c r="PL16" s="33"/>
      <c r="PM16" s="33"/>
      <c r="PN16" s="33"/>
      <c r="PO16" s="33"/>
      <c r="PP16" s="33"/>
      <c r="PQ16" s="33"/>
      <c r="PR16" s="33"/>
      <c r="PS16" s="33"/>
      <c r="PT16" s="33"/>
      <c r="PU16" s="33"/>
      <c r="PV16" s="94"/>
      <c r="PW16" s="34"/>
      <c r="PX16" s="148"/>
      <c r="PY16" s="33"/>
      <c r="PZ16" s="33"/>
      <c r="QA16" s="33"/>
      <c r="QB16" s="33"/>
      <c r="QC16" s="33"/>
      <c r="QD16" s="33"/>
      <c r="QE16" s="33"/>
      <c r="QF16" s="33"/>
      <c r="QG16" s="33"/>
      <c r="QH16" s="33"/>
      <c r="QI16" s="33"/>
      <c r="QJ16" s="33"/>
      <c r="QK16" s="33"/>
      <c r="QL16" s="33"/>
      <c r="QM16" s="33"/>
      <c r="QN16" s="94"/>
      <c r="QO16" s="34"/>
    </row>
    <row r="17" spans="1:457" x14ac:dyDescent="0.25">
      <c r="A17" s="8" t="s">
        <v>8</v>
      </c>
      <c r="B17" s="172" t="s">
        <v>9</v>
      </c>
      <c r="C17" s="13" t="s">
        <v>10</v>
      </c>
      <c r="F17" s="36">
        <v>7318880500</v>
      </c>
      <c r="G17" s="36"/>
      <c r="H17" s="35"/>
      <c r="I17" s="35">
        <v>5190341685</v>
      </c>
      <c r="J17" s="35">
        <v>4930824600</v>
      </c>
      <c r="K17" s="35">
        <v>259517085</v>
      </c>
      <c r="L17" s="35">
        <v>4930824600</v>
      </c>
      <c r="M17" s="35"/>
      <c r="N17" s="36"/>
      <c r="O17" s="35">
        <v>5190341685</v>
      </c>
      <c r="P17" s="35">
        <v>4930824600</v>
      </c>
      <c r="Q17" s="35"/>
      <c r="R17" s="35">
        <v>259517085</v>
      </c>
      <c r="S17" s="35">
        <v>5</v>
      </c>
      <c r="T17" s="35"/>
      <c r="U17" s="35"/>
      <c r="V17" s="35">
        <v>4930824600</v>
      </c>
      <c r="W17" s="36"/>
      <c r="X17" s="36">
        <v>4930824600</v>
      </c>
      <c r="Y17" s="87">
        <v>4930824600</v>
      </c>
      <c r="Z17" s="35"/>
      <c r="AA17" s="35"/>
      <c r="AB17" s="35"/>
      <c r="AC17" s="35"/>
      <c r="AD17" s="35"/>
      <c r="AE17" s="35"/>
      <c r="AF17" s="36"/>
      <c r="AG17" s="35"/>
      <c r="AH17" s="35"/>
      <c r="AI17" s="35"/>
      <c r="AJ17" s="35"/>
      <c r="AK17" s="35"/>
      <c r="AL17" s="35"/>
      <c r="AM17" s="35"/>
      <c r="AN17" s="35"/>
      <c r="AO17" s="36"/>
      <c r="AP17" s="36"/>
      <c r="AQ17" s="87"/>
      <c r="AR17" s="35"/>
      <c r="AS17" s="35">
        <v>200986843</v>
      </c>
      <c r="AT17" s="35">
        <v>190937500</v>
      </c>
      <c r="AU17" s="35">
        <v>10049343</v>
      </c>
      <c r="AV17" s="35">
        <v>190937500</v>
      </c>
      <c r="AW17" s="35"/>
      <c r="AX17" s="36"/>
      <c r="AY17" s="35">
        <v>200986842.12</v>
      </c>
      <c r="AZ17" s="35">
        <v>190937500</v>
      </c>
      <c r="BA17" s="35"/>
      <c r="BB17" s="35">
        <v>10049342.119999999</v>
      </c>
      <c r="BC17" s="35">
        <v>5</v>
      </c>
      <c r="BD17" s="35"/>
      <c r="BE17" s="35"/>
      <c r="BF17" s="35">
        <v>190937500</v>
      </c>
      <c r="BG17" s="36"/>
      <c r="BH17" s="36">
        <v>190937500</v>
      </c>
      <c r="BI17" s="87">
        <v>190937500</v>
      </c>
      <c r="BJ17" s="35"/>
      <c r="BK17" s="35"/>
      <c r="BL17" s="35"/>
      <c r="BM17" s="35"/>
      <c r="BN17" s="35"/>
      <c r="BO17" s="35"/>
      <c r="BP17" s="36"/>
      <c r="BQ17" s="35"/>
      <c r="BR17" s="35"/>
      <c r="BS17" s="35"/>
      <c r="BT17" s="35"/>
      <c r="BU17" s="35"/>
      <c r="BV17" s="35"/>
      <c r="BW17" s="35"/>
      <c r="BX17" s="35"/>
      <c r="BY17" s="36"/>
      <c r="BZ17" s="36"/>
      <c r="CA17" s="87"/>
      <c r="CB17" s="35"/>
      <c r="CC17" s="35">
        <v>27482843</v>
      </c>
      <c r="CD17" s="35">
        <v>26108700</v>
      </c>
      <c r="CE17" s="35">
        <v>1374143</v>
      </c>
      <c r="CF17" s="35">
        <v>26108700</v>
      </c>
      <c r="CG17" s="35"/>
      <c r="CH17" s="36"/>
      <c r="CI17" s="35">
        <v>27482843</v>
      </c>
      <c r="CJ17" s="35">
        <v>26108700</v>
      </c>
      <c r="CK17" s="35"/>
      <c r="CL17" s="35">
        <v>1374143</v>
      </c>
      <c r="CM17" s="35">
        <v>5</v>
      </c>
      <c r="CN17" s="35"/>
      <c r="CO17" s="35"/>
      <c r="CP17" s="35">
        <v>26108700</v>
      </c>
      <c r="CQ17" s="36"/>
      <c r="CR17" s="36">
        <v>26108700</v>
      </c>
      <c r="CS17" s="87">
        <v>26108700</v>
      </c>
      <c r="CT17" s="35"/>
      <c r="CU17" s="35">
        <v>1909311895</v>
      </c>
      <c r="CV17" s="35">
        <v>1813846300</v>
      </c>
      <c r="CW17" s="35">
        <v>95465595</v>
      </c>
      <c r="CX17" s="35">
        <v>1813846300</v>
      </c>
      <c r="CY17" s="35"/>
      <c r="CZ17" s="36"/>
      <c r="DA17" s="35">
        <v>1909311893.5</v>
      </c>
      <c r="DB17" s="35">
        <v>1813846300</v>
      </c>
      <c r="DC17" s="35"/>
      <c r="DD17" s="35">
        <v>95465593.5</v>
      </c>
      <c r="DE17" s="35">
        <v>5</v>
      </c>
      <c r="DF17" s="35"/>
      <c r="DG17" s="35"/>
      <c r="DH17" s="35">
        <v>1813846300</v>
      </c>
      <c r="DI17" s="36"/>
      <c r="DJ17" s="36">
        <v>1813846300</v>
      </c>
      <c r="DK17" s="87">
        <v>1813846300</v>
      </c>
      <c r="DL17" s="35"/>
      <c r="DM17" s="35"/>
      <c r="DN17" s="35"/>
      <c r="DO17" s="35"/>
      <c r="DP17" s="35"/>
      <c r="DQ17" s="35"/>
      <c r="DR17" s="36"/>
      <c r="DS17" s="35"/>
      <c r="DT17" s="35"/>
      <c r="DU17" s="35"/>
      <c r="DV17" s="35"/>
      <c r="DW17" s="35"/>
      <c r="DX17" s="35"/>
      <c r="DY17" s="35"/>
      <c r="DZ17" s="35"/>
      <c r="EA17" s="36"/>
      <c r="EB17" s="36"/>
      <c r="EC17" s="87"/>
      <c r="ED17" s="35"/>
      <c r="EE17" s="35">
        <v>173284212</v>
      </c>
      <c r="EF17" s="35">
        <v>164620000</v>
      </c>
      <c r="EG17" s="35">
        <v>8664212</v>
      </c>
      <c r="EH17" s="35">
        <v>164620000</v>
      </c>
      <c r="EI17" s="35"/>
      <c r="EJ17" s="36"/>
      <c r="EK17" s="35">
        <v>173284212</v>
      </c>
      <c r="EL17" s="35">
        <v>164620000</v>
      </c>
      <c r="EM17" s="35"/>
      <c r="EN17" s="35">
        <v>8664212</v>
      </c>
      <c r="EO17" s="35">
        <v>5</v>
      </c>
      <c r="EP17" s="35"/>
      <c r="EQ17" s="35"/>
      <c r="ER17" s="35">
        <v>164620000</v>
      </c>
      <c r="ES17" s="36"/>
      <c r="ET17" s="36">
        <v>164620000</v>
      </c>
      <c r="EU17" s="87">
        <v>164620000</v>
      </c>
      <c r="EV17" s="35"/>
      <c r="EW17" s="35"/>
      <c r="EX17" s="35"/>
      <c r="EY17" s="35"/>
      <c r="EZ17" s="35"/>
      <c r="FA17" s="35"/>
      <c r="FB17" s="36"/>
      <c r="FC17" s="35"/>
      <c r="FD17" s="35"/>
      <c r="FE17" s="35"/>
      <c r="FF17" s="35"/>
      <c r="FG17" s="35"/>
      <c r="FH17" s="35"/>
      <c r="FI17" s="35"/>
      <c r="FJ17" s="35"/>
      <c r="FK17" s="36"/>
      <c r="FL17" s="36"/>
      <c r="FM17" s="87"/>
      <c r="FN17" s="35"/>
      <c r="FO17" s="35">
        <v>170357339</v>
      </c>
      <c r="FP17" s="35">
        <v>130340400</v>
      </c>
      <c r="FQ17" s="35">
        <v>40016939</v>
      </c>
      <c r="FR17" s="35">
        <v>130340400</v>
      </c>
      <c r="FS17" s="35"/>
      <c r="FT17" s="36"/>
      <c r="FU17" s="35">
        <v>170357339</v>
      </c>
      <c r="FV17" s="35">
        <v>130340400</v>
      </c>
      <c r="FW17" s="35"/>
      <c r="FX17" s="35">
        <v>40016939</v>
      </c>
      <c r="FY17" s="35">
        <v>23.49</v>
      </c>
      <c r="FZ17" s="35"/>
      <c r="GA17" s="35"/>
      <c r="GB17" s="35">
        <v>130340400</v>
      </c>
      <c r="GC17" s="36"/>
      <c r="GD17" s="36">
        <v>130340400</v>
      </c>
      <c r="GE17" s="87">
        <v>130340400</v>
      </c>
      <c r="GF17" s="35"/>
      <c r="GG17" s="35">
        <v>66205700</v>
      </c>
      <c r="GH17" s="35">
        <v>36799700</v>
      </c>
      <c r="GI17" s="35">
        <v>29406000</v>
      </c>
      <c r="GJ17" s="35">
        <v>36799700</v>
      </c>
      <c r="GK17" s="35"/>
      <c r="GL17" s="36"/>
      <c r="GM17" s="35">
        <v>66205700</v>
      </c>
      <c r="GN17" s="35">
        <v>36799700</v>
      </c>
      <c r="GO17" s="35"/>
      <c r="GP17" s="35">
        <v>29406000</v>
      </c>
      <c r="GQ17" s="35">
        <v>44.416119999999999</v>
      </c>
      <c r="GR17" s="35"/>
      <c r="GS17" s="35"/>
      <c r="GT17" s="35">
        <v>36799700</v>
      </c>
      <c r="GU17" s="36"/>
      <c r="GV17" s="36">
        <v>36799700</v>
      </c>
      <c r="GW17" s="87">
        <v>36799700</v>
      </c>
      <c r="GX17" s="35"/>
      <c r="GY17" s="35"/>
      <c r="GZ17" s="35"/>
      <c r="HA17" s="35"/>
      <c r="HB17" s="35"/>
      <c r="HC17" s="35"/>
      <c r="HD17" s="36"/>
      <c r="HE17" s="35"/>
      <c r="HF17" s="35"/>
      <c r="HG17" s="35"/>
      <c r="HH17" s="35"/>
      <c r="HI17" s="35"/>
      <c r="HJ17" s="35"/>
      <c r="HK17" s="35"/>
      <c r="HL17" s="35"/>
      <c r="HM17" s="36"/>
      <c r="HN17" s="36"/>
      <c r="HO17" s="87"/>
      <c r="HP17" s="35"/>
      <c r="HQ17" s="35">
        <v>46070000</v>
      </c>
      <c r="HR17" s="35">
        <v>21070000</v>
      </c>
      <c r="HS17" s="35">
        <v>25000000</v>
      </c>
      <c r="HT17" s="35">
        <v>21070000</v>
      </c>
      <c r="HU17" s="35"/>
      <c r="HV17" s="36"/>
      <c r="HW17" s="35">
        <v>46070000</v>
      </c>
      <c r="HX17" s="35">
        <v>21070000</v>
      </c>
      <c r="HY17" s="35"/>
      <c r="HZ17" s="35">
        <v>25000000</v>
      </c>
      <c r="IA17" s="35">
        <v>54.265250000000002</v>
      </c>
      <c r="IB17" s="35"/>
      <c r="IC17" s="35"/>
      <c r="ID17" s="35">
        <v>21070000</v>
      </c>
      <c r="IE17" s="36"/>
      <c r="IF17" s="36">
        <v>21070000</v>
      </c>
      <c r="IG17" s="87">
        <v>21070000</v>
      </c>
      <c r="IH17" s="35"/>
      <c r="II17" s="35"/>
      <c r="IJ17" s="35"/>
      <c r="IK17" s="35"/>
      <c r="IL17" s="35"/>
      <c r="IM17" s="35"/>
      <c r="IN17" s="36"/>
      <c r="IO17" s="35"/>
      <c r="IP17" s="35"/>
      <c r="IQ17" s="35"/>
      <c r="IR17" s="35"/>
      <c r="IS17" s="35"/>
      <c r="IT17" s="35"/>
      <c r="IU17" s="35"/>
      <c r="IV17" s="35"/>
      <c r="IW17" s="36"/>
      <c r="IX17" s="36"/>
      <c r="IY17" s="87"/>
      <c r="IZ17" s="35"/>
      <c r="JA17" s="35"/>
      <c r="JB17" s="35"/>
      <c r="JC17" s="35"/>
      <c r="JD17" s="35"/>
      <c r="JE17" s="35"/>
      <c r="JF17" s="36"/>
      <c r="JG17" s="35"/>
      <c r="JH17" s="35"/>
      <c r="JI17" s="35"/>
      <c r="JJ17" s="35"/>
      <c r="JK17" s="35"/>
      <c r="JL17" s="35"/>
      <c r="JM17" s="35"/>
      <c r="JN17" s="35"/>
      <c r="JO17" s="36"/>
      <c r="JP17" s="36"/>
      <c r="JQ17" s="87"/>
      <c r="JR17" s="35"/>
      <c r="JS17" s="35"/>
      <c r="JT17" s="35"/>
      <c r="JU17" s="35"/>
      <c r="JV17" s="35"/>
      <c r="JW17" s="35"/>
      <c r="JX17" s="36"/>
      <c r="JY17" s="35"/>
      <c r="JZ17" s="35"/>
      <c r="KA17" s="35"/>
      <c r="KB17" s="35"/>
      <c r="KC17" s="35"/>
      <c r="KD17" s="35"/>
      <c r="KE17" s="35"/>
      <c r="KF17" s="35"/>
      <c r="KG17" s="36"/>
      <c r="KH17" s="36"/>
      <c r="KI17" s="87"/>
      <c r="KJ17" s="35"/>
      <c r="KK17" s="35">
        <v>6766000</v>
      </c>
      <c r="KL17" s="35">
        <v>2360000</v>
      </c>
      <c r="KM17" s="35">
        <v>4406000</v>
      </c>
      <c r="KN17" s="35">
        <v>2360000</v>
      </c>
      <c r="KO17" s="35"/>
      <c r="KP17" s="36"/>
      <c r="KQ17" s="35">
        <v>6766000</v>
      </c>
      <c r="KR17" s="35">
        <v>2360000</v>
      </c>
      <c r="KS17" s="35"/>
      <c r="KT17" s="35">
        <v>4406000</v>
      </c>
      <c r="KU17" s="35">
        <v>65.119720000000001</v>
      </c>
      <c r="KV17" s="35"/>
      <c r="KW17" s="35"/>
      <c r="KX17" s="35">
        <v>2360000</v>
      </c>
      <c r="KY17" s="36"/>
      <c r="KZ17" s="36">
        <v>2360000</v>
      </c>
      <c r="LA17" s="87">
        <v>2360000</v>
      </c>
      <c r="LB17" s="35"/>
      <c r="LC17" s="35"/>
      <c r="LD17" s="35"/>
      <c r="LE17" s="35"/>
      <c r="LF17" s="35"/>
      <c r="LG17" s="35"/>
      <c r="LH17" s="36"/>
      <c r="LI17" s="35"/>
      <c r="LJ17" s="35"/>
      <c r="LK17" s="35"/>
      <c r="LL17" s="35"/>
      <c r="LM17" s="35"/>
      <c r="LN17" s="35"/>
      <c r="LO17" s="35"/>
      <c r="LP17" s="35"/>
      <c r="LQ17" s="36"/>
      <c r="LR17" s="36"/>
      <c r="LS17" s="87"/>
      <c r="LT17" s="35"/>
      <c r="LU17" s="35"/>
      <c r="LV17" s="35"/>
      <c r="LW17" s="35"/>
      <c r="LX17" s="35"/>
      <c r="LY17" s="35"/>
      <c r="LZ17" s="36"/>
      <c r="MA17" s="35"/>
      <c r="MB17" s="35"/>
      <c r="MC17" s="35"/>
      <c r="MD17" s="35"/>
      <c r="ME17" s="35"/>
      <c r="MF17" s="35"/>
      <c r="MG17" s="35"/>
      <c r="MH17" s="35"/>
      <c r="MI17" s="36"/>
      <c r="MJ17" s="36"/>
      <c r="MK17" s="87"/>
      <c r="ML17" s="35"/>
      <c r="MM17" s="35"/>
      <c r="MN17" s="35"/>
      <c r="MO17" s="35"/>
      <c r="MP17" s="35"/>
      <c r="MQ17" s="35"/>
      <c r="MR17" s="36"/>
      <c r="MS17" s="35"/>
      <c r="MT17" s="35"/>
      <c r="MU17" s="35"/>
      <c r="MV17" s="35"/>
      <c r="MW17" s="35"/>
      <c r="MX17" s="35"/>
      <c r="MY17" s="35"/>
      <c r="MZ17" s="35"/>
      <c r="NA17" s="36"/>
      <c r="NB17" s="36"/>
      <c r="NC17" s="87"/>
      <c r="ND17" s="35"/>
      <c r="NE17" s="35"/>
      <c r="NF17" s="35"/>
      <c r="NG17" s="35"/>
      <c r="NH17" s="35"/>
      <c r="NI17" s="35"/>
      <c r="NJ17" s="36"/>
      <c r="NK17" s="35"/>
      <c r="NL17" s="35"/>
      <c r="NM17" s="35"/>
      <c r="NN17" s="35"/>
      <c r="NO17" s="35"/>
      <c r="NP17" s="35"/>
      <c r="NQ17" s="35"/>
      <c r="NR17" s="35"/>
      <c r="NS17" s="36"/>
      <c r="NT17" s="36"/>
      <c r="NU17" s="87"/>
      <c r="NV17" s="35"/>
      <c r="NW17" s="35"/>
      <c r="NX17" s="35"/>
      <c r="NY17" s="35"/>
      <c r="NZ17" s="35"/>
      <c r="OA17" s="35"/>
      <c r="OB17" s="36"/>
      <c r="OC17" s="35"/>
      <c r="OD17" s="35"/>
      <c r="OE17" s="35"/>
      <c r="OF17" s="35"/>
      <c r="OG17" s="35"/>
      <c r="OH17" s="35"/>
      <c r="OI17" s="35"/>
      <c r="OJ17" s="35"/>
      <c r="OK17" s="36"/>
      <c r="OL17" s="36"/>
      <c r="OM17" s="87"/>
      <c r="ON17" s="35"/>
      <c r="OO17" s="35">
        <v>4000000</v>
      </c>
      <c r="OP17" s="35">
        <v>1973300</v>
      </c>
      <c r="OQ17" s="35">
        <v>2026700</v>
      </c>
      <c r="OR17" s="35">
        <v>1973300</v>
      </c>
      <c r="OS17" s="35"/>
      <c r="OT17" s="36"/>
      <c r="OU17" s="35">
        <v>4000000</v>
      </c>
      <c r="OV17" s="35">
        <v>1973300</v>
      </c>
      <c r="OW17" s="35"/>
      <c r="OX17" s="35">
        <v>2026700</v>
      </c>
      <c r="OY17" s="35">
        <v>50.667499999999997</v>
      </c>
      <c r="OZ17" s="35"/>
      <c r="PA17" s="35"/>
      <c r="PB17" s="35">
        <v>1973300</v>
      </c>
      <c r="PC17" s="36"/>
      <c r="PD17" s="36">
        <v>1973300</v>
      </c>
      <c r="PE17" s="87">
        <v>1973300</v>
      </c>
      <c r="PF17" s="35"/>
      <c r="PG17" s="35"/>
      <c r="PH17" s="35"/>
      <c r="PI17" s="35"/>
      <c r="PJ17" s="35"/>
      <c r="PK17" s="35"/>
      <c r="PL17" s="36"/>
      <c r="PM17" s="35"/>
      <c r="PN17" s="35"/>
      <c r="PO17" s="35"/>
      <c r="PP17" s="35"/>
      <c r="PQ17" s="35"/>
      <c r="PR17" s="35"/>
      <c r="PS17" s="35"/>
      <c r="PT17" s="35"/>
      <c r="PU17" s="36"/>
      <c r="PV17" s="36"/>
      <c r="PW17" s="87"/>
      <c r="PX17" s="35"/>
      <c r="PY17" s="35"/>
      <c r="PZ17" s="35"/>
      <c r="QA17" s="35"/>
      <c r="QB17" s="35"/>
      <c r="QC17" s="35"/>
      <c r="QD17" s="36"/>
      <c r="QE17" s="35"/>
      <c r="QF17" s="35"/>
      <c r="QG17" s="35"/>
      <c r="QH17" s="35"/>
      <c r="QI17" s="35"/>
      <c r="QJ17" s="35"/>
      <c r="QK17" s="35"/>
      <c r="QL17" s="35"/>
      <c r="QM17" s="36"/>
      <c r="QN17" s="36"/>
      <c r="QO17" s="87"/>
    </row>
    <row r="18" spans="1:457" x14ac:dyDescent="0.25">
      <c r="A18" s="8" t="s">
        <v>11</v>
      </c>
      <c r="B18" s="173" t="s">
        <v>12</v>
      </c>
      <c r="C18" s="13" t="s">
        <v>13</v>
      </c>
      <c r="F18" s="36">
        <v>10279403600</v>
      </c>
      <c r="G18" s="35"/>
      <c r="H18" s="35"/>
      <c r="I18" s="35">
        <v>7922940321.6000004</v>
      </c>
      <c r="J18" s="35">
        <v>7857815100</v>
      </c>
      <c r="K18" s="35">
        <v>65125221.600000001</v>
      </c>
      <c r="L18" s="35">
        <v>7857815100</v>
      </c>
      <c r="M18" s="35"/>
      <c r="N18" s="36"/>
      <c r="O18" s="35">
        <v>7922940321.6000004</v>
      </c>
      <c r="P18" s="35">
        <v>7857815100</v>
      </c>
      <c r="Q18" s="35"/>
      <c r="R18" s="35">
        <v>65125221.600000001</v>
      </c>
      <c r="S18" s="35">
        <v>0.82198000000000004</v>
      </c>
      <c r="T18" s="35"/>
      <c r="U18" s="35"/>
      <c r="V18" s="35">
        <v>7857815100</v>
      </c>
      <c r="W18" s="36"/>
      <c r="X18" s="36">
        <v>7857815100</v>
      </c>
      <c r="Y18" s="85">
        <v>7857815100</v>
      </c>
      <c r="Z18" s="35"/>
      <c r="AA18" s="35"/>
      <c r="AB18" s="35"/>
      <c r="AC18" s="35"/>
      <c r="AD18" s="35"/>
      <c r="AE18" s="35"/>
      <c r="AF18" s="36"/>
      <c r="AG18" s="35"/>
      <c r="AH18" s="35"/>
      <c r="AI18" s="35"/>
      <c r="AJ18" s="35"/>
      <c r="AK18" s="35"/>
      <c r="AL18" s="35"/>
      <c r="AM18" s="35"/>
      <c r="AN18" s="35"/>
      <c r="AO18" s="36"/>
      <c r="AP18" s="36"/>
      <c r="AQ18" s="85"/>
      <c r="AR18" s="35"/>
      <c r="AS18" s="35">
        <v>122544843</v>
      </c>
      <c r="AT18" s="35">
        <v>116417600</v>
      </c>
      <c r="AU18" s="35">
        <v>6127243</v>
      </c>
      <c r="AV18" s="35">
        <v>116417600</v>
      </c>
      <c r="AW18" s="35"/>
      <c r="AX18" s="36"/>
      <c r="AY18" s="35">
        <v>122544843</v>
      </c>
      <c r="AZ18" s="35">
        <v>116417600</v>
      </c>
      <c r="BA18" s="35"/>
      <c r="BB18" s="35">
        <v>6127243</v>
      </c>
      <c r="BC18" s="35">
        <v>5</v>
      </c>
      <c r="BD18" s="35"/>
      <c r="BE18" s="35"/>
      <c r="BF18" s="35">
        <v>116417600</v>
      </c>
      <c r="BG18" s="36"/>
      <c r="BH18" s="36">
        <v>116417600</v>
      </c>
      <c r="BI18" s="85">
        <v>116417600</v>
      </c>
      <c r="BJ18" s="35"/>
      <c r="BK18" s="35"/>
      <c r="BL18" s="35"/>
      <c r="BM18" s="35"/>
      <c r="BN18" s="35"/>
      <c r="BO18" s="35"/>
      <c r="BP18" s="36"/>
      <c r="BQ18" s="35"/>
      <c r="BR18" s="35"/>
      <c r="BS18" s="35"/>
      <c r="BT18" s="35"/>
      <c r="BU18" s="35"/>
      <c r="BV18" s="35"/>
      <c r="BW18" s="35"/>
      <c r="BX18" s="35"/>
      <c r="BY18" s="36"/>
      <c r="BZ18" s="36"/>
      <c r="CA18" s="85"/>
      <c r="CB18" s="35"/>
      <c r="CC18" s="35">
        <v>270899053</v>
      </c>
      <c r="CD18" s="35">
        <v>257354100</v>
      </c>
      <c r="CE18" s="35">
        <v>13544953</v>
      </c>
      <c r="CF18" s="35">
        <v>257354100</v>
      </c>
      <c r="CG18" s="35"/>
      <c r="CH18" s="36"/>
      <c r="CI18" s="35">
        <v>270899053</v>
      </c>
      <c r="CJ18" s="35">
        <v>257354100</v>
      </c>
      <c r="CK18" s="35"/>
      <c r="CL18" s="35">
        <v>13544953</v>
      </c>
      <c r="CM18" s="35">
        <v>5</v>
      </c>
      <c r="CN18" s="35"/>
      <c r="CO18" s="35"/>
      <c r="CP18" s="35">
        <v>257354100</v>
      </c>
      <c r="CQ18" s="36"/>
      <c r="CR18" s="36">
        <v>257354100</v>
      </c>
      <c r="CS18" s="85">
        <v>257354100</v>
      </c>
      <c r="CT18" s="35"/>
      <c r="CU18" s="35">
        <v>1885358106</v>
      </c>
      <c r="CV18" s="35">
        <v>1791090200</v>
      </c>
      <c r="CW18" s="35">
        <v>94267906</v>
      </c>
      <c r="CX18" s="35">
        <v>1791090200</v>
      </c>
      <c r="CY18" s="35"/>
      <c r="CZ18" s="36"/>
      <c r="DA18" s="35">
        <v>1885358106</v>
      </c>
      <c r="DB18" s="35">
        <v>1791090200</v>
      </c>
      <c r="DC18" s="35"/>
      <c r="DD18" s="35">
        <v>94267906</v>
      </c>
      <c r="DE18" s="35">
        <v>5</v>
      </c>
      <c r="DF18" s="35"/>
      <c r="DG18" s="35"/>
      <c r="DH18" s="35">
        <v>1791090200</v>
      </c>
      <c r="DI18" s="36"/>
      <c r="DJ18" s="36">
        <v>1791090200</v>
      </c>
      <c r="DK18" s="85">
        <v>1791090200</v>
      </c>
      <c r="DL18" s="35"/>
      <c r="DM18" s="35"/>
      <c r="DN18" s="35"/>
      <c r="DO18" s="35"/>
      <c r="DP18" s="35"/>
      <c r="DQ18" s="35"/>
      <c r="DR18" s="36"/>
      <c r="DS18" s="35"/>
      <c r="DT18" s="35"/>
      <c r="DU18" s="35"/>
      <c r="DV18" s="35"/>
      <c r="DW18" s="35"/>
      <c r="DX18" s="35"/>
      <c r="DY18" s="35"/>
      <c r="DZ18" s="35"/>
      <c r="EA18" s="36"/>
      <c r="EB18" s="36"/>
      <c r="EC18" s="85"/>
      <c r="ED18" s="35"/>
      <c r="EE18" s="35">
        <v>106357900</v>
      </c>
      <c r="EF18" s="35">
        <v>101040000</v>
      </c>
      <c r="EG18" s="35">
        <v>5317900</v>
      </c>
      <c r="EH18" s="35">
        <v>101039942.53</v>
      </c>
      <c r="EI18" s="35"/>
      <c r="EJ18" s="36"/>
      <c r="EK18" s="35">
        <v>106357834.23999999</v>
      </c>
      <c r="EL18" s="35">
        <v>101039942.53</v>
      </c>
      <c r="EM18" s="35"/>
      <c r="EN18" s="35">
        <v>5317891.71</v>
      </c>
      <c r="EO18" s="35">
        <v>5</v>
      </c>
      <c r="EP18" s="35"/>
      <c r="EQ18" s="35"/>
      <c r="ER18" s="35">
        <v>101039942.53</v>
      </c>
      <c r="ES18" s="36"/>
      <c r="ET18" s="36">
        <v>101040000</v>
      </c>
      <c r="EU18" s="85">
        <v>101040000</v>
      </c>
      <c r="EV18" s="35"/>
      <c r="EW18" s="35"/>
      <c r="EX18" s="35"/>
      <c r="EY18" s="35"/>
      <c r="EZ18" s="35"/>
      <c r="FA18" s="35"/>
      <c r="FB18" s="36"/>
      <c r="FC18" s="35"/>
      <c r="FD18" s="35"/>
      <c r="FE18" s="35"/>
      <c r="FF18" s="35"/>
      <c r="FG18" s="35"/>
      <c r="FH18" s="35"/>
      <c r="FI18" s="35"/>
      <c r="FJ18" s="35"/>
      <c r="FK18" s="36"/>
      <c r="FL18" s="36"/>
      <c r="FM18" s="85"/>
      <c r="FN18" s="35"/>
      <c r="FO18" s="35">
        <v>102785500</v>
      </c>
      <c r="FP18" s="35">
        <v>85955500</v>
      </c>
      <c r="FQ18" s="35">
        <v>16830000</v>
      </c>
      <c r="FR18" s="35">
        <v>85955500</v>
      </c>
      <c r="FS18" s="35"/>
      <c r="FT18" s="36"/>
      <c r="FU18" s="35">
        <v>102785500</v>
      </c>
      <c r="FV18" s="35">
        <v>85955500</v>
      </c>
      <c r="FW18" s="35"/>
      <c r="FX18" s="35">
        <v>16830000</v>
      </c>
      <c r="FY18" s="35">
        <v>16.373899999999999</v>
      </c>
      <c r="FZ18" s="35"/>
      <c r="GA18" s="35"/>
      <c r="GB18" s="35">
        <v>85955500</v>
      </c>
      <c r="GC18" s="36"/>
      <c r="GD18" s="36">
        <v>85955500</v>
      </c>
      <c r="GE18" s="85">
        <v>85955500</v>
      </c>
      <c r="GF18" s="35"/>
      <c r="GG18" s="35">
        <v>26447000</v>
      </c>
      <c r="GH18" s="35">
        <v>18512900</v>
      </c>
      <c r="GI18" s="35">
        <v>7934100</v>
      </c>
      <c r="GJ18" s="35">
        <v>18512900</v>
      </c>
      <c r="GK18" s="35"/>
      <c r="GL18" s="36"/>
      <c r="GM18" s="35">
        <v>26447000</v>
      </c>
      <c r="GN18" s="35">
        <v>18512900</v>
      </c>
      <c r="GO18" s="35"/>
      <c r="GP18" s="35">
        <v>7934100</v>
      </c>
      <c r="GQ18" s="35">
        <v>30</v>
      </c>
      <c r="GR18" s="35"/>
      <c r="GS18" s="35"/>
      <c r="GT18" s="35">
        <v>18512900</v>
      </c>
      <c r="GU18" s="36"/>
      <c r="GV18" s="36">
        <v>18512900</v>
      </c>
      <c r="GW18" s="85">
        <v>18512900</v>
      </c>
      <c r="GX18" s="35"/>
      <c r="GY18" s="35"/>
      <c r="GZ18" s="35"/>
      <c r="HA18" s="35"/>
      <c r="HB18" s="35"/>
      <c r="HC18" s="35">
        <v>927823.22</v>
      </c>
      <c r="HD18" s="36"/>
      <c r="HE18" s="35"/>
      <c r="HF18" s="35"/>
      <c r="HG18" s="35"/>
      <c r="HH18" s="35"/>
      <c r="HI18" s="35"/>
      <c r="HJ18" s="35">
        <v>927823.22</v>
      </c>
      <c r="HK18" s="35"/>
      <c r="HL18" s="35"/>
      <c r="HM18" s="36"/>
      <c r="HN18" s="36"/>
      <c r="HO18" s="85"/>
      <c r="HP18" s="35"/>
      <c r="HQ18" s="35">
        <v>79389950</v>
      </c>
      <c r="HR18" s="35">
        <v>43987000</v>
      </c>
      <c r="HS18" s="35">
        <v>35402950</v>
      </c>
      <c r="HT18" s="35">
        <v>43972534.439999998</v>
      </c>
      <c r="HU18" s="35"/>
      <c r="HV18" s="36"/>
      <c r="HW18" s="35">
        <v>79364485.950000003</v>
      </c>
      <c r="HX18" s="35">
        <v>43972534.439999998</v>
      </c>
      <c r="HY18" s="35"/>
      <c r="HZ18" s="35">
        <v>35391951.509999998</v>
      </c>
      <c r="IA18" s="35">
        <v>44.594189999999998</v>
      </c>
      <c r="IB18" s="35"/>
      <c r="IC18" s="35"/>
      <c r="ID18" s="35">
        <v>43972534.439999998</v>
      </c>
      <c r="IE18" s="36"/>
      <c r="IF18" s="36">
        <v>43987000</v>
      </c>
      <c r="IG18" s="85">
        <v>43987000</v>
      </c>
      <c r="IH18" s="35"/>
      <c r="II18" s="35"/>
      <c r="IJ18" s="35"/>
      <c r="IK18" s="35"/>
      <c r="IL18" s="35"/>
      <c r="IM18" s="35"/>
      <c r="IN18" s="36"/>
      <c r="IO18" s="35"/>
      <c r="IP18" s="35"/>
      <c r="IQ18" s="35"/>
      <c r="IR18" s="35"/>
      <c r="IS18" s="35"/>
      <c r="IT18" s="35"/>
      <c r="IU18" s="35"/>
      <c r="IV18" s="35"/>
      <c r="IW18" s="36"/>
      <c r="IX18" s="36"/>
      <c r="IY18" s="85"/>
      <c r="IZ18" s="35"/>
      <c r="JA18" s="35"/>
      <c r="JB18" s="35"/>
      <c r="JC18" s="35"/>
      <c r="JD18" s="35"/>
      <c r="JE18" s="35"/>
      <c r="JF18" s="36"/>
      <c r="JG18" s="35"/>
      <c r="JH18" s="35"/>
      <c r="JI18" s="35"/>
      <c r="JJ18" s="35"/>
      <c r="JK18" s="35"/>
      <c r="JL18" s="35"/>
      <c r="JM18" s="35"/>
      <c r="JN18" s="35"/>
      <c r="JO18" s="36"/>
      <c r="JP18" s="36"/>
      <c r="JQ18" s="85"/>
      <c r="JR18" s="35"/>
      <c r="JS18" s="35"/>
      <c r="JT18" s="35"/>
      <c r="JU18" s="35"/>
      <c r="JV18" s="35"/>
      <c r="JW18" s="35"/>
      <c r="JX18" s="36"/>
      <c r="JY18" s="35"/>
      <c r="JZ18" s="35"/>
      <c r="KA18" s="35"/>
      <c r="KB18" s="35"/>
      <c r="KC18" s="35"/>
      <c r="KD18" s="35"/>
      <c r="KE18" s="35"/>
      <c r="KF18" s="35"/>
      <c r="KG18" s="36"/>
      <c r="KH18" s="36"/>
      <c r="KI18" s="85"/>
      <c r="KJ18" s="35"/>
      <c r="KK18" s="35"/>
      <c r="KL18" s="35"/>
      <c r="KM18" s="35"/>
      <c r="KN18" s="35"/>
      <c r="KO18" s="35"/>
      <c r="KP18" s="36"/>
      <c r="KQ18" s="35"/>
      <c r="KR18" s="35"/>
      <c r="KS18" s="35"/>
      <c r="KT18" s="35"/>
      <c r="KU18" s="35"/>
      <c r="KV18" s="35"/>
      <c r="KW18" s="35"/>
      <c r="KX18" s="35"/>
      <c r="KY18" s="36"/>
      <c r="KZ18" s="36"/>
      <c r="LA18" s="85"/>
      <c r="LB18" s="35"/>
      <c r="LC18" s="35"/>
      <c r="LD18" s="35"/>
      <c r="LE18" s="35"/>
      <c r="LF18" s="35"/>
      <c r="LG18" s="35"/>
      <c r="LH18" s="36"/>
      <c r="LI18" s="35"/>
      <c r="LJ18" s="35"/>
      <c r="LK18" s="35"/>
      <c r="LL18" s="35"/>
      <c r="LM18" s="35"/>
      <c r="LN18" s="35"/>
      <c r="LO18" s="35"/>
      <c r="LP18" s="35"/>
      <c r="LQ18" s="36"/>
      <c r="LR18" s="36"/>
      <c r="LS18" s="85"/>
      <c r="LT18" s="35"/>
      <c r="LU18" s="35"/>
      <c r="LV18" s="35"/>
      <c r="LW18" s="35"/>
      <c r="LX18" s="35"/>
      <c r="LY18" s="35"/>
      <c r="LZ18" s="36"/>
      <c r="MA18" s="35"/>
      <c r="MB18" s="35"/>
      <c r="MC18" s="35"/>
      <c r="MD18" s="35"/>
      <c r="ME18" s="35"/>
      <c r="MF18" s="35"/>
      <c r="MG18" s="35"/>
      <c r="MH18" s="35"/>
      <c r="MI18" s="36"/>
      <c r="MJ18" s="36"/>
      <c r="MK18" s="85"/>
      <c r="ML18" s="35"/>
      <c r="MM18" s="35"/>
      <c r="MN18" s="35"/>
      <c r="MO18" s="35"/>
      <c r="MP18" s="35"/>
      <c r="MQ18" s="35"/>
      <c r="MR18" s="36"/>
      <c r="MS18" s="35"/>
      <c r="MT18" s="35"/>
      <c r="MU18" s="35"/>
      <c r="MV18" s="35"/>
      <c r="MW18" s="35"/>
      <c r="MX18" s="35"/>
      <c r="MY18" s="35"/>
      <c r="MZ18" s="35"/>
      <c r="NA18" s="36"/>
      <c r="NB18" s="36"/>
      <c r="NC18" s="85"/>
      <c r="ND18" s="35"/>
      <c r="NE18" s="35">
        <v>8656714</v>
      </c>
      <c r="NF18" s="35">
        <v>6059700</v>
      </c>
      <c r="NG18" s="35">
        <v>2597014</v>
      </c>
      <c r="NH18" s="35">
        <v>6059700</v>
      </c>
      <c r="NI18" s="35"/>
      <c r="NJ18" s="36"/>
      <c r="NK18" s="35">
        <v>8656714</v>
      </c>
      <c r="NL18" s="35">
        <v>6059700</v>
      </c>
      <c r="NM18" s="35"/>
      <c r="NN18" s="35">
        <v>2597014</v>
      </c>
      <c r="NO18" s="35">
        <v>30</v>
      </c>
      <c r="NP18" s="35"/>
      <c r="NQ18" s="35"/>
      <c r="NR18" s="35">
        <v>6059700</v>
      </c>
      <c r="NS18" s="36"/>
      <c r="NT18" s="36">
        <v>6059700</v>
      </c>
      <c r="NU18" s="85">
        <v>6059700</v>
      </c>
      <c r="NV18" s="35"/>
      <c r="NW18" s="35"/>
      <c r="NX18" s="35"/>
      <c r="NY18" s="35"/>
      <c r="NZ18" s="35"/>
      <c r="OA18" s="35"/>
      <c r="OB18" s="36"/>
      <c r="OC18" s="35"/>
      <c r="OD18" s="35"/>
      <c r="OE18" s="35"/>
      <c r="OF18" s="35"/>
      <c r="OG18" s="35"/>
      <c r="OH18" s="35"/>
      <c r="OI18" s="35"/>
      <c r="OJ18" s="35"/>
      <c r="OK18" s="36"/>
      <c r="OL18" s="36"/>
      <c r="OM18" s="85"/>
      <c r="ON18" s="35"/>
      <c r="OO18" s="35">
        <v>1673571</v>
      </c>
      <c r="OP18" s="35">
        <v>1171500</v>
      </c>
      <c r="OQ18" s="35">
        <v>502071</v>
      </c>
      <c r="OR18" s="35">
        <v>1171500</v>
      </c>
      <c r="OS18" s="35"/>
      <c r="OT18" s="36"/>
      <c r="OU18" s="35">
        <v>1673571</v>
      </c>
      <c r="OV18" s="35">
        <v>1171500</v>
      </c>
      <c r="OW18" s="35"/>
      <c r="OX18" s="35">
        <v>502071</v>
      </c>
      <c r="OY18" s="35">
        <v>29.999980000000001</v>
      </c>
      <c r="OZ18" s="35"/>
      <c r="PA18" s="35"/>
      <c r="PB18" s="35">
        <v>1171500</v>
      </c>
      <c r="PC18" s="36"/>
      <c r="PD18" s="36">
        <v>1171500</v>
      </c>
      <c r="PE18" s="85">
        <v>1171500</v>
      </c>
      <c r="PF18" s="35"/>
      <c r="PG18" s="35"/>
      <c r="PH18" s="35"/>
      <c r="PI18" s="35"/>
      <c r="PJ18" s="35"/>
      <c r="PK18" s="35"/>
      <c r="PL18" s="36"/>
      <c r="PM18" s="35"/>
      <c r="PN18" s="35"/>
      <c r="PO18" s="35"/>
      <c r="PP18" s="35"/>
      <c r="PQ18" s="35"/>
      <c r="PR18" s="35"/>
      <c r="PS18" s="35"/>
      <c r="PT18" s="35"/>
      <c r="PU18" s="36"/>
      <c r="PV18" s="36"/>
      <c r="PW18" s="85"/>
      <c r="PX18" s="35"/>
      <c r="PY18" s="35"/>
      <c r="PZ18" s="35"/>
      <c r="QA18" s="35"/>
      <c r="QB18" s="35"/>
      <c r="QC18" s="35">
        <v>8243740.9500000002</v>
      </c>
      <c r="QD18" s="36"/>
      <c r="QE18" s="35"/>
      <c r="QF18" s="35"/>
      <c r="QG18" s="35"/>
      <c r="QH18" s="35"/>
      <c r="QI18" s="35"/>
      <c r="QJ18" s="35">
        <v>8243740.9500000002</v>
      </c>
      <c r="QK18" s="35"/>
      <c r="QL18" s="35"/>
      <c r="QM18" s="36"/>
      <c r="QN18" s="36"/>
      <c r="QO18" s="85"/>
    </row>
    <row r="19" spans="1:457" x14ac:dyDescent="0.25">
      <c r="A19" s="8" t="s">
        <v>14</v>
      </c>
      <c r="B19" s="172" t="s">
        <v>15</v>
      </c>
      <c r="C19" s="13" t="s">
        <v>16</v>
      </c>
      <c r="F19" s="36">
        <v>1078652500</v>
      </c>
      <c r="G19" s="35"/>
      <c r="H19" s="35"/>
      <c r="I19" s="35">
        <v>552150600</v>
      </c>
      <c r="J19" s="35">
        <v>430677400</v>
      </c>
      <c r="K19" s="35">
        <v>121473200</v>
      </c>
      <c r="L19" s="35">
        <v>430677400</v>
      </c>
      <c r="M19" s="35">
        <v>708769</v>
      </c>
      <c r="N19" s="36"/>
      <c r="O19" s="35">
        <v>552150600</v>
      </c>
      <c r="P19" s="35">
        <v>430677400</v>
      </c>
      <c r="Q19" s="35"/>
      <c r="R19" s="35">
        <v>121473200</v>
      </c>
      <c r="S19" s="35">
        <v>22.00001</v>
      </c>
      <c r="T19" s="35">
        <v>708769</v>
      </c>
      <c r="U19" s="35"/>
      <c r="V19" s="35">
        <v>430677400</v>
      </c>
      <c r="W19" s="36"/>
      <c r="X19" s="36">
        <v>430677400</v>
      </c>
      <c r="Y19" s="85">
        <v>430677400</v>
      </c>
      <c r="Z19" s="35"/>
      <c r="AA19" s="35"/>
      <c r="AB19" s="35"/>
      <c r="AC19" s="35"/>
      <c r="AD19" s="35"/>
      <c r="AE19" s="35"/>
      <c r="AF19" s="36"/>
      <c r="AG19" s="35"/>
      <c r="AH19" s="35"/>
      <c r="AI19" s="35"/>
      <c r="AJ19" s="35"/>
      <c r="AK19" s="35"/>
      <c r="AL19" s="35"/>
      <c r="AM19" s="35"/>
      <c r="AN19" s="35"/>
      <c r="AO19" s="36"/>
      <c r="AP19" s="36"/>
      <c r="AQ19" s="85"/>
      <c r="AR19" s="35"/>
      <c r="AS19" s="35">
        <v>255433200</v>
      </c>
      <c r="AT19" s="35">
        <v>242661500</v>
      </c>
      <c r="AU19" s="35">
        <v>12771700</v>
      </c>
      <c r="AV19" s="35">
        <v>242661500</v>
      </c>
      <c r="AW19" s="35"/>
      <c r="AX19" s="36"/>
      <c r="AY19" s="35">
        <v>255433200</v>
      </c>
      <c r="AZ19" s="35">
        <v>242661500</v>
      </c>
      <c r="BA19" s="35"/>
      <c r="BB19" s="35">
        <v>12771700</v>
      </c>
      <c r="BC19" s="35">
        <v>5.0000200000000001</v>
      </c>
      <c r="BD19" s="35"/>
      <c r="BE19" s="35"/>
      <c r="BF19" s="35">
        <v>242661500</v>
      </c>
      <c r="BG19" s="36"/>
      <c r="BH19" s="36">
        <v>242661500</v>
      </c>
      <c r="BI19" s="85">
        <v>242661500</v>
      </c>
      <c r="BJ19" s="35"/>
      <c r="BK19" s="35"/>
      <c r="BL19" s="35"/>
      <c r="BM19" s="35"/>
      <c r="BN19" s="35"/>
      <c r="BO19" s="35"/>
      <c r="BP19" s="36"/>
      <c r="BQ19" s="35"/>
      <c r="BR19" s="35"/>
      <c r="BS19" s="35"/>
      <c r="BT19" s="35"/>
      <c r="BU19" s="35"/>
      <c r="BV19" s="35"/>
      <c r="BW19" s="35"/>
      <c r="BX19" s="35"/>
      <c r="BY19" s="36"/>
      <c r="BZ19" s="36"/>
      <c r="CA19" s="85"/>
      <c r="CB19" s="35"/>
      <c r="CC19" s="35">
        <v>78794900</v>
      </c>
      <c r="CD19" s="35">
        <v>74855100</v>
      </c>
      <c r="CE19" s="35">
        <v>3939800</v>
      </c>
      <c r="CF19" s="35">
        <v>74855100</v>
      </c>
      <c r="CG19" s="35"/>
      <c r="CH19" s="36"/>
      <c r="CI19" s="35">
        <v>78794900</v>
      </c>
      <c r="CJ19" s="35">
        <v>74855100</v>
      </c>
      <c r="CK19" s="35"/>
      <c r="CL19" s="35">
        <v>3939800</v>
      </c>
      <c r="CM19" s="35">
        <v>5.00007</v>
      </c>
      <c r="CN19" s="35"/>
      <c r="CO19" s="35"/>
      <c r="CP19" s="35">
        <v>74855100</v>
      </c>
      <c r="CQ19" s="36"/>
      <c r="CR19" s="36">
        <v>74855100</v>
      </c>
      <c r="CS19" s="85">
        <v>74855100</v>
      </c>
      <c r="CT19" s="35"/>
      <c r="CU19" s="35">
        <v>282487800</v>
      </c>
      <c r="CV19" s="35">
        <v>268363400</v>
      </c>
      <c r="CW19" s="35">
        <v>14124400</v>
      </c>
      <c r="CX19" s="35">
        <v>268363400</v>
      </c>
      <c r="CY19" s="35">
        <v>1511800</v>
      </c>
      <c r="CZ19" s="36"/>
      <c r="DA19" s="35">
        <v>282487800</v>
      </c>
      <c r="DB19" s="35">
        <v>268363400</v>
      </c>
      <c r="DC19" s="35"/>
      <c r="DD19" s="35">
        <v>14124400</v>
      </c>
      <c r="DE19" s="35">
        <v>5</v>
      </c>
      <c r="DF19" s="35">
        <v>1511800</v>
      </c>
      <c r="DG19" s="35"/>
      <c r="DH19" s="35">
        <v>268363400</v>
      </c>
      <c r="DI19" s="36"/>
      <c r="DJ19" s="36">
        <v>268363400</v>
      </c>
      <c r="DK19" s="85">
        <v>268363400</v>
      </c>
      <c r="DL19" s="35"/>
      <c r="DM19" s="35"/>
      <c r="DN19" s="35"/>
      <c r="DO19" s="35"/>
      <c r="DP19" s="35"/>
      <c r="DQ19" s="35"/>
      <c r="DR19" s="36"/>
      <c r="DS19" s="35"/>
      <c r="DT19" s="35"/>
      <c r="DU19" s="35"/>
      <c r="DV19" s="35"/>
      <c r="DW19" s="35"/>
      <c r="DX19" s="35"/>
      <c r="DY19" s="35"/>
      <c r="DZ19" s="35"/>
      <c r="EA19" s="36"/>
      <c r="EB19" s="36"/>
      <c r="EC19" s="85"/>
      <c r="ED19" s="35"/>
      <c r="EE19" s="35">
        <v>5432500</v>
      </c>
      <c r="EF19" s="35">
        <v>4346000</v>
      </c>
      <c r="EG19" s="35">
        <v>1086500</v>
      </c>
      <c r="EH19" s="35">
        <v>4346000</v>
      </c>
      <c r="EI19" s="35"/>
      <c r="EJ19" s="36"/>
      <c r="EK19" s="35">
        <v>5432500</v>
      </c>
      <c r="EL19" s="35">
        <v>4346000</v>
      </c>
      <c r="EM19" s="35"/>
      <c r="EN19" s="35">
        <v>1086500</v>
      </c>
      <c r="EO19" s="35">
        <v>20</v>
      </c>
      <c r="EP19" s="35"/>
      <c r="EQ19" s="35"/>
      <c r="ER19" s="35">
        <v>4346000</v>
      </c>
      <c r="ES19" s="36"/>
      <c r="ET19" s="36">
        <v>4346000</v>
      </c>
      <c r="EU19" s="85">
        <v>4346000</v>
      </c>
      <c r="EV19" s="35"/>
      <c r="EW19" s="35"/>
      <c r="EX19" s="35"/>
      <c r="EY19" s="35"/>
      <c r="EZ19" s="35"/>
      <c r="FA19" s="35"/>
      <c r="FB19" s="36"/>
      <c r="FC19" s="35"/>
      <c r="FD19" s="35"/>
      <c r="FE19" s="35"/>
      <c r="FF19" s="35"/>
      <c r="FG19" s="35"/>
      <c r="FH19" s="35"/>
      <c r="FI19" s="35"/>
      <c r="FJ19" s="35"/>
      <c r="FK19" s="36"/>
      <c r="FL19" s="36"/>
      <c r="FM19" s="85"/>
      <c r="FN19" s="35"/>
      <c r="FO19" s="35">
        <v>9192000</v>
      </c>
      <c r="FP19" s="35">
        <v>7191800</v>
      </c>
      <c r="FQ19" s="35">
        <v>2000200</v>
      </c>
      <c r="FR19" s="35">
        <v>7191800</v>
      </c>
      <c r="FS19" s="35"/>
      <c r="FT19" s="36"/>
      <c r="FU19" s="35">
        <v>9192000</v>
      </c>
      <c r="FV19" s="35">
        <v>7191800</v>
      </c>
      <c r="FW19" s="35"/>
      <c r="FX19" s="35">
        <v>2000200</v>
      </c>
      <c r="FY19" s="35">
        <v>21.76023</v>
      </c>
      <c r="FZ19" s="35"/>
      <c r="GA19" s="35"/>
      <c r="GB19" s="35">
        <v>7191800</v>
      </c>
      <c r="GC19" s="36"/>
      <c r="GD19" s="36">
        <v>7191800</v>
      </c>
      <c r="GE19" s="85">
        <v>7191800</v>
      </c>
      <c r="GF19" s="35"/>
      <c r="GG19" s="35">
        <v>50310800</v>
      </c>
      <c r="GH19" s="35">
        <v>17193800</v>
      </c>
      <c r="GI19" s="35">
        <v>33117000</v>
      </c>
      <c r="GJ19" s="35">
        <v>17193798.550000001</v>
      </c>
      <c r="GK19" s="35"/>
      <c r="GL19" s="36"/>
      <c r="GM19" s="35">
        <v>50310796</v>
      </c>
      <c r="GN19" s="35">
        <v>17193798.550000001</v>
      </c>
      <c r="GO19" s="35"/>
      <c r="GP19" s="35">
        <v>33116997.449999999</v>
      </c>
      <c r="GQ19" s="35">
        <v>65.824830000000006</v>
      </c>
      <c r="GR19" s="35"/>
      <c r="GS19" s="35"/>
      <c r="GT19" s="35">
        <v>17193798.550000001</v>
      </c>
      <c r="GU19" s="36"/>
      <c r="GV19" s="36">
        <v>17193800</v>
      </c>
      <c r="GW19" s="85">
        <v>17193800</v>
      </c>
      <c r="GX19" s="35"/>
      <c r="GY19" s="35"/>
      <c r="GZ19" s="35"/>
      <c r="HA19" s="35"/>
      <c r="HB19" s="35"/>
      <c r="HC19" s="35"/>
      <c r="HD19" s="36"/>
      <c r="HE19" s="35"/>
      <c r="HF19" s="35"/>
      <c r="HG19" s="35"/>
      <c r="HH19" s="35"/>
      <c r="HI19" s="35"/>
      <c r="HJ19" s="35"/>
      <c r="HK19" s="35"/>
      <c r="HL19" s="35"/>
      <c r="HM19" s="36"/>
      <c r="HN19" s="36"/>
      <c r="HO19" s="85"/>
      <c r="HP19" s="35"/>
      <c r="HQ19" s="35">
        <v>52482000</v>
      </c>
      <c r="HR19" s="35">
        <v>31139000</v>
      </c>
      <c r="HS19" s="35">
        <v>21343000</v>
      </c>
      <c r="HT19" s="35">
        <v>28081461.52</v>
      </c>
      <c r="HU19" s="35"/>
      <c r="HV19" s="36"/>
      <c r="HW19" s="35">
        <v>47778000</v>
      </c>
      <c r="HX19" s="35">
        <v>28081461.52</v>
      </c>
      <c r="HY19" s="35"/>
      <c r="HZ19" s="35">
        <v>19696538.48</v>
      </c>
      <c r="IA19" s="35">
        <v>41.225119999999997</v>
      </c>
      <c r="IB19" s="35"/>
      <c r="IC19" s="35"/>
      <c r="ID19" s="35">
        <v>28081461.52</v>
      </c>
      <c r="IE19" s="36"/>
      <c r="IF19" s="36">
        <v>31139000</v>
      </c>
      <c r="IG19" s="85">
        <v>31139000</v>
      </c>
      <c r="IH19" s="35"/>
      <c r="II19" s="35"/>
      <c r="IJ19" s="35"/>
      <c r="IK19" s="35"/>
      <c r="IL19" s="35"/>
      <c r="IM19" s="35"/>
      <c r="IN19" s="36"/>
      <c r="IO19" s="35"/>
      <c r="IP19" s="35"/>
      <c r="IQ19" s="35"/>
      <c r="IR19" s="35"/>
      <c r="IS19" s="35"/>
      <c r="IT19" s="35"/>
      <c r="IU19" s="35"/>
      <c r="IV19" s="35"/>
      <c r="IW19" s="36"/>
      <c r="IX19" s="36"/>
      <c r="IY19" s="85"/>
      <c r="IZ19" s="35"/>
      <c r="JA19" s="35"/>
      <c r="JB19" s="35"/>
      <c r="JC19" s="35"/>
      <c r="JD19" s="35"/>
      <c r="JE19" s="35"/>
      <c r="JF19" s="36"/>
      <c r="JG19" s="35"/>
      <c r="JH19" s="35"/>
      <c r="JI19" s="35"/>
      <c r="JJ19" s="35"/>
      <c r="JK19" s="35"/>
      <c r="JL19" s="35"/>
      <c r="JM19" s="35"/>
      <c r="JN19" s="35"/>
      <c r="JO19" s="36"/>
      <c r="JP19" s="36"/>
      <c r="JQ19" s="85"/>
      <c r="JR19" s="35"/>
      <c r="JS19" s="35"/>
      <c r="JT19" s="35"/>
      <c r="JU19" s="35"/>
      <c r="JV19" s="35"/>
      <c r="JW19" s="35"/>
      <c r="JX19" s="36"/>
      <c r="JY19" s="35"/>
      <c r="JZ19" s="35"/>
      <c r="KA19" s="35"/>
      <c r="KB19" s="35"/>
      <c r="KC19" s="35"/>
      <c r="KD19" s="35"/>
      <c r="KE19" s="35"/>
      <c r="KF19" s="35"/>
      <c r="KG19" s="36"/>
      <c r="KH19" s="36"/>
      <c r="KI19" s="85"/>
      <c r="KJ19" s="35"/>
      <c r="KK19" s="35">
        <v>11777000</v>
      </c>
      <c r="KL19" s="35">
        <v>1777000</v>
      </c>
      <c r="KM19" s="35">
        <v>10000000</v>
      </c>
      <c r="KN19" s="35">
        <v>1777000</v>
      </c>
      <c r="KO19" s="35"/>
      <c r="KP19" s="36"/>
      <c r="KQ19" s="35">
        <v>11777000</v>
      </c>
      <c r="KR19" s="35">
        <v>1777000</v>
      </c>
      <c r="KS19" s="35"/>
      <c r="KT19" s="35">
        <v>10000000</v>
      </c>
      <c r="KU19" s="35">
        <v>84.911270000000002</v>
      </c>
      <c r="KV19" s="35"/>
      <c r="KW19" s="35"/>
      <c r="KX19" s="35">
        <v>1777000</v>
      </c>
      <c r="KY19" s="36"/>
      <c r="KZ19" s="36">
        <v>1777000</v>
      </c>
      <c r="LA19" s="85">
        <v>1777000</v>
      </c>
      <c r="LB19" s="35"/>
      <c r="LC19" s="35"/>
      <c r="LD19" s="35"/>
      <c r="LE19" s="35"/>
      <c r="LF19" s="35"/>
      <c r="LG19" s="35"/>
      <c r="LH19" s="36"/>
      <c r="LI19" s="35"/>
      <c r="LJ19" s="35"/>
      <c r="LK19" s="35"/>
      <c r="LL19" s="35"/>
      <c r="LM19" s="35"/>
      <c r="LN19" s="35"/>
      <c r="LO19" s="35"/>
      <c r="LP19" s="35"/>
      <c r="LQ19" s="36"/>
      <c r="LR19" s="36"/>
      <c r="LS19" s="85"/>
      <c r="LT19" s="35"/>
      <c r="LU19" s="35"/>
      <c r="LV19" s="35"/>
      <c r="LW19" s="35"/>
      <c r="LX19" s="35"/>
      <c r="LY19" s="35"/>
      <c r="LZ19" s="36"/>
      <c r="MA19" s="35"/>
      <c r="MB19" s="35"/>
      <c r="MC19" s="35"/>
      <c r="MD19" s="35"/>
      <c r="ME19" s="35"/>
      <c r="MF19" s="35"/>
      <c r="MG19" s="35"/>
      <c r="MH19" s="35"/>
      <c r="MI19" s="36"/>
      <c r="MJ19" s="36"/>
      <c r="MK19" s="85"/>
      <c r="ML19" s="35"/>
      <c r="MM19" s="35"/>
      <c r="MN19" s="35"/>
      <c r="MO19" s="35"/>
      <c r="MP19" s="35"/>
      <c r="MQ19" s="35"/>
      <c r="MR19" s="36"/>
      <c r="MS19" s="35"/>
      <c r="MT19" s="35"/>
      <c r="MU19" s="35"/>
      <c r="MV19" s="35"/>
      <c r="MW19" s="35"/>
      <c r="MX19" s="35"/>
      <c r="MY19" s="35"/>
      <c r="MZ19" s="35"/>
      <c r="NA19" s="36"/>
      <c r="NB19" s="36"/>
      <c r="NC19" s="85"/>
      <c r="ND19" s="35"/>
      <c r="NE19" s="35"/>
      <c r="NF19" s="35"/>
      <c r="NG19" s="35"/>
      <c r="NH19" s="35"/>
      <c r="NI19" s="35"/>
      <c r="NJ19" s="36"/>
      <c r="NK19" s="35"/>
      <c r="NL19" s="35"/>
      <c r="NM19" s="35"/>
      <c r="NN19" s="35"/>
      <c r="NO19" s="35"/>
      <c r="NP19" s="35"/>
      <c r="NQ19" s="35"/>
      <c r="NR19" s="35"/>
      <c r="NS19" s="36"/>
      <c r="NT19" s="36"/>
      <c r="NU19" s="85"/>
      <c r="NV19" s="35"/>
      <c r="NW19" s="35"/>
      <c r="NX19" s="35"/>
      <c r="NY19" s="35"/>
      <c r="NZ19" s="35"/>
      <c r="OA19" s="35"/>
      <c r="OB19" s="36"/>
      <c r="OC19" s="35"/>
      <c r="OD19" s="35"/>
      <c r="OE19" s="35"/>
      <c r="OF19" s="35"/>
      <c r="OG19" s="35"/>
      <c r="OH19" s="35"/>
      <c r="OI19" s="35"/>
      <c r="OJ19" s="35"/>
      <c r="OK19" s="36"/>
      <c r="OL19" s="36"/>
      <c r="OM19" s="85"/>
      <c r="ON19" s="35"/>
      <c r="OO19" s="35">
        <v>1077500</v>
      </c>
      <c r="OP19" s="35">
        <v>447500</v>
      </c>
      <c r="OQ19" s="35">
        <v>630000</v>
      </c>
      <c r="OR19" s="35">
        <v>447500</v>
      </c>
      <c r="OS19" s="35"/>
      <c r="OT19" s="36"/>
      <c r="OU19" s="35">
        <v>1077500</v>
      </c>
      <c r="OV19" s="35">
        <v>447500</v>
      </c>
      <c r="OW19" s="35"/>
      <c r="OX19" s="35">
        <v>630000</v>
      </c>
      <c r="OY19" s="35">
        <v>58.468679999999999</v>
      </c>
      <c r="OZ19" s="35"/>
      <c r="PA19" s="35"/>
      <c r="PB19" s="35">
        <v>447500</v>
      </c>
      <c r="PC19" s="36"/>
      <c r="PD19" s="36">
        <v>447500</v>
      </c>
      <c r="PE19" s="85">
        <v>447500</v>
      </c>
      <c r="PF19" s="35"/>
      <c r="PG19" s="35"/>
      <c r="PH19" s="35"/>
      <c r="PI19" s="35"/>
      <c r="PJ19" s="35"/>
      <c r="PK19" s="35"/>
      <c r="PL19" s="36"/>
      <c r="PM19" s="35"/>
      <c r="PN19" s="35"/>
      <c r="PO19" s="35"/>
      <c r="PP19" s="35"/>
      <c r="PQ19" s="35"/>
      <c r="PR19" s="35"/>
      <c r="PS19" s="35"/>
      <c r="PT19" s="35"/>
      <c r="PU19" s="36"/>
      <c r="PV19" s="36"/>
      <c r="PW19" s="85"/>
      <c r="PX19" s="35"/>
      <c r="PY19" s="35"/>
      <c r="PZ19" s="35"/>
      <c r="QA19" s="35"/>
      <c r="QB19" s="35"/>
      <c r="QC19" s="35"/>
      <c r="QD19" s="36"/>
      <c r="QE19" s="35"/>
      <c r="QF19" s="35"/>
      <c r="QG19" s="35"/>
      <c r="QH19" s="35"/>
      <c r="QI19" s="35"/>
      <c r="QJ19" s="35"/>
      <c r="QK19" s="35"/>
      <c r="QL19" s="35"/>
      <c r="QM19" s="36"/>
      <c r="QN19" s="36"/>
      <c r="QO19" s="85"/>
    </row>
    <row r="20" spans="1:457" x14ac:dyDescent="0.25">
      <c r="A20" s="8" t="s">
        <v>17</v>
      </c>
      <c r="B20" s="173" t="s">
        <v>18</v>
      </c>
      <c r="C20" s="13" t="s">
        <v>19</v>
      </c>
      <c r="F20" s="36">
        <v>7211745900</v>
      </c>
      <c r="G20" s="35"/>
      <c r="H20" s="35"/>
      <c r="I20" s="35">
        <v>3951729100</v>
      </c>
      <c r="J20" s="35">
        <v>3052540000</v>
      </c>
      <c r="K20" s="35">
        <v>899189100</v>
      </c>
      <c r="L20" s="35">
        <v>3052120834.23</v>
      </c>
      <c r="M20" s="35"/>
      <c r="N20" s="36"/>
      <c r="O20" s="35">
        <v>3951169868</v>
      </c>
      <c r="P20" s="35">
        <v>3052120834.23</v>
      </c>
      <c r="Q20" s="35"/>
      <c r="R20" s="35">
        <v>899049033.76999998</v>
      </c>
      <c r="S20" s="35">
        <v>22.754000000000001</v>
      </c>
      <c r="T20" s="35"/>
      <c r="U20" s="35"/>
      <c r="V20" s="35">
        <v>3052120834.23</v>
      </c>
      <c r="W20" s="36"/>
      <c r="X20" s="36">
        <v>3052540000</v>
      </c>
      <c r="Y20" s="85">
        <v>3052540000</v>
      </c>
      <c r="Z20" s="35"/>
      <c r="AA20" s="35">
        <v>1083749300</v>
      </c>
      <c r="AB20" s="35">
        <v>837153000</v>
      </c>
      <c r="AC20" s="35">
        <v>246596300</v>
      </c>
      <c r="AD20" s="35">
        <v>837153000</v>
      </c>
      <c r="AE20" s="35"/>
      <c r="AF20" s="36"/>
      <c r="AG20" s="35"/>
      <c r="AH20" s="35"/>
      <c r="AI20" s="35"/>
      <c r="AJ20" s="35"/>
      <c r="AK20" s="35"/>
      <c r="AL20" s="35"/>
      <c r="AM20" s="35">
        <v>837153000</v>
      </c>
      <c r="AN20" s="35"/>
      <c r="AO20" s="36"/>
      <c r="AP20" s="36">
        <v>837153000</v>
      </c>
      <c r="AQ20" s="85">
        <v>837153000</v>
      </c>
      <c r="AR20" s="35"/>
      <c r="AS20" s="35">
        <v>339756100</v>
      </c>
      <c r="AT20" s="35">
        <v>265009100</v>
      </c>
      <c r="AU20" s="35">
        <v>74747000</v>
      </c>
      <c r="AV20" s="35">
        <v>264760262.75999999</v>
      </c>
      <c r="AW20" s="35"/>
      <c r="AX20" s="36"/>
      <c r="AY20" s="35">
        <v>339436153.11000001</v>
      </c>
      <c r="AZ20" s="35">
        <v>264760199.41999999</v>
      </c>
      <c r="BA20" s="35"/>
      <c r="BB20" s="35">
        <v>74675953.689999998</v>
      </c>
      <c r="BC20" s="35">
        <v>22</v>
      </c>
      <c r="BD20" s="35"/>
      <c r="BE20" s="35">
        <v>63.34</v>
      </c>
      <c r="BF20" s="35">
        <v>264760199.41999999</v>
      </c>
      <c r="BG20" s="36"/>
      <c r="BH20" s="36">
        <v>265009100</v>
      </c>
      <c r="BI20" s="85">
        <v>265009100</v>
      </c>
      <c r="BJ20" s="35"/>
      <c r="BK20" s="35"/>
      <c r="BL20" s="35"/>
      <c r="BM20" s="35"/>
      <c r="BN20" s="35"/>
      <c r="BO20" s="35"/>
      <c r="BP20" s="36"/>
      <c r="BQ20" s="35"/>
      <c r="BR20" s="35"/>
      <c r="BS20" s="35"/>
      <c r="BT20" s="35"/>
      <c r="BU20" s="35"/>
      <c r="BV20" s="35"/>
      <c r="BW20" s="35"/>
      <c r="BX20" s="35"/>
      <c r="BY20" s="36"/>
      <c r="BZ20" s="36"/>
      <c r="CA20" s="85"/>
      <c r="CB20" s="35"/>
      <c r="CC20" s="35">
        <v>56707200</v>
      </c>
      <c r="CD20" s="35">
        <v>53833200</v>
      </c>
      <c r="CE20" s="35">
        <v>2874000</v>
      </c>
      <c r="CF20" s="35">
        <v>23153761.98</v>
      </c>
      <c r="CG20" s="35"/>
      <c r="CH20" s="36"/>
      <c r="CI20" s="35">
        <v>23304676</v>
      </c>
      <c r="CJ20" s="35">
        <v>22123562.379999999</v>
      </c>
      <c r="CK20" s="35"/>
      <c r="CL20" s="35">
        <v>1181113.6200000001</v>
      </c>
      <c r="CM20" s="35">
        <v>5.0681399999999996</v>
      </c>
      <c r="CN20" s="35"/>
      <c r="CO20" s="35">
        <v>1030199.6</v>
      </c>
      <c r="CP20" s="35">
        <v>22123562.379999999</v>
      </c>
      <c r="CQ20" s="36"/>
      <c r="CR20" s="36">
        <v>53833200</v>
      </c>
      <c r="CS20" s="85">
        <v>53833200</v>
      </c>
      <c r="CT20" s="35"/>
      <c r="CU20" s="35">
        <v>1836193160</v>
      </c>
      <c r="CV20" s="35">
        <v>1652145400</v>
      </c>
      <c r="CW20" s="35">
        <v>184047760</v>
      </c>
      <c r="CX20" s="35">
        <v>1647110569.8</v>
      </c>
      <c r="CY20" s="35"/>
      <c r="CZ20" s="36"/>
      <c r="DA20" s="35">
        <v>1830603164.98</v>
      </c>
      <c r="DB20" s="35">
        <v>1647110569.8</v>
      </c>
      <c r="DC20" s="35"/>
      <c r="DD20" s="35">
        <v>183492595.18000001</v>
      </c>
      <c r="DE20" s="35">
        <v>10.02361</v>
      </c>
      <c r="DF20" s="35"/>
      <c r="DG20" s="35"/>
      <c r="DH20" s="35">
        <v>1647110569.8</v>
      </c>
      <c r="DI20" s="36"/>
      <c r="DJ20" s="36">
        <v>1652145400</v>
      </c>
      <c r="DK20" s="85">
        <v>1652145400</v>
      </c>
      <c r="DL20" s="35"/>
      <c r="DM20" s="35"/>
      <c r="DN20" s="35"/>
      <c r="DO20" s="35"/>
      <c r="DP20" s="35"/>
      <c r="DQ20" s="35"/>
      <c r="DR20" s="36"/>
      <c r="DS20" s="35"/>
      <c r="DT20" s="35"/>
      <c r="DU20" s="35"/>
      <c r="DV20" s="35"/>
      <c r="DW20" s="35"/>
      <c r="DX20" s="35"/>
      <c r="DY20" s="35"/>
      <c r="DZ20" s="35"/>
      <c r="EA20" s="36"/>
      <c r="EB20" s="36"/>
      <c r="EC20" s="85"/>
      <c r="ED20" s="35"/>
      <c r="EE20" s="35">
        <v>1194992600</v>
      </c>
      <c r="EF20" s="35">
        <v>1134764600</v>
      </c>
      <c r="EG20" s="35">
        <v>60228000</v>
      </c>
      <c r="EH20" s="35">
        <v>1134764439.95</v>
      </c>
      <c r="EI20" s="35"/>
      <c r="EJ20" s="36"/>
      <c r="EK20" s="35">
        <v>1194992038.7</v>
      </c>
      <c r="EL20" s="35">
        <v>1134764439.95</v>
      </c>
      <c r="EM20" s="35"/>
      <c r="EN20" s="35">
        <v>60227598.75</v>
      </c>
      <c r="EO20" s="35">
        <v>5.04</v>
      </c>
      <c r="EP20" s="35"/>
      <c r="EQ20" s="35"/>
      <c r="ER20" s="35">
        <v>1134764439.95</v>
      </c>
      <c r="ES20" s="36"/>
      <c r="ET20" s="36">
        <v>1134764600</v>
      </c>
      <c r="EU20" s="85">
        <v>1134764600</v>
      </c>
      <c r="EV20" s="35"/>
      <c r="EW20" s="35"/>
      <c r="EX20" s="35"/>
      <c r="EY20" s="35"/>
      <c r="EZ20" s="35"/>
      <c r="FA20" s="35"/>
      <c r="FB20" s="36"/>
      <c r="FC20" s="35"/>
      <c r="FD20" s="35"/>
      <c r="FE20" s="35"/>
      <c r="FF20" s="35"/>
      <c r="FG20" s="35"/>
      <c r="FH20" s="35"/>
      <c r="FI20" s="35"/>
      <c r="FJ20" s="35"/>
      <c r="FK20" s="36"/>
      <c r="FL20" s="36"/>
      <c r="FM20" s="85"/>
      <c r="FN20" s="35"/>
      <c r="FO20" s="35">
        <v>155201800</v>
      </c>
      <c r="FP20" s="35">
        <v>105201800</v>
      </c>
      <c r="FQ20" s="35">
        <v>50000000</v>
      </c>
      <c r="FR20" s="35">
        <v>104662488.52</v>
      </c>
      <c r="FS20" s="35"/>
      <c r="FT20" s="36"/>
      <c r="FU20" s="35">
        <v>154406167.96000001</v>
      </c>
      <c r="FV20" s="35">
        <v>104662488.52</v>
      </c>
      <c r="FW20" s="35"/>
      <c r="FX20" s="35">
        <v>49743679.439999998</v>
      </c>
      <c r="FY20" s="35">
        <v>32.216119999999997</v>
      </c>
      <c r="FZ20" s="35"/>
      <c r="GA20" s="35"/>
      <c r="GB20" s="35">
        <v>104662488.52</v>
      </c>
      <c r="GC20" s="36"/>
      <c r="GD20" s="36">
        <v>105201800</v>
      </c>
      <c r="GE20" s="85">
        <v>105201800</v>
      </c>
      <c r="GF20" s="35"/>
      <c r="GG20" s="35">
        <v>115435600</v>
      </c>
      <c r="GH20" s="35">
        <v>69249800</v>
      </c>
      <c r="GI20" s="35">
        <v>46185800</v>
      </c>
      <c r="GJ20" s="35">
        <v>69249800</v>
      </c>
      <c r="GK20" s="35"/>
      <c r="GL20" s="36"/>
      <c r="GM20" s="35">
        <v>115435572.59</v>
      </c>
      <c r="GN20" s="35">
        <v>69249800</v>
      </c>
      <c r="GO20" s="35"/>
      <c r="GP20" s="35">
        <v>46185772.590000004</v>
      </c>
      <c r="GQ20" s="35">
        <v>40.01</v>
      </c>
      <c r="GR20" s="35"/>
      <c r="GS20" s="35"/>
      <c r="GT20" s="35">
        <v>69249800</v>
      </c>
      <c r="GU20" s="36"/>
      <c r="GV20" s="36">
        <v>69249800</v>
      </c>
      <c r="GW20" s="85">
        <v>69249800</v>
      </c>
      <c r="GX20" s="35"/>
      <c r="GY20" s="35"/>
      <c r="GZ20" s="35"/>
      <c r="HA20" s="35"/>
      <c r="HB20" s="35"/>
      <c r="HC20" s="35"/>
      <c r="HD20" s="36"/>
      <c r="HE20" s="35"/>
      <c r="HF20" s="35"/>
      <c r="HG20" s="35"/>
      <c r="HH20" s="35"/>
      <c r="HI20" s="35"/>
      <c r="HJ20" s="35"/>
      <c r="HK20" s="35"/>
      <c r="HL20" s="35"/>
      <c r="HM20" s="36"/>
      <c r="HN20" s="36"/>
      <c r="HO20" s="85"/>
      <c r="HP20" s="35"/>
      <c r="HQ20" s="35">
        <v>70305200</v>
      </c>
      <c r="HR20" s="35">
        <v>29983000</v>
      </c>
      <c r="HS20" s="35">
        <v>40322200</v>
      </c>
      <c r="HT20" s="35">
        <v>29975722.93</v>
      </c>
      <c r="HU20" s="35"/>
      <c r="HV20" s="36"/>
      <c r="HW20" s="35">
        <v>70294213.340000004</v>
      </c>
      <c r="HX20" s="35">
        <v>29975722.93</v>
      </c>
      <c r="HY20" s="35"/>
      <c r="HZ20" s="35">
        <v>40318490.409999996</v>
      </c>
      <c r="IA20" s="35">
        <v>57.356769999999997</v>
      </c>
      <c r="IB20" s="35"/>
      <c r="IC20" s="35"/>
      <c r="ID20" s="35">
        <v>29975722.93</v>
      </c>
      <c r="IE20" s="36"/>
      <c r="IF20" s="36">
        <v>29983000</v>
      </c>
      <c r="IG20" s="85">
        <v>29983000</v>
      </c>
      <c r="IH20" s="35"/>
      <c r="II20" s="35"/>
      <c r="IJ20" s="35"/>
      <c r="IK20" s="35"/>
      <c r="IL20" s="35"/>
      <c r="IM20" s="35"/>
      <c r="IN20" s="36"/>
      <c r="IO20" s="35"/>
      <c r="IP20" s="35"/>
      <c r="IQ20" s="35"/>
      <c r="IR20" s="35"/>
      <c r="IS20" s="35"/>
      <c r="IT20" s="35"/>
      <c r="IU20" s="35"/>
      <c r="IV20" s="35"/>
      <c r="IW20" s="36"/>
      <c r="IX20" s="36"/>
      <c r="IY20" s="85"/>
      <c r="IZ20" s="35"/>
      <c r="JA20" s="35">
        <v>11565100</v>
      </c>
      <c r="JB20" s="35">
        <v>7655000</v>
      </c>
      <c r="JC20" s="35">
        <v>3910100</v>
      </c>
      <c r="JD20" s="35">
        <v>7654999.9400000004</v>
      </c>
      <c r="JE20" s="35"/>
      <c r="JF20" s="36"/>
      <c r="JG20" s="35">
        <v>11565099.939999999</v>
      </c>
      <c r="JH20" s="35">
        <v>7654999.9400000004</v>
      </c>
      <c r="JI20" s="35"/>
      <c r="JJ20" s="35">
        <v>3910100</v>
      </c>
      <c r="JK20" s="35">
        <v>33.809480000000001</v>
      </c>
      <c r="JL20" s="35"/>
      <c r="JM20" s="35">
        <v>0</v>
      </c>
      <c r="JN20" s="35">
        <v>7654999.9400000004</v>
      </c>
      <c r="JO20" s="36"/>
      <c r="JP20" s="36">
        <v>7655000</v>
      </c>
      <c r="JQ20" s="85">
        <v>7655000</v>
      </c>
      <c r="JR20" s="35"/>
      <c r="JS20" s="35"/>
      <c r="JT20" s="35"/>
      <c r="JU20" s="35"/>
      <c r="JV20" s="35"/>
      <c r="JW20" s="35"/>
      <c r="JX20" s="36"/>
      <c r="JY20" s="35"/>
      <c r="JZ20" s="35"/>
      <c r="KA20" s="35"/>
      <c r="KB20" s="35"/>
      <c r="KC20" s="35"/>
      <c r="KD20" s="35"/>
      <c r="KE20" s="35"/>
      <c r="KF20" s="35"/>
      <c r="KG20" s="36"/>
      <c r="KH20" s="36"/>
      <c r="KI20" s="85"/>
      <c r="KJ20" s="35"/>
      <c r="KK20" s="35">
        <v>7648600</v>
      </c>
      <c r="KL20" s="35">
        <v>3980000</v>
      </c>
      <c r="KM20" s="35">
        <v>3668600</v>
      </c>
      <c r="KN20" s="35">
        <v>3968989.48</v>
      </c>
      <c r="KO20" s="35"/>
      <c r="KP20" s="36"/>
      <c r="KQ20" s="35">
        <v>7626805.29</v>
      </c>
      <c r="KR20" s="35">
        <v>3968989.48</v>
      </c>
      <c r="KS20" s="35"/>
      <c r="KT20" s="35">
        <v>3657815.81</v>
      </c>
      <c r="KU20" s="35">
        <v>47.96</v>
      </c>
      <c r="KV20" s="35"/>
      <c r="KW20" s="35"/>
      <c r="KX20" s="35">
        <v>3968989.48</v>
      </c>
      <c r="KY20" s="36"/>
      <c r="KZ20" s="36">
        <v>3980000</v>
      </c>
      <c r="LA20" s="85">
        <v>3980000</v>
      </c>
      <c r="LB20" s="35"/>
      <c r="LC20" s="35"/>
      <c r="LD20" s="35"/>
      <c r="LE20" s="35"/>
      <c r="LF20" s="35"/>
      <c r="LG20" s="35"/>
      <c r="LH20" s="36"/>
      <c r="LI20" s="35"/>
      <c r="LJ20" s="35"/>
      <c r="LK20" s="35"/>
      <c r="LL20" s="35"/>
      <c r="LM20" s="35"/>
      <c r="LN20" s="35"/>
      <c r="LO20" s="35"/>
      <c r="LP20" s="35"/>
      <c r="LQ20" s="36"/>
      <c r="LR20" s="36"/>
      <c r="LS20" s="85"/>
      <c r="LT20" s="35"/>
      <c r="LU20" s="35">
        <v>4343600</v>
      </c>
      <c r="LV20" s="35">
        <v>231000</v>
      </c>
      <c r="LW20" s="35">
        <v>4112600</v>
      </c>
      <c r="LX20" s="35">
        <v>231000</v>
      </c>
      <c r="LY20" s="35"/>
      <c r="LZ20" s="36"/>
      <c r="MA20" s="35">
        <v>4343501</v>
      </c>
      <c r="MB20" s="35">
        <v>230994.73</v>
      </c>
      <c r="MC20" s="35"/>
      <c r="MD20" s="35">
        <v>4112506.27</v>
      </c>
      <c r="ME20" s="35">
        <v>94.681830000000005</v>
      </c>
      <c r="MF20" s="35"/>
      <c r="MG20" s="35">
        <v>5.27</v>
      </c>
      <c r="MH20" s="35">
        <v>230994.73</v>
      </c>
      <c r="MI20" s="36"/>
      <c r="MJ20" s="36">
        <v>231000</v>
      </c>
      <c r="MK20" s="85">
        <v>231000</v>
      </c>
      <c r="ML20" s="35"/>
      <c r="MM20" s="35"/>
      <c r="MN20" s="35"/>
      <c r="MO20" s="35"/>
      <c r="MP20" s="35"/>
      <c r="MQ20" s="35"/>
      <c r="MR20" s="36"/>
      <c r="MS20" s="35"/>
      <c r="MT20" s="35"/>
      <c r="MU20" s="35"/>
      <c r="MV20" s="35"/>
      <c r="MW20" s="35"/>
      <c r="MX20" s="35"/>
      <c r="MY20" s="35"/>
      <c r="MZ20" s="35"/>
      <c r="NA20" s="36"/>
      <c r="NB20" s="36"/>
      <c r="NC20" s="85"/>
      <c r="ND20" s="35"/>
      <c r="NE20" s="35"/>
      <c r="NF20" s="35"/>
      <c r="NG20" s="35"/>
      <c r="NH20" s="35"/>
      <c r="NI20" s="35"/>
      <c r="NJ20" s="36"/>
      <c r="NK20" s="35"/>
      <c r="NL20" s="35"/>
      <c r="NM20" s="35"/>
      <c r="NN20" s="35"/>
      <c r="NO20" s="35"/>
      <c r="NP20" s="35"/>
      <c r="NQ20" s="35"/>
      <c r="NR20" s="35"/>
      <c r="NS20" s="36"/>
      <c r="NT20" s="36"/>
      <c r="NU20" s="85"/>
      <c r="NV20" s="35"/>
      <c r="NW20" s="35"/>
      <c r="NX20" s="35"/>
      <c r="NY20" s="35"/>
      <c r="NZ20" s="35"/>
      <c r="OA20" s="35"/>
      <c r="OB20" s="36"/>
      <c r="OC20" s="35"/>
      <c r="OD20" s="35"/>
      <c r="OE20" s="35"/>
      <c r="OF20" s="35"/>
      <c r="OG20" s="35"/>
      <c r="OH20" s="35"/>
      <c r="OI20" s="35"/>
      <c r="OJ20" s="35"/>
      <c r="OK20" s="36"/>
      <c r="OL20" s="36"/>
      <c r="OM20" s="85"/>
      <c r="ON20" s="35"/>
      <c r="OO20" s="35"/>
      <c r="OP20" s="35"/>
      <c r="OQ20" s="35"/>
      <c r="OR20" s="35"/>
      <c r="OS20" s="35"/>
      <c r="OT20" s="36"/>
      <c r="OU20" s="35"/>
      <c r="OV20" s="35"/>
      <c r="OW20" s="35"/>
      <c r="OX20" s="35"/>
      <c r="OY20" s="35"/>
      <c r="OZ20" s="35"/>
      <c r="PA20" s="35"/>
      <c r="PB20" s="35"/>
      <c r="PC20" s="36"/>
      <c r="PD20" s="36"/>
      <c r="PE20" s="85"/>
      <c r="PF20" s="35"/>
      <c r="PG20" s="35"/>
      <c r="PH20" s="35"/>
      <c r="PI20" s="35"/>
      <c r="PJ20" s="35"/>
      <c r="PK20" s="35"/>
      <c r="PL20" s="36"/>
      <c r="PM20" s="35"/>
      <c r="PN20" s="35"/>
      <c r="PO20" s="35"/>
      <c r="PP20" s="35"/>
      <c r="PQ20" s="35"/>
      <c r="PR20" s="35"/>
      <c r="PS20" s="35"/>
      <c r="PT20" s="35"/>
      <c r="PU20" s="36"/>
      <c r="PV20" s="36"/>
      <c r="PW20" s="85"/>
      <c r="PX20" s="35"/>
      <c r="PY20" s="35"/>
      <c r="PZ20" s="35"/>
      <c r="QA20" s="35"/>
      <c r="QB20" s="35"/>
      <c r="QC20" s="35">
        <v>92595689.310000002</v>
      </c>
      <c r="QD20" s="36"/>
      <c r="QE20" s="35"/>
      <c r="QF20" s="35"/>
      <c r="QG20" s="35"/>
      <c r="QH20" s="35"/>
      <c r="QI20" s="35"/>
      <c r="QJ20" s="35">
        <v>92595689.310000002</v>
      </c>
      <c r="QK20" s="35"/>
      <c r="QL20" s="35"/>
      <c r="QM20" s="36"/>
      <c r="QN20" s="36"/>
      <c r="QO20" s="85"/>
    </row>
    <row r="21" spans="1:457" x14ac:dyDescent="0.25">
      <c r="A21" s="8" t="s">
        <v>20</v>
      </c>
      <c r="B21" s="172" t="s">
        <v>21</v>
      </c>
      <c r="C21" s="13" t="s">
        <v>22</v>
      </c>
      <c r="F21" s="36">
        <v>361559300</v>
      </c>
      <c r="G21" s="35"/>
      <c r="H21" s="35"/>
      <c r="I21" s="35">
        <v>44914570.32</v>
      </c>
      <c r="J21" s="35">
        <v>38497000</v>
      </c>
      <c r="K21" s="35">
        <v>6417570.3200000003</v>
      </c>
      <c r="L21" s="35">
        <v>38497000</v>
      </c>
      <c r="M21" s="35"/>
      <c r="N21" s="36"/>
      <c r="O21" s="35">
        <v>44914570.32</v>
      </c>
      <c r="P21" s="35">
        <v>38497000</v>
      </c>
      <c r="Q21" s="35"/>
      <c r="R21" s="35">
        <v>6417570.3200000003</v>
      </c>
      <c r="S21" s="35">
        <v>14.28839</v>
      </c>
      <c r="T21" s="35"/>
      <c r="U21" s="35"/>
      <c r="V21" s="35">
        <v>38497000</v>
      </c>
      <c r="W21" s="36"/>
      <c r="X21" s="36">
        <v>38497000</v>
      </c>
      <c r="Y21" s="85">
        <v>38497000</v>
      </c>
      <c r="Z21" s="35"/>
      <c r="AA21" s="35"/>
      <c r="AB21" s="35"/>
      <c r="AC21" s="35"/>
      <c r="AD21" s="35"/>
      <c r="AE21" s="35"/>
      <c r="AF21" s="36"/>
      <c r="AG21" s="35"/>
      <c r="AH21" s="35"/>
      <c r="AI21" s="35"/>
      <c r="AJ21" s="35"/>
      <c r="AK21" s="35"/>
      <c r="AL21" s="35"/>
      <c r="AM21" s="35"/>
      <c r="AN21" s="35"/>
      <c r="AO21" s="36"/>
      <c r="AP21" s="36"/>
      <c r="AQ21" s="85"/>
      <c r="AR21" s="35"/>
      <c r="AS21" s="35">
        <v>97230000</v>
      </c>
      <c r="AT21" s="35">
        <v>92368500</v>
      </c>
      <c r="AU21" s="35">
        <v>4861500</v>
      </c>
      <c r="AV21" s="35">
        <v>92368500</v>
      </c>
      <c r="AW21" s="35"/>
      <c r="AX21" s="36"/>
      <c r="AY21" s="35">
        <v>97230000</v>
      </c>
      <c r="AZ21" s="35">
        <v>92368500</v>
      </c>
      <c r="BA21" s="35"/>
      <c r="BB21" s="35">
        <v>4861500</v>
      </c>
      <c r="BC21" s="35">
        <v>5</v>
      </c>
      <c r="BD21" s="35"/>
      <c r="BE21" s="35"/>
      <c r="BF21" s="35">
        <v>92368500</v>
      </c>
      <c r="BG21" s="36"/>
      <c r="BH21" s="36">
        <v>92368500</v>
      </c>
      <c r="BI21" s="85">
        <v>92368500</v>
      </c>
      <c r="BJ21" s="35"/>
      <c r="BK21" s="35"/>
      <c r="BL21" s="35"/>
      <c r="BM21" s="35"/>
      <c r="BN21" s="35"/>
      <c r="BO21" s="35"/>
      <c r="BP21" s="36"/>
      <c r="BQ21" s="35"/>
      <c r="BR21" s="35"/>
      <c r="BS21" s="35"/>
      <c r="BT21" s="35"/>
      <c r="BU21" s="35"/>
      <c r="BV21" s="35"/>
      <c r="BW21" s="35"/>
      <c r="BX21" s="35"/>
      <c r="BY21" s="36"/>
      <c r="BZ21" s="36"/>
      <c r="CA21" s="85"/>
      <c r="CB21" s="35"/>
      <c r="CC21" s="35">
        <v>60757052.630000003</v>
      </c>
      <c r="CD21" s="35">
        <v>57719200</v>
      </c>
      <c r="CE21" s="35">
        <v>3037852.63</v>
      </c>
      <c r="CF21" s="35">
        <v>57719200</v>
      </c>
      <c r="CG21" s="35">
        <v>669273</v>
      </c>
      <c r="CH21" s="36"/>
      <c r="CI21" s="35">
        <v>60757052.630000003</v>
      </c>
      <c r="CJ21" s="35">
        <v>57719200</v>
      </c>
      <c r="CK21" s="35"/>
      <c r="CL21" s="35">
        <v>3037852.63</v>
      </c>
      <c r="CM21" s="35">
        <v>5</v>
      </c>
      <c r="CN21" s="35">
        <v>669273</v>
      </c>
      <c r="CO21" s="35"/>
      <c r="CP21" s="35">
        <v>57719200</v>
      </c>
      <c r="CQ21" s="36"/>
      <c r="CR21" s="36">
        <v>57719200</v>
      </c>
      <c r="CS21" s="85">
        <v>57719200</v>
      </c>
      <c r="CT21" s="35"/>
      <c r="CU21" s="35">
        <v>111130445.33</v>
      </c>
      <c r="CV21" s="35">
        <v>105572300</v>
      </c>
      <c r="CW21" s="35">
        <v>5558145.3300000001</v>
      </c>
      <c r="CX21" s="35">
        <v>105571647.09</v>
      </c>
      <c r="CY21" s="35"/>
      <c r="CZ21" s="36"/>
      <c r="DA21" s="35">
        <v>111129792.42</v>
      </c>
      <c r="DB21" s="35">
        <v>105571647.09</v>
      </c>
      <c r="DC21" s="35"/>
      <c r="DD21" s="35">
        <v>5558145.3300000001</v>
      </c>
      <c r="DE21" s="35">
        <v>5.0014900000000004</v>
      </c>
      <c r="DF21" s="35"/>
      <c r="DG21" s="35"/>
      <c r="DH21" s="35">
        <v>105571647.09</v>
      </c>
      <c r="DI21" s="36"/>
      <c r="DJ21" s="36">
        <v>105572300</v>
      </c>
      <c r="DK21" s="85">
        <v>105572300</v>
      </c>
      <c r="DL21" s="35"/>
      <c r="DM21" s="35"/>
      <c r="DN21" s="35"/>
      <c r="DO21" s="35"/>
      <c r="DP21" s="35"/>
      <c r="DQ21" s="35"/>
      <c r="DR21" s="36"/>
      <c r="DS21" s="35"/>
      <c r="DT21" s="35"/>
      <c r="DU21" s="35"/>
      <c r="DV21" s="35"/>
      <c r="DW21" s="35"/>
      <c r="DX21" s="35"/>
      <c r="DY21" s="35"/>
      <c r="DZ21" s="35"/>
      <c r="EA21" s="36"/>
      <c r="EB21" s="36"/>
      <c r="EC21" s="85"/>
      <c r="ED21" s="35"/>
      <c r="EE21" s="35">
        <v>50726851</v>
      </c>
      <c r="EF21" s="35">
        <v>48188900</v>
      </c>
      <c r="EG21" s="35">
        <v>2537951</v>
      </c>
      <c r="EH21" s="35">
        <v>48188900</v>
      </c>
      <c r="EI21" s="35"/>
      <c r="EJ21" s="36"/>
      <c r="EK21" s="35">
        <v>50726851</v>
      </c>
      <c r="EL21" s="35">
        <v>48188900</v>
      </c>
      <c r="EM21" s="35"/>
      <c r="EN21" s="35">
        <v>2537951</v>
      </c>
      <c r="EO21" s="35">
        <v>5.0031699999999999</v>
      </c>
      <c r="EP21" s="35"/>
      <c r="EQ21" s="35"/>
      <c r="ER21" s="35">
        <v>48188900</v>
      </c>
      <c r="ES21" s="36"/>
      <c r="ET21" s="36">
        <v>48188900</v>
      </c>
      <c r="EU21" s="85">
        <v>48188900</v>
      </c>
      <c r="EV21" s="35"/>
      <c r="EW21" s="35"/>
      <c r="EX21" s="35"/>
      <c r="EY21" s="35"/>
      <c r="EZ21" s="35"/>
      <c r="FA21" s="35"/>
      <c r="FB21" s="36"/>
      <c r="FC21" s="35"/>
      <c r="FD21" s="35"/>
      <c r="FE21" s="35"/>
      <c r="FF21" s="35"/>
      <c r="FG21" s="35"/>
      <c r="FH21" s="35"/>
      <c r="FI21" s="35"/>
      <c r="FJ21" s="35"/>
      <c r="FK21" s="36"/>
      <c r="FL21" s="36"/>
      <c r="FM21" s="85"/>
      <c r="FN21" s="35"/>
      <c r="FO21" s="35">
        <v>2019975.31</v>
      </c>
      <c r="FP21" s="35">
        <v>1800000</v>
      </c>
      <c r="FQ21" s="35">
        <v>219975.31</v>
      </c>
      <c r="FR21" s="35">
        <v>1800000</v>
      </c>
      <c r="FS21" s="35"/>
      <c r="FT21" s="36"/>
      <c r="FU21" s="35">
        <v>2019975.31</v>
      </c>
      <c r="FV21" s="35">
        <v>1800000</v>
      </c>
      <c r="FW21" s="35"/>
      <c r="FX21" s="35">
        <v>219975.31</v>
      </c>
      <c r="FY21" s="35">
        <v>10.89</v>
      </c>
      <c r="FZ21" s="35"/>
      <c r="GA21" s="35"/>
      <c r="GB21" s="35">
        <v>1800000</v>
      </c>
      <c r="GC21" s="36"/>
      <c r="GD21" s="36">
        <v>1800000</v>
      </c>
      <c r="GE21" s="85">
        <v>1800000</v>
      </c>
      <c r="GF21" s="35"/>
      <c r="GG21" s="35">
        <v>11125400</v>
      </c>
      <c r="GH21" s="35">
        <v>5125400</v>
      </c>
      <c r="GI21" s="35">
        <v>6000000</v>
      </c>
      <c r="GJ21" s="35">
        <v>5099310.47</v>
      </c>
      <c r="GK21" s="35"/>
      <c r="GL21" s="36"/>
      <c r="GM21" s="35">
        <v>11068614</v>
      </c>
      <c r="GN21" s="35">
        <v>5099310.47</v>
      </c>
      <c r="GO21" s="35"/>
      <c r="GP21" s="35">
        <v>5969303.5300000003</v>
      </c>
      <c r="GQ21" s="35">
        <v>53.93</v>
      </c>
      <c r="GR21" s="35"/>
      <c r="GS21" s="35"/>
      <c r="GT21" s="35">
        <v>5099310.47</v>
      </c>
      <c r="GU21" s="36"/>
      <c r="GV21" s="36">
        <v>5125400</v>
      </c>
      <c r="GW21" s="85">
        <v>5125400</v>
      </c>
      <c r="GX21" s="35"/>
      <c r="GY21" s="35"/>
      <c r="GZ21" s="35"/>
      <c r="HA21" s="35"/>
      <c r="HB21" s="35"/>
      <c r="HC21" s="35"/>
      <c r="HD21" s="36"/>
      <c r="HE21" s="35"/>
      <c r="HF21" s="35"/>
      <c r="HG21" s="35"/>
      <c r="HH21" s="35"/>
      <c r="HI21" s="35"/>
      <c r="HJ21" s="35"/>
      <c r="HK21" s="35"/>
      <c r="HL21" s="35"/>
      <c r="HM21" s="36"/>
      <c r="HN21" s="36"/>
      <c r="HO21" s="85"/>
      <c r="HP21" s="35"/>
      <c r="HQ21" s="35">
        <v>26388000</v>
      </c>
      <c r="HR21" s="35">
        <v>12288000</v>
      </c>
      <c r="HS21" s="35">
        <v>14100000</v>
      </c>
      <c r="HT21" s="35">
        <v>8074352.71</v>
      </c>
      <c r="HU21" s="35"/>
      <c r="HV21" s="36"/>
      <c r="HW21" s="35">
        <v>17339357.100000001</v>
      </c>
      <c r="HX21" s="35">
        <v>8074352.71</v>
      </c>
      <c r="HY21" s="35"/>
      <c r="HZ21" s="35">
        <v>9265004.3900000006</v>
      </c>
      <c r="IA21" s="35">
        <v>53.43338</v>
      </c>
      <c r="IB21" s="35"/>
      <c r="IC21" s="35"/>
      <c r="ID21" s="35">
        <v>8074352.71</v>
      </c>
      <c r="IE21" s="36"/>
      <c r="IF21" s="36">
        <v>12288000</v>
      </c>
      <c r="IG21" s="85">
        <v>12288000</v>
      </c>
      <c r="IH21" s="35"/>
      <c r="II21" s="35"/>
      <c r="IJ21" s="35"/>
      <c r="IK21" s="35"/>
      <c r="IL21" s="35"/>
      <c r="IM21" s="35"/>
      <c r="IN21" s="36"/>
      <c r="IO21" s="35"/>
      <c r="IP21" s="35"/>
      <c r="IQ21" s="35"/>
      <c r="IR21" s="35"/>
      <c r="IS21" s="35"/>
      <c r="IT21" s="35"/>
      <c r="IU21" s="35"/>
      <c r="IV21" s="35"/>
      <c r="IW21" s="36"/>
      <c r="IX21" s="36"/>
      <c r="IY21" s="85"/>
      <c r="IZ21" s="35"/>
      <c r="JA21" s="35"/>
      <c r="JB21" s="35"/>
      <c r="JC21" s="35"/>
      <c r="JD21" s="35"/>
      <c r="JE21" s="35"/>
      <c r="JF21" s="36"/>
      <c r="JG21" s="35"/>
      <c r="JH21" s="35"/>
      <c r="JI21" s="35"/>
      <c r="JJ21" s="35"/>
      <c r="JK21" s="35"/>
      <c r="JL21" s="35"/>
      <c r="JM21" s="35"/>
      <c r="JN21" s="35"/>
      <c r="JO21" s="36"/>
      <c r="JP21" s="36"/>
      <c r="JQ21" s="85"/>
      <c r="JR21" s="35"/>
      <c r="JS21" s="35"/>
      <c r="JT21" s="35"/>
      <c r="JU21" s="35"/>
      <c r="JV21" s="35"/>
      <c r="JW21" s="35"/>
      <c r="JX21" s="36"/>
      <c r="JY21" s="35"/>
      <c r="JZ21" s="35"/>
      <c r="KA21" s="35"/>
      <c r="KB21" s="35"/>
      <c r="KC21" s="35"/>
      <c r="KD21" s="35"/>
      <c r="KE21" s="35"/>
      <c r="KF21" s="35"/>
      <c r="KG21" s="36"/>
      <c r="KH21" s="36"/>
      <c r="KI21" s="85"/>
      <c r="KJ21" s="35"/>
      <c r="KK21" s="35"/>
      <c r="KL21" s="35"/>
      <c r="KM21" s="35"/>
      <c r="KN21" s="35"/>
      <c r="KO21" s="35"/>
      <c r="KP21" s="36"/>
      <c r="KQ21" s="35"/>
      <c r="KR21" s="35"/>
      <c r="KS21" s="35"/>
      <c r="KT21" s="35"/>
      <c r="KU21" s="35"/>
      <c r="KV21" s="35"/>
      <c r="KW21" s="35"/>
      <c r="KX21" s="35"/>
      <c r="KY21" s="36"/>
      <c r="KZ21" s="36"/>
      <c r="LA21" s="85"/>
      <c r="LB21" s="35"/>
      <c r="LC21" s="35"/>
      <c r="LD21" s="35"/>
      <c r="LE21" s="35"/>
      <c r="LF21" s="35"/>
      <c r="LG21" s="35"/>
      <c r="LH21" s="36"/>
      <c r="LI21" s="35"/>
      <c r="LJ21" s="35"/>
      <c r="LK21" s="35"/>
      <c r="LL21" s="35"/>
      <c r="LM21" s="35"/>
      <c r="LN21" s="35"/>
      <c r="LO21" s="35"/>
      <c r="LP21" s="35"/>
      <c r="LQ21" s="36"/>
      <c r="LR21" s="36"/>
      <c r="LS21" s="85"/>
      <c r="LT21" s="35"/>
      <c r="LU21" s="35"/>
      <c r="LV21" s="35"/>
      <c r="LW21" s="35"/>
      <c r="LX21" s="35"/>
      <c r="LY21" s="35"/>
      <c r="LZ21" s="36"/>
      <c r="MA21" s="35"/>
      <c r="MB21" s="35"/>
      <c r="MC21" s="35"/>
      <c r="MD21" s="35"/>
      <c r="ME21" s="35"/>
      <c r="MF21" s="35"/>
      <c r="MG21" s="35"/>
      <c r="MH21" s="35"/>
      <c r="MI21" s="36"/>
      <c r="MJ21" s="36"/>
      <c r="MK21" s="85"/>
      <c r="ML21" s="35"/>
      <c r="MM21" s="35"/>
      <c r="MN21" s="35"/>
      <c r="MO21" s="35"/>
      <c r="MP21" s="35"/>
      <c r="MQ21" s="35"/>
      <c r="MR21" s="36"/>
      <c r="MS21" s="35"/>
      <c r="MT21" s="35"/>
      <c r="MU21" s="35"/>
      <c r="MV21" s="35"/>
      <c r="MW21" s="35"/>
      <c r="MX21" s="35"/>
      <c r="MY21" s="35"/>
      <c r="MZ21" s="35"/>
      <c r="NA21" s="36"/>
      <c r="NB21" s="36"/>
      <c r="NC21" s="85"/>
      <c r="ND21" s="35"/>
      <c r="NE21" s="35"/>
      <c r="NF21" s="35"/>
      <c r="NG21" s="35"/>
      <c r="NH21" s="35"/>
      <c r="NI21" s="35"/>
      <c r="NJ21" s="36"/>
      <c r="NK21" s="35"/>
      <c r="NL21" s="35"/>
      <c r="NM21" s="35"/>
      <c r="NN21" s="35"/>
      <c r="NO21" s="35"/>
      <c r="NP21" s="35"/>
      <c r="NQ21" s="35"/>
      <c r="NR21" s="35"/>
      <c r="NS21" s="36"/>
      <c r="NT21" s="36"/>
      <c r="NU21" s="85"/>
      <c r="NV21" s="35"/>
      <c r="NW21" s="35"/>
      <c r="NX21" s="35"/>
      <c r="NY21" s="35"/>
      <c r="NZ21" s="35"/>
      <c r="OA21" s="35"/>
      <c r="OB21" s="36"/>
      <c r="OC21" s="35"/>
      <c r="OD21" s="35"/>
      <c r="OE21" s="35"/>
      <c r="OF21" s="35"/>
      <c r="OG21" s="35"/>
      <c r="OH21" s="35"/>
      <c r="OI21" s="35"/>
      <c r="OJ21" s="35"/>
      <c r="OK21" s="36"/>
      <c r="OL21" s="36"/>
      <c r="OM21" s="85"/>
      <c r="ON21" s="35"/>
      <c r="OO21" s="35"/>
      <c r="OP21" s="35"/>
      <c r="OQ21" s="35"/>
      <c r="OR21" s="35"/>
      <c r="OS21" s="35"/>
      <c r="OT21" s="36"/>
      <c r="OU21" s="35"/>
      <c r="OV21" s="35"/>
      <c r="OW21" s="35"/>
      <c r="OX21" s="35"/>
      <c r="OY21" s="35"/>
      <c r="OZ21" s="35"/>
      <c r="PA21" s="35"/>
      <c r="PB21" s="35"/>
      <c r="PC21" s="36"/>
      <c r="PD21" s="36"/>
      <c r="PE21" s="85"/>
      <c r="PF21" s="35"/>
      <c r="PG21" s="35"/>
      <c r="PH21" s="35"/>
      <c r="PI21" s="35"/>
      <c r="PJ21" s="35"/>
      <c r="PK21" s="35"/>
      <c r="PL21" s="36"/>
      <c r="PM21" s="35"/>
      <c r="PN21" s="35"/>
      <c r="PO21" s="35"/>
      <c r="PP21" s="35"/>
      <c r="PQ21" s="35"/>
      <c r="PR21" s="35"/>
      <c r="PS21" s="35"/>
      <c r="PT21" s="35"/>
      <c r="PU21" s="36"/>
      <c r="PV21" s="36"/>
      <c r="PW21" s="85"/>
      <c r="PX21" s="35"/>
      <c r="PY21" s="35"/>
      <c r="PZ21" s="35"/>
      <c r="QA21" s="35"/>
      <c r="QB21" s="35"/>
      <c r="QC21" s="35">
        <v>174112.1</v>
      </c>
      <c r="QD21" s="36"/>
      <c r="QE21" s="35"/>
      <c r="QF21" s="35"/>
      <c r="QG21" s="35"/>
      <c r="QH21" s="35"/>
      <c r="QI21" s="35"/>
      <c r="QJ21" s="35">
        <v>174112.1</v>
      </c>
      <c r="QK21" s="35"/>
      <c r="QL21" s="35"/>
      <c r="QM21" s="36"/>
      <c r="QN21" s="36"/>
      <c r="QO21" s="85"/>
    </row>
    <row r="22" spans="1:457" x14ac:dyDescent="0.25">
      <c r="A22" s="8" t="s">
        <v>23</v>
      </c>
      <c r="B22" s="173" t="s">
        <v>24</v>
      </c>
      <c r="C22" s="13" t="s">
        <v>25</v>
      </c>
      <c r="F22" s="36">
        <v>2847157700</v>
      </c>
      <c r="G22" s="35"/>
      <c r="H22" s="35"/>
      <c r="I22" s="35">
        <v>1069419134</v>
      </c>
      <c r="J22" s="35">
        <v>1014985700</v>
      </c>
      <c r="K22" s="35">
        <v>54433434</v>
      </c>
      <c r="L22" s="35">
        <v>1014985509.02</v>
      </c>
      <c r="M22" s="35"/>
      <c r="N22" s="36"/>
      <c r="O22" s="35">
        <v>1069418934.7</v>
      </c>
      <c r="P22" s="35">
        <v>1014985509.02</v>
      </c>
      <c r="Q22" s="35"/>
      <c r="R22" s="35">
        <v>54433425.68</v>
      </c>
      <c r="S22" s="35">
        <v>5.09</v>
      </c>
      <c r="T22" s="35"/>
      <c r="U22" s="35"/>
      <c r="V22" s="35">
        <v>1014985509.02</v>
      </c>
      <c r="W22" s="36"/>
      <c r="X22" s="36">
        <v>1014985700</v>
      </c>
      <c r="Y22" s="85">
        <v>1014985700</v>
      </c>
      <c r="Z22" s="35"/>
      <c r="AA22" s="35">
        <v>136952183</v>
      </c>
      <c r="AB22" s="35">
        <v>129982400</v>
      </c>
      <c r="AC22" s="35">
        <v>6969783</v>
      </c>
      <c r="AD22" s="35">
        <v>129982400</v>
      </c>
      <c r="AE22" s="35"/>
      <c r="AF22" s="36"/>
      <c r="AG22" s="35">
        <v>136952183</v>
      </c>
      <c r="AH22" s="35">
        <v>129982400</v>
      </c>
      <c r="AI22" s="35"/>
      <c r="AJ22" s="35">
        <v>6969783</v>
      </c>
      <c r="AK22" s="35">
        <v>5.0892099999999996</v>
      </c>
      <c r="AL22" s="35"/>
      <c r="AM22" s="35"/>
      <c r="AN22" s="35">
        <v>129982400</v>
      </c>
      <c r="AO22" s="36"/>
      <c r="AP22" s="36">
        <v>129982400</v>
      </c>
      <c r="AQ22" s="85">
        <v>129982400</v>
      </c>
      <c r="AR22" s="35"/>
      <c r="AS22" s="35">
        <v>113914900</v>
      </c>
      <c r="AT22" s="35">
        <v>101383900</v>
      </c>
      <c r="AU22" s="35">
        <v>12531000</v>
      </c>
      <c r="AV22" s="35">
        <v>101383900</v>
      </c>
      <c r="AW22" s="35"/>
      <c r="AX22" s="36"/>
      <c r="AY22" s="35">
        <v>113914900</v>
      </c>
      <c r="AZ22" s="35">
        <v>101383900</v>
      </c>
      <c r="BA22" s="35"/>
      <c r="BB22" s="35">
        <v>12531000</v>
      </c>
      <c r="BC22" s="35">
        <v>11.00032</v>
      </c>
      <c r="BD22" s="35"/>
      <c r="BE22" s="35"/>
      <c r="BF22" s="35">
        <v>101383900</v>
      </c>
      <c r="BG22" s="36"/>
      <c r="BH22" s="36">
        <v>101383900</v>
      </c>
      <c r="BI22" s="85">
        <v>101383900</v>
      </c>
      <c r="BJ22" s="35"/>
      <c r="BK22" s="35"/>
      <c r="BL22" s="35"/>
      <c r="BM22" s="35"/>
      <c r="BN22" s="35"/>
      <c r="BO22" s="35"/>
      <c r="BP22" s="36"/>
      <c r="BQ22" s="35"/>
      <c r="BR22" s="35"/>
      <c r="BS22" s="35"/>
      <c r="BT22" s="35"/>
      <c r="BU22" s="35"/>
      <c r="BV22" s="35"/>
      <c r="BW22" s="35"/>
      <c r="BX22" s="35"/>
      <c r="BY22" s="36"/>
      <c r="BZ22" s="36"/>
      <c r="CA22" s="85"/>
      <c r="CB22" s="35"/>
      <c r="CC22" s="35">
        <v>79177900</v>
      </c>
      <c r="CD22" s="35">
        <v>70467900</v>
      </c>
      <c r="CE22" s="35">
        <v>8710000</v>
      </c>
      <c r="CF22" s="35">
        <v>70467900</v>
      </c>
      <c r="CG22" s="35"/>
      <c r="CH22" s="36"/>
      <c r="CI22" s="35">
        <v>79177900</v>
      </c>
      <c r="CJ22" s="35">
        <v>70467900</v>
      </c>
      <c r="CK22" s="35"/>
      <c r="CL22" s="35">
        <v>8710000</v>
      </c>
      <c r="CM22" s="35">
        <v>11.000540000000001</v>
      </c>
      <c r="CN22" s="35"/>
      <c r="CO22" s="35"/>
      <c r="CP22" s="35">
        <v>70467900</v>
      </c>
      <c r="CQ22" s="36"/>
      <c r="CR22" s="36">
        <v>70467900</v>
      </c>
      <c r="CS22" s="85">
        <v>70467900</v>
      </c>
      <c r="CT22" s="35"/>
      <c r="CU22" s="35">
        <v>183110889</v>
      </c>
      <c r="CV22" s="35">
        <v>164799800</v>
      </c>
      <c r="CW22" s="35">
        <v>18311089</v>
      </c>
      <c r="CX22" s="35">
        <v>164799800</v>
      </c>
      <c r="CY22" s="35"/>
      <c r="CZ22" s="36"/>
      <c r="DA22" s="35">
        <v>183110889</v>
      </c>
      <c r="DB22" s="35">
        <v>164799800</v>
      </c>
      <c r="DC22" s="35"/>
      <c r="DD22" s="35">
        <v>18311089</v>
      </c>
      <c r="DE22" s="35">
        <v>10</v>
      </c>
      <c r="DF22" s="35"/>
      <c r="DG22" s="35"/>
      <c r="DH22" s="35">
        <v>164799800</v>
      </c>
      <c r="DI22" s="36"/>
      <c r="DJ22" s="36">
        <v>164799800</v>
      </c>
      <c r="DK22" s="85">
        <v>164799800</v>
      </c>
      <c r="DL22" s="35"/>
      <c r="DM22" s="35"/>
      <c r="DN22" s="35"/>
      <c r="DO22" s="35"/>
      <c r="DP22" s="35"/>
      <c r="DQ22" s="35"/>
      <c r="DR22" s="36"/>
      <c r="DS22" s="35"/>
      <c r="DT22" s="35"/>
      <c r="DU22" s="35"/>
      <c r="DV22" s="35"/>
      <c r="DW22" s="35"/>
      <c r="DX22" s="35"/>
      <c r="DY22" s="35"/>
      <c r="DZ22" s="35"/>
      <c r="EA22" s="36"/>
      <c r="EB22" s="36"/>
      <c r="EC22" s="85"/>
      <c r="ED22" s="35"/>
      <c r="EE22" s="35">
        <v>1380558316</v>
      </c>
      <c r="EF22" s="35">
        <v>1311530400</v>
      </c>
      <c r="EG22" s="35">
        <v>69027916</v>
      </c>
      <c r="EH22" s="35">
        <v>1311530386.3900001</v>
      </c>
      <c r="EI22" s="35"/>
      <c r="EJ22" s="36"/>
      <c r="EK22" s="35">
        <v>1380558302.3900001</v>
      </c>
      <c r="EL22" s="35">
        <v>1311530386.3900001</v>
      </c>
      <c r="EM22" s="35"/>
      <c r="EN22" s="35">
        <v>69027916</v>
      </c>
      <c r="EO22" s="35">
        <v>5</v>
      </c>
      <c r="EP22" s="35"/>
      <c r="EQ22" s="35"/>
      <c r="ER22" s="35">
        <v>1311530386.3900001</v>
      </c>
      <c r="ES22" s="36"/>
      <c r="ET22" s="36">
        <v>1311530400</v>
      </c>
      <c r="EU22" s="85">
        <v>1311530400</v>
      </c>
      <c r="EV22" s="35"/>
      <c r="EW22" s="35"/>
      <c r="EX22" s="35"/>
      <c r="EY22" s="35"/>
      <c r="EZ22" s="35"/>
      <c r="FA22" s="35"/>
      <c r="FB22" s="36"/>
      <c r="FC22" s="35"/>
      <c r="FD22" s="35"/>
      <c r="FE22" s="35"/>
      <c r="FF22" s="35"/>
      <c r="FG22" s="35"/>
      <c r="FH22" s="35"/>
      <c r="FI22" s="35"/>
      <c r="FJ22" s="35"/>
      <c r="FK22" s="36"/>
      <c r="FL22" s="36"/>
      <c r="FM22" s="85"/>
      <c r="FN22" s="35"/>
      <c r="FO22" s="35"/>
      <c r="FP22" s="35"/>
      <c r="FQ22" s="35"/>
      <c r="FR22" s="35"/>
      <c r="FS22" s="35"/>
      <c r="FT22" s="36"/>
      <c r="FU22" s="35"/>
      <c r="FV22" s="35"/>
      <c r="FW22" s="35"/>
      <c r="FX22" s="35"/>
      <c r="FY22" s="35"/>
      <c r="FZ22" s="35"/>
      <c r="GA22" s="35"/>
      <c r="GB22" s="35"/>
      <c r="GC22" s="36"/>
      <c r="GD22" s="36">
        <v>2000000</v>
      </c>
      <c r="GE22" s="85">
        <v>0</v>
      </c>
      <c r="GF22" s="35"/>
      <c r="GG22" s="35">
        <v>84345700</v>
      </c>
      <c r="GH22" s="35">
        <v>44345700</v>
      </c>
      <c r="GI22" s="35">
        <v>40000000</v>
      </c>
      <c r="GJ22" s="35">
        <v>44345700</v>
      </c>
      <c r="GK22" s="35"/>
      <c r="GL22" s="36"/>
      <c r="GM22" s="35">
        <v>84345700</v>
      </c>
      <c r="GN22" s="35">
        <v>44345700</v>
      </c>
      <c r="GO22" s="35"/>
      <c r="GP22" s="35">
        <v>40000000</v>
      </c>
      <c r="GQ22" s="35">
        <v>47.423879999999997</v>
      </c>
      <c r="GR22" s="35"/>
      <c r="GS22" s="35">
        <v>0</v>
      </c>
      <c r="GT22" s="35">
        <v>44345700</v>
      </c>
      <c r="GU22" s="36"/>
      <c r="GV22" s="36">
        <v>44345700</v>
      </c>
      <c r="GW22" s="85">
        <v>44345700</v>
      </c>
      <c r="GX22" s="35"/>
      <c r="GY22" s="35"/>
      <c r="GZ22" s="35"/>
      <c r="HA22" s="35"/>
      <c r="HB22" s="35"/>
      <c r="HC22" s="35"/>
      <c r="HD22" s="36"/>
      <c r="HE22" s="35"/>
      <c r="HF22" s="35"/>
      <c r="HG22" s="35"/>
      <c r="HH22" s="35"/>
      <c r="HI22" s="35"/>
      <c r="HJ22" s="35"/>
      <c r="HK22" s="35"/>
      <c r="HL22" s="35"/>
      <c r="HM22" s="36"/>
      <c r="HN22" s="36"/>
      <c r="HO22" s="85"/>
      <c r="HP22" s="35"/>
      <c r="HQ22" s="35">
        <v>10000000</v>
      </c>
      <c r="HR22" s="35">
        <v>7000000</v>
      </c>
      <c r="HS22" s="35">
        <v>3000000</v>
      </c>
      <c r="HT22" s="35">
        <v>7000000</v>
      </c>
      <c r="HU22" s="35">
        <v>27839.8</v>
      </c>
      <c r="HV22" s="36"/>
      <c r="HW22" s="35">
        <v>10000000</v>
      </c>
      <c r="HX22" s="35">
        <v>7000000</v>
      </c>
      <c r="HY22" s="35"/>
      <c r="HZ22" s="35">
        <v>3000000</v>
      </c>
      <c r="IA22" s="35">
        <v>30</v>
      </c>
      <c r="IB22" s="35">
        <v>27839.8</v>
      </c>
      <c r="IC22" s="35"/>
      <c r="ID22" s="35">
        <v>7000000</v>
      </c>
      <c r="IE22" s="36"/>
      <c r="IF22" s="36">
        <v>7000000</v>
      </c>
      <c r="IG22" s="85">
        <v>7000000</v>
      </c>
      <c r="IH22" s="35"/>
      <c r="II22" s="35"/>
      <c r="IJ22" s="35"/>
      <c r="IK22" s="35"/>
      <c r="IL22" s="35"/>
      <c r="IM22" s="35"/>
      <c r="IN22" s="36"/>
      <c r="IO22" s="35"/>
      <c r="IP22" s="35"/>
      <c r="IQ22" s="35"/>
      <c r="IR22" s="35"/>
      <c r="IS22" s="35"/>
      <c r="IT22" s="35"/>
      <c r="IU22" s="35"/>
      <c r="IV22" s="35"/>
      <c r="IW22" s="36"/>
      <c r="IX22" s="36"/>
      <c r="IY22" s="85"/>
      <c r="IZ22" s="35"/>
      <c r="JA22" s="35"/>
      <c r="JB22" s="35"/>
      <c r="JC22" s="35"/>
      <c r="JD22" s="35"/>
      <c r="JE22" s="35"/>
      <c r="JF22" s="36"/>
      <c r="JG22" s="35"/>
      <c r="JH22" s="35"/>
      <c r="JI22" s="35"/>
      <c r="JJ22" s="35"/>
      <c r="JK22" s="35"/>
      <c r="JL22" s="35"/>
      <c r="JM22" s="35"/>
      <c r="JN22" s="35"/>
      <c r="JO22" s="36"/>
      <c r="JP22" s="36"/>
      <c r="JQ22" s="85"/>
      <c r="JR22" s="35"/>
      <c r="JS22" s="35"/>
      <c r="JT22" s="35"/>
      <c r="JU22" s="35"/>
      <c r="JV22" s="35"/>
      <c r="JW22" s="35"/>
      <c r="JX22" s="36"/>
      <c r="JY22" s="35"/>
      <c r="JZ22" s="35"/>
      <c r="KA22" s="35"/>
      <c r="KB22" s="35"/>
      <c r="KC22" s="35"/>
      <c r="KD22" s="35"/>
      <c r="KE22" s="35"/>
      <c r="KF22" s="35"/>
      <c r="KG22" s="36"/>
      <c r="KH22" s="36"/>
      <c r="KI22" s="85"/>
      <c r="KJ22" s="35"/>
      <c r="KK22" s="35"/>
      <c r="KL22" s="35"/>
      <c r="KM22" s="35"/>
      <c r="KN22" s="35"/>
      <c r="KO22" s="35"/>
      <c r="KP22" s="36"/>
      <c r="KQ22" s="35"/>
      <c r="KR22" s="35"/>
      <c r="KS22" s="35"/>
      <c r="KT22" s="35"/>
      <c r="KU22" s="35"/>
      <c r="KV22" s="35"/>
      <c r="KW22" s="35"/>
      <c r="KX22" s="35"/>
      <c r="KY22" s="36"/>
      <c r="KZ22" s="36"/>
      <c r="LA22" s="85"/>
      <c r="LB22" s="35"/>
      <c r="LC22" s="35"/>
      <c r="LD22" s="35"/>
      <c r="LE22" s="35"/>
      <c r="LF22" s="35"/>
      <c r="LG22" s="35"/>
      <c r="LH22" s="36"/>
      <c r="LI22" s="35"/>
      <c r="LJ22" s="35"/>
      <c r="LK22" s="35"/>
      <c r="LL22" s="35"/>
      <c r="LM22" s="35"/>
      <c r="LN22" s="35"/>
      <c r="LO22" s="35"/>
      <c r="LP22" s="35"/>
      <c r="LQ22" s="36"/>
      <c r="LR22" s="36"/>
      <c r="LS22" s="85"/>
      <c r="LT22" s="35"/>
      <c r="LU22" s="35">
        <v>6505500</v>
      </c>
      <c r="LV22" s="35">
        <v>505500</v>
      </c>
      <c r="LW22" s="35">
        <v>6000000</v>
      </c>
      <c r="LX22" s="35">
        <v>505500</v>
      </c>
      <c r="LY22" s="35"/>
      <c r="LZ22" s="36"/>
      <c r="MA22" s="35">
        <v>6505500</v>
      </c>
      <c r="MB22" s="35">
        <v>505500</v>
      </c>
      <c r="MC22" s="35"/>
      <c r="MD22" s="35">
        <v>6000000</v>
      </c>
      <c r="ME22" s="35">
        <v>92.229650000000007</v>
      </c>
      <c r="MF22" s="35"/>
      <c r="MG22" s="35"/>
      <c r="MH22" s="35">
        <v>505500</v>
      </c>
      <c r="MI22" s="36"/>
      <c r="MJ22" s="36">
        <v>505500</v>
      </c>
      <c r="MK22" s="85">
        <v>505500</v>
      </c>
      <c r="ML22" s="35"/>
      <c r="MM22" s="35"/>
      <c r="MN22" s="35"/>
      <c r="MO22" s="35"/>
      <c r="MP22" s="35"/>
      <c r="MQ22" s="35"/>
      <c r="MR22" s="36"/>
      <c r="MS22" s="35"/>
      <c r="MT22" s="35"/>
      <c r="MU22" s="35"/>
      <c r="MV22" s="35"/>
      <c r="MW22" s="35"/>
      <c r="MX22" s="35"/>
      <c r="MY22" s="35"/>
      <c r="MZ22" s="35"/>
      <c r="NA22" s="36"/>
      <c r="NB22" s="36"/>
      <c r="NC22" s="85"/>
      <c r="ND22" s="35"/>
      <c r="NE22" s="35"/>
      <c r="NF22" s="35"/>
      <c r="NG22" s="35"/>
      <c r="NH22" s="35"/>
      <c r="NI22" s="35"/>
      <c r="NJ22" s="36"/>
      <c r="NK22" s="35"/>
      <c r="NL22" s="35"/>
      <c r="NM22" s="35"/>
      <c r="NN22" s="35"/>
      <c r="NO22" s="35"/>
      <c r="NP22" s="35"/>
      <c r="NQ22" s="35"/>
      <c r="NR22" s="35"/>
      <c r="NS22" s="36"/>
      <c r="NT22" s="36"/>
      <c r="NU22" s="85"/>
      <c r="NV22" s="35"/>
      <c r="NW22" s="35"/>
      <c r="NX22" s="35"/>
      <c r="NY22" s="35"/>
      <c r="NZ22" s="35"/>
      <c r="OA22" s="35"/>
      <c r="OB22" s="36"/>
      <c r="OC22" s="35"/>
      <c r="OD22" s="35"/>
      <c r="OE22" s="35"/>
      <c r="OF22" s="35"/>
      <c r="OG22" s="35"/>
      <c r="OH22" s="35"/>
      <c r="OI22" s="35"/>
      <c r="OJ22" s="35"/>
      <c r="OK22" s="36"/>
      <c r="OL22" s="36"/>
      <c r="OM22" s="85"/>
      <c r="ON22" s="35"/>
      <c r="OO22" s="35">
        <v>6156400</v>
      </c>
      <c r="OP22" s="35">
        <v>2156400</v>
      </c>
      <c r="OQ22" s="35">
        <v>4000000</v>
      </c>
      <c r="OR22" s="35">
        <v>2156400</v>
      </c>
      <c r="OS22" s="35"/>
      <c r="OT22" s="36"/>
      <c r="OU22" s="35">
        <v>6156400</v>
      </c>
      <c r="OV22" s="35">
        <v>2156400</v>
      </c>
      <c r="OW22" s="35"/>
      <c r="OX22" s="35">
        <v>4000000</v>
      </c>
      <c r="OY22" s="35">
        <v>64.973039999999997</v>
      </c>
      <c r="OZ22" s="35"/>
      <c r="PA22" s="35"/>
      <c r="PB22" s="35">
        <v>2156400</v>
      </c>
      <c r="PC22" s="36"/>
      <c r="PD22" s="36">
        <v>2156400</v>
      </c>
      <c r="PE22" s="85">
        <v>2156400</v>
      </c>
      <c r="PF22" s="35"/>
      <c r="PG22" s="35"/>
      <c r="PH22" s="35"/>
      <c r="PI22" s="35"/>
      <c r="PJ22" s="35"/>
      <c r="PK22" s="35"/>
      <c r="PL22" s="36"/>
      <c r="PM22" s="35"/>
      <c r="PN22" s="35"/>
      <c r="PO22" s="35"/>
      <c r="PP22" s="35"/>
      <c r="PQ22" s="35"/>
      <c r="PR22" s="35"/>
      <c r="PS22" s="35"/>
      <c r="PT22" s="35"/>
      <c r="PU22" s="36"/>
      <c r="PV22" s="36"/>
      <c r="PW22" s="85"/>
      <c r="PX22" s="35"/>
      <c r="PY22" s="35"/>
      <c r="PZ22" s="35"/>
      <c r="QA22" s="35"/>
      <c r="QB22" s="35"/>
      <c r="QC22" s="35">
        <v>125900</v>
      </c>
      <c r="QD22" s="36"/>
      <c r="QE22" s="35"/>
      <c r="QF22" s="35"/>
      <c r="QG22" s="35"/>
      <c r="QH22" s="35"/>
      <c r="QI22" s="35"/>
      <c r="QJ22" s="35">
        <v>125900</v>
      </c>
      <c r="QK22" s="35"/>
      <c r="QL22" s="35"/>
      <c r="QM22" s="36"/>
      <c r="QN22" s="36"/>
      <c r="QO22" s="85"/>
    </row>
    <row r="23" spans="1:457" x14ac:dyDescent="0.25">
      <c r="A23" s="8" t="s">
        <v>26</v>
      </c>
      <c r="B23" s="172" t="s">
        <v>27</v>
      </c>
      <c r="C23" s="13" t="s">
        <v>28</v>
      </c>
      <c r="F23" s="36">
        <v>239509700</v>
      </c>
      <c r="G23" s="35"/>
      <c r="H23" s="35"/>
      <c r="I23" s="35">
        <v>35472900</v>
      </c>
      <c r="J23" s="35">
        <v>25252800</v>
      </c>
      <c r="K23" s="35">
        <v>10220100</v>
      </c>
      <c r="L23" s="35">
        <v>25252800</v>
      </c>
      <c r="M23" s="35">
        <v>1050841.51</v>
      </c>
      <c r="N23" s="36"/>
      <c r="O23" s="35">
        <v>35472838.780000001</v>
      </c>
      <c r="P23" s="35">
        <v>25252759.039999999</v>
      </c>
      <c r="Q23" s="35"/>
      <c r="R23" s="35">
        <v>10220079.74</v>
      </c>
      <c r="S23" s="35">
        <v>28.811</v>
      </c>
      <c r="T23" s="35">
        <v>1050841.51</v>
      </c>
      <c r="U23" s="35">
        <v>40.96</v>
      </c>
      <c r="V23" s="35">
        <v>25252759.039999999</v>
      </c>
      <c r="W23" s="36"/>
      <c r="X23" s="36">
        <v>25252800</v>
      </c>
      <c r="Y23" s="85">
        <v>25252800</v>
      </c>
      <c r="Z23" s="35"/>
      <c r="AA23" s="35"/>
      <c r="AB23" s="35"/>
      <c r="AC23" s="35"/>
      <c r="AD23" s="35"/>
      <c r="AE23" s="35"/>
      <c r="AF23" s="36"/>
      <c r="AG23" s="35"/>
      <c r="AH23" s="35"/>
      <c r="AI23" s="35"/>
      <c r="AJ23" s="35"/>
      <c r="AK23" s="35"/>
      <c r="AL23" s="35"/>
      <c r="AM23" s="35"/>
      <c r="AN23" s="35"/>
      <c r="AO23" s="36"/>
      <c r="AP23" s="36"/>
      <c r="AQ23" s="85"/>
      <c r="AR23" s="35"/>
      <c r="AS23" s="35">
        <v>53179000</v>
      </c>
      <c r="AT23" s="35">
        <v>50520000</v>
      </c>
      <c r="AU23" s="35">
        <v>2659000</v>
      </c>
      <c r="AV23" s="35">
        <v>50519958.93</v>
      </c>
      <c r="AW23" s="35"/>
      <c r="AX23" s="36"/>
      <c r="AY23" s="35">
        <v>53178956.759999998</v>
      </c>
      <c r="AZ23" s="35">
        <v>50519958.920000002</v>
      </c>
      <c r="BA23" s="35"/>
      <c r="BB23" s="35">
        <v>2658997.84</v>
      </c>
      <c r="BC23" s="35">
        <v>5.0000900000000001</v>
      </c>
      <c r="BD23" s="35"/>
      <c r="BE23" s="35">
        <v>0.01</v>
      </c>
      <c r="BF23" s="35">
        <v>50519958.920000002</v>
      </c>
      <c r="BG23" s="36"/>
      <c r="BH23" s="36">
        <v>50520000</v>
      </c>
      <c r="BI23" s="85">
        <v>50520000</v>
      </c>
      <c r="BJ23" s="35"/>
      <c r="BK23" s="35"/>
      <c r="BL23" s="35"/>
      <c r="BM23" s="35"/>
      <c r="BN23" s="35"/>
      <c r="BO23" s="35"/>
      <c r="BP23" s="36"/>
      <c r="BQ23" s="35"/>
      <c r="BR23" s="35"/>
      <c r="BS23" s="35"/>
      <c r="BT23" s="35"/>
      <c r="BU23" s="35"/>
      <c r="BV23" s="35"/>
      <c r="BW23" s="35"/>
      <c r="BX23" s="35"/>
      <c r="BY23" s="36"/>
      <c r="BZ23" s="36"/>
      <c r="CA23" s="85"/>
      <c r="CB23" s="35"/>
      <c r="CC23" s="35">
        <v>68853900</v>
      </c>
      <c r="CD23" s="35">
        <v>65410900</v>
      </c>
      <c r="CE23" s="35">
        <v>3443000</v>
      </c>
      <c r="CF23" s="35">
        <v>65410900</v>
      </c>
      <c r="CG23" s="35"/>
      <c r="CH23" s="36"/>
      <c r="CI23" s="35">
        <v>68853578.950000003</v>
      </c>
      <c r="CJ23" s="35">
        <v>65410595</v>
      </c>
      <c r="CK23" s="35"/>
      <c r="CL23" s="35">
        <v>3442983.95</v>
      </c>
      <c r="CM23" s="35">
        <v>5.0004400000000002</v>
      </c>
      <c r="CN23" s="35"/>
      <c r="CO23" s="35">
        <v>305</v>
      </c>
      <c r="CP23" s="35">
        <v>65410595</v>
      </c>
      <c r="CQ23" s="36"/>
      <c r="CR23" s="36">
        <v>65410900</v>
      </c>
      <c r="CS23" s="85">
        <v>65410900</v>
      </c>
      <c r="CT23" s="35"/>
      <c r="CU23" s="35">
        <v>81291230</v>
      </c>
      <c r="CV23" s="35">
        <v>77226100</v>
      </c>
      <c r="CW23" s="35">
        <v>4065130</v>
      </c>
      <c r="CX23" s="35">
        <v>77223493.849999994</v>
      </c>
      <c r="CY23" s="35"/>
      <c r="CZ23" s="36"/>
      <c r="DA23" s="35">
        <v>81288486.010000005</v>
      </c>
      <c r="DB23" s="35">
        <v>77223493.230000004</v>
      </c>
      <c r="DC23" s="35"/>
      <c r="DD23" s="35">
        <v>4064992.78</v>
      </c>
      <c r="DE23" s="35">
        <v>5.0007000000000001</v>
      </c>
      <c r="DF23" s="35"/>
      <c r="DG23" s="35">
        <v>0.62</v>
      </c>
      <c r="DH23" s="35">
        <v>77223493.230000004</v>
      </c>
      <c r="DI23" s="36"/>
      <c r="DJ23" s="36">
        <v>77226100</v>
      </c>
      <c r="DK23" s="85">
        <v>77226100</v>
      </c>
      <c r="DL23" s="35"/>
      <c r="DM23" s="35"/>
      <c r="DN23" s="35"/>
      <c r="DO23" s="35"/>
      <c r="DP23" s="35"/>
      <c r="DQ23" s="35"/>
      <c r="DR23" s="36"/>
      <c r="DS23" s="35"/>
      <c r="DT23" s="35"/>
      <c r="DU23" s="35"/>
      <c r="DV23" s="35"/>
      <c r="DW23" s="35"/>
      <c r="DX23" s="35"/>
      <c r="DY23" s="35"/>
      <c r="DZ23" s="35"/>
      <c r="EA23" s="36"/>
      <c r="EB23" s="36"/>
      <c r="EC23" s="85"/>
      <c r="ED23" s="35"/>
      <c r="EE23" s="35">
        <v>3891500</v>
      </c>
      <c r="EF23" s="35">
        <v>3696900</v>
      </c>
      <c r="EG23" s="35">
        <v>194600</v>
      </c>
      <c r="EH23" s="35">
        <v>3696900</v>
      </c>
      <c r="EI23" s="35">
        <v>0</v>
      </c>
      <c r="EJ23" s="36"/>
      <c r="EK23" s="35">
        <v>3891499.98</v>
      </c>
      <c r="EL23" s="35">
        <v>3696899.98</v>
      </c>
      <c r="EM23" s="35"/>
      <c r="EN23" s="35">
        <v>194600</v>
      </c>
      <c r="EO23" s="35">
        <v>5.0006399999999998</v>
      </c>
      <c r="EP23" s="35">
        <v>0</v>
      </c>
      <c r="EQ23" s="35">
        <v>0.02</v>
      </c>
      <c r="ER23" s="35">
        <v>3696899.98</v>
      </c>
      <c r="ES23" s="36"/>
      <c r="ET23" s="36">
        <v>3696900</v>
      </c>
      <c r="EU23" s="85">
        <v>3696900</v>
      </c>
      <c r="EV23" s="35"/>
      <c r="EW23" s="35"/>
      <c r="EX23" s="35"/>
      <c r="EY23" s="35"/>
      <c r="EZ23" s="35"/>
      <c r="FA23" s="35"/>
      <c r="FB23" s="36"/>
      <c r="FC23" s="35"/>
      <c r="FD23" s="35"/>
      <c r="FE23" s="35"/>
      <c r="FF23" s="35"/>
      <c r="FG23" s="35"/>
      <c r="FH23" s="35"/>
      <c r="FI23" s="35"/>
      <c r="FJ23" s="35"/>
      <c r="FK23" s="36"/>
      <c r="FL23" s="36"/>
      <c r="FM23" s="85"/>
      <c r="FN23" s="35"/>
      <c r="FO23" s="35">
        <v>3500119.1</v>
      </c>
      <c r="FP23" s="35">
        <v>2938000</v>
      </c>
      <c r="FQ23" s="35">
        <v>562119.1</v>
      </c>
      <c r="FR23" s="35">
        <v>2938000</v>
      </c>
      <c r="FS23" s="35">
        <v>12502</v>
      </c>
      <c r="FT23" s="36"/>
      <c r="FU23" s="35">
        <v>3500119.1</v>
      </c>
      <c r="FV23" s="35">
        <v>2938000</v>
      </c>
      <c r="FW23" s="35"/>
      <c r="FX23" s="35">
        <v>562119.1</v>
      </c>
      <c r="FY23" s="35">
        <v>16.059999999999999</v>
      </c>
      <c r="FZ23" s="35">
        <v>12502</v>
      </c>
      <c r="GA23" s="35"/>
      <c r="GB23" s="35">
        <v>2938000</v>
      </c>
      <c r="GC23" s="36"/>
      <c r="GD23" s="36">
        <v>2938000</v>
      </c>
      <c r="GE23" s="85">
        <v>2938000</v>
      </c>
      <c r="GF23" s="35"/>
      <c r="GG23" s="35">
        <v>21427500</v>
      </c>
      <c r="GH23" s="35">
        <v>10911500</v>
      </c>
      <c r="GI23" s="35">
        <v>10516000</v>
      </c>
      <c r="GJ23" s="35">
        <v>10911499.49</v>
      </c>
      <c r="GK23" s="35">
        <v>151600</v>
      </c>
      <c r="GL23" s="36"/>
      <c r="GM23" s="35">
        <v>21427499</v>
      </c>
      <c r="GN23" s="35">
        <v>10911499.49</v>
      </c>
      <c r="GO23" s="35"/>
      <c r="GP23" s="35">
        <v>10515999.51</v>
      </c>
      <c r="GQ23" s="35">
        <v>49.077120000000001</v>
      </c>
      <c r="GR23" s="35">
        <v>151600</v>
      </c>
      <c r="GS23" s="35"/>
      <c r="GT23" s="35">
        <v>10911499.49</v>
      </c>
      <c r="GU23" s="36"/>
      <c r="GV23" s="36">
        <v>10911500</v>
      </c>
      <c r="GW23" s="85">
        <v>10911500</v>
      </c>
      <c r="GX23" s="35"/>
      <c r="GY23" s="35"/>
      <c r="GZ23" s="35"/>
      <c r="HA23" s="35"/>
      <c r="HB23" s="35"/>
      <c r="HC23" s="35"/>
      <c r="HD23" s="36"/>
      <c r="HE23" s="35"/>
      <c r="HF23" s="35"/>
      <c r="HG23" s="35"/>
      <c r="HH23" s="35"/>
      <c r="HI23" s="35"/>
      <c r="HJ23" s="35"/>
      <c r="HK23" s="35"/>
      <c r="HL23" s="35"/>
      <c r="HM23" s="36"/>
      <c r="HN23" s="36"/>
      <c r="HO23" s="85"/>
      <c r="HP23" s="35"/>
      <c r="HQ23" s="35">
        <v>5801000</v>
      </c>
      <c r="HR23" s="35">
        <v>2800000</v>
      </c>
      <c r="HS23" s="35">
        <v>3001000</v>
      </c>
      <c r="HT23" s="35">
        <v>2800000</v>
      </c>
      <c r="HU23" s="35"/>
      <c r="HV23" s="36"/>
      <c r="HW23" s="35">
        <v>5801000</v>
      </c>
      <c r="HX23" s="35">
        <v>2800000</v>
      </c>
      <c r="HY23" s="35"/>
      <c r="HZ23" s="35">
        <v>3001000</v>
      </c>
      <c r="IA23" s="35">
        <v>51.732460000000003</v>
      </c>
      <c r="IB23" s="35"/>
      <c r="IC23" s="35"/>
      <c r="ID23" s="35">
        <v>2800000</v>
      </c>
      <c r="IE23" s="36"/>
      <c r="IF23" s="36">
        <v>2800000</v>
      </c>
      <c r="IG23" s="85">
        <v>2800000</v>
      </c>
      <c r="IH23" s="35"/>
      <c r="II23" s="35"/>
      <c r="IJ23" s="35"/>
      <c r="IK23" s="35"/>
      <c r="IL23" s="35"/>
      <c r="IM23" s="35"/>
      <c r="IN23" s="36"/>
      <c r="IO23" s="35"/>
      <c r="IP23" s="35"/>
      <c r="IQ23" s="35"/>
      <c r="IR23" s="35"/>
      <c r="IS23" s="35"/>
      <c r="IT23" s="35"/>
      <c r="IU23" s="35"/>
      <c r="IV23" s="35"/>
      <c r="IW23" s="36"/>
      <c r="IX23" s="36"/>
      <c r="IY23" s="85"/>
      <c r="IZ23" s="35"/>
      <c r="JA23" s="35"/>
      <c r="JB23" s="35"/>
      <c r="JC23" s="35"/>
      <c r="JD23" s="35"/>
      <c r="JE23" s="35"/>
      <c r="JF23" s="36"/>
      <c r="JG23" s="35"/>
      <c r="JH23" s="35"/>
      <c r="JI23" s="35"/>
      <c r="JJ23" s="35"/>
      <c r="JK23" s="35"/>
      <c r="JL23" s="35"/>
      <c r="JM23" s="35"/>
      <c r="JN23" s="35"/>
      <c r="JO23" s="36"/>
      <c r="JP23" s="36"/>
      <c r="JQ23" s="85"/>
      <c r="JR23" s="35"/>
      <c r="JS23" s="35"/>
      <c r="JT23" s="35"/>
      <c r="JU23" s="35"/>
      <c r="JV23" s="35"/>
      <c r="JW23" s="35"/>
      <c r="JX23" s="36"/>
      <c r="JY23" s="35"/>
      <c r="JZ23" s="35"/>
      <c r="KA23" s="35"/>
      <c r="KB23" s="35"/>
      <c r="KC23" s="35"/>
      <c r="KD23" s="35"/>
      <c r="KE23" s="35"/>
      <c r="KF23" s="35"/>
      <c r="KG23" s="36"/>
      <c r="KH23" s="36"/>
      <c r="KI23" s="85"/>
      <c r="KJ23" s="35"/>
      <c r="KK23" s="35">
        <v>962000</v>
      </c>
      <c r="KL23" s="35">
        <v>600000</v>
      </c>
      <c r="KM23" s="35">
        <v>362000</v>
      </c>
      <c r="KN23" s="35">
        <v>600000</v>
      </c>
      <c r="KO23" s="35"/>
      <c r="KP23" s="36"/>
      <c r="KQ23" s="35">
        <v>962000</v>
      </c>
      <c r="KR23" s="35">
        <v>600000</v>
      </c>
      <c r="KS23" s="35"/>
      <c r="KT23" s="35">
        <v>362000</v>
      </c>
      <c r="KU23" s="35">
        <v>37.629939999999998</v>
      </c>
      <c r="KV23" s="35"/>
      <c r="KW23" s="35"/>
      <c r="KX23" s="35">
        <v>600000</v>
      </c>
      <c r="KY23" s="36"/>
      <c r="KZ23" s="36">
        <v>600000</v>
      </c>
      <c r="LA23" s="85">
        <v>600000</v>
      </c>
      <c r="LB23" s="35"/>
      <c r="LC23" s="35"/>
      <c r="LD23" s="35"/>
      <c r="LE23" s="35"/>
      <c r="LF23" s="35"/>
      <c r="LG23" s="35"/>
      <c r="LH23" s="36"/>
      <c r="LI23" s="35"/>
      <c r="LJ23" s="35"/>
      <c r="LK23" s="35"/>
      <c r="LL23" s="35"/>
      <c r="LM23" s="35"/>
      <c r="LN23" s="35"/>
      <c r="LO23" s="35"/>
      <c r="LP23" s="35"/>
      <c r="LQ23" s="36"/>
      <c r="LR23" s="36"/>
      <c r="LS23" s="85"/>
      <c r="LT23" s="35"/>
      <c r="LU23" s="35"/>
      <c r="LV23" s="35"/>
      <c r="LW23" s="35"/>
      <c r="LX23" s="35"/>
      <c r="LY23" s="35"/>
      <c r="LZ23" s="36"/>
      <c r="MA23" s="35"/>
      <c r="MB23" s="35"/>
      <c r="MC23" s="35"/>
      <c r="MD23" s="35"/>
      <c r="ME23" s="35"/>
      <c r="MF23" s="35"/>
      <c r="MG23" s="35"/>
      <c r="MH23" s="35"/>
      <c r="MI23" s="36"/>
      <c r="MJ23" s="36"/>
      <c r="MK23" s="85"/>
      <c r="ML23" s="35"/>
      <c r="MM23" s="35"/>
      <c r="MN23" s="35"/>
      <c r="MO23" s="35"/>
      <c r="MP23" s="35"/>
      <c r="MQ23" s="35"/>
      <c r="MR23" s="36"/>
      <c r="MS23" s="35"/>
      <c r="MT23" s="35"/>
      <c r="MU23" s="35"/>
      <c r="MV23" s="35"/>
      <c r="MW23" s="35"/>
      <c r="MX23" s="35"/>
      <c r="MY23" s="35"/>
      <c r="MZ23" s="35"/>
      <c r="NA23" s="36"/>
      <c r="NB23" s="36"/>
      <c r="NC23" s="85"/>
      <c r="ND23" s="35"/>
      <c r="NE23" s="35"/>
      <c r="NF23" s="35"/>
      <c r="NG23" s="35"/>
      <c r="NH23" s="35"/>
      <c r="NI23" s="35"/>
      <c r="NJ23" s="36"/>
      <c r="NK23" s="35"/>
      <c r="NL23" s="35"/>
      <c r="NM23" s="35"/>
      <c r="NN23" s="35"/>
      <c r="NO23" s="35"/>
      <c r="NP23" s="35"/>
      <c r="NQ23" s="35"/>
      <c r="NR23" s="35"/>
      <c r="NS23" s="36"/>
      <c r="NT23" s="36"/>
      <c r="NU23" s="85"/>
      <c r="NV23" s="35"/>
      <c r="NW23" s="35"/>
      <c r="NX23" s="35"/>
      <c r="NY23" s="35"/>
      <c r="NZ23" s="35"/>
      <c r="OA23" s="35"/>
      <c r="OB23" s="36"/>
      <c r="OC23" s="35"/>
      <c r="OD23" s="35"/>
      <c r="OE23" s="35"/>
      <c r="OF23" s="35"/>
      <c r="OG23" s="35"/>
      <c r="OH23" s="35"/>
      <c r="OI23" s="35"/>
      <c r="OJ23" s="35"/>
      <c r="OK23" s="36"/>
      <c r="OL23" s="36"/>
      <c r="OM23" s="85"/>
      <c r="ON23" s="35"/>
      <c r="OO23" s="35">
        <v>666400</v>
      </c>
      <c r="OP23" s="35">
        <v>153500</v>
      </c>
      <c r="OQ23" s="35">
        <v>512900</v>
      </c>
      <c r="OR23" s="35">
        <v>153500</v>
      </c>
      <c r="OS23" s="35"/>
      <c r="OT23" s="36"/>
      <c r="OU23" s="35">
        <v>666389.69999999995</v>
      </c>
      <c r="OV23" s="35">
        <v>153497.63</v>
      </c>
      <c r="OW23" s="35"/>
      <c r="OX23" s="35">
        <v>512892.07</v>
      </c>
      <c r="OY23" s="35">
        <v>76.965789999999998</v>
      </c>
      <c r="OZ23" s="35"/>
      <c r="PA23" s="35">
        <v>2.37</v>
      </c>
      <c r="PB23" s="35">
        <v>153497.63</v>
      </c>
      <c r="PC23" s="36"/>
      <c r="PD23" s="36">
        <v>153500</v>
      </c>
      <c r="PE23" s="85">
        <v>153500</v>
      </c>
      <c r="PF23" s="35"/>
      <c r="PG23" s="35"/>
      <c r="PH23" s="35"/>
      <c r="PI23" s="35"/>
      <c r="PJ23" s="35"/>
      <c r="PK23" s="35"/>
      <c r="PL23" s="36"/>
      <c r="PM23" s="35"/>
      <c r="PN23" s="35"/>
      <c r="PO23" s="35"/>
      <c r="PP23" s="35"/>
      <c r="PQ23" s="35"/>
      <c r="PR23" s="35"/>
      <c r="PS23" s="35"/>
      <c r="PT23" s="35"/>
      <c r="PU23" s="36"/>
      <c r="PV23" s="36"/>
      <c r="PW23" s="85"/>
      <c r="PX23" s="35"/>
      <c r="PY23" s="35"/>
      <c r="PZ23" s="35"/>
      <c r="QA23" s="35"/>
      <c r="QB23" s="35"/>
      <c r="QC23" s="35">
        <v>8042430.6500000004</v>
      </c>
      <c r="QD23" s="36"/>
      <c r="QE23" s="35"/>
      <c r="QF23" s="35"/>
      <c r="QG23" s="35"/>
      <c r="QH23" s="35"/>
      <c r="QI23" s="35"/>
      <c r="QJ23" s="35">
        <v>8042430.6500000004</v>
      </c>
      <c r="QK23" s="35"/>
      <c r="QL23" s="35"/>
      <c r="QM23" s="36"/>
      <c r="QN23" s="36"/>
      <c r="QO23" s="85"/>
    </row>
    <row r="24" spans="1:457" x14ac:dyDescent="0.25">
      <c r="A24" s="8" t="s">
        <v>29</v>
      </c>
      <c r="B24" s="173" t="s">
        <v>30</v>
      </c>
      <c r="C24" s="13" t="s">
        <v>31</v>
      </c>
      <c r="F24" s="36">
        <v>5837183000</v>
      </c>
      <c r="G24" s="35"/>
      <c r="H24" s="35"/>
      <c r="I24" s="35">
        <v>3712012388</v>
      </c>
      <c r="J24" s="35">
        <v>3223987600</v>
      </c>
      <c r="K24" s="35">
        <v>488024788</v>
      </c>
      <c r="L24" s="35">
        <v>3223986499.98</v>
      </c>
      <c r="M24" s="35"/>
      <c r="N24" s="36"/>
      <c r="O24" s="35">
        <v>3711987973</v>
      </c>
      <c r="P24" s="35">
        <v>3223968654.6399999</v>
      </c>
      <c r="Q24" s="35"/>
      <c r="R24" s="35">
        <v>488019318.36000001</v>
      </c>
      <c r="S24" s="35">
        <v>13.14711</v>
      </c>
      <c r="T24" s="35"/>
      <c r="U24" s="35">
        <v>17845.34</v>
      </c>
      <c r="V24" s="35">
        <v>3223968654.6399999</v>
      </c>
      <c r="W24" s="36"/>
      <c r="X24" s="36">
        <v>3223987600</v>
      </c>
      <c r="Y24" s="85">
        <v>3223987600</v>
      </c>
      <c r="Z24" s="35"/>
      <c r="AA24" s="35">
        <v>1044819228</v>
      </c>
      <c r="AB24" s="35">
        <v>886286200</v>
      </c>
      <c r="AC24" s="35">
        <v>158533028</v>
      </c>
      <c r="AD24" s="35">
        <v>886286200</v>
      </c>
      <c r="AE24" s="35"/>
      <c r="AF24" s="36"/>
      <c r="AG24" s="35">
        <v>1011632759.66</v>
      </c>
      <c r="AH24" s="35">
        <v>858869538.27999997</v>
      </c>
      <c r="AI24" s="35"/>
      <c r="AJ24" s="35">
        <v>152763221.38</v>
      </c>
      <c r="AK24" s="35">
        <v>15.10066</v>
      </c>
      <c r="AL24" s="35"/>
      <c r="AM24" s="35">
        <v>27416661.719999999</v>
      </c>
      <c r="AN24" s="35">
        <v>858869538.27999997</v>
      </c>
      <c r="AO24" s="36"/>
      <c r="AP24" s="36">
        <v>886286200</v>
      </c>
      <c r="AQ24" s="85">
        <v>886286200</v>
      </c>
      <c r="AR24" s="35"/>
      <c r="AS24" s="35">
        <v>79751053</v>
      </c>
      <c r="AT24" s="35">
        <v>75763500</v>
      </c>
      <c r="AU24" s="35">
        <v>3987553</v>
      </c>
      <c r="AV24" s="35">
        <v>75762113.549999997</v>
      </c>
      <c r="AW24" s="35"/>
      <c r="AX24" s="36"/>
      <c r="AY24" s="35">
        <v>79749594</v>
      </c>
      <c r="AZ24" s="35">
        <v>75762113.549999997</v>
      </c>
      <c r="BA24" s="35"/>
      <c r="BB24" s="35">
        <v>3987480.45</v>
      </c>
      <c r="BC24" s="35">
        <v>5</v>
      </c>
      <c r="BD24" s="35"/>
      <c r="BE24" s="35"/>
      <c r="BF24" s="35">
        <v>75762113.549999997</v>
      </c>
      <c r="BG24" s="36"/>
      <c r="BH24" s="36">
        <v>75763500</v>
      </c>
      <c r="BI24" s="85">
        <v>75763500</v>
      </c>
      <c r="BJ24" s="35"/>
      <c r="BK24" s="35"/>
      <c r="BL24" s="35"/>
      <c r="BM24" s="35"/>
      <c r="BN24" s="35"/>
      <c r="BO24" s="35"/>
      <c r="BP24" s="36"/>
      <c r="BQ24" s="35"/>
      <c r="BR24" s="35"/>
      <c r="BS24" s="35"/>
      <c r="BT24" s="35"/>
      <c r="BU24" s="35"/>
      <c r="BV24" s="35"/>
      <c r="BW24" s="35"/>
      <c r="BX24" s="35"/>
      <c r="BY24" s="36"/>
      <c r="BZ24" s="36"/>
      <c r="CA24" s="85"/>
      <c r="CB24" s="35"/>
      <c r="CC24" s="35">
        <v>11729895</v>
      </c>
      <c r="CD24" s="35">
        <v>11143400</v>
      </c>
      <c r="CE24" s="35">
        <v>586495</v>
      </c>
      <c r="CF24" s="35">
        <v>3308097.5</v>
      </c>
      <c r="CG24" s="35"/>
      <c r="CH24" s="36"/>
      <c r="CI24" s="35">
        <v>3482208</v>
      </c>
      <c r="CJ24" s="35">
        <v>3308097.5</v>
      </c>
      <c r="CK24" s="35"/>
      <c r="CL24" s="35">
        <v>174110.5</v>
      </c>
      <c r="CM24" s="35">
        <v>5</v>
      </c>
      <c r="CN24" s="35"/>
      <c r="CO24" s="35"/>
      <c r="CP24" s="35">
        <v>3308097.5</v>
      </c>
      <c r="CQ24" s="36"/>
      <c r="CR24" s="36">
        <v>11143400</v>
      </c>
      <c r="CS24" s="85">
        <v>11143400</v>
      </c>
      <c r="CT24" s="35"/>
      <c r="CU24" s="35">
        <v>502546843</v>
      </c>
      <c r="CV24" s="35">
        <v>477419500</v>
      </c>
      <c r="CW24" s="35">
        <v>25127343</v>
      </c>
      <c r="CX24" s="35">
        <v>477373860.88</v>
      </c>
      <c r="CY24" s="35"/>
      <c r="CZ24" s="36"/>
      <c r="DA24" s="35">
        <v>502498805.79000002</v>
      </c>
      <c r="DB24" s="35">
        <v>477373860.88</v>
      </c>
      <c r="DC24" s="35"/>
      <c r="DD24" s="35">
        <v>25124944.91</v>
      </c>
      <c r="DE24" s="35">
        <v>5</v>
      </c>
      <c r="DF24" s="35"/>
      <c r="DG24" s="35"/>
      <c r="DH24" s="35">
        <v>477373860.88</v>
      </c>
      <c r="DI24" s="36"/>
      <c r="DJ24" s="36">
        <v>477419500</v>
      </c>
      <c r="DK24" s="85">
        <v>477419500</v>
      </c>
      <c r="DL24" s="35"/>
      <c r="DM24" s="35"/>
      <c r="DN24" s="35"/>
      <c r="DO24" s="35"/>
      <c r="DP24" s="35"/>
      <c r="DQ24" s="35"/>
      <c r="DR24" s="36"/>
      <c r="DS24" s="35"/>
      <c r="DT24" s="35"/>
      <c r="DU24" s="35"/>
      <c r="DV24" s="35"/>
      <c r="DW24" s="35"/>
      <c r="DX24" s="35"/>
      <c r="DY24" s="35"/>
      <c r="DZ24" s="35"/>
      <c r="EA24" s="36"/>
      <c r="EB24" s="36"/>
      <c r="EC24" s="85"/>
      <c r="ED24" s="35"/>
      <c r="EE24" s="35">
        <v>1169890339</v>
      </c>
      <c r="EF24" s="35">
        <v>1063762400</v>
      </c>
      <c r="EG24" s="35">
        <v>106127939</v>
      </c>
      <c r="EH24" s="35">
        <v>1063762400</v>
      </c>
      <c r="EI24" s="35"/>
      <c r="EJ24" s="36"/>
      <c r="EK24" s="35">
        <v>1169890339</v>
      </c>
      <c r="EL24" s="35">
        <v>1063762400</v>
      </c>
      <c r="EM24" s="35"/>
      <c r="EN24" s="35">
        <v>106127939</v>
      </c>
      <c r="EO24" s="35">
        <v>9.0716099999999997</v>
      </c>
      <c r="EP24" s="35"/>
      <c r="EQ24" s="35"/>
      <c r="ER24" s="35">
        <v>1063762400</v>
      </c>
      <c r="ES24" s="36"/>
      <c r="ET24" s="36">
        <v>1063762400</v>
      </c>
      <c r="EU24" s="85">
        <v>1063762400</v>
      </c>
      <c r="EV24" s="35"/>
      <c r="EW24" s="35"/>
      <c r="EX24" s="35"/>
      <c r="EY24" s="35"/>
      <c r="EZ24" s="35"/>
      <c r="FA24" s="35"/>
      <c r="FB24" s="36"/>
      <c r="FC24" s="35"/>
      <c r="FD24" s="35"/>
      <c r="FE24" s="35"/>
      <c r="FF24" s="35"/>
      <c r="FG24" s="35"/>
      <c r="FH24" s="35"/>
      <c r="FI24" s="35"/>
      <c r="FJ24" s="35"/>
      <c r="FK24" s="36"/>
      <c r="FL24" s="36"/>
      <c r="FM24" s="85"/>
      <c r="FN24" s="35"/>
      <c r="FO24" s="35">
        <v>32417466</v>
      </c>
      <c r="FP24" s="35">
        <v>27062100</v>
      </c>
      <c r="FQ24" s="35">
        <v>5355366</v>
      </c>
      <c r="FR24" s="35">
        <v>27062100</v>
      </c>
      <c r="FS24" s="35"/>
      <c r="FT24" s="36"/>
      <c r="FU24" s="35">
        <v>32417466</v>
      </c>
      <c r="FV24" s="35">
        <v>27062100</v>
      </c>
      <c r="FW24" s="35"/>
      <c r="FX24" s="35">
        <v>5355366</v>
      </c>
      <c r="FY24" s="35">
        <v>16.52</v>
      </c>
      <c r="FZ24" s="35"/>
      <c r="GA24" s="35"/>
      <c r="GB24" s="35">
        <v>27062100</v>
      </c>
      <c r="GC24" s="36"/>
      <c r="GD24" s="36">
        <v>27062100</v>
      </c>
      <c r="GE24" s="85">
        <v>27062100</v>
      </c>
      <c r="GF24" s="35"/>
      <c r="GG24" s="35">
        <v>57820100</v>
      </c>
      <c r="GH24" s="35">
        <v>32743100</v>
      </c>
      <c r="GI24" s="35">
        <v>25077000</v>
      </c>
      <c r="GJ24" s="35">
        <v>32743100</v>
      </c>
      <c r="GK24" s="35">
        <v>778220</v>
      </c>
      <c r="GL24" s="36"/>
      <c r="GM24" s="35">
        <v>57361939.979999997</v>
      </c>
      <c r="GN24" s="35">
        <v>32483647.289999999</v>
      </c>
      <c r="GO24" s="35"/>
      <c r="GP24" s="35">
        <v>24878292.690000001</v>
      </c>
      <c r="GQ24" s="35">
        <v>43.370730000000002</v>
      </c>
      <c r="GR24" s="35">
        <v>778220</v>
      </c>
      <c r="GS24" s="35">
        <v>259452.71</v>
      </c>
      <c r="GT24" s="35">
        <v>32483647.289999999</v>
      </c>
      <c r="GU24" s="36"/>
      <c r="GV24" s="36">
        <v>32743100</v>
      </c>
      <c r="GW24" s="85">
        <v>32743100</v>
      </c>
      <c r="GX24" s="35"/>
      <c r="GY24" s="35"/>
      <c r="GZ24" s="35"/>
      <c r="HA24" s="35"/>
      <c r="HB24" s="35"/>
      <c r="HC24" s="35">
        <v>470796.85</v>
      </c>
      <c r="HD24" s="36"/>
      <c r="HE24" s="35"/>
      <c r="HF24" s="35"/>
      <c r="HG24" s="35"/>
      <c r="HH24" s="35"/>
      <c r="HI24" s="35"/>
      <c r="HJ24" s="35">
        <v>470796.85</v>
      </c>
      <c r="HK24" s="35"/>
      <c r="HL24" s="35"/>
      <c r="HM24" s="36"/>
      <c r="HN24" s="36"/>
      <c r="HO24" s="85"/>
      <c r="HP24" s="35"/>
      <c r="HQ24" s="35">
        <v>102060265</v>
      </c>
      <c r="HR24" s="35">
        <v>35746000</v>
      </c>
      <c r="HS24" s="35">
        <v>66314265</v>
      </c>
      <c r="HT24" s="35">
        <v>35746000</v>
      </c>
      <c r="HU24" s="35"/>
      <c r="HV24" s="36"/>
      <c r="HW24" s="35">
        <v>102060265</v>
      </c>
      <c r="HX24" s="35">
        <v>35746000</v>
      </c>
      <c r="HY24" s="35"/>
      <c r="HZ24" s="35">
        <v>66314265</v>
      </c>
      <c r="IA24" s="35">
        <v>64.9756</v>
      </c>
      <c r="IB24" s="35"/>
      <c r="IC24" s="35"/>
      <c r="ID24" s="35">
        <v>35746000</v>
      </c>
      <c r="IE24" s="36"/>
      <c r="IF24" s="36">
        <v>35746000</v>
      </c>
      <c r="IG24" s="85">
        <v>35746000</v>
      </c>
      <c r="IH24" s="35"/>
      <c r="II24" s="35"/>
      <c r="IJ24" s="35"/>
      <c r="IK24" s="35"/>
      <c r="IL24" s="35"/>
      <c r="IM24" s="35"/>
      <c r="IN24" s="36"/>
      <c r="IO24" s="35"/>
      <c r="IP24" s="35"/>
      <c r="IQ24" s="35"/>
      <c r="IR24" s="35"/>
      <c r="IS24" s="35"/>
      <c r="IT24" s="35"/>
      <c r="IU24" s="35"/>
      <c r="IV24" s="35"/>
      <c r="IW24" s="36"/>
      <c r="IX24" s="36"/>
      <c r="IY24" s="85"/>
      <c r="IZ24" s="35"/>
      <c r="JA24" s="35"/>
      <c r="JB24" s="35"/>
      <c r="JC24" s="35"/>
      <c r="JD24" s="35"/>
      <c r="JE24" s="35"/>
      <c r="JF24" s="36"/>
      <c r="JG24" s="35"/>
      <c r="JH24" s="35"/>
      <c r="JI24" s="35"/>
      <c r="JJ24" s="35"/>
      <c r="JK24" s="35"/>
      <c r="JL24" s="35"/>
      <c r="JM24" s="35"/>
      <c r="JN24" s="35"/>
      <c r="JO24" s="36"/>
      <c r="JP24" s="36"/>
      <c r="JQ24" s="85"/>
      <c r="JR24" s="35"/>
      <c r="JS24" s="35"/>
      <c r="JT24" s="35"/>
      <c r="JU24" s="35"/>
      <c r="JV24" s="35"/>
      <c r="JW24" s="35"/>
      <c r="JX24" s="36"/>
      <c r="JY24" s="35"/>
      <c r="JZ24" s="35"/>
      <c r="KA24" s="35"/>
      <c r="KB24" s="35"/>
      <c r="KC24" s="35"/>
      <c r="KD24" s="35"/>
      <c r="KE24" s="35"/>
      <c r="KF24" s="35"/>
      <c r="KG24" s="36"/>
      <c r="KH24" s="36"/>
      <c r="KI24" s="85"/>
      <c r="KJ24" s="35"/>
      <c r="KK24" s="35">
        <v>7110750</v>
      </c>
      <c r="KL24" s="35">
        <v>841000</v>
      </c>
      <c r="KM24" s="35">
        <v>6269750</v>
      </c>
      <c r="KN24" s="35">
        <v>841000</v>
      </c>
      <c r="KO24" s="35"/>
      <c r="KP24" s="36"/>
      <c r="KQ24" s="35">
        <v>7110750</v>
      </c>
      <c r="KR24" s="35">
        <v>841000</v>
      </c>
      <c r="KS24" s="35"/>
      <c r="KT24" s="35">
        <v>6269750</v>
      </c>
      <c r="KU24" s="35">
        <v>88.172839999999994</v>
      </c>
      <c r="KV24" s="35"/>
      <c r="KW24" s="35"/>
      <c r="KX24" s="35">
        <v>841000</v>
      </c>
      <c r="KY24" s="36"/>
      <c r="KZ24" s="36">
        <v>841000</v>
      </c>
      <c r="LA24" s="85">
        <v>841000</v>
      </c>
      <c r="LB24" s="35"/>
      <c r="LC24" s="35"/>
      <c r="LD24" s="35"/>
      <c r="LE24" s="35"/>
      <c r="LF24" s="35"/>
      <c r="LG24" s="35"/>
      <c r="LH24" s="36"/>
      <c r="LI24" s="35"/>
      <c r="LJ24" s="35"/>
      <c r="LK24" s="35"/>
      <c r="LL24" s="35"/>
      <c r="LM24" s="35"/>
      <c r="LN24" s="35"/>
      <c r="LO24" s="35"/>
      <c r="LP24" s="35"/>
      <c r="LQ24" s="36"/>
      <c r="LR24" s="36"/>
      <c r="LS24" s="85"/>
      <c r="LT24" s="35"/>
      <c r="LU24" s="35">
        <v>5925500</v>
      </c>
      <c r="LV24" s="35">
        <v>2086000</v>
      </c>
      <c r="LW24" s="35">
        <v>3839500</v>
      </c>
      <c r="LX24" s="35">
        <v>2086000</v>
      </c>
      <c r="LY24" s="35"/>
      <c r="LZ24" s="36"/>
      <c r="MA24" s="35">
        <v>5925500</v>
      </c>
      <c r="MB24" s="35">
        <v>2086000</v>
      </c>
      <c r="MC24" s="35"/>
      <c r="MD24" s="35">
        <v>3839500</v>
      </c>
      <c r="ME24" s="35">
        <v>64.796220000000005</v>
      </c>
      <c r="MF24" s="35"/>
      <c r="MG24" s="35"/>
      <c r="MH24" s="35">
        <v>2086000</v>
      </c>
      <c r="MI24" s="36"/>
      <c r="MJ24" s="36">
        <v>2086000</v>
      </c>
      <c r="MK24" s="85">
        <v>2086000</v>
      </c>
      <c r="ML24" s="35"/>
      <c r="MM24" s="35"/>
      <c r="MN24" s="35"/>
      <c r="MO24" s="35"/>
      <c r="MP24" s="35"/>
      <c r="MQ24" s="35"/>
      <c r="MR24" s="36"/>
      <c r="MS24" s="35"/>
      <c r="MT24" s="35"/>
      <c r="MU24" s="35"/>
      <c r="MV24" s="35"/>
      <c r="MW24" s="35"/>
      <c r="MX24" s="35"/>
      <c r="MY24" s="35"/>
      <c r="MZ24" s="35"/>
      <c r="NA24" s="36"/>
      <c r="NB24" s="36"/>
      <c r="NC24" s="85"/>
      <c r="ND24" s="35"/>
      <c r="NE24" s="35"/>
      <c r="NF24" s="35"/>
      <c r="NG24" s="35"/>
      <c r="NH24" s="35"/>
      <c r="NI24" s="35"/>
      <c r="NJ24" s="36"/>
      <c r="NK24" s="35"/>
      <c r="NL24" s="35"/>
      <c r="NM24" s="35"/>
      <c r="NN24" s="35"/>
      <c r="NO24" s="35"/>
      <c r="NP24" s="35"/>
      <c r="NQ24" s="35"/>
      <c r="NR24" s="35"/>
      <c r="NS24" s="36"/>
      <c r="NT24" s="36"/>
      <c r="NU24" s="85"/>
      <c r="NV24" s="35"/>
      <c r="NW24" s="35"/>
      <c r="NX24" s="35"/>
      <c r="NY24" s="35"/>
      <c r="NZ24" s="35"/>
      <c r="OA24" s="35"/>
      <c r="OB24" s="36"/>
      <c r="OC24" s="35"/>
      <c r="OD24" s="35"/>
      <c r="OE24" s="35"/>
      <c r="OF24" s="35"/>
      <c r="OG24" s="35"/>
      <c r="OH24" s="35"/>
      <c r="OI24" s="35"/>
      <c r="OJ24" s="35"/>
      <c r="OK24" s="36"/>
      <c r="OL24" s="36"/>
      <c r="OM24" s="85"/>
      <c r="ON24" s="35"/>
      <c r="OO24" s="35">
        <v>502700</v>
      </c>
      <c r="OP24" s="35">
        <v>342200</v>
      </c>
      <c r="OQ24" s="35">
        <v>160500</v>
      </c>
      <c r="OR24" s="35">
        <v>342200</v>
      </c>
      <c r="OS24" s="35"/>
      <c r="OT24" s="36"/>
      <c r="OU24" s="35">
        <v>502700</v>
      </c>
      <c r="OV24" s="35">
        <v>342200</v>
      </c>
      <c r="OW24" s="35"/>
      <c r="OX24" s="35">
        <v>160500</v>
      </c>
      <c r="OY24" s="35">
        <v>31.927589999999999</v>
      </c>
      <c r="OZ24" s="35"/>
      <c r="PA24" s="35"/>
      <c r="PB24" s="35">
        <v>342200</v>
      </c>
      <c r="PC24" s="36"/>
      <c r="PD24" s="36">
        <v>342200</v>
      </c>
      <c r="PE24" s="85">
        <v>342200</v>
      </c>
      <c r="PF24" s="35"/>
      <c r="PG24" s="35"/>
      <c r="PH24" s="35"/>
      <c r="PI24" s="35"/>
      <c r="PJ24" s="35"/>
      <c r="PK24" s="35"/>
      <c r="PL24" s="36"/>
      <c r="PM24" s="35"/>
      <c r="PN24" s="35"/>
      <c r="PO24" s="35"/>
      <c r="PP24" s="35"/>
      <c r="PQ24" s="35"/>
      <c r="PR24" s="35"/>
      <c r="PS24" s="35"/>
      <c r="PT24" s="35"/>
      <c r="PU24" s="36"/>
      <c r="PV24" s="36"/>
      <c r="PW24" s="85"/>
      <c r="PX24" s="35"/>
      <c r="PY24" s="35"/>
      <c r="PZ24" s="35"/>
      <c r="QA24" s="35"/>
      <c r="QB24" s="35"/>
      <c r="QC24" s="35">
        <v>8075739.5999999996</v>
      </c>
      <c r="QD24" s="36"/>
      <c r="QE24" s="35"/>
      <c r="QF24" s="35"/>
      <c r="QG24" s="35"/>
      <c r="QH24" s="35"/>
      <c r="QI24" s="35"/>
      <c r="QJ24" s="35">
        <v>8075739.5999999996</v>
      </c>
      <c r="QK24" s="35"/>
      <c r="QL24" s="35"/>
      <c r="QM24" s="36"/>
      <c r="QN24" s="36"/>
      <c r="QO24" s="85"/>
    </row>
    <row r="25" spans="1:457" x14ac:dyDescent="0.25">
      <c r="A25" s="8" t="s">
        <v>32</v>
      </c>
      <c r="B25" s="172" t="s">
        <v>33</v>
      </c>
      <c r="C25" s="13" t="s">
        <v>34</v>
      </c>
      <c r="F25" s="36">
        <v>3587856700</v>
      </c>
      <c r="G25" s="35"/>
      <c r="H25" s="35"/>
      <c r="I25" s="35">
        <v>1796628521.6800001</v>
      </c>
      <c r="J25" s="35">
        <v>1704146100</v>
      </c>
      <c r="K25" s="35">
        <v>92482421.680000007</v>
      </c>
      <c r="L25" s="35">
        <v>1704146069.46</v>
      </c>
      <c r="M25" s="35"/>
      <c r="N25" s="36"/>
      <c r="O25" s="35">
        <v>1796628491.1400001</v>
      </c>
      <c r="P25" s="35">
        <v>1704146069.46</v>
      </c>
      <c r="Q25" s="35"/>
      <c r="R25" s="35">
        <v>92482421.680000007</v>
      </c>
      <c r="S25" s="35">
        <v>5.1475499999999998</v>
      </c>
      <c r="T25" s="35"/>
      <c r="U25" s="35"/>
      <c r="V25" s="35">
        <v>1704146069.46</v>
      </c>
      <c r="W25" s="36"/>
      <c r="X25" s="36">
        <v>1704146100</v>
      </c>
      <c r="Y25" s="85">
        <v>1704146100</v>
      </c>
      <c r="Z25" s="35"/>
      <c r="AA25" s="35"/>
      <c r="AB25" s="35"/>
      <c r="AC25" s="35"/>
      <c r="AD25" s="35"/>
      <c r="AE25" s="35"/>
      <c r="AF25" s="36"/>
      <c r="AG25" s="35"/>
      <c r="AH25" s="35"/>
      <c r="AI25" s="35"/>
      <c r="AJ25" s="35"/>
      <c r="AK25" s="35"/>
      <c r="AL25" s="35"/>
      <c r="AM25" s="35"/>
      <c r="AN25" s="35"/>
      <c r="AO25" s="36"/>
      <c r="AP25" s="36"/>
      <c r="AQ25" s="85"/>
      <c r="AR25" s="35"/>
      <c r="AS25" s="35">
        <v>92047718</v>
      </c>
      <c r="AT25" s="35">
        <v>84683900</v>
      </c>
      <c r="AU25" s="35">
        <v>7363818</v>
      </c>
      <c r="AV25" s="35">
        <v>84683900</v>
      </c>
      <c r="AW25" s="35"/>
      <c r="AX25" s="36"/>
      <c r="AY25" s="35">
        <v>92047717.400000006</v>
      </c>
      <c r="AZ25" s="35">
        <v>84683900</v>
      </c>
      <c r="BA25" s="35"/>
      <c r="BB25" s="35">
        <v>7363817.4000000004</v>
      </c>
      <c r="BC25" s="35">
        <v>8</v>
      </c>
      <c r="BD25" s="35"/>
      <c r="BE25" s="35"/>
      <c r="BF25" s="35">
        <v>84683900</v>
      </c>
      <c r="BG25" s="36"/>
      <c r="BH25" s="36">
        <v>84683900</v>
      </c>
      <c r="BI25" s="85">
        <v>84683900</v>
      </c>
      <c r="BJ25" s="35"/>
      <c r="BK25" s="35"/>
      <c r="BL25" s="35"/>
      <c r="BM25" s="35"/>
      <c r="BN25" s="35"/>
      <c r="BO25" s="35"/>
      <c r="BP25" s="36"/>
      <c r="BQ25" s="35"/>
      <c r="BR25" s="35"/>
      <c r="BS25" s="35"/>
      <c r="BT25" s="35"/>
      <c r="BU25" s="35"/>
      <c r="BV25" s="35"/>
      <c r="BW25" s="35"/>
      <c r="BX25" s="35"/>
      <c r="BY25" s="36"/>
      <c r="BZ25" s="36"/>
      <c r="CA25" s="85"/>
      <c r="CB25" s="35"/>
      <c r="CC25" s="35">
        <v>9576087</v>
      </c>
      <c r="CD25" s="35">
        <v>8810000</v>
      </c>
      <c r="CE25" s="35">
        <v>766087</v>
      </c>
      <c r="CF25" s="35">
        <v>8809999.4399999995</v>
      </c>
      <c r="CG25" s="35"/>
      <c r="CH25" s="36"/>
      <c r="CI25" s="35">
        <v>9576086.4399999995</v>
      </c>
      <c r="CJ25" s="35">
        <v>8809999.4399999995</v>
      </c>
      <c r="CK25" s="35"/>
      <c r="CL25" s="35">
        <v>766087</v>
      </c>
      <c r="CM25" s="35">
        <v>8</v>
      </c>
      <c r="CN25" s="35"/>
      <c r="CO25" s="35"/>
      <c r="CP25" s="35">
        <v>8809999.4399999995</v>
      </c>
      <c r="CQ25" s="36"/>
      <c r="CR25" s="36">
        <v>8810000</v>
      </c>
      <c r="CS25" s="85">
        <v>8810000</v>
      </c>
      <c r="CT25" s="35"/>
      <c r="CU25" s="35">
        <v>757627741.59000003</v>
      </c>
      <c r="CV25" s="35">
        <v>697017500</v>
      </c>
      <c r="CW25" s="35">
        <v>60610241.590000004</v>
      </c>
      <c r="CX25" s="35">
        <v>697015353.39999998</v>
      </c>
      <c r="CY25" s="35"/>
      <c r="CZ25" s="36"/>
      <c r="DA25" s="35">
        <v>757625408.80999994</v>
      </c>
      <c r="DB25" s="35">
        <v>697015353.39999998</v>
      </c>
      <c r="DC25" s="35"/>
      <c r="DD25" s="35">
        <v>60610055.409999996</v>
      </c>
      <c r="DE25" s="35">
        <v>8</v>
      </c>
      <c r="DF25" s="35"/>
      <c r="DG25" s="35"/>
      <c r="DH25" s="35">
        <v>697015353.39999998</v>
      </c>
      <c r="DI25" s="36"/>
      <c r="DJ25" s="36">
        <v>697017500</v>
      </c>
      <c r="DK25" s="85">
        <v>697017500</v>
      </c>
      <c r="DL25" s="35"/>
      <c r="DM25" s="35"/>
      <c r="DN25" s="35"/>
      <c r="DO25" s="35"/>
      <c r="DP25" s="35"/>
      <c r="DQ25" s="35"/>
      <c r="DR25" s="36"/>
      <c r="DS25" s="35"/>
      <c r="DT25" s="35"/>
      <c r="DU25" s="35"/>
      <c r="DV25" s="35"/>
      <c r="DW25" s="35"/>
      <c r="DX25" s="35"/>
      <c r="DY25" s="35"/>
      <c r="DZ25" s="35"/>
      <c r="EA25" s="36"/>
      <c r="EB25" s="36"/>
      <c r="EC25" s="85"/>
      <c r="ED25" s="35"/>
      <c r="EE25" s="35">
        <v>983136758</v>
      </c>
      <c r="EF25" s="35">
        <v>933979800</v>
      </c>
      <c r="EG25" s="35">
        <v>49156958</v>
      </c>
      <c r="EH25" s="35">
        <v>933979800</v>
      </c>
      <c r="EI25" s="35"/>
      <c r="EJ25" s="36"/>
      <c r="EK25" s="35">
        <v>983136631.58000004</v>
      </c>
      <c r="EL25" s="35">
        <v>933979800</v>
      </c>
      <c r="EM25" s="35"/>
      <c r="EN25" s="35">
        <v>49156831.579999998</v>
      </c>
      <c r="EO25" s="35">
        <v>5</v>
      </c>
      <c r="EP25" s="35"/>
      <c r="EQ25" s="35"/>
      <c r="ER25" s="35">
        <v>933979800</v>
      </c>
      <c r="ES25" s="36"/>
      <c r="ET25" s="36">
        <v>933979800</v>
      </c>
      <c r="EU25" s="85">
        <v>933979800</v>
      </c>
      <c r="EV25" s="35"/>
      <c r="EW25" s="35"/>
      <c r="EX25" s="35"/>
      <c r="EY25" s="35"/>
      <c r="EZ25" s="35"/>
      <c r="FA25" s="35"/>
      <c r="FB25" s="36"/>
      <c r="FC25" s="35"/>
      <c r="FD25" s="35"/>
      <c r="FE25" s="35"/>
      <c r="FF25" s="35"/>
      <c r="FG25" s="35"/>
      <c r="FH25" s="35"/>
      <c r="FI25" s="35"/>
      <c r="FJ25" s="35"/>
      <c r="FK25" s="36"/>
      <c r="FL25" s="36"/>
      <c r="FM25" s="85"/>
      <c r="FN25" s="35"/>
      <c r="FO25" s="35"/>
      <c r="FP25" s="35"/>
      <c r="FQ25" s="35"/>
      <c r="FR25" s="35"/>
      <c r="FS25" s="35"/>
      <c r="FT25" s="36"/>
      <c r="FU25" s="35"/>
      <c r="FV25" s="35"/>
      <c r="FW25" s="35"/>
      <c r="FX25" s="35"/>
      <c r="FY25" s="35"/>
      <c r="FZ25" s="35"/>
      <c r="GA25" s="35"/>
      <c r="GB25" s="35"/>
      <c r="GC25" s="36"/>
      <c r="GD25" s="36"/>
      <c r="GE25" s="85"/>
      <c r="GF25" s="35"/>
      <c r="GG25" s="35">
        <v>183756284.77000001</v>
      </c>
      <c r="GH25" s="35">
        <v>95755400</v>
      </c>
      <c r="GI25" s="35">
        <v>88000884.769999996</v>
      </c>
      <c r="GJ25" s="35">
        <v>95755399.670000002</v>
      </c>
      <c r="GK25" s="35"/>
      <c r="GL25" s="36"/>
      <c r="GM25" s="35">
        <v>183756284.44</v>
      </c>
      <c r="GN25" s="35">
        <v>95755399.670000002</v>
      </c>
      <c r="GO25" s="35"/>
      <c r="GP25" s="35">
        <v>88000884.769999996</v>
      </c>
      <c r="GQ25" s="35">
        <v>47.89</v>
      </c>
      <c r="GR25" s="35"/>
      <c r="GS25" s="35"/>
      <c r="GT25" s="35">
        <v>95755399.670000002</v>
      </c>
      <c r="GU25" s="36"/>
      <c r="GV25" s="36">
        <v>95755400</v>
      </c>
      <c r="GW25" s="85">
        <v>95755400</v>
      </c>
      <c r="GX25" s="35"/>
      <c r="GY25" s="35"/>
      <c r="GZ25" s="35"/>
      <c r="HA25" s="35"/>
      <c r="HB25" s="35"/>
      <c r="HC25" s="35"/>
      <c r="HD25" s="36"/>
      <c r="HE25" s="35"/>
      <c r="HF25" s="35"/>
      <c r="HG25" s="35"/>
      <c r="HH25" s="35"/>
      <c r="HI25" s="35"/>
      <c r="HJ25" s="35"/>
      <c r="HK25" s="35"/>
      <c r="HL25" s="35"/>
      <c r="HM25" s="36"/>
      <c r="HN25" s="36"/>
      <c r="HO25" s="85"/>
      <c r="HP25" s="35"/>
      <c r="HQ25" s="35">
        <v>54310763.079999998</v>
      </c>
      <c r="HR25" s="35">
        <v>23213000</v>
      </c>
      <c r="HS25" s="35">
        <v>31097763.079999998</v>
      </c>
      <c r="HT25" s="35">
        <v>23212816.190000001</v>
      </c>
      <c r="HU25" s="35"/>
      <c r="HV25" s="36"/>
      <c r="HW25" s="35">
        <v>54310291.369999997</v>
      </c>
      <c r="HX25" s="35">
        <v>23212816.190000001</v>
      </c>
      <c r="HY25" s="35"/>
      <c r="HZ25" s="35">
        <v>31097475.18</v>
      </c>
      <c r="IA25" s="35">
        <v>57.258899999999997</v>
      </c>
      <c r="IB25" s="35"/>
      <c r="IC25" s="35"/>
      <c r="ID25" s="35">
        <v>23212816.190000001</v>
      </c>
      <c r="IE25" s="36"/>
      <c r="IF25" s="36">
        <v>23213000</v>
      </c>
      <c r="IG25" s="85">
        <v>23213000</v>
      </c>
      <c r="IH25" s="35"/>
      <c r="II25" s="35"/>
      <c r="IJ25" s="35"/>
      <c r="IK25" s="35"/>
      <c r="IL25" s="35"/>
      <c r="IM25" s="35"/>
      <c r="IN25" s="36"/>
      <c r="IO25" s="35"/>
      <c r="IP25" s="35"/>
      <c r="IQ25" s="35"/>
      <c r="IR25" s="35"/>
      <c r="IS25" s="35"/>
      <c r="IT25" s="35"/>
      <c r="IU25" s="35"/>
      <c r="IV25" s="35"/>
      <c r="IW25" s="36"/>
      <c r="IX25" s="36"/>
      <c r="IY25" s="85"/>
      <c r="IZ25" s="35"/>
      <c r="JA25" s="35"/>
      <c r="JB25" s="35"/>
      <c r="JC25" s="35"/>
      <c r="JD25" s="35"/>
      <c r="JE25" s="35"/>
      <c r="JF25" s="36"/>
      <c r="JG25" s="35"/>
      <c r="JH25" s="35"/>
      <c r="JI25" s="35"/>
      <c r="JJ25" s="35"/>
      <c r="JK25" s="35"/>
      <c r="JL25" s="35"/>
      <c r="JM25" s="35"/>
      <c r="JN25" s="35"/>
      <c r="JO25" s="36"/>
      <c r="JP25" s="36"/>
      <c r="JQ25" s="85"/>
      <c r="JR25" s="35"/>
      <c r="JS25" s="35"/>
      <c r="JT25" s="35"/>
      <c r="JU25" s="35"/>
      <c r="JV25" s="35"/>
      <c r="JW25" s="35"/>
      <c r="JX25" s="36"/>
      <c r="JY25" s="35"/>
      <c r="JZ25" s="35"/>
      <c r="KA25" s="35"/>
      <c r="KB25" s="35"/>
      <c r="KC25" s="35"/>
      <c r="KD25" s="35"/>
      <c r="KE25" s="35"/>
      <c r="KF25" s="35"/>
      <c r="KG25" s="36"/>
      <c r="KH25" s="36"/>
      <c r="KI25" s="85"/>
      <c r="KJ25" s="35"/>
      <c r="KK25" s="35">
        <v>39812382.740000002</v>
      </c>
      <c r="KL25" s="35">
        <v>2122000</v>
      </c>
      <c r="KM25" s="35">
        <v>37690382.740000002</v>
      </c>
      <c r="KN25" s="35">
        <v>2121999.59</v>
      </c>
      <c r="KO25" s="35"/>
      <c r="KP25" s="36"/>
      <c r="KQ25" s="35">
        <v>39812382.329999998</v>
      </c>
      <c r="KR25" s="35">
        <v>2121999.59</v>
      </c>
      <c r="KS25" s="35"/>
      <c r="KT25" s="35">
        <v>37690382.740000002</v>
      </c>
      <c r="KU25" s="35">
        <v>94.67</v>
      </c>
      <c r="KV25" s="35"/>
      <c r="KW25" s="35"/>
      <c r="KX25" s="35">
        <v>2121999.59</v>
      </c>
      <c r="KY25" s="36"/>
      <c r="KZ25" s="36">
        <v>2122000</v>
      </c>
      <c r="LA25" s="85">
        <v>2122000</v>
      </c>
      <c r="LB25" s="35"/>
      <c r="LC25" s="35"/>
      <c r="LD25" s="35"/>
      <c r="LE25" s="35"/>
      <c r="LF25" s="35"/>
      <c r="LG25" s="35"/>
      <c r="LH25" s="36"/>
      <c r="LI25" s="35"/>
      <c r="LJ25" s="35"/>
      <c r="LK25" s="35"/>
      <c r="LL25" s="35"/>
      <c r="LM25" s="35"/>
      <c r="LN25" s="35"/>
      <c r="LO25" s="35"/>
      <c r="LP25" s="35"/>
      <c r="LQ25" s="36"/>
      <c r="LR25" s="36"/>
      <c r="LS25" s="85"/>
      <c r="LT25" s="35"/>
      <c r="LU25" s="35"/>
      <c r="LV25" s="35"/>
      <c r="LW25" s="35"/>
      <c r="LX25" s="35"/>
      <c r="LY25" s="35"/>
      <c r="LZ25" s="36"/>
      <c r="MA25" s="35"/>
      <c r="MB25" s="35"/>
      <c r="MC25" s="35"/>
      <c r="MD25" s="35"/>
      <c r="ME25" s="35"/>
      <c r="MF25" s="35"/>
      <c r="MG25" s="35"/>
      <c r="MH25" s="35"/>
      <c r="MI25" s="36"/>
      <c r="MJ25" s="36"/>
      <c r="MK25" s="85"/>
      <c r="ML25" s="35"/>
      <c r="MM25" s="35"/>
      <c r="MN25" s="35"/>
      <c r="MO25" s="35"/>
      <c r="MP25" s="35"/>
      <c r="MQ25" s="35"/>
      <c r="MR25" s="36"/>
      <c r="MS25" s="35"/>
      <c r="MT25" s="35"/>
      <c r="MU25" s="35"/>
      <c r="MV25" s="35"/>
      <c r="MW25" s="35"/>
      <c r="MX25" s="35"/>
      <c r="MY25" s="35"/>
      <c r="MZ25" s="35"/>
      <c r="NA25" s="36"/>
      <c r="NB25" s="36"/>
      <c r="NC25" s="85"/>
      <c r="ND25" s="35"/>
      <c r="NE25" s="35">
        <v>71232674.290000007</v>
      </c>
      <c r="NF25" s="35">
        <v>34227300</v>
      </c>
      <c r="NG25" s="35">
        <v>37005374.289999999</v>
      </c>
      <c r="NH25" s="35">
        <v>34227300</v>
      </c>
      <c r="NI25" s="35"/>
      <c r="NJ25" s="36"/>
      <c r="NK25" s="35">
        <v>71232674.290000007</v>
      </c>
      <c r="NL25" s="35">
        <v>34227300</v>
      </c>
      <c r="NM25" s="35"/>
      <c r="NN25" s="35">
        <v>37005374.289999999</v>
      </c>
      <c r="NO25" s="35">
        <v>51.95</v>
      </c>
      <c r="NP25" s="35"/>
      <c r="NQ25" s="35"/>
      <c r="NR25" s="35">
        <v>34227300</v>
      </c>
      <c r="NS25" s="36"/>
      <c r="NT25" s="36">
        <v>34227300</v>
      </c>
      <c r="NU25" s="85">
        <v>34227300</v>
      </c>
      <c r="NV25" s="35"/>
      <c r="NW25" s="35"/>
      <c r="NX25" s="35"/>
      <c r="NY25" s="35"/>
      <c r="NZ25" s="35"/>
      <c r="OA25" s="35"/>
      <c r="OB25" s="36"/>
      <c r="OC25" s="35"/>
      <c r="OD25" s="35"/>
      <c r="OE25" s="35"/>
      <c r="OF25" s="35"/>
      <c r="OG25" s="35"/>
      <c r="OH25" s="35"/>
      <c r="OI25" s="35"/>
      <c r="OJ25" s="35"/>
      <c r="OK25" s="36"/>
      <c r="OL25" s="36"/>
      <c r="OM25" s="85"/>
      <c r="ON25" s="35"/>
      <c r="OO25" s="35">
        <v>11401811.800000001</v>
      </c>
      <c r="OP25" s="35">
        <v>3901700</v>
      </c>
      <c r="OQ25" s="35">
        <v>7500111.7999999998</v>
      </c>
      <c r="OR25" s="35">
        <v>3901700</v>
      </c>
      <c r="OS25" s="35"/>
      <c r="OT25" s="36"/>
      <c r="OU25" s="35">
        <v>11401811.800000001</v>
      </c>
      <c r="OV25" s="35">
        <v>3901700</v>
      </c>
      <c r="OW25" s="35"/>
      <c r="OX25" s="35">
        <v>7500111.7999999998</v>
      </c>
      <c r="OY25" s="35">
        <v>65.78</v>
      </c>
      <c r="OZ25" s="35"/>
      <c r="PA25" s="35"/>
      <c r="PB25" s="35">
        <v>3901700</v>
      </c>
      <c r="PC25" s="36"/>
      <c r="PD25" s="36">
        <v>3901700</v>
      </c>
      <c r="PE25" s="85">
        <v>3901700</v>
      </c>
      <c r="PF25" s="35"/>
      <c r="PG25" s="35"/>
      <c r="PH25" s="35"/>
      <c r="PI25" s="35"/>
      <c r="PJ25" s="35"/>
      <c r="PK25" s="35"/>
      <c r="PL25" s="36"/>
      <c r="PM25" s="35"/>
      <c r="PN25" s="35"/>
      <c r="PO25" s="35"/>
      <c r="PP25" s="35"/>
      <c r="PQ25" s="35"/>
      <c r="PR25" s="35"/>
      <c r="PS25" s="35"/>
      <c r="PT25" s="35"/>
      <c r="PU25" s="36"/>
      <c r="PV25" s="36"/>
      <c r="PW25" s="85"/>
      <c r="PX25" s="35"/>
      <c r="PY25" s="35"/>
      <c r="PZ25" s="35"/>
      <c r="QA25" s="35"/>
      <c r="QB25" s="35"/>
      <c r="QC25" s="35">
        <v>5815871.4699999997</v>
      </c>
      <c r="QD25" s="36"/>
      <c r="QE25" s="35"/>
      <c r="QF25" s="35"/>
      <c r="QG25" s="35"/>
      <c r="QH25" s="35"/>
      <c r="QI25" s="35"/>
      <c r="QJ25" s="35">
        <v>5815871.4699999997</v>
      </c>
      <c r="QK25" s="35"/>
      <c r="QL25" s="35"/>
      <c r="QM25" s="36"/>
      <c r="QN25" s="36"/>
      <c r="QO25" s="85"/>
    </row>
    <row r="26" spans="1:457" x14ac:dyDescent="0.25">
      <c r="A26" s="8" t="s">
        <v>35</v>
      </c>
      <c r="B26" s="173" t="s">
        <v>36</v>
      </c>
      <c r="C26" s="13" t="s">
        <v>37</v>
      </c>
      <c r="F26" s="36">
        <v>2474951900</v>
      </c>
      <c r="G26" s="35"/>
      <c r="H26" s="35"/>
      <c r="I26" s="35">
        <v>1108111023.3699999</v>
      </c>
      <c r="J26" s="35">
        <v>916237400</v>
      </c>
      <c r="K26" s="35">
        <v>191873623.37</v>
      </c>
      <c r="L26" s="35">
        <v>916151954.12</v>
      </c>
      <c r="M26" s="35"/>
      <c r="N26" s="36"/>
      <c r="O26" s="35">
        <v>1108006036.51</v>
      </c>
      <c r="P26" s="35">
        <v>916151952.63999999</v>
      </c>
      <c r="Q26" s="35"/>
      <c r="R26" s="35">
        <v>191854083.87</v>
      </c>
      <c r="S26" s="35">
        <v>17.315259999999999</v>
      </c>
      <c r="T26" s="35"/>
      <c r="U26" s="35">
        <v>1.48</v>
      </c>
      <c r="V26" s="35">
        <v>916151952.63999999</v>
      </c>
      <c r="W26" s="36"/>
      <c r="X26" s="36">
        <v>916237400</v>
      </c>
      <c r="Y26" s="85">
        <v>916237400</v>
      </c>
      <c r="Z26" s="35"/>
      <c r="AA26" s="35"/>
      <c r="AB26" s="35"/>
      <c r="AC26" s="35"/>
      <c r="AD26" s="35"/>
      <c r="AE26" s="35"/>
      <c r="AF26" s="36"/>
      <c r="AG26" s="35"/>
      <c r="AH26" s="35"/>
      <c r="AI26" s="35"/>
      <c r="AJ26" s="35"/>
      <c r="AK26" s="35"/>
      <c r="AL26" s="35"/>
      <c r="AM26" s="35"/>
      <c r="AN26" s="35"/>
      <c r="AO26" s="36"/>
      <c r="AP26" s="36"/>
      <c r="AQ26" s="85"/>
      <c r="AR26" s="35"/>
      <c r="AS26" s="35">
        <v>287695500</v>
      </c>
      <c r="AT26" s="35">
        <v>258925500</v>
      </c>
      <c r="AU26" s="35">
        <v>28770000</v>
      </c>
      <c r="AV26" s="35">
        <v>258925471.83000001</v>
      </c>
      <c r="AW26" s="35"/>
      <c r="AX26" s="36"/>
      <c r="AY26" s="35">
        <v>287695470.62</v>
      </c>
      <c r="AZ26" s="35">
        <v>258925471.83000001</v>
      </c>
      <c r="BA26" s="35"/>
      <c r="BB26" s="35">
        <v>28769998.789999999</v>
      </c>
      <c r="BC26" s="35">
        <v>10.000159999999999</v>
      </c>
      <c r="BD26" s="35"/>
      <c r="BE26" s="35"/>
      <c r="BF26" s="35">
        <v>258925471.83000001</v>
      </c>
      <c r="BG26" s="36"/>
      <c r="BH26" s="36">
        <v>258925500</v>
      </c>
      <c r="BI26" s="85">
        <v>258925500</v>
      </c>
      <c r="BJ26" s="35"/>
      <c r="BK26" s="35"/>
      <c r="BL26" s="35"/>
      <c r="BM26" s="35"/>
      <c r="BN26" s="35"/>
      <c r="BO26" s="35"/>
      <c r="BP26" s="36"/>
      <c r="BQ26" s="35"/>
      <c r="BR26" s="35"/>
      <c r="BS26" s="35"/>
      <c r="BT26" s="35"/>
      <c r="BU26" s="35"/>
      <c r="BV26" s="35"/>
      <c r="BW26" s="35"/>
      <c r="BX26" s="35"/>
      <c r="BY26" s="36"/>
      <c r="BZ26" s="36"/>
      <c r="CA26" s="85"/>
      <c r="CB26" s="35"/>
      <c r="CC26" s="35">
        <v>186997800</v>
      </c>
      <c r="CD26" s="35">
        <v>168297800</v>
      </c>
      <c r="CE26" s="35">
        <v>18700000</v>
      </c>
      <c r="CF26" s="35">
        <v>168297800</v>
      </c>
      <c r="CG26" s="35"/>
      <c r="CH26" s="36"/>
      <c r="CI26" s="35">
        <v>186683262.99000001</v>
      </c>
      <c r="CJ26" s="35">
        <v>168014716.41</v>
      </c>
      <c r="CK26" s="35"/>
      <c r="CL26" s="35">
        <v>18668546.579999998</v>
      </c>
      <c r="CM26" s="35">
        <v>10.000120000000001</v>
      </c>
      <c r="CN26" s="35"/>
      <c r="CO26" s="35">
        <v>283083.59000000003</v>
      </c>
      <c r="CP26" s="35">
        <v>168014716.41</v>
      </c>
      <c r="CQ26" s="36"/>
      <c r="CR26" s="36">
        <v>168297800</v>
      </c>
      <c r="CS26" s="85">
        <v>168297800</v>
      </c>
      <c r="CT26" s="35"/>
      <c r="CU26" s="35">
        <v>560613500</v>
      </c>
      <c r="CV26" s="35">
        <v>504551500</v>
      </c>
      <c r="CW26" s="35">
        <v>56062000</v>
      </c>
      <c r="CX26" s="35">
        <v>504329207.02999997</v>
      </c>
      <c r="CY26" s="35"/>
      <c r="CZ26" s="36"/>
      <c r="DA26" s="35">
        <v>560366507.89999998</v>
      </c>
      <c r="DB26" s="35">
        <v>504329207.02999997</v>
      </c>
      <c r="DC26" s="35"/>
      <c r="DD26" s="35">
        <v>56037300.869999997</v>
      </c>
      <c r="DE26" s="35">
        <v>10.000120000000001</v>
      </c>
      <c r="DF26" s="35"/>
      <c r="DG26" s="35"/>
      <c r="DH26" s="35">
        <v>504329207.02999997</v>
      </c>
      <c r="DI26" s="36"/>
      <c r="DJ26" s="36">
        <v>504551500</v>
      </c>
      <c r="DK26" s="85">
        <v>504551500</v>
      </c>
      <c r="DL26" s="35"/>
      <c r="DM26" s="35"/>
      <c r="DN26" s="35"/>
      <c r="DO26" s="35"/>
      <c r="DP26" s="35"/>
      <c r="DQ26" s="35"/>
      <c r="DR26" s="36"/>
      <c r="DS26" s="35"/>
      <c r="DT26" s="35"/>
      <c r="DU26" s="35"/>
      <c r="DV26" s="35"/>
      <c r="DW26" s="35"/>
      <c r="DX26" s="35"/>
      <c r="DY26" s="35"/>
      <c r="DZ26" s="35"/>
      <c r="EA26" s="36"/>
      <c r="EB26" s="36"/>
      <c r="EC26" s="85"/>
      <c r="ED26" s="35"/>
      <c r="EE26" s="35">
        <v>587817528.74000001</v>
      </c>
      <c r="EF26" s="35">
        <v>558426500</v>
      </c>
      <c r="EG26" s="35">
        <v>29391028.739999998</v>
      </c>
      <c r="EH26" s="35">
        <v>558426389.26999998</v>
      </c>
      <c r="EI26" s="35"/>
      <c r="EJ26" s="36"/>
      <c r="EK26" s="35">
        <v>587817412.74000001</v>
      </c>
      <c r="EL26" s="35">
        <v>558426389.26999998</v>
      </c>
      <c r="EM26" s="35"/>
      <c r="EN26" s="35">
        <v>29391023.469999999</v>
      </c>
      <c r="EO26" s="35">
        <v>5.0000299999999998</v>
      </c>
      <c r="EP26" s="35"/>
      <c r="EQ26" s="35"/>
      <c r="ER26" s="35">
        <v>558426389.26999998</v>
      </c>
      <c r="ES26" s="36"/>
      <c r="ET26" s="36">
        <v>558426500</v>
      </c>
      <c r="EU26" s="85">
        <v>558426500</v>
      </c>
      <c r="EV26" s="35"/>
      <c r="EW26" s="35">
        <v>3544000</v>
      </c>
      <c r="EX26" s="35">
        <v>3366000</v>
      </c>
      <c r="EY26" s="35">
        <v>178000</v>
      </c>
      <c r="EZ26" s="35">
        <v>3366000</v>
      </c>
      <c r="FA26" s="35"/>
      <c r="FB26" s="36"/>
      <c r="FC26" s="35">
        <v>3544000</v>
      </c>
      <c r="FD26" s="35">
        <v>3366000</v>
      </c>
      <c r="FE26" s="35"/>
      <c r="FF26" s="35">
        <v>178000</v>
      </c>
      <c r="FG26" s="35">
        <v>5.02257</v>
      </c>
      <c r="FH26" s="35"/>
      <c r="FI26" s="35">
        <v>0</v>
      </c>
      <c r="FJ26" s="35">
        <v>3366000</v>
      </c>
      <c r="FK26" s="36"/>
      <c r="FL26" s="36">
        <v>3366000</v>
      </c>
      <c r="FM26" s="85">
        <v>3366000</v>
      </c>
      <c r="FN26" s="35"/>
      <c r="FO26" s="35">
        <v>2223000</v>
      </c>
      <c r="FP26" s="35">
        <v>2000000</v>
      </c>
      <c r="FQ26" s="35">
        <v>223000</v>
      </c>
      <c r="FR26" s="35">
        <v>2000000</v>
      </c>
      <c r="FS26" s="35"/>
      <c r="FT26" s="36"/>
      <c r="FU26" s="35">
        <v>2223000</v>
      </c>
      <c r="FV26" s="35">
        <v>2000000</v>
      </c>
      <c r="FW26" s="35"/>
      <c r="FX26" s="35">
        <v>223000</v>
      </c>
      <c r="FY26" s="35">
        <v>10.03149</v>
      </c>
      <c r="FZ26" s="35"/>
      <c r="GA26" s="35"/>
      <c r="GB26" s="35">
        <v>2000000</v>
      </c>
      <c r="GC26" s="36"/>
      <c r="GD26" s="36">
        <v>2000000</v>
      </c>
      <c r="GE26" s="85">
        <v>2000000</v>
      </c>
      <c r="GF26" s="35"/>
      <c r="GG26" s="35">
        <v>37062600</v>
      </c>
      <c r="GH26" s="35">
        <v>25943800</v>
      </c>
      <c r="GI26" s="35">
        <v>11118800</v>
      </c>
      <c r="GJ26" s="35">
        <v>25796634.010000002</v>
      </c>
      <c r="GK26" s="35">
        <v>1221349.78</v>
      </c>
      <c r="GL26" s="36"/>
      <c r="GM26" s="35">
        <v>36670449.829999998</v>
      </c>
      <c r="GN26" s="35">
        <v>25669295.09</v>
      </c>
      <c r="GO26" s="35"/>
      <c r="GP26" s="35">
        <v>11001154.74</v>
      </c>
      <c r="GQ26" s="35">
        <v>30.000050000000002</v>
      </c>
      <c r="GR26" s="35">
        <v>1221349.78</v>
      </c>
      <c r="GS26" s="35">
        <v>127338.92</v>
      </c>
      <c r="GT26" s="35">
        <v>25669295.09</v>
      </c>
      <c r="GU26" s="36"/>
      <c r="GV26" s="36">
        <v>25943800</v>
      </c>
      <c r="GW26" s="85">
        <v>25943800</v>
      </c>
      <c r="GX26" s="35"/>
      <c r="GY26" s="35"/>
      <c r="GZ26" s="35"/>
      <c r="HA26" s="35"/>
      <c r="HB26" s="35"/>
      <c r="HC26" s="35">
        <v>47304.2</v>
      </c>
      <c r="HD26" s="36"/>
      <c r="HE26" s="35"/>
      <c r="HF26" s="35"/>
      <c r="HG26" s="35"/>
      <c r="HH26" s="35"/>
      <c r="HI26" s="35"/>
      <c r="HJ26" s="35">
        <v>47304.2</v>
      </c>
      <c r="HK26" s="35">
        <v>0</v>
      </c>
      <c r="HL26" s="35"/>
      <c r="HM26" s="36"/>
      <c r="HN26" s="36"/>
      <c r="HO26" s="85"/>
      <c r="HP26" s="35"/>
      <c r="HQ26" s="35">
        <v>7545400</v>
      </c>
      <c r="HR26" s="35">
        <v>5281400</v>
      </c>
      <c r="HS26" s="35">
        <v>2264000</v>
      </c>
      <c r="HT26" s="35">
        <v>5281399.79</v>
      </c>
      <c r="HU26" s="35">
        <v>0</v>
      </c>
      <c r="HV26" s="36"/>
      <c r="HW26" s="35">
        <v>7545399.79</v>
      </c>
      <c r="HX26" s="35">
        <v>5281399.79</v>
      </c>
      <c r="HY26" s="35"/>
      <c r="HZ26" s="35">
        <v>2264000</v>
      </c>
      <c r="IA26" s="35">
        <v>30.005040000000001</v>
      </c>
      <c r="IB26" s="35">
        <v>0</v>
      </c>
      <c r="IC26" s="35">
        <v>0</v>
      </c>
      <c r="ID26" s="35">
        <v>5281399.79</v>
      </c>
      <c r="IE26" s="36"/>
      <c r="IF26" s="36">
        <v>5281400</v>
      </c>
      <c r="IG26" s="85">
        <v>5281400</v>
      </c>
      <c r="IH26" s="35"/>
      <c r="II26" s="35"/>
      <c r="IJ26" s="35"/>
      <c r="IK26" s="35"/>
      <c r="IL26" s="35"/>
      <c r="IM26" s="35"/>
      <c r="IN26" s="36"/>
      <c r="IO26" s="35"/>
      <c r="IP26" s="35"/>
      <c r="IQ26" s="35"/>
      <c r="IR26" s="35"/>
      <c r="IS26" s="35"/>
      <c r="IT26" s="35"/>
      <c r="IU26" s="35"/>
      <c r="IV26" s="35"/>
      <c r="IW26" s="36"/>
      <c r="IX26" s="36"/>
      <c r="IY26" s="85"/>
      <c r="IZ26" s="35"/>
      <c r="JA26" s="35">
        <v>33136000</v>
      </c>
      <c r="JB26" s="35">
        <v>23195000</v>
      </c>
      <c r="JC26" s="35">
        <v>9941000</v>
      </c>
      <c r="JD26" s="35">
        <v>1590640.83</v>
      </c>
      <c r="JE26" s="35"/>
      <c r="JF26" s="36"/>
      <c r="JG26" s="35">
        <v>2272363.65</v>
      </c>
      <c r="JH26" s="35">
        <v>1590640.83</v>
      </c>
      <c r="JI26" s="35"/>
      <c r="JJ26" s="35">
        <v>681722.82</v>
      </c>
      <c r="JK26" s="35">
        <v>30.000599999999999</v>
      </c>
      <c r="JL26" s="35"/>
      <c r="JM26" s="35"/>
      <c r="JN26" s="35">
        <v>1590640.83</v>
      </c>
      <c r="JO26" s="36"/>
      <c r="JP26" s="36">
        <v>23195000</v>
      </c>
      <c r="JQ26" s="85">
        <v>23195000</v>
      </c>
      <c r="JR26" s="35"/>
      <c r="JS26" s="35"/>
      <c r="JT26" s="35"/>
      <c r="JU26" s="35"/>
      <c r="JV26" s="35"/>
      <c r="JW26" s="35"/>
      <c r="JX26" s="36"/>
      <c r="JY26" s="35"/>
      <c r="JZ26" s="35"/>
      <c r="KA26" s="35"/>
      <c r="KB26" s="35"/>
      <c r="KC26" s="35"/>
      <c r="KD26" s="35"/>
      <c r="KE26" s="35"/>
      <c r="KF26" s="35"/>
      <c r="KG26" s="36"/>
      <c r="KH26" s="36"/>
      <c r="KI26" s="85"/>
      <c r="KJ26" s="35"/>
      <c r="KK26" s="35">
        <v>12468000</v>
      </c>
      <c r="KL26" s="35">
        <v>8727000</v>
      </c>
      <c r="KM26" s="35">
        <v>3741000</v>
      </c>
      <c r="KN26" s="35">
        <v>8726999.7300000004</v>
      </c>
      <c r="KO26" s="35"/>
      <c r="KP26" s="36"/>
      <c r="KQ26" s="35">
        <v>12467999.73</v>
      </c>
      <c r="KR26" s="35">
        <v>8726999.7300000004</v>
      </c>
      <c r="KS26" s="35"/>
      <c r="KT26" s="35">
        <v>3741000</v>
      </c>
      <c r="KU26" s="35">
        <v>30.004809999999999</v>
      </c>
      <c r="KV26" s="35"/>
      <c r="KW26" s="35"/>
      <c r="KX26" s="35">
        <v>8726999.7300000004</v>
      </c>
      <c r="KY26" s="36"/>
      <c r="KZ26" s="36">
        <v>8727000</v>
      </c>
      <c r="LA26" s="85">
        <v>8727000</v>
      </c>
      <c r="LB26" s="35"/>
      <c r="LC26" s="35"/>
      <c r="LD26" s="35"/>
      <c r="LE26" s="35"/>
      <c r="LF26" s="35"/>
      <c r="LG26" s="35"/>
      <c r="LH26" s="36"/>
      <c r="LI26" s="35"/>
      <c r="LJ26" s="35"/>
      <c r="LK26" s="35"/>
      <c r="LL26" s="35"/>
      <c r="LM26" s="35"/>
      <c r="LN26" s="35"/>
      <c r="LO26" s="35"/>
      <c r="LP26" s="35"/>
      <c r="LQ26" s="36"/>
      <c r="LR26" s="36"/>
      <c r="LS26" s="85"/>
      <c r="LT26" s="35"/>
      <c r="LU26" s="35"/>
      <c r="LV26" s="35"/>
      <c r="LW26" s="35"/>
      <c r="LX26" s="35"/>
      <c r="LY26" s="35"/>
      <c r="LZ26" s="36"/>
      <c r="MA26" s="35"/>
      <c r="MB26" s="35"/>
      <c r="MC26" s="35"/>
      <c r="MD26" s="35"/>
      <c r="ME26" s="35"/>
      <c r="MF26" s="35"/>
      <c r="MG26" s="35"/>
      <c r="MH26" s="35"/>
      <c r="MI26" s="36"/>
      <c r="MJ26" s="36"/>
      <c r="MK26" s="85"/>
      <c r="ML26" s="35"/>
      <c r="MM26" s="35"/>
      <c r="MN26" s="35"/>
      <c r="MO26" s="35"/>
      <c r="MP26" s="35"/>
      <c r="MQ26" s="35"/>
      <c r="MR26" s="36"/>
      <c r="MS26" s="35"/>
      <c r="MT26" s="35"/>
      <c r="MU26" s="35"/>
      <c r="MV26" s="35"/>
      <c r="MW26" s="35"/>
      <c r="MX26" s="35"/>
      <c r="MY26" s="35"/>
      <c r="MZ26" s="35"/>
      <c r="NA26" s="36"/>
      <c r="NB26" s="36"/>
      <c r="NC26" s="85"/>
      <c r="ND26" s="35"/>
      <c r="NE26" s="35"/>
      <c r="NF26" s="35"/>
      <c r="NG26" s="35"/>
      <c r="NH26" s="35"/>
      <c r="NI26" s="35"/>
      <c r="NJ26" s="36"/>
      <c r="NK26" s="35"/>
      <c r="NL26" s="35"/>
      <c r="NM26" s="35"/>
      <c r="NN26" s="35"/>
      <c r="NO26" s="35"/>
      <c r="NP26" s="35"/>
      <c r="NQ26" s="35"/>
      <c r="NR26" s="35"/>
      <c r="NS26" s="36"/>
      <c r="NT26" s="36"/>
      <c r="NU26" s="85"/>
      <c r="NV26" s="35"/>
      <c r="NW26" s="35"/>
      <c r="NX26" s="35"/>
      <c r="NY26" s="35"/>
      <c r="NZ26" s="35"/>
      <c r="OA26" s="35"/>
      <c r="OB26" s="36"/>
      <c r="OC26" s="35"/>
      <c r="OD26" s="35"/>
      <c r="OE26" s="35"/>
      <c r="OF26" s="35"/>
      <c r="OG26" s="35"/>
      <c r="OH26" s="35"/>
      <c r="OI26" s="35"/>
      <c r="OJ26" s="35"/>
      <c r="OK26" s="36"/>
      <c r="OL26" s="36"/>
      <c r="OM26" s="85"/>
      <c r="ON26" s="35"/>
      <c r="OO26" s="35"/>
      <c r="OP26" s="35"/>
      <c r="OQ26" s="35"/>
      <c r="OR26" s="35"/>
      <c r="OS26" s="35"/>
      <c r="OT26" s="36"/>
      <c r="OU26" s="35"/>
      <c r="OV26" s="35"/>
      <c r="OW26" s="35"/>
      <c r="OX26" s="35"/>
      <c r="OY26" s="35"/>
      <c r="OZ26" s="35"/>
      <c r="PA26" s="35"/>
      <c r="PB26" s="35"/>
      <c r="PC26" s="36"/>
      <c r="PD26" s="36"/>
      <c r="PE26" s="85"/>
      <c r="PF26" s="35"/>
      <c r="PG26" s="35"/>
      <c r="PH26" s="35"/>
      <c r="PI26" s="35"/>
      <c r="PJ26" s="35"/>
      <c r="PK26" s="35"/>
      <c r="PL26" s="36"/>
      <c r="PM26" s="35"/>
      <c r="PN26" s="35"/>
      <c r="PO26" s="35"/>
      <c r="PP26" s="35"/>
      <c r="PQ26" s="35"/>
      <c r="PR26" s="35"/>
      <c r="PS26" s="35"/>
      <c r="PT26" s="35"/>
      <c r="PU26" s="36"/>
      <c r="PV26" s="36"/>
      <c r="PW26" s="85"/>
      <c r="PX26" s="35"/>
      <c r="PY26" s="35"/>
      <c r="PZ26" s="35"/>
      <c r="QA26" s="35"/>
      <c r="QB26" s="35"/>
      <c r="QC26" s="35">
        <v>12140779.5</v>
      </c>
      <c r="QD26" s="36"/>
      <c r="QE26" s="35"/>
      <c r="QF26" s="35"/>
      <c r="QG26" s="35"/>
      <c r="QH26" s="35"/>
      <c r="QI26" s="35"/>
      <c r="QJ26" s="35">
        <v>12140779.5</v>
      </c>
      <c r="QK26" s="35"/>
      <c r="QL26" s="35"/>
      <c r="QM26" s="36"/>
      <c r="QN26" s="36"/>
      <c r="QO26" s="85"/>
    </row>
    <row r="27" spans="1:457" x14ac:dyDescent="0.25">
      <c r="A27" s="8" t="s">
        <v>38</v>
      </c>
      <c r="B27" s="172" t="s">
        <v>39</v>
      </c>
      <c r="C27" s="13" t="s">
        <v>273</v>
      </c>
      <c r="F27" s="36">
        <v>0</v>
      </c>
      <c r="G27" s="35"/>
      <c r="H27" s="35"/>
      <c r="I27" s="35"/>
      <c r="J27" s="35"/>
      <c r="K27" s="35"/>
      <c r="L27" s="35"/>
      <c r="M27" s="35"/>
      <c r="N27" s="36"/>
      <c r="O27" s="35"/>
      <c r="P27" s="35"/>
      <c r="Q27" s="35"/>
      <c r="R27" s="35"/>
      <c r="S27" s="35"/>
      <c r="T27" s="35"/>
      <c r="U27" s="35"/>
      <c r="V27" s="35"/>
      <c r="W27" s="36"/>
      <c r="X27" s="36"/>
      <c r="Y27" s="85"/>
      <c r="Z27" s="35"/>
      <c r="AA27" s="35"/>
      <c r="AB27" s="35"/>
      <c r="AC27" s="35"/>
      <c r="AD27" s="35"/>
      <c r="AE27" s="35"/>
      <c r="AF27" s="36"/>
      <c r="AG27" s="35"/>
      <c r="AH27" s="35"/>
      <c r="AI27" s="35"/>
      <c r="AJ27" s="35"/>
      <c r="AK27" s="35"/>
      <c r="AL27" s="35"/>
      <c r="AM27" s="35"/>
      <c r="AN27" s="35"/>
      <c r="AO27" s="36"/>
      <c r="AP27" s="36"/>
      <c r="AQ27" s="85"/>
      <c r="AR27" s="35"/>
      <c r="AS27" s="35"/>
      <c r="AT27" s="35"/>
      <c r="AU27" s="35"/>
      <c r="AV27" s="35"/>
      <c r="AW27" s="35"/>
      <c r="AX27" s="36"/>
      <c r="AY27" s="35"/>
      <c r="AZ27" s="35"/>
      <c r="BA27" s="35"/>
      <c r="BB27" s="35"/>
      <c r="BC27" s="35"/>
      <c r="BD27" s="35"/>
      <c r="BE27" s="35"/>
      <c r="BF27" s="35"/>
      <c r="BG27" s="36"/>
      <c r="BH27" s="36"/>
      <c r="BI27" s="85"/>
      <c r="BJ27" s="35"/>
      <c r="BK27" s="35"/>
      <c r="BL27" s="35"/>
      <c r="BM27" s="35"/>
      <c r="BN27" s="35"/>
      <c r="BO27" s="35"/>
      <c r="BP27" s="36"/>
      <c r="BQ27" s="35"/>
      <c r="BR27" s="35"/>
      <c r="BS27" s="35"/>
      <c r="BT27" s="35"/>
      <c r="BU27" s="35"/>
      <c r="BV27" s="35"/>
      <c r="BW27" s="35"/>
      <c r="BX27" s="35"/>
      <c r="BY27" s="36"/>
      <c r="BZ27" s="36"/>
      <c r="CA27" s="85"/>
      <c r="CB27" s="35"/>
      <c r="CC27" s="35"/>
      <c r="CD27" s="35"/>
      <c r="CE27" s="35"/>
      <c r="CF27" s="35"/>
      <c r="CG27" s="35"/>
      <c r="CH27" s="36"/>
      <c r="CI27" s="35"/>
      <c r="CJ27" s="35"/>
      <c r="CK27" s="35"/>
      <c r="CL27" s="35"/>
      <c r="CM27" s="35"/>
      <c r="CN27" s="35"/>
      <c r="CO27" s="35"/>
      <c r="CP27" s="35"/>
      <c r="CQ27" s="36"/>
      <c r="CR27" s="36">
        <v>96200</v>
      </c>
      <c r="CS27" s="85">
        <v>0</v>
      </c>
      <c r="CT27" s="35"/>
      <c r="CU27" s="35"/>
      <c r="CV27" s="35"/>
      <c r="CW27" s="35"/>
      <c r="CX27" s="35"/>
      <c r="CY27" s="35"/>
      <c r="CZ27" s="36"/>
      <c r="DA27" s="35"/>
      <c r="DB27" s="35"/>
      <c r="DC27" s="35"/>
      <c r="DD27" s="35"/>
      <c r="DE27" s="35"/>
      <c r="DF27" s="35"/>
      <c r="DG27" s="35"/>
      <c r="DH27" s="35"/>
      <c r="DI27" s="36"/>
      <c r="DJ27" s="36"/>
      <c r="DK27" s="85"/>
      <c r="DL27" s="35"/>
      <c r="DM27" s="35"/>
      <c r="DN27" s="35"/>
      <c r="DO27" s="35"/>
      <c r="DP27" s="35"/>
      <c r="DQ27" s="35"/>
      <c r="DR27" s="36"/>
      <c r="DS27" s="35"/>
      <c r="DT27" s="35"/>
      <c r="DU27" s="35"/>
      <c r="DV27" s="35"/>
      <c r="DW27" s="35"/>
      <c r="DX27" s="35"/>
      <c r="DY27" s="35"/>
      <c r="DZ27" s="35"/>
      <c r="EA27" s="36"/>
      <c r="EB27" s="36"/>
      <c r="EC27" s="85"/>
      <c r="ED27" s="35"/>
      <c r="EE27" s="35"/>
      <c r="EF27" s="35"/>
      <c r="EG27" s="35"/>
      <c r="EH27" s="35"/>
      <c r="EI27" s="35"/>
      <c r="EJ27" s="36"/>
      <c r="EK27" s="35"/>
      <c r="EL27" s="35"/>
      <c r="EM27" s="35"/>
      <c r="EN27" s="35"/>
      <c r="EO27" s="35"/>
      <c r="EP27" s="35"/>
      <c r="EQ27" s="35"/>
      <c r="ER27" s="35"/>
      <c r="ES27" s="36"/>
      <c r="ET27" s="36"/>
      <c r="EU27" s="85"/>
      <c r="EV27" s="35"/>
      <c r="EW27" s="35"/>
      <c r="EX27" s="35"/>
      <c r="EY27" s="35"/>
      <c r="EZ27" s="35"/>
      <c r="FA27" s="35"/>
      <c r="FB27" s="36"/>
      <c r="FC27" s="35"/>
      <c r="FD27" s="35"/>
      <c r="FE27" s="35"/>
      <c r="FF27" s="35"/>
      <c r="FG27" s="35"/>
      <c r="FH27" s="35"/>
      <c r="FI27" s="35"/>
      <c r="FJ27" s="35"/>
      <c r="FK27" s="36"/>
      <c r="FL27" s="36"/>
      <c r="FM27" s="85"/>
      <c r="FN27" s="35"/>
      <c r="FO27" s="35"/>
      <c r="FP27" s="35"/>
      <c r="FQ27" s="35"/>
      <c r="FR27" s="35"/>
      <c r="FS27" s="35"/>
      <c r="FT27" s="36"/>
      <c r="FU27" s="35"/>
      <c r="FV27" s="35"/>
      <c r="FW27" s="35"/>
      <c r="FX27" s="35"/>
      <c r="FY27" s="35"/>
      <c r="FZ27" s="35"/>
      <c r="GA27" s="35"/>
      <c r="GB27" s="35"/>
      <c r="GC27" s="36"/>
      <c r="GD27" s="36"/>
      <c r="GE27" s="85"/>
      <c r="GF27" s="35"/>
      <c r="GG27" s="35"/>
      <c r="GH27" s="35"/>
      <c r="GI27" s="35"/>
      <c r="GJ27" s="35"/>
      <c r="GK27" s="35"/>
      <c r="GL27" s="36"/>
      <c r="GM27" s="35"/>
      <c r="GN27" s="35"/>
      <c r="GO27" s="35"/>
      <c r="GP27" s="35"/>
      <c r="GQ27" s="35"/>
      <c r="GR27" s="35"/>
      <c r="GS27" s="35"/>
      <c r="GT27" s="35"/>
      <c r="GU27" s="36"/>
      <c r="GV27" s="36"/>
      <c r="GW27" s="85"/>
      <c r="GX27" s="35"/>
      <c r="GY27" s="35"/>
      <c r="GZ27" s="35"/>
      <c r="HA27" s="35"/>
      <c r="HB27" s="35"/>
      <c r="HC27" s="35"/>
      <c r="HD27" s="36"/>
      <c r="HE27" s="35"/>
      <c r="HF27" s="35"/>
      <c r="HG27" s="35"/>
      <c r="HH27" s="35"/>
      <c r="HI27" s="35"/>
      <c r="HJ27" s="35"/>
      <c r="HK27" s="35"/>
      <c r="HL27" s="35"/>
      <c r="HM27" s="36"/>
      <c r="HN27" s="36"/>
      <c r="HO27" s="85"/>
      <c r="HP27" s="35"/>
      <c r="HQ27" s="35"/>
      <c r="HR27" s="35"/>
      <c r="HS27" s="35"/>
      <c r="HT27" s="35"/>
      <c r="HU27" s="35"/>
      <c r="HV27" s="36"/>
      <c r="HW27" s="35"/>
      <c r="HX27" s="35"/>
      <c r="HY27" s="35"/>
      <c r="HZ27" s="35"/>
      <c r="IA27" s="35"/>
      <c r="IB27" s="35"/>
      <c r="IC27" s="35"/>
      <c r="ID27" s="35"/>
      <c r="IE27" s="36"/>
      <c r="IF27" s="36"/>
      <c r="IG27" s="85"/>
      <c r="IH27" s="35"/>
      <c r="II27" s="35"/>
      <c r="IJ27" s="35"/>
      <c r="IK27" s="35"/>
      <c r="IL27" s="35"/>
      <c r="IM27" s="35"/>
      <c r="IN27" s="36"/>
      <c r="IO27" s="35"/>
      <c r="IP27" s="35"/>
      <c r="IQ27" s="35"/>
      <c r="IR27" s="35"/>
      <c r="IS27" s="35"/>
      <c r="IT27" s="35"/>
      <c r="IU27" s="35"/>
      <c r="IV27" s="35"/>
      <c r="IW27" s="36"/>
      <c r="IX27" s="36"/>
      <c r="IY27" s="85"/>
      <c r="IZ27" s="35"/>
      <c r="JA27" s="35"/>
      <c r="JB27" s="35"/>
      <c r="JC27" s="35"/>
      <c r="JD27" s="35"/>
      <c r="JE27" s="35"/>
      <c r="JF27" s="36"/>
      <c r="JG27" s="35"/>
      <c r="JH27" s="35"/>
      <c r="JI27" s="35"/>
      <c r="JJ27" s="35"/>
      <c r="JK27" s="35"/>
      <c r="JL27" s="35"/>
      <c r="JM27" s="35"/>
      <c r="JN27" s="35"/>
      <c r="JO27" s="36"/>
      <c r="JP27" s="36"/>
      <c r="JQ27" s="85"/>
      <c r="JR27" s="35"/>
      <c r="JS27" s="35"/>
      <c r="JT27" s="35"/>
      <c r="JU27" s="35"/>
      <c r="JV27" s="35"/>
      <c r="JW27" s="35"/>
      <c r="JX27" s="36"/>
      <c r="JY27" s="35"/>
      <c r="JZ27" s="35"/>
      <c r="KA27" s="35"/>
      <c r="KB27" s="35"/>
      <c r="KC27" s="35"/>
      <c r="KD27" s="35"/>
      <c r="KE27" s="35"/>
      <c r="KF27" s="35"/>
      <c r="KG27" s="36"/>
      <c r="KH27" s="36"/>
      <c r="KI27" s="85"/>
      <c r="KJ27" s="35"/>
      <c r="KK27" s="35"/>
      <c r="KL27" s="35"/>
      <c r="KM27" s="35"/>
      <c r="KN27" s="35"/>
      <c r="KO27" s="35"/>
      <c r="KP27" s="36"/>
      <c r="KQ27" s="35"/>
      <c r="KR27" s="35"/>
      <c r="KS27" s="35"/>
      <c r="KT27" s="35"/>
      <c r="KU27" s="35"/>
      <c r="KV27" s="35"/>
      <c r="KW27" s="35"/>
      <c r="KX27" s="35"/>
      <c r="KY27" s="36"/>
      <c r="KZ27" s="36"/>
      <c r="LA27" s="85"/>
      <c r="LB27" s="35"/>
      <c r="LC27" s="35"/>
      <c r="LD27" s="35"/>
      <c r="LE27" s="35"/>
      <c r="LF27" s="35"/>
      <c r="LG27" s="35"/>
      <c r="LH27" s="36"/>
      <c r="LI27" s="35"/>
      <c r="LJ27" s="35"/>
      <c r="LK27" s="35"/>
      <c r="LL27" s="35"/>
      <c r="LM27" s="35"/>
      <c r="LN27" s="35"/>
      <c r="LO27" s="35"/>
      <c r="LP27" s="35"/>
      <c r="LQ27" s="36"/>
      <c r="LR27" s="36"/>
      <c r="LS27" s="85"/>
      <c r="LT27" s="35"/>
      <c r="LU27" s="35"/>
      <c r="LV27" s="35"/>
      <c r="LW27" s="35"/>
      <c r="LX27" s="35"/>
      <c r="LY27" s="35"/>
      <c r="LZ27" s="36"/>
      <c r="MA27" s="35"/>
      <c r="MB27" s="35"/>
      <c r="MC27" s="35"/>
      <c r="MD27" s="35"/>
      <c r="ME27" s="35"/>
      <c r="MF27" s="35"/>
      <c r="MG27" s="35"/>
      <c r="MH27" s="35"/>
      <c r="MI27" s="36"/>
      <c r="MJ27" s="36"/>
      <c r="MK27" s="85"/>
      <c r="ML27" s="35"/>
      <c r="MM27" s="35"/>
      <c r="MN27" s="35"/>
      <c r="MO27" s="35"/>
      <c r="MP27" s="35"/>
      <c r="MQ27" s="35"/>
      <c r="MR27" s="36"/>
      <c r="MS27" s="35"/>
      <c r="MT27" s="35"/>
      <c r="MU27" s="35"/>
      <c r="MV27" s="35"/>
      <c r="MW27" s="35"/>
      <c r="MX27" s="35"/>
      <c r="MY27" s="35"/>
      <c r="MZ27" s="35"/>
      <c r="NA27" s="36"/>
      <c r="NB27" s="36"/>
      <c r="NC27" s="85"/>
      <c r="ND27" s="35"/>
      <c r="NE27" s="35"/>
      <c r="NF27" s="35"/>
      <c r="NG27" s="35"/>
      <c r="NH27" s="35"/>
      <c r="NI27" s="35"/>
      <c r="NJ27" s="36"/>
      <c r="NK27" s="35"/>
      <c r="NL27" s="35"/>
      <c r="NM27" s="35"/>
      <c r="NN27" s="35"/>
      <c r="NO27" s="35"/>
      <c r="NP27" s="35"/>
      <c r="NQ27" s="35"/>
      <c r="NR27" s="35"/>
      <c r="NS27" s="36"/>
      <c r="NT27" s="36"/>
      <c r="NU27" s="85"/>
      <c r="NV27" s="35"/>
      <c r="NW27" s="35"/>
      <c r="NX27" s="35"/>
      <c r="NY27" s="35"/>
      <c r="NZ27" s="35"/>
      <c r="OA27" s="35"/>
      <c r="OB27" s="36"/>
      <c r="OC27" s="35"/>
      <c r="OD27" s="35"/>
      <c r="OE27" s="35"/>
      <c r="OF27" s="35"/>
      <c r="OG27" s="35"/>
      <c r="OH27" s="35"/>
      <c r="OI27" s="35"/>
      <c r="OJ27" s="35"/>
      <c r="OK27" s="36"/>
      <c r="OL27" s="36"/>
      <c r="OM27" s="85"/>
      <c r="ON27" s="35"/>
      <c r="OO27" s="35"/>
      <c r="OP27" s="35"/>
      <c r="OQ27" s="35"/>
      <c r="OR27" s="35"/>
      <c r="OS27" s="35"/>
      <c r="OT27" s="36"/>
      <c r="OU27" s="35"/>
      <c r="OV27" s="35"/>
      <c r="OW27" s="35"/>
      <c r="OX27" s="35"/>
      <c r="OY27" s="35"/>
      <c r="OZ27" s="35"/>
      <c r="PA27" s="35"/>
      <c r="PB27" s="35"/>
      <c r="PC27" s="36"/>
      <c r="PD27" s="36"/>
      <c r="PE27" s="85"/>
      <c r="PF27" s="35"/>
      <c r="PG27" s="35"/>
      <c r="PH27" s="35"/>
      <c r="PI27" s="35"/>
      <c r="PJ27" s="35"/>
      <c r="PK27" s="35"/>
      <c r="PL27" s="36"/>
      <c r="PM27" s="35"/>
      <c r="PN27" s="35"/>
      <c r="PO27" s="35"/>
      <c r="PP27" s="35"/>
      <c r="PQ27" s="35"/>
      <c r="PR27" s="35"/>
      <c r="PS27" s="35"/>
      <c r="PT27" s="35"/>
      <c r="PU27" s="36"/>
      <c r="PV27" s="36"/>
      <c r="PW27" s="85"/>
      <c r="PX27" s="35"/>
      <c r="PY27" s="35"/>
      <c r="PZ27" s="35"/>
      <c r="QA27" s="35"/>
      <c r="QB27" s="35"/>
      <c r="QC27" s="35"/>
      <c r="QD27" s="36"/>
      <c r="QE27" s="35"/>
      <c r="QF27" s="35"/>
      <c r="QG27" s="35"/>
      <c r="QH27" s="35"/>
      <c r="QI27" s="35"/>
      <c r="QJ27" s="35"/>
      <c r="QK27" s="35"/>
      <c r="QL27" s="35"/>
      <c r="QM27" s="36"/>
      <c r="QN27" s="36"/>
      <c r="QO27" s="85"/>
    </row>
    <row r="28" spans="1:457" x14ac:dyDescent="0.25">
      <c r="A28" s="8" t="s">
        <v>40</v>
      </c>
      <c r="B28" s="173" t="s">
        <v>41</v>
      </c>
      <c r="C28" s="13" t="s">
        <v>42</v>
      </c>
      <c r="F28" s="36">
        <v>1780545300</v>
      </c>
      <c r="G28" s="35"/>
      <c r="H28" s="35"/>
      <c r="I28" s="35">
        <v>786291578.95000005</v>
      </c>
      <c r="J28" s="35">
        <v>746977000</v>
      </c>
      <c r="K28" s="35">
        <v>39314578.950000003</v>
      </c>
      <c r="L28" s="35">
        <v>746977000</v>
      </c>
      <c r="M28" s="35"/>
      <c r="N28" s="36"/>
      <c r="O28" s="35">
        <v>786291578.95000005</v>
      </c>
      <c r="P28" s="35">
        <v>746977000</v>
      </c>
      <c r="Q28" s="35"/>
      <c r="R28" s="35">
        <v>39314578.950000003</v>
      </c>
      <c r="S28" s="35">
        <v>5</v>
      </c>
      <c r="T28" s="35"/>
      <c r="U28" s="35"/>
      <c r="V28" s="35">
        <v>746977000</v>
      </c>
      <c r="W28" s="36"/>
      <c r="X28" s="36">
        <v>746977000</v>
      </c>
      <c r="Y28" s="85">
        <v>746977000</v>
      </c>
      <c r="Z28" s="35"/>
      <c r="AA28" s="35">
        <v>178450631.58000001</v>
      </c>
      <c r="AB28" s="35">
        <v>169528100</v>
      </c>
      <c r="AC28" s="35">
        <v>8922531.5800000001</v>
      </c>
      <c r="AD28" s="35">
        <v>169528100</v>
      </c>
      <c r="AE28" s="35"/>
      <c r="AF28" s="36"/>
      <c r="AG28" s="35">
        <v>178450631.58000001</v>
      </c>
      <c r="AH28" s="35">
        <v>169528100</v>
      </c>
      <c r="AI28" s="35"/>
      <c r="AJ28" s="35">
        <v>8922531.5800000001</v>
      </c>
      <c r="AK28" s="35">
        <v>5</v>
      </c>
      <c r="AL28" s="35"/>
      <c r="AM28" s="35"/>
      <c r="AN28" s="35">
        <v>169528100</v>
      </c>
      <c r="AO28" s="36"/>
      <c r="AP28" s="36">
        <v>169528100</v>
      </c>
      <c r="AQ28" s="85">
        <v>169528100</v>
      </c>
      <c r="AR28" s="35"/>
      <c r="AS28" s="35">
        <v>82311369</v>
      </c>
      <c r="AT28" s="35">
        <v>78195800</v>
      </c>
      <c r="AU28" s="35">
        <v>4115569</v>
      </c>
      <c r="AV28" s="35">
        <v>78195800</v>
      </c>
      <c r="AW28" s="35"/>
      <c r="AX28" s="36"/>
      <c r="AY28" s="35">
        <v>82311369</v>
      </c>
      <c r="AZ28" s="35">
        <v>78195800</v>
      </c>
      <c r="BA28" s="35"/>
      <c r="BB28" s="35">
        <v>4115569</v>
      </c>
      <c r="BC28" s="35">
        <v>5</v>
      </c>
      <c r="BD28" s="35"/>
      <c r="BE28" s="35"/>
      <c r="BF28" s="35">
        <v>78195800</v>
      </c>
      <c r="BG28" s="36"/>
      <c r="BH28" s="36">
        <v>78195800</v>
      </c>
      <c r="BI28" s="85">
        <v>78195800</v>
      </c>
      <c r="BJ28" s="35"/>
      <c r="BK28" s="35"/>
      <c r="BL28" s="35"/>
      <c r="BM28" s="35"/>
      <c r="BN28" s="35"/>
      <c r="BO28" s="35"/>
      <c r="BP28" s="36"/>
      <c r="BQ28" s="35"/>
      <c r="BR28" s="35"/>
      <c r="BS28" s="35"/>
      <c r="BT28" s="35"/>
      <c r="BU28" s="35"/>
      <c r="BV28" s="35"/>
      <c r="BW28" s="35"/>
      <c r="BX28" s="35"/>
      <c r="BY28" s="36"/>
      <c r="BZ28" s="36"/>
      <c r="CA28" s="85"/>
      <c r="CB28" s="35"/>
      <c r="CC28" s="35">
        <v>294062737</v>
      </c>
      <c r="CD28" s="35">
        <v>279359600</v>
      </c>
      <c r="CE28" s="35">
        <v>14703137</v>
      </c>
      <c r="CF28" s="35">
        <v>279359600</v>
      </c>
      <c r="CG28" s="35"/>
      <c r="CH28" s="36"/>
      <c r="CI28" s="35">
        <v>294062737</v>
      </c>
      <c r="CJ28" s="35">
        <v>279359600</v>
      </c>
      <c r="CK28" s="35"/>
      <c r="CL28" s="35">
        <v>14703137</v>
      </c>
      <c r="CM28" s="35">
        <v>5</v>
      </c>
      <c r="CN28" s="35"/>
      <c r="CO28" s="35"/>
      <c r="CP28" s="35">
        <v>279359600</v>
      </c>
      <c r="CQ28" s="36"/>
      <c r="CR28" s="36">
        <v>279359600</v>
      </c>
      <c r="CS28" s="85">
        <v>279359600</v>
      </c>
      <c r="CT28" s="35"/>
      <c r="CU28" s="35">
        <v>506758843</v>
      </c>
      <c r="CV28" s="35">
        <v>481420900</v>
      </c>
      <c r="CW28" s="35">
        <v>25337943</v>
      </c>
      <c r="CX28" s="35">
        <v>481420900</v>
      </c>
      <c r="CY28" s="35"/>
      <c r="CZ28" s="36"/>
      <c r="DA28" s="35">
        <v>506758843</v>
      </c>
      <c r="DB28" s="35">
        <v>481420900</v>
      </c>
      <c r="DC28" s="35"/>
      <c r="DD28" s="35">
        <v>25337943</v>
      </c>
      <c r="DE28" s="35">
        <v>5</v>
      </c>
      <c r="DF28" s="35"/>
      <c r="DG28" s="35"/>
      <c r="DH28" s="35">
        <v>481420900</v>
      </c>
      <c r="DI28" s="36"/>
      <c r="DJ28" s="36">
        <v>481420900</v>
      </c>
      <c r="DK28" s="85">
        <v>481420900</v>
      </c>
      <c r="DL28" s="35"/>
      <c r="DM28" s="35"/>
      <c r="DN28" s="35"/>
      <c r="DO28" s="35"/>
      <c r="DP28" s="35"/>
      <c r="DQ28" s="35"/>
      <c r="DR28" s="36"/>
      <c r="DS28" s="35"/>
      <c r="DT28" s="35"/>
      <c r="DU28" s="35"/>
      <c r="DV28" s="35"/>
      <c r="DW28" s="35"/>
      <c r="DX28" s="35"/>
      <c r="DY28" s="35"/>
      <c r="DZ28" s="35"/>
      <c r="EA28" s="36"/>
      <c r="EB28" s="36"/>
      <c r="EC28" s="85"/>
      <c r="ED28" s="35"/>
      <c r="EE28" s="35"/>
      <c r="EF28" s="35"/>
      <c r="EG28" s="35"/>
      <c r="EH28" s="35"/>
      <c r="EI28" s="35"/>
      <c r="EJ28" s="36"/>
      <c r="EK28" s="35"/>
      <c r="EL28" s="35"/>
      <c r="EM28" s="35"/>
      <c r="EN28" s="35"/>
      <c r="EO28" s="35"/>
      <c r="EP28" s="35"/>
      <c r="EQ28" s="35"/>
      <c r="ER28" s="35"/>
      <c r="ES28" s="36"/>
      <c r="ET28" s="36"/>
      <c r="EU28" s="85"/>
      <c r="EV28" s="35"/>
      <c r="EW28" s="35"/>
      <c r="EX28" s="35"/>
      <c r="EY28" s="35"/>
      <c r="EZ28" s="35"/>
      <c r="FA28" s="35"/>
      <c r="FB28" s="36"/>
      <c r="FC28" s="35"/>
      <c r="FD28" s="35"/>
      <c r="FE28" s="35"/>
      <c r="FF28" s="35"/>
      <c r="FG28" s="35"/>
      <c r="FH28" s="35"/>
      <c r="FI28" s="35"/>
      <c r="FJ28" s="35"/>
      <c r="FK28" s="36"/>
      <c r="FL28" s="36"/>
      <c r="FM28" s="85"/>
      <c r="FN28" s="35"/>
      <c r="FO28" s="35">
        <v>1300000</v>
      </c>
      <c r="FP28" s="35">
        <v>1170000</v>
      </c>
      <c r="FQ28" s="35">
        <v>130000</v>
      </c>
      <c r="FR28" s="35">
        <v>208092.57</v>
      </c>
      <c r="FS28" s="35"/>
      <c r="FT28" s="36"/>
      <c r="FU28" s="35">
        <v>231213.97</v>
      </c>
      <c r="FV28" s="35">
        <v>208092.57</v>
      </c>
      <c r="FW28" s="35"/>
      <c r="FX28" s="35">
        <v>23121.4</v>
      </c>
      <c r="FY28" s="35">
        <v>10</v>
      </c>
      <c r="FZ28" s="35"/>
      <c r="GA28" s="35"/>
      <c r="GB28" s="35">
        <v>208092.57</v>
      </c>
      <c r="GC28" s="36"/>
      <c r="GD28" s="36">
        <v>1170000</v>
      </c>
      <c r="GE28" s="85">
        <v>1170000</v>
      </c>
      <c r="GF28" s="35"/>
      <c r="GG28" s="35">
        <v>10032000</v>
      </c>
      <c r="GH28" s="35">
        <v>3894100</v>
      </c>
      <c r="GI28" s="35">
        <v>6137900</v>
      </c>
      <c r="GJ28" s="35">
        <v>3894100</v>
      </c>
      <c r="GK28" s="35"/>
      <c r="GL28" s="36"/>
      <c r="GM28" s="35">
        <v>10032000</v>
      </c>
      <c r="GN28" s="35">
        <v>3894100</v>
      </c>
      <c r="GO28" s="35"/>
      <c r="GP28" s="35">
        <v>6137900</v>
      </c>
      <c r="GQ28" s="35">
        <v>61.183210000000003</v>
      </c>
      <c r="GR28" s="35"/>
      <c r="GS28" s="35"/>
      <c r="GT28" s="35">
        <v>3894100</v>
      </c>
      <c r="GU28" s="36"/>
      <c r="GV28" s="36">
        <v>3894100</v>
      </c>
      <c r="GW28" s="85">
        <v>3894100</v>
      </c>
      <c r="GX28" s="35"/>
      <c r="GY28" s="35"/>
      <c r="GZ28" s="35"/>
      <c r="HA28" s="35"/>
      <c r="HB28" s="35"/>
      <c r="HC28" s="35"/>
      <c r="HD28" s="36"/>
      <c r="HE28" s="35"/>
      <c r="HF28" s="35"/>
      <c r="HG28" s="35"/>
      <c r="HH28" s="35"/>
      <c r="HI28" s="35"/>
      <c r="HJ28" s="35"/>
      <c r="HK28" s="35"/>
      <c r="HL28" s="35"/>
      <c r="HM28" s="36"/>
      <c r="HN28" s="36"/>
      <c r="HO28" s="85"/>
      <c r="HP28" s="35"/>
      <c r="HQ28" s="35">
        <v>26520600</v>
      </c>
      <c r="HR28" s="35">
        <v>18564400</v>
      </c>
      <c r="HS28" s="35">
        <v>7956200</v>
      </c>
      <c r="HT28" s="35">
        <v>16989735.620000001</v>
      </c>
      <c r="HU28" s="35"/>
      <c r="HV28" s="36"/>
      <c r="HW28" s="35">
        <v>24271077.93</v>
      </c>
      <c r="HX28" s="35">
        <v>16989735.620000001</v>
      </c>
      <c r="HY28" s="35"/>
      <c r="HZ28" s="35">
        <v>7281342.3099999996</v>
      </c>
      <c r="IA28" s="35">
        <v>30.000080000000001</v>
      </c>
      <c r="IB28" s="35"/>
      <c r="IC28" s="35"/>
      <c r="ID28" s="35">
        <v>16989735.620000001</v>
      </c>
      <c r="IE28" s="36"/>
      <c r="IF28" s="36">
        <v>18564400</v>
      </c>
      <c r="IG28" s="85">
        <v>18564400</v>
      </c>
      <c r="IH28" s="35"/>
      <c r="II28" s="35"/>
      <c r="IJ28" s="35"/>
      <c r="IK28" s="35"/>
      <c r="IL28" s="35"/>
      <c r="IM28" s="35"/>
      <c r="IN28" s="36"/>
      <c r="IO28" s="35"/>
      <c r="IP28" s="35"/>
      <c r="IQ28" s="35"/>
      <c r="IR28" s="35"/>
      <c r="IS28" s="35"/>
      <c r="IT28" s="35"/>
      <c r="IU28" s="35"/>
      <c r="IV28" s="35"/>
      <c r="IW28" s="36"/>
      <c r="IX28" s="36"/>
      <c r="IY28" s="85"/>
      <c r="IZ28" s="35"/>
      <c r="JA28" s="35"/>
      <c r="JB28" s="35"/>
      <c r="JC28" s="35"/>
      <c r="JD28" s="35"/>
      <c r="JE28" s="35"/>
      <c r="JF28" s="36"/>
      <c r="JG28" s="35"/>
      <c r="JH28" s="35"/>
      <c r="JI28" s="35"/>
      <c r="JJ28" s="35"/>
      <c r="JK28" s="35"/>
      <c r="JL28" s="35"/>
      <c r="JM28" s="35"/>
      <c r="JN28" s="35"/>
      <c r="JO28" s="36"/>
      <c r="JP28" s="36"/>
      <c r="JQ28" s="85"/>
      <c r="JR28" s="35"/>
      <c r="JS28" s="35"/>
      <c r="JT28" s="35"/>
      <c r="JU28" s="35"/>
      <c r="JV28" s="35"/>
      <c r="JW28" s="35"/>
      <c r="JX28" s="36"/>
      <c r="JY28" s="35"/>
      <c r="JZ28" s="35"/>
      <c r="KA28" s="35"/>
      <c r="KB28" s="35"/>
      <c r="KC28" s="35"/>
      <c r="KD28" s="35"/>
      <c r="KE28" s="35"/>
      <c r="KF28" s="35"/>
      <c r="KG28" s="36"/>
      <c r="KH28" s="36"/>
      <c r="KI28" s="85"/>
      <c r="KJ28" s="35"/>
      <c r="KK28" s="35"/>
      <c r="KL28" s="35"/>
      <c r="KM28" s="35"/>
      <c r="KN28" s="35"/>
      <c r="KO28" s="35"/>
      <c r="KP28" s="36"/>
      <c r="KQ28" s="35"/>
      <c r="KR28" s="35"/>
      <c r="KS28" s="35"/>
      <c r="KT28" s="35"/>
      <c r="KU28" s="35"/>
      <c r="KV28" s="35"/>
      <c r="KW28" s="35"/>
      <c r="KX28" s="35"/>
      <c r="KY28" s="36"/>
      <c r="KZ28" s="36"/>
      <c r="LA28" s="85"/>
      <c r="LB28" s="35"/>
      <c r="LC28" s="35"/>
      <c r="LD28" s="35"/>
      <c r="LE28" s="35"/>
      <c r="LF28" s="35"/>
      <c r="LG28" s="35"/>
      <c r="LH28" s="36"/>
      <c r="LI28" s="35"/>
      <c r="LJ28" s="35"/>
      <c r="LK28" s="35"/>
      <c r="LL28" s="35"/>
      <c r="LM28" s="35"/>
      <c r="LN28" s="35"/>
      <c r="LO28" s="35"/>
      <c r="LP28" s="35"/>
      <c r="LQ28" s="36"/>
      <c r="LR28" s="36"/>
      <c r="LS28" s="85"/>
      <c r="LT28" s="35"/>
      <c r="LU28" s="35">
        <v>5176400</v>
      </c>
      <c r="LV28" s="35">
        <v>1159400</v>
      </c>
      <c r="LW28" s="35">
        <v>4017000</v>
      </c>
      <c r="LX28" s="35">
        <v>1147215.57</v>
      </c>
      <c r="LY28" s="35"/>
      <c r="LZ28" s="36"/>
      <c r="MA28" s="35">
        <v>5122000</v>
      </c>
      <c r="MB28" s="35">
        <v>1147215.57</v>
      </c>
      <c r="MC28" s="35"/>
      <c r="MD28" s="35">
        <v>3974784.43</v>
      </c>
      <c r="ME28" s="35">
        <v>77.602199999999996</v>
      </c>
      <c r="MF28" s="35"/>
      <c r="MG28" s="35"/>
      <c r="MH28" s="35">
        <v>1147215.57</v>
      </c>
      <c r="MI28" s="36"/>
      <c r="MJ28" s="36">
        <v>1159400</v>
      </c>
      <c r="MK28" s="85">
        <v>1159400</v>
      </c>
      <c r="ML28" s="35"/>
      <c r="MM28" s="35"/>
      <c r="MN28" s="35"/>
      <c r="MO28" s="35"/>
      <c r="MP28" s="35"/>
      <c r="MQ28" s="35"/>
      <c r="MR28" s="36"/>
      <c r="MS28" s="35"/>
      <c r="MT28" s="35"/>
      <c r="MU28" s="35"/>
      <c r="MV28" s="35"/>
      <c r="MW28" s="35"/>
      <c r="MX28" s="35"/>
      <c r="MY28" s="35"/>
      <c r="MZ28" s="35"/>
      <c r="NA28" s="36"/>
      <c r="NB28" s="36"/>
      <c r="NC28" s="85"/>
      <c r="ND28" s="35"/>
      <c r="NE28" s="35"/>
      <c r="NF28" s="35"/>
      <c r="NG28" s="35"/>
      <c r="NH28" s="35"/>
      <c r="NI28" s="35"/>
      <c r="NJ28" s="36"/>
      <c r="NK28" s="35"/>
      <c r="NL28" s="35"/>
      <c r="NM28" s="35"/>
      <c r="NN28" s="35"/>
      <c r="NO28" s="35"/>
      <c r="NP28" s="35"/>
      <c r="NQ28" s="35"/>
      <c r="NR28" s="35"/>
      <c r="NS28" s="36"/>
      <c r="NT28" s="36"/>
      <c r="NU28" s="85"/>
      <c r="NV28" s="35"/>
      <c r="NW28" s="35"/>
      <c r="NX28" s="35"/>
      <c r="NY28" s="35"/>
      <c r="NZ28" s="35"/>
      <c r="OA28" s="35"/>
      <c r="OB28" s="36"/>
      <c r="OC28" s="35"/>
      <c r="OD28" s="35"/>
      <c r="OE28" s="35"/>
      <c r="OF28" s="35"/>
      <c r="OG28" s="35"/>
      <c r="OH28" s="35"/>
      <c r="OI28" s="35"/>
      <c r="OJ28" s="35"/>
      <c r="OK28" s="36"/>
      <c r="OL28" s="36"/>
      <c r="OM28" s="85"/>
      <c r="ON28" s="35"/>
      <c r="OO28" s="35">
        <v>726000</v>
      </c>
      <c r="OP28" s="35">
        <v>276000</v>
      </c>
      <c r="OQ28" s="35">
        <v>450000</v>
      </c>
      <c r="OR28" s="35">
        <v>276000</v>
      </c>
      <c r="OS28" s="35"/>
      <c r="OT28" s="36"/>
      <c r="OU28" s="35">
        <v>726000</v>
      </c>
      <c r="OV28" s="35">
        <v>276000</v>
      </c>
      <c r="OW28" s="35"/>
      <c r="OX28" s="35">
        <v>450000</v>
      </c>
      <c r="OY28" s="35">
        <v>61.983469999999997</v>
      </c>
      <c r="OZ28" s="35"/>
      <c r="PA28" s="35"/>
      <c r="PB28" s="35">
        <v>276000</v>
      </c>
      <c r="PC28" s="36"/>
      <c r="PD28" s="36">
        <v>276000</v>
      </c>
      <c r="PE28" s="85">
        <v>276000</v>
      </c>
      <c r="PF28" s="35"/>
      <c r="PG28" s="35"/>
      <c r="PH28" s="35"/>
      <c r="PI28" s="35"/>
      <c r="PJ28" s="35"/>
      <c r="PK28" s="35"/>
      <c r="PL28" s="36"/>
      <c r="PM28" s="35"/>
      <c r="PN28" s="35"/>
      <c r="PO28" s="35"/>
      <c r="PP28" s="35"/>
      <c r="PQ28" s="35"/>
      <c r="PR28" s="35"/>
      <c r="PS28" s="35"/>
      <c r="PT28" s="35"/>
      <c r="PU28" s="36"/>
      <c r="PV28" s="36"/>
      <c r="PW28" s="85"/>
      <c r="PX28" s="35"/>
      <c r="PY28" s="35"/>
      <c r="PZ28" s="35"/>
      <c r="QA28" s="35"/>
      <c r="QB28" s="35"/>
      <c r="QC28" s="35">
        <v>13357171.060000001</v>
      </c>
      <c r="QD28" s="36"/>
      <c r="QE28" s="35"/>
      <c r="QF28" s="35"/>
      <c r="QG28" s="35"/>
      <c r="QH28" s="35"/>
      <c r="QI28" s="35"/>
      <c r="QJ28" s="35">
        <v>13354629.16</v>
      </c>
      <c r="QK28" s="35">
        <v>2541.9</v>
      </c>
      <c r="QL28" s="35"/>
      <c r="QM28" s="36"/>
      <c r="QN28" s="36"/>
      <c r="QO28" s="85"/>
    </row>
    <row r="29" spans="1:457" x14ac:dyDescent="0.25">
      <c r="A29" s="8" t="s">
        <v>43</v>
      </c>
      <c r="B29" s="172" t="s">
        <v>44</v>
      </c>
      <c r="C29" s="13" t="s">
        <v>45</v>
      </c>
      <c r="F29" s="36">
        <v>1820240100</v>
      </c>
      <c r="G29" s="35"/>
      <c r="H29" s="35"/>
      <c r="I29" s="35">
        <v>928210631.58000004</v>
      </c>
      <c r="J29" s="35">
        <v>881800100</v>
      </c>
      <c r="K29" s="35">
        <v>46410531.579999998</v>
      </c>
      <c r="L29" s="35">
        <v>881800100</v>
      </c>
      <c r="M29" s="35"/>
      <c r="N29" s="36"/>
      <c r="O29" s="35">
        <v>928210631.58000004</v>
      </c>
      <c r="P29" s="35">
        <v>881800100</v>
      </c>
      <c r="Q29" s="35"/>
      <c r="R29" s="35">
        <v>46410531.579999998</v>
      </c>
      <c r="S29" s="35">
        <v>5</v>
      </c>
      <c r="T29" s="35"/>
      <c r="U29" s="35"/>
      <c r="V29" s="35">
        <v>881800100</v>
      </c>
      <c r="W29" s="36"/>
      <c r="X29" s="36">
        <v>881800100</v>
      </c>
      <c r="Y29" s="85">
        <v>881800100</v>
      </c>
      <c r="Z29" s="35"/>
      <c r="AA29" s="35">
        <v>57430421.060000002</v>
      </c>
      <c r="AB29" s="35">
        <v>54558900</v>
      </c>
      <c r="AC29" s="35">
        <v>2871521.06</v>
      </c>
      <c r="AD29" s="35">
        <v>54558900</v>
      </c>
      <c r="AE29" s="35"/>
      <c r="AF29" s="36"/>
      <c r="AG29" s="35">
        <v>57430421.060000002</v>
      </c>
      <c r="AH29" s="35">
        <v>54558900</v>
      </c>
      <c r="AI29" s="35"/>
      <c r="AJ29" s="35">
        <v>2871521.06</v>
      </c>
      <c r="AK29" s="35">
        <v>5</v>
      </c>
      <c r="AL29" s="35"/>
      <c r="AM29" s="35"/>
      <c r="AN29" s="35">
        <v>54558900</v>
      </c>
      <c r="AO29" s="36"/>
      <c r="AP29" s="36">
        <v>54558900</v>
      </c>
      <c r="AQ29" s="85">
        <v>54558900</v>
      </c>
      <c r="AR29" s="35"/>
      <c r="AS29" s="35">
        <v>293364300</v>
      </c>
      <c r="AT29" s="35">
        <v>228364300</v>
      </c>
      <c r="AU29" s="35">
        <v>65000000</v>
      </c>
      <c r="AV29" s="35">
        <v>228364300</v>
      </c>
      <c r="AW29" s="35"/>
      <c r="AX29" s="36"/>
      <c r="AY29" s="35">
        <v>293364300</v>
      </c>
      <c r="AZ29" s="35">
        <v>228364300</v>
      </c>
      <c r="BA29" s="35"/>
      <c r="BB29" s="35">
        <v>65000000</v>
      </c>
      <c r="BC29" s="35">
        <v>22.156749999999999</v>
      </c>
      <c r="BD29" s="35"/>
      <c r="BE29" s="35"/>
      <c r="BF29" s="35">
        <v>228364300</v>
      </c>
      <c r="BG29" s="36"/>
      <c r="BH29" s="36">
        <v>228364300</v>
      </c>
      <c r="BI29" s="85">
        <v>228364300</v>
      </c>
      <c r="BJ29" s="35"/>
      <c r="BK29" s="35"/>
      <c r="BL29" s="35"/>
      <c r="BM29" s="35"/>
      <c r="BN29" s="35"/>
      <c r="BO29" s="35"/>
      <c r="BP29" s="36"/>
      <c r="BQ29" s="35"/>
      <c r="BR29" s="35"/>
      <c r="BS29" s="35"/>
      <c r="BT29" s="35"/>
      <c r="BU29" s="35"/>
      <c r="BV29" s="35"/>
      <c r="BW29" s="35"/>
      <c r="BX29" s="35"/>
      <c r="BY29" s="36"/>
      <c r="BZ29" s="36"/>
      <c r="CA29" s="85"/>
      <c r="CB29" s="35"/>
      <c r="CC29" s="35">
        <v>252129000</v>
      </c>
      <c r="CD29" s="35">
        <v>196629000</v>
      </c>
      <c r="CE29" s="35">
        <v>55500000</v>
      </c>
      <c r="CF29" s="35">
        <v>196629000</v>
      </c>
      <c r="CG29" s="35"/>
      <c r="CH29" s="36"/>
      <c r="CI29" s="35">
        <v>252129000</v>
      </c>
      <c r="CJ29" s="35">
        <v>196629000</v>
      </c>
      <c r="CK29" s="35"/>
      <c r="CL29" s="35">
        <v>55500000</v>
      </c>
      <c r="CM29" s="35">
        <v>22.012540000000001</v>
      </c>
      <c r="CN29" s="35"/>
      <c r="CO29" s="35"/>
      <c r="CP29" s="35">
        <v>196629000</v>
      </c>
      <c r="CQ29" s="36"/>
      <c r="CR29" s="36">
        <v>196629000</v>
      </c>
      <c r="CS29" s="85">
        <v>196629000</v>
      </c>
      <c r="CT29" s="35"/>
      <c r="CU29" s="35">
        <v>308678000</v>
      </c>
      <c r="CV29" s="35">
        <v>293244100</v>
      </c>
      <c r="CW29" s="35">
        <v>15433900</v>
      </c>
      <c r="CX29" s="35">
        <v>293229034.44999999</v>
      </c>
      <c r="CY29" s="35"/>
      <c r="CZ29" s="36"/>
      <c r="DA29" s="35">
        <v>308662141.5</v>
      </c>
      <c r="DB29" s="35">
        <v>293229034.44999999</v>
      </c>
      <c r="DC29" s="35"/>
      <c r="DD29" s="35">
        <v>15433107.050000001</v>
      </c>
      <c r="DE29" s="35">
        <v>5</v>
      </c>
      <c r="DF29" s="35"/>
      <c r="DG29" s="35"/>
      <c r="DH29" s="35">
        <v>293229034.44999999</v>
      </c>
      <c r="DI29" s="36"/>
      <c r="DJ29" s="36">
        <v>293244100</v>
      </c>
      <c r="DK29" s="85">
        <v>293244100</v>
      </c>
      <c r="DL29" s="35"/>
      <c r="DM29" s="35"/>
      <c r="DN29" s="35"/>
      <c r="DO29" s="35"/>
      <c r="DP29" s="35"/>
      <c r="DQ29" s="35"/>
      <c r="DR29" s="36"/>
      <c r="DS29" s="35"/>
      <c r="DT29" s="35"/>
      <c r="DU29" s="35"/>
      <c r="DV29" s="35"/>
      <c r="DW29" s="35"/>
      <c r="DX29" s="35"/>
      <c r="DY29" s="35"/>
      <c r="DZ29" s="35"/>
      <c r="EA29" s="36"/>
      <c r="EB29" s="36"/>
      <c r="EC29" s="85"/>
      <c r="ED29" s="35"/>
      <c r="EE29" s="35">
        <v>68047500</v>
      </c>
      <c r="EF29" s="35">
        <v>64500000</v>
      </c>
      <c r="EG29" s="35">
        <v>3547500</v>
      </c>
      <c r="EH29" s="35">
        <v>64500000</v>
      </c>
      <c r="EI29" s="35"/>
      <c r="EJ29" s="36"/>
      <c r="EK29" s="35">
        <v>68047500</v>
      </c>
      <c r="EL29" s="35">
        <v>64500000</v>
      </c>
      <c r="EM29" s="35"/>
      <c r="EN29" s="35">
        <v>3547500</v>
      </c>
      <c r="EO29" s="35">
        <v>5.2132699999999996</v>
      </c>
      <c r="EP29" s="35"/>
      <c r="EQ29" s="35"/>
      <c r="ER29" s="35">
        <v>64500000</v>
      </c>
      <c r="ES29" s="36"/>
      <c r="ET29" s="36">
        <v>64500000</v>
      </c>
      <c r="EU29" s="85">
        <v>64500000</v>
      </c>
      <c r="EV29" s="35"/>
      <c r="EW29" s="35"/>
      <c r="EX29" s="35"/>
      <c r="EY29" s="35"/>
      <c r="EZ29" s="35"/>
      <c r="FA29" s="35"/>
      <c r="FB29" s="36"/>
      <c r="FC29" s="35"/>
      <c r="FD29" s="35"/>
      <c r="FE29" s="35"/>
      <c r="FF29" s="35"/>
      <c r="FG29" s="35"/>
      <c r="FH29" s="35"/>
      <c r="FI29" s="35"/>
      <c r="FJ29" s="35"/>
      <c r="FK29" s="36"/>
      <c r="FL29" s="36"/>
      <c r="FM29" s="85"/>
      <c r="FN29" s="35"/>
      <c r="FO29" s="35">
        <v>13190600</v>
      </c>
      <c r="FP29" s="35">
        <v>7390600</v>
      </c>
      <c r="FQ29" s="35">
        <v>5800000</v>
      </c>
      <c r="FR29" s="35">
        <v>7390600</v>
      </c>
      <c r="FS29" s="35"/>
      <c r="FT29" s="36"/>
      <c r="FU29" s="35">
        <v>13190600</v>
      </c>
      <c r="FV29" s="35">
        <v>7390600</v>
      </c>
      <c r="FW29" s="35"/>
      <c r="FX29" s="35">
        <v>5800000</v>
      </c>
      <c r="FY29" s="35">
        <v>43.970709999999997</v>
      </c>
      <c r="FZ29" s="35"/>
      <c r="GA29" s="35"/>
      <c r="GB29" s="35">
        <v>7390600</v>
      </c>
      <c r="GC29" s="36"/>
      <c r="GD29" s="36">
        <v>7390600</v>
      </c>
      <c r="GE29" s="85">
        <v>7390600</v>
      </c>
      <c r="GF29" s="35"/>
      <c r="GG29" s="35">
        <v>122809941</v>
      </c>
      <c r="GH29" s="35">
        <v>29052700</v>
      </c>
      <c r="GI29" s="35">
        <v>93757241</v>
      </c>
      <c r="GJ29" s="35">
        <v>29052700</v>
      </c>
      <c r="GK29" s="35"/>
      <c r="GL29" s="36"/>
      <c r="GM29" s="35">
        <v>122809941</v>
      </c>
      <c r="GN29" s="35">
        <v>29052700</v>
      </c>
      <c r="GO29" s="35"/>
      <c r="GP29" s="35">
        <v>93757241</v>
      </c>
      <c r="GQ29" s="35">
        <v>76.343360000000004</v>
      </c>
      <c r="GR29" s="35"/>
      <c r="GS29" s="35"/>
      <c r="GT29" s="35">
        <v>29052700</v>
      </c>
      <c r="GU29" s="36"/>
      <c r="GV29" s="36">
        <v>29052700</v>
      </c>
      <c r="GW29" s="85">
        <v>29052700</v>
      </c>
      <c r="GX29" s="35"/>
      <c r="GY29" s="35"/>
      <c r="GZ29" s="35"/>
      <c r="HA29" s="35"/>
      <c r="HB29" s="35"/>
      <c r="HC29" s="35"/>
      <c r="HD29" s="36"/>
      <c r="HE29" s="35"/>
      <c r="HF29" s="35"/>
      <c r="HG29" s="35"/>
      <c r="HH29" s="35"/>
      <c r="HI29" s="35"/>
      <c r="HJ29" s="35"/>
      <c r="HK29" s="35"/>
      <c r="HL29" s="35"/>
      <c r="HM29" s="36"/>
      <c r="HN29" s="36"/>
      <c r="HO29" s="85"/>
      <c r="HP29" s="35"/>
      <c r="HQ29" s="35">
        <v>74665000</v>
      </c>
      <c r="HR29" s="35">
        <v>30257000</v>
      </c>
      <c r="HS29" s="35">
        <v>44408000</v>
      </c>
      <c r="HT29" s="35">
        <v>30257000</v>
      </c>
      <c r="HU29" s="35"/>
      <c r="HV29" s="36"/>
      <c r="HW29" s="35">
        <v>74665000</v>
      </c>
      <c r="HX29" s="35">
        <v>30257000</v>
      </c>
      <c r="HY29" s="35"/>
      <c r="HZ29" s="35">
        <v>44408000</v>
      </c>
      <c r="IA29" s="35">
        <v>59.476329999999997</v>
      </c>
      <c r="IB29" s="35"/>
      <c r="IC29" s="35"/>
      <c r="ID29" s="35">
        <v>30257000</v>
      </c>
      <c r="IE29" s="36"/>
      <c r="IF29" s="36">
        <v>30257000</v>
      </c>
      <c r="IG29" s="85">
        <v>30257000</v>
      </c>
      <c r="IH29" s="35"/>
      <c r="II29" s="35"/>
      <c r="IJ29" s="35"/>
      <c r="IK29" s="35"/>
      <c r="IL29" s="35"/>
      <c r="IM29" s="35"/>
      <c r="IN29" s="36"/>
      <c r="IO29" s="35"/>
      <c r="IP29" s="35"/>
      <c r="IQ29" s="35"/>
      <c r="IR29" s="35"/>
      <c r="IS29" s="35"/>
      <c r="IT29" s="35"/>
      <c r="IU29" s="35"/>
      <c r="IV29" s="35"/>
      <c r="IW29" s="36"/>
      <c r="IX29" s="36"/>
      <c r="IY29" s="85"/>
      <c r="IZ29" s="35"/>
      <c r="JA29" s="35"/>
      <c r="JB29" s="35"/>
      <c r="JC29" s="35"/>
      <c r="JD29" s="35"/>
      <c r="JE29" s="35"/>
      <c r="JF29" s="36"/>
      <c r="JG29" s="35"/>
      <c r="JH29" s="35"/>
      <c r="JI29" s="35"/>
      <c r="JJ29" s="35"/>
      <c r="JK29" s="35"/>
      <c r="JL29" s="35"/>
      <c r="JM29" s="35"/>
      <c r="JN29" s="35"/>
      <c r="JO29" s="36"/>
      <c r="JP29" s="36"/>
      <c r="JQ29" s="85"/>
      <c r="JR29" s="35"/>
      <c r="JS29" s="35"/>
      <c r="JT29" s="35"/>
      <c r="JU29" s="35"/>
      <c r="JV29" s="35"/>
      <c r="JW29" s="35"/>
      <c r="JX29" s="36"/>
      <c r="JY29" s="35"/>
      <c r="JZ29" s="35"/>
      <c r="KA29" s="35"/>
      <c r="KB29" s="35"/>
      <c r="KC29" s="35"/>
      <c r="KD29" s="35"/>
      <c r="KE29" s="35"/>
      <c r="KF29" s="35"/>
      <c r="KG29" s="36"/>
      <c r="KH29" s="36"/>
      <c r="KI29" s="85"/>
      <c r="KJ29" s="35"/>
      <c r="KK29" s="35">
        <v>4577000</v>
      </c>
      <c r="KL29" s="35">
        <v>1050000</v>
      </c>
      <c r="KM29" s="35">
        <v>3527000</v>
      </c>
      <c r="KN29" s="35">
        <v>1050000</v>
      </c>
      <c r="KO29" s="35"/>
      <c r="KP29" s="36"/>
      <c r="KQ29" s="35">
        <v>4577000</v>
      </c>
      <c r="KR29" s="35">
        <v>1050000</v>
      </c>
      <c r="KS29" s="35"/>
      <c r="KT29" s="35">
        <v>3527000</v>
      </c>
      <c r="KU29" s="35">
        <v>77.059209999999993</v>
      </c>
      <c r="KV29" s="35"/>
      <c r="KW29" s="35"/>
      <c r="KX29" s="35">
        <v>1050000</v>
      </c>
      <c r="KY29" s="36"/>
      <c r="KZ29" s="36">
        <v>1050000</v>
      </c>
      <c r="LA29" s="85">
        <v>1050000</v>
      </c>
      <c r="LB29" s="35"/>
      <c r="LC29" s="35"/>
      <c r="LD29" s="35"/>
      <c r="LE29" s="35"/>
      <c r="LF29" s="35"/>
      <c r="LG29" s="35"/>
      <c r="LH29" s="36"/>
      <c r="LI29" s="35"/>
      <c r="LJ29" s="35"/>
      <c r="LK29" s="35"/>
      <c r="LL29" s="35"/>
      <c r="LM29" s="35"/>
      <c r="LN29" s="35"/>
      <c r="LO29" s="35"/>
      <c r="LP29" s="35"/>
      <c r="LQ29" s="36"/>
      <c r="LR29" s="36"/>
      <c r="LS29" s="85"/>
      <c r="LT29" s="35"/>
      <c r="LU29" s="35"/>
      <c r="LV29" s="35"/>
      <c r="LW29" s="35"/>
      <c r="LX29" s="35"/>
      <c r="LY29" s="35"/>
      <c r="LZ29" s="36"/>
      <c r="MA29" s="35"/>
      <c r="MB29" s="35"/>
      <c r="MC29" s="35"/>
      <c r="MD29" s="35"/>
      <c r="ME29" s="35"/>
      <c r="MF29" s="35"/>
      <c r="MG29" s="35"/>
      <c r="MH29" s="35"/>
      <c r="MI29" s="36"/>
      <c r="MJ29" s="36"/>
      <c r="MK29" s="85"/>
      <c r="ML29" s="35"/>
      <c r="MM29" s="35"/>
      <c r="MN29" s="35"/>
      <c r="MO29" s="35"/>
      <c r="MP29" s="35"/>
      <c r="MQ29" s="35"/>
      <c r="MR29" s="36"/>
      <c r="MS29" s="35"/>
      <c r="MT29" s="35"/>
      <c r="MU29" s="35"/>
      <c r="MV29" s="35"/>
      <c r="MW29" s="35"/>
      <c r="MX29" s="35"/>
      <c r="MY29" s="35"/>
      <c r="MZ29" s="35"/>
      <c r="NA29" s="36"/>
      <c r="NB29" s="36"/>
      <c r="NC29" s="85"/>
      <c r="ND29" s="35"/>
      <c r="NE29" s="35">
        <v>62732400</v>
      </c>
      <c r="NF29" s="35">
        <v>32732400</v>
      </c>
      <c r="NG29" s="35">
        <v>30000000</v>
      </c>
      <c r="NH29" s="35">
        <v>32732400</v>
      </c>
      <c r="NI29" s="35"/>
      <c r="NJ29" s="36"/>
      <c r="NK29" s="35">
        <v>62732400</v>
      </c>
      <c r="NL29" s="35">
        <v>32732400</v>
      </c>
      <c r="NM29" s="35"/>
      <c r="NN29" s="35">
        <v>30000000</v>
      </c>
      <c r="NO29" s="35">
        <v>47.822180000000003</v>
      </c>
      <c r="NP29" s="35"/>
      <c r="NQ29" s="35"/>
      <c r="NR29" s="35">
        <v>32732400</v>
      </c>
      <c r="NS29" s="36"/>
      <c r="NT29" s="36">
        <v>32732400</v>
      </c>
      <c r="NU29" s="85">
        <v>32732400</v>
      </c>
      <c r="NV29" s="35"/>
      <c r="NW29" s="35"/>
      <c r="NX29" s="35"/>
      <c r="NY29" s="35"/>
      <c r="NZ29" s="35"/>
      <c r="OA29" s="35"/>
      <c r="OB29" s="36"/>
      <c r="OC29" s="35"/>
      <c r="OD29" s="35"/>
      <c r="OE29" s="35"/>
      <c r="OF29" s="35"/>
      <c r="OG29" s="35"/>
      <c r="OH29" s="35"/>
      <c r="OI29" s="35"/>
      <c r="OJ29" s="35"/>
      <c r="OK29" s="36"/>
      <c r="OL29" s="36"/>
      <c r="OM29" s="85"/>
      <c r="ON29" s="35"/>
      <c r="OO29" s="35">
        <v>2961000</v>
      </c>
      <c r="OP29" s="35">
        <v>661000</v>
      </c>
      <c r="OQ29" s="35">
        <v>2300000</v>
      </c>
      <c r="OR29" s="35">
        <v>661000</v>
      </c>
      <c r="OS29" s="35"/>
      <c r="OT29" s="36"/>
      <c r="OU29" s="35">
        <v>2961000</v>
      </c>
      <c r="OV29" s="35">
        <v>661000</v>
      </c>
      <c r="OW29" s="35"/>
      <c r="OX29" s="35">
        <v>2300000</v>
      </c>
      <c r="OY29" s="35">
        <v>77.676460000000006</v>
      </c>
      <c r="OZ29" s="35"/>
      <c r="PA29" s="35"/>
      <c r="PB29" s="35">
        <v>661000</v>
      </c>
      <c r="PC29" s="36"/>
      <c r="PD29" s="36">
        <v>661000</v>
      </c>
      <c r="PE29" s="85">
        <v>661000</v>
      </c>
      <c r="PF29" s="35"/>
      <c r="PG29" s="35"/>
      <c r="PH29" s="35"/>
      <c r="PI29" s="35"/>
      <c r="PJ29" s="35"/>
      <c r="PK29" s="35"/>
      <c r="PL29" s="36"/>
      <c r="PM29" s="35"/>
      <c r="PN29" s="35"/>
      <c r="PO29" s="35"/>
      <c r="PP29" s="35"/>
      <c r="PQ29" s="35"/>
      <c r="PR29" s="35"/>
      <c r="PS29" s="35"/>
      <c r="PT29" s="35"/>
      <c r="PU29" s="36"/>
      <c r="PV29" s="36"/>
      <c r="PW29" s="85"/>
      <c r="PX29" s="35"/>
      <c r="PY29" s="35"/>
      <c r="PZ29" s="35"/>
      <c r="QA29" s="35"/>
      <c r="QB29" s="35"/>
      <c r="QC29" s="35"/>
      <c r="QD29" s="36"/>
      <c r="QE29" s="35"/>
      <c r="QF29" s="35"/>
      <c r="QG29" s="35"/>
      <c r="QH29" s="35"/>
      <c r="QI29" s="35"/>
      <c r="QJ29" s="35"/>
      <c r="QK29" s="35"/>
      <c r="QL29" s="35"/>
      <c r="QM29" s="36"/>
      <c r="QN29" s="36"/>
      <c r="QO29" s="85"/>
    </row>
    <row r="30" spans="1:457" x14ac:dyDescent="0.25">
      <c r="A30" s="8" t="s">
        <v>46</v>
      </c>
      <c r="B30" s="173" t="s">
        <v>47</v>
      </c>
      <c r="C30" s="13" t="s">
        <v>48</v>
      </c>
      <c r="F30" s="36">
        <v>459215300</v>
      </c>
      <c r="G30" s="35"/>
      <c r="H30" s="35"/>
      <c r="I30" s="35">
        <v>121967050</v>
      </c>
      <c r="J30" s="35">
        <v>94000000</v>
      </c>
      <c r="K30" s="35">
        <v>27967050</v>
      </c>
      <c r="L30" s="35">
        <v>94000000</v>
      </c>
      <c r="M30" s="35"/>
      <c r="N30" s="36"/>
      <c r="O30" s="35">
        <v>121967050</v>
      </c>
      <c r="P30" s="35">
        <v>94000000</v>
      </c>
      <c r="Q30" s="35"/>
      <c r="R30" s="35">
        <v>27967050</v>
      </c>
      <c r="S30" s="35">
        <v>22.93</v>
      </c>
      <c r="T30" s="35"/>
      <c r="U30" s="35"/>
      <c r="V30" s="35">
        <v>94000000</v>
      </c>
      <c r="W30" s="36"/>
      <c r="X30" s="36">
        <v>94000000</v>
      </c>
      <c r="Y30" s="85">
        <v>94000000</v>
      </c>
      <c r="Z30" s="35"/>
      <c r="AA30" s="35"/>
      <c r="AB30" s="35"/>
      <c r="AC30" s="35"/>
      <c r="AD30" s="35"/>
      <c r="AE30" s="35"/>
      <c r="AF30" s="36"/>
      <c r="AG30" s="35"/>
      <c r="AH30" s="35"/>
      <c r="AI30" s="35"/>
      <c r="AJ30" s="35"/>
      <c r="AK30" s="35"/>
      <c r="AL30" s="35"/>
      <c r="AM30" s="35"/>
      <c r="AN30" s="35"/>
      <c r="AO30" s="36"/>
      <c r="AP30" s="36"/>
      <c r="AQ30" s="85"/>
      <c r="AR30" s="35"/>
      <c r="AS30" s="35">
        <v>72432422</v>
      </c>
      <c r="AT30" s="35">
        <v>68810800</v>
      </c>
      <c r="AU30" s="35">
        <v>3621622</v>
      </c>
      <c r="AV30" s="35">
        <v>68810800</v>
      </c>
      <c r="AW30" s="35"/>
      <c r="AX30" s="36"/>
      <c r="AY30" s="35">
        <v>72146564</v>
      </c>
      <c r="AZ30" s="35">
        <v>68539235.799999997</v>
      </c>
      <c r="BA30" s="35"/>
      <c r="BB30" s="35">
        <v>3607328.2</v>
      </c>
      <c r="BC30" s="35">
        <v>5</v>
      </c>
      <c r="BD30" s="35"/>
      <c r="BE30" s="35">
        <v>271564.2</v>
      </c>
      <c r="BF30" s="35">
        <v>68539235.799999997</v>
      </c>
      <c r="BG30" s="36"/>
      <c r="BH30" s="36">
        <v>68810800</v>
      </c>
      <c r="BI30" s="85">
        <v>68810800</v>
      </c>
      <c r="BJ30" s="35"/>
      <c r="BK30" s="35"/>
      <c r="BL30" s="35"/>
      <c r="BM30" s="35"/>
      <c r="BN30" s="35"/>
      <c r="BO30" s="35"/>
      <c r="BP30" s="36"/>
      <c r="BQ30" s="35"/>
      <c r="BR30" s="35"/>
      <c r="BS30" s="35"/>
      <c r="BT30" s="35"/>
      <c r="BU30" s="35"/>
      <c r="BV30" s="35"/>
      <c r="BW30" s="35"/>
      <c r="BX30" s="35"/>
      <c r="BY30" s="36"/>
      <c r="BZ30" s="36"/>
      <c r="CA30" s="85"/>
      <c r="CB30" s="35"/>
      <c r="CC30" s="35">
        <v>101076700</v>
      </c>
      <c r="CD30" s="35">
        <v>90076700</v>
      </c>
      <c r="CE30" s="35">
        <v>11000000</v>
      </c>
      <c r="CF30" s="35">
        <v>90076700</v>
      </c>
      <c r="CG30" s="35"/>
      <c r="CH30" s="36"/>
      <c r="CI30" s="35">
        <v>101076700</v>
      </c>
      <c r="CJ30" s="35">
        <v>90076700</v>
      </c>
      <c r="CK30" s="35"/>
      <c r="CL30" s="35">
        <v>11000000</v>
      </c>
      <c r="CM30" s="35">
        <v>10.882820000000001</v>
      </c>
      <c r="CN30" s="35"/>
      <c r="CO30" s="35"/>
      <c r="CP30" s="35">
        <v>90076700</v>
      </c>
      <c r="CQ30" s="36"/>
      <c r="CR30" s="36">
        <v>90076700</v>
      </c>
      <c r="CS30" s="85">
        <v>90076700</v>
      </c>
      <c r="CT30" s="35"/>
      <c r="CU30" s="35">
        <v>153799420</v>
      </c>
      <c r="CV30" s="35">
        <v>126207800</v>
      </c>
      <c r="CW30" s="35">
        <v>27591620</v>
      </c>
      <c r="CX30" s="35">
        <v>126123392.05</v>
      </c>
      <c r="CY30" s="35"/>
      <c r="CZ30" s="36"/>
      <c r="DA30" s="35">
        <v>153696553.80000001</v>
      </c>
      <c r="DB30" s="35">
        <v>126123392.05</v>
      </c>
      <c r="DC30" s="35"/>
      <c r="DD30" s="35">
        <v>27573161.75</v>
      </c>
      <c r="DE30" s="35">
        <v>17.940000000000001</v>
      </c>
      <c r="DF30" s="35"/>
      <c r="DG30" s="35"/>
      <c r="DH30" s="35">
        <v>126123392.05</v>
      </c>
      <c r="DI30" s="36"/>
      <c r="DJ30" s="36">
        <v>126207800</v>
      </c>
      <c r="DK30" s="85">
        <v>126207800</v>
      </c>
      <c r="DL30" s="35"/>
      <c r="DM30" s="35"/>
      <c r="DN30" s="35"/>
      <c r="DO30" s="35"/>
      <c r="DP30" s="35"/>
      <c r="DQ30" s="35"/>
      <c r="DR30" s="36"/>
      <c r="DS30" s="35"/>
      <c r="DT30" s="35"/>
      <c r="DU30" s="35"/>
      <c r="DV30" s="35"/>
      <c r="DW30" s="35"/>
      <c r="DX30" s="35"/>
      <c r="DY30" s="35"/>
      <c r="DZ30" s="35"/>
      <c r="EA30" s="36"/>
      <c r="EB30" s="36"/>
      <c r="EC30" s="85"/>
      <c r="ED30" s="35"/>
      <c r="EE30" s="35"/>
      <c r="EF30" s="35"/>
      <c r="EG30" s="35"/>
      <c r="EH30" s="35"/>
      <c r="EI30" s="35"/>
      <c r="EJ30" s="36"/>
      <c r="EK30" s="35"/>
      <c r="EL30" s="35"/>
      <c r="EM30" s="35"/>
      <c r="EN30" s="35"/>
      <c r="EO30" s="35"/>
      <c r="EP30" s="35"/>
      <c r="EQ30" s="35"/>
      <c r="ER30" s="35"/>
      <c r="ES30" s="36"/>
      <c r="ET30" s="36"/>
      <c r="EU30" s="85"/>
      <c r="EV30" s="35"/>
      <c r="EW30" s="35"/>
      <c r="EX30" s="35"/>
      <c r="EY30" s="35"/>
      <c r="EZ30" s="35"/>
      <c r="FA30" s="35"/>
      <c r="FB30" s="36"/>
      <c r="FC30" s="35"/>
      <c r="FD30" s="35"/>
      <c r="FE30" s="35"/>
      <c r="FF30" s="35"/>
      <c r="FG30" s="35"/>
      <c r="FH30" s="35"/>
      <c r="FI30" s="35"/>
      <c r="FJ30" s="35"/>
      <c r="FK30" s="36"/>
      <c r="FL30" s="36"/>
      <c r="FM30" s="85"/>
      <c r="FN30" s="35"/>
      <c r="FO30" s="35">
        <v>2100038.2000000002</v>
      </c>
      <c r="FP30" s="35">
        <v>1100000</v>
      </c>
      <c r="FQ30" s="35">
        <v>1000038.2</v>
      </c>
      <c r="FR30" s="35">
        <v>1100000</v>
      </c>
      <c r="FS30" s="35"/>
      <c r="FT30" s="36"/>
      <c r="FU30" s="35">
        <v>2100038.2000000002</v>
      </c>
      <c r="FV30" s="35">
        <v>1100000</v>
      </c>
      <c r="FW30" s="35"/>
      <c r="FX30" s="35">
        <v>1000038.2</v>
      </c>
      <c r="FY30" s="35">
        <v>47.62</v>
      </c>
      <c r="FZ30" s="35"/>
      <c r="GA30" s="35"/>
      <c r="GB30" s="35">
        <v>1100000</v>
      </c>
      <c r="GC30" s="36"/>
      <c r="GD30" s="36">
        <v>1100000</v>
      </c>
      <c r="GE30" s="85">
        <v>1100000</v>
      </c>
      <c r="GF30" s="35"/>
      <c r="GG30" s="35">
        <v>43487600</v>
      </c>
      <c r="GH30" s="35">
        <v>30441300</v>
      </c>
      <c r="GI30" s="35">
        <v>13046300</v>
      </c>
      <c r="GJ30" s="35">
        <v>30441300</v>
      </c>
      <c r="GK30" s="35"/>
      <c r="GL30" s="36"/>
      <c r="GM30" s="35">
        <v>43487600</v>
      </c>
      <c r="GN30" s="35">
        <v>30441300</v>
      </c>
      <c r="GO30" s="35"/>
      <c r="GP30" s="35">
        <v>13046300</v>
      </c>
      <c r="GQ30" s="35">
        <v>30.000050000000002</v>
      </c>
      <c r="GR30" s="35"/>
      <c r="GS30" s="35"/>
      <c r="GT30" s="35">
        <v>30441300</v>
      </c>
      <c r="GU30" s="36"/>
      <c r="GV30" s="36">
        <v>30441300</v>
      </c>
      <c r="GW30" s="85">
        <v>30441300</v>
      </c>
      <c r="GX30" s="35"/>
      <c r="GY30" s="35"/>
      <c r="GZ30" s="35"/>
      <c r="HA30" s="35"/>
      <c r="HB30" s="35"/>
      <c r="HC30" s="35">
        <v>44617.120000000003</v>
      </c>
      <c r="HD30" s="36"/>
      <c r="HE30" s="35"/>
      <c r="HF30" s="35"/>
      <c r="HG30" s="35"/>
      <c r="HH30" s="35"/>
      <c r="HI30" s="35"/>
      <c r="HJ30" s="35">
        <v>44617.120000000003</v>
      </c>
      <c r="HK30" s="35"/>
      <c r="HL30" s="35"/>
      <c r="HM30" s="36"/>
      <c r="HN30" s="36"/>
      <c r="HO30" s="85"/>
      <c r="HP30" s="35"/>
      <c r="HQ30" s="35">
        <v>53591300</v>
      </c>
      <c r="HR30" s="35">
        <v>37513800</v>
      </c>
      <c r="HS30" s="35">
        <v>16077500</v>
      </c>
      <c r="HT30" s="35">
        <v>37513800</v>
      </c>
      <c r="HU30" s="35"/>
      <c r="HV30" s="36"/>
      <c r="HW30" s="35">
        <v>53554597.810000002</v>
      </c>
      <c r="HX30" s="35">
        <v>37488168.469999999</v>
      </c>
      <c r="HY30" s="35"/>
      <c r="HZ30" s="35">
        <v>16066429.34</v>
      </c>
      <c r="IA30" s="35">
        <v>30.00009</v>
      </c>
      <c r="IB30" s="35"/>
      <c r="IC30" s="35">
        <v>25631.53</v>
      </c>
      <c r="ID30" s="35">
        <v>37488168.469999999</v>
      </c>
      <c r="IE30" s="36"/>
      <c r="IF30" s="36">
        <v>37513800</v>
      </c>
      <c r="IG30" s="85">
        <v>37513800</v>
      </c>
      <c r="IH30" s="35"/>
      <c r="II30" s="35"/>
      <c r="IJ30" s="35"/>
      <c r="IK30" s="35"/>
      <c r="IL30" s="35"/>
      <c r="IM30" s="35"/>
      <c r="IN30" s="36"/>
      <c r="IO30" s="35"/>
      <c r="IP30" s="35"/>
      <c r="IQ30" s="35"/>
      <c r="IR30" s="35"/>
      <c r="IS30" s="35"/>
      <c r="IT30" s="35"/>
      <c r="IU30" s="35"/>
      <c r="IV30" s="35"/>
      <c r="IW30" s="36"/>
      <c r="IX30" s="36"/>
      <c r="IY30" s="85"/>
      <c r="IZ30" s="35"/>
      <c r="JA30" s="35"/>
      <c r="JB30" s="35"/>
      <c r="JC30" s="35"/>
      <c r="JD30" s="35"/>
      <c r="JE30" s="35"/>
      <c r="JF30" s="36"/>
      <c r="JG30" s="35"/>
      <c r="JH30" s="35"/>
      <c r="JI30" s="35"/>
      <c r="JJ30" s="35"/>
      <c r="JK30" s="35"/>
      <c r="JL30" s="35"/>
      <c r="JM30" s="35"/>
      <c r="JN30" s="35"/>
      <c r="JO30" s="36"/>
      <c r="JP30" s="36"/>
      <c r="JQ30" s="85"/>
      <c r="JR30" s="35"/>
      <c r="JS30" s="35"/>
      <c r="JT30" s="35"/>
      <c r="JU30" s="35"/>
      <c r="JV30" s="35"/>
      <c r="JW30" s="35"/>
      <c r="JX30" s="36"/>
      <c r="JY30" s="35"/>
      <c r="JZ30" s="35"/>
      <c r="KA30" s="35"/>
      <c r="KB30" s="35"/>
      <c r="KC30" s="35"/>
      <c r="KD30" s="35"/>
      <c r="KE30" s="35"/>
      <c r="KF30" s="35"/>
      <c r="KG30" s="36"/>
      <c r="KH30" s="36"/>
      <c r="KI30" s="85"/>
      <c r="KJ30" s="35"/>
      <c r="KK30" s="35"/>
      <c r="KL30" s="35"/>
      <c r="KM30" s="35"/>
      <c r="KN30" s="35"/>
      <c r="KO30" s="35"/>
      <c r="KP30" s="36"/>
      <c r="KQ30" s="35"/>
      <c r="KR30" s="35"/>
      <c r="KS30" s="35"/>
      <c r="KT30" s="35"/>
      <c r="KU30" s="35"/>
      <c r="KV30" s="35"/>
      <c r="KW30" s="35"/>
      <c r="KX30" s="35"/>
      <c r="KY30" s="36"/>
      <c r="KZ30" s="36"/>
      <c r="LA30" s="85"/>
      <c r="LB30" s="35"/>
      <c r="LC30" s="35"/>
      <c r="LD30" s="35"/>
      <c r="LE30" s="35"/>
      <c r="LF30" s="35"/>
      <c r="LG30" s="35"/>
      <c r="LH30" s="36"/>
      <c r="LI30" s="35"/>
      <c r="LJ30" s="35"/>
      <c r="LK30" s="35"/>
      <c r="LL30" s="35"/>
      <c r="LM30" s="35"/>
      <c r="LN30" s="35"/>
      <c r="LO30" s="35"/>
      <c r="LP30" s="35"/>
      <c r="LQ30" s="36"/>
      <c r="LR30" s="36"/>
      <c r="LS30" s="85"/>
      <c r="LT30" s="35"/>
      <c r="LU30" s="35"/>
      <c r="LV30" s="35"/>
      <c r="LW30" s="35"/>
      <c r="LX30" s="35"/>
      <c r="LY30" s="35"/>
      <c r="LZ30" s="36"/>
      <c r="MA30" s="35"/>
      <c r="MB30" s="35"/>
      <c r="MC30" s="35"/>
      <c r="MD30" s="35"/>
      <c r="ME30" s="35"/>
      <c r="MF30" s="35"/>
      <c r="MG30" s="35"/>
      <c r="MH30" s="35"/>
      <c r="MI30" s="36"/>
      <c r="MJ30" s="36"/>
      <c r="MK30" s="85"/>
      <c r="ML30" s="35"/>
      <c r="MM30" s="35"/>
      <c r="MN30" s="35"/>
      <c r="MO30" s="35"/>
      <c r="MP30" s="35"/>
      <c r="MQ30" s="35"/>
      <c r="MR30" s="36"/>
      <c r="MS30" s="35"/>
      <c r="MT30" s="35"/>
      <c r="MU30" s="35"/>
      <c r="MV30" s="35"/>
      <c r="MW30" s="35"/>
      <c r="MX30" s="35"/>
      <c r="MY30" s="35"/>
      <c r="MZ30" s="35"/>
      <c r="NA30" s="36"/>
      <c r="NB30" s="36"/>
      <c r="NC30" s="85"/>
      <c r="ND30" s="35"/>
      <c r="NE30" s="35">
        <v>25373860</v>
      </c>
      <c r="NF30" s="35">
        <v>11064900</v>
      </c>
      <c r="NG30" s="35">
        <v>14308960</v>
      </c>
      <c r="NH30" s="35">
        <v>11064900</v>
      </c>
      <c r="NI30" s="35"/>
      <c r="NJ30" s="36"/>
      <c r="NK30" s="35">
        <v>25373860</v>
      </c>
      <c r="NL30" s="35">
        <v>11064900</v>
      </c>
      <c r="NM30" s="35"/>
      <c r="NN30" s="35">
        <v>14308960</v>
      </c>
      <c r="NO30" s="35">
        <v>56.392519999999998</v>
      </c>
      <c r="NP30" s="35"/>
      <c r="NQ30" s="35"/>
      <c r="NR30" s="35">
        <v>11064900</v>
      </c>
      <c r="NS30" s="36"/>
      <c r="NT30" s="36">
        <v>11064900</v>
      </c>
      <c r="NU30" s="85">
        <v>11064900</v>
      </c>
      <c r="NV30" s="35"/>
      <c r="NW30" s="35"/>
      <c r="NX30" s="35"/>
      <c r="NY30" s="35"/>
      <c r="NZ30" s="35"/>
      <c r="OA30" s="35"/>
      <c r="OB30" s="36"/>
      <c r="OC30" s="35"/>
      <c r="OD30" s="35"/>
      <c r="OE30" s="35"/>
      <c r="OF30" s="35"/>
      <c r="OG30" s="35"/>
      <c r="OH30" s="35"/>
      <c r="OI30" s="35"/>
      <c r="OJ30" s="35"/>
      <c r="OK30" s="36"/>
      <c r="OL30" s="36"/>
      <c r="OM30" s="85"/>
      <c r="ON30" s="35"/>
      <c r="OO30" s="35"/>
      <c r="OP30" s="35"/>
      <c r="OQ30" s="35"/>
      <c r="OR30" s="35"/>
      <c r="OS30" s="35"/>
      <c r="OT30" s="36"/>
      <c r="OU30" s="35"/>
      <c r="OV30" s="35"/>
      <c r="OW30" s="35"/>
      <c r="OX30" s="35"/>
      <c r="OY30" s="35"/>
      <c r="OZ30" s="35"/>
      <c r="PA30" s="35"/>
      <c r="PB30" s="35"/>
      <c r="PC30" s="36"/>
      <c r="PD30" s="36"/>
      <c r="PE30" s="85"/>
      <c r="PF30" s="35"/>
      <c r="PG30" s="35"/>
      <c r="PH30" s="35"/>
      <c r="PI30" s="35"/>
      <c r="PJ30" s="35"/>
      <c r="PK30" s="35"/>
      <c r="PL30" s="36"/>
      <c r="PM30" s="35"/>
      <c r="PN30" s="35"/>
      <c r="PO30" s="35"/>
      <c r="PP30" s="35"/>
      <c r="PQ30" s="35"/>
      <c r="PR30" s="35"/>
      <c r="PS30" s="35"/>
      <c r="PT30" s="35"/>
      <c r="PU30" s="36"/>
      <c r="PV30" s="36"/>
      <c r="PW30" s="85"/>
      <c r="PX30" s="35"/>
      <c r="PY30" s="35"/>
      <c r="PZ30" s="35"/>
      <c r="QA30" s="35"/>
      <c r="QB30" s="35"/>
      <c r="QC30" s="35">
        <v>1920615.35</v>
      </c>
      <c r="QD30" s="36"/>
      <c r="QE30" s="35"/>
      <c r="QF30" s="35"/>
      <c r="QG30" s="35"/>
      <c r="QH30" s="35"/>
      <c r="QI30" s="35"/>
      <c r="QJ30" s="35">
        <v>1920615.35</v>
      </c>
      <c r="QK30" s="35"/>
      <c r="QL30" s="35"/>
      <c r="QM30" s="36"/>
      <c r="QN30" s="36"/>
      <c r="QO30" s="85"/>
    </row>
    <row r="31" spans="1:457" x14ac:dyDescent="0.25">
      <c r="A31" s="8" t="s">
        <v>49</v>
      </c>
      <c r="B31" s="172" t="s">
        <v>50</v>
      </c>
      <c r="C31" s="13" t="s">
        <v>51</v>
      </c>
      <c r="F31" s="36">
        <v>3228662100</v>
      </c>
      <c r="G31" s="35"/>
      <c r="H31" s="35"/>
      <c r="I31" s="35">
        <v>1961731308.7</v>
      </c>
      <c r="J31" s="35">
        <v>1608423500</v>
      </c>
      <c r="K31" s="35">
        <v>353307808.69999999</v>
      </c>
      <c r="L31" s="35">
        <v>1608423500</v>
      </c>
      <c r="M31" s="35"/>
      <c r="N31" s="36"/>
      <c r="O31" s="35">
        <v>1961731308.7</v>
      </c>
      <c r="P31" s="35">
        <v>1608423500</v>
      </c>
      <c r="Q31" s="35"/>
      <c r="R31" s="35">
        <v>353307808.69999999</v>
      </c>
      <c r="S31" s="35">
        <v>18.010000000000002</v>
      </c>
      <c r="T31" s="35"/>
      <c r="U31" s="35"/>
      <c r="V31" s="35">
        <v>1608423500</v>
      </c>
      <c r="W31" s="36"/>
      <c r="X31" s="36">
        <v>1608423500</v>
      </c>
      <c r="Y31" s="85">
        <v>1608423500</v>
      </c>
      <c r="Z31" s="35"/>
      <c r="AA31" s="35">
        <v>834663617.50999999</v>
      </c>
      <c r="AB31" s="35">
        <v>684340700</v>
      </c>
      <c r="AC31" s="35">
        <v>150322917.50999999</v>
      </c>
      <c r="AD31" s="35">
        <v>684340700</v>
      </c>
      <c r="AE31" s="35"/>
      <c r="AF31" s="36"/>
      <c r="AG31" s="35">
        <v>834663617.50999999</v>
      </c>
      <c r="AH31" s="35">
        <v>684340700</v>
      </c>
      <c r="AI31" s="35"/>
      <c r="AJ31" s="35">
        <v>150322917.50999999</v>
      </c>
      <c r="AK31" s="35">
        <v>18.010000000000002</v>
      </c>
      <c r="AL31" s="35"/>
      <c r="AM31" s="35"/>
      <c r="AN31" s="35">
        <v>684340700</v>
      </c>
      <c r="AO31" s="36"/>
      <c r="AP31" s="36">
        <v>684340700</v>
      </c>
      <c r="AQ31" s="85">
        <v>684340700</v>
      </c>
      <c r="AR31" s="35"/>
      <c r="AS31" s="35">
        <v>51636315.789999999</v>
      </c>
      <c r="AT31" s="35">
        <v>49054500</v>
      </c>
      <c r="AU31" s="35">
        <v>2581815.79</v>
      </c>
      <c r="AV31" s="35">
        <v>49054500</v>
      </c>
      <c r="AW31" s="35"/>
      <c r="AX31" s="36"/>
      <c r="AY31" s="35">
        <v>51636315.789999999</v>
      </c>
      <c r="AZ31" s="35">
        <v>49054500</v>
      </c>
      <c r="BA31" s="35"/>
      <c r="BB31" s="35">
        <v>2581815.79</v>
      </c>
      <c r="BC31" s="35">
        <v>5</v>
      </c>
      <c r="BD31" s="35"/>
      <c r="BE31" s="35"/>
      <c r="BF31" s="35">
        <v>49054500</v>
      </c>
      <c r="BG31" s="36"/>
      <c r="BH31" s="36">
        <v>49054500</v>
      </c>
      <c r="BI31" s="85">
        <v>49054500</v>
      </c>
      <c r="BJ31" s="35"/>
      <c r="BK31" s="35"/>
      <c r="BL31" s="35"/>
      <c r="BM31" s="35"/>
      <c r="BN31" s="35"/>
      <c r="BO31" s="35"/>
      <c r="BP31" s="36"/>
      <c r="BQ31" s="35"/>
      <c r="BR31" s="35"/>
      <c r="BS31" s="35"/>
      <c r="BT31" s="35"/>
      <c r="BU31" s="35"/>
      <c r="BV31" s="35"/>
      <c r="BW31" s="35"/>
      <c r="BX31" s="35"/>
      <c r="BY31" s="36"/>
      <c r="BZ31" s="36"/>
      <c r="CA31" s="85"/>
      <c r="CB31" s="35"/>
      <c r="CC31" s="35">
        <v>12436632</v>
      </c>
      <c r="CD31" s="35">
        <v>11814800</v>
      </c>
      <c r="CE31" s="35">
        <v>621832</v>
      </c>
      <c r="CF31" s="35">
        <v>11814800</v>
      </c>
      <c r="CG31" s="35">
        <v>221081.42</v>
      </c>
      <c r="CH31" s="36"/>
      <c r="CI31" s="35">
        <v>12436632</v>
      </c>
      <c r="CJ31" s="35">
        <v>11814800</v>
      </c>
      <c r="CK31" s="35"/>
      <c r="CL31" s="35">
        <v>621832</v>
      </c>
      <c r="CM31" s="35">
        <v>5</v>
      </c>
      <c r="CN31" s="35">
        <v>217863.46</v>
      </c>
      <c r="CO31" s="35">
        <v>3217.96</v>
      </c>
      <c r="CP31" s="35">
        <v>11814800</v>
      </c>
      <c r="CQ31" s="36"/>
      <c r="CR31" s="36">
        <v>11814800</v>
      </c>
      <c r="CS31" s="85">
        <v>11814800</v>
      </c>
      <c r="CT31" s="35"/>
      <c r="CU31" s="35">
        <v>694016421.07000005</v>
      </c>
      <c r="CV31" s="35">
        <v>659315600</v>
      </c>
      <c r="CW31" s="35">
        <v>34700821.07</v>
      </c>
      <c r="CX31" s="35">
        <v>659315600</v>
      </c>
      <c r="CY31" s="35"/>
      <c r="CZ31" s="36"/>
      <c r="DA31" s="35">
        <v>694016421.07000005</v>
      </c>
      <c r="DB31" s="35">
        <v>659315600</v>
      </c>
      <c r="DC31" s="35"/>
      <c r="DD31" s="35">
        <v>34700821.07</v>
      </c>
      <c r="DE31" s="35">
        <v>5</v>
      </c>
      <c r="DF31" s="35"/>
      <c r="DG31" s="35"/>
      <c r="DH31" s="35">
        <v>659315600</v>
      </c>
      <c r="DI31" s="36"/>
      <c r="DJ31" s="36">
        <v>659315600</v>
      </c>
      <c r="DK31" s="85">
        <v>659315600</v>
      </c>
      <c r="DL31" s="35"/>
      <c r="DM31" s="35"/>
      <c r="DN31" s="35"/>
      <c r="DO31" s="35"/>
      <c r="DP31" s="35"/>
      <c r="DQ31" s="35"/>
      <c r="DR31" s="36"/>
      <c r="DS31" s="35"/>
      <c r="DT31" s="35"/>
      <c r="DU31" s="35"/>
      <c r="DV31" s="35"/>
      <c r="DW31" s="35"/>
      <c r="DX31" s="35"/>
      <c r="DY31" s="35"/>
      <c r="DZ31" s="35"/>
      <c r="EA31" s="36"/>
      <c r="EB31" s="36"/>
      <c r="EC31" s="85"/>
      <c r="ED31" s="35"/>
      <c r="EE31" s="35"/>
      <c r="EF31" s="35"/>
      <c r="EG31" s="35"/>
      <c r="EH31" s="35"/>
      <c r="EI31" s="35"/>
      <c r="EJ31" s="36"/>
      <c r="EK31" s="35"/>
      <c r="EL31" s="35"/>
      <c r="EM31" s="35"/>
      <c r="EN31" s="35"/>
      <c r="EO31" s="35"/>
      <c r="EP31" s="35"/>
      <c r="EQ31" s="35"/>
      <c r="ER31" s="35"/>
      <c r="ES31" s="36"/>
      <c r="ET31" s="36"/>
      <c r="EU31" s="85"/>
      <c r="EV31" s="35"/>
      <c r="EW31" s="35">
        <v>28535640</v>
      </c>
      <c r="EX31" s="35">
        <v>27048000</v>
      </c>
      <c r="EY31" s="35">
        <v>1487640</v>
      </c>
      <c r="EZ31" s="35">
        <v>27048000</v>
      </c>
      <c r="FA31" s="35"/>
      <c r="FB31" s="36"/>
      <c r="FC31" s="35">
        <v>28535640</v>
      </c>
      <c r="FD31" s="35">
        <v>27048000</v>
      </c>
      <c r="FE31" s="35"/>
      <c r="FF31" s="35">
        <v>1487640</v>
      </c>
      <c r="FG31" s="35">
        <v>5.2132699999999996</v>
      </c>
      <c r="FH31" s="35"/>
      <c r="FI31" s="35"/>
      <c r="FJ31" s="35">
        <v>27048000</v>
      </c>
      <c r="FK31" s="36"/>
      <c r="FL31" s="36">
        <v>27048000</v>
      </c>
      <c r="FM31" s="85">
        <v>27048000</v>
      </c>
      <c r="FN31" s="35"/>
      <c r="FO31" s="35">
        <v>69036400</v>
      </c>
      <c r="FP31" s="35">
        <v>62132700</v>
      </c>
      <c r="FQ31" s="35">
        <v>6903700</v>
      </c>
      <c r="FR31" s="35">
        <v>62132700</v>
      </c>
      <c r="FS31" s="35"/>
      <c r="FT31" s="36"/>
      <c r="FU31" s="35">
        <v>69036400</v>
      </c>
      <c r="FV31" s="35">
        <v>62132700</v>
      </c>
      <c r="FW31" s="35"/>
      <c r="FX31" s="35">
        <v>6903700</v>
      </c>
      <c r="FY31" s="35">
        <v>10.00009</v>
      </c>
      <c r="FZ31" s="35"/>
      <c r="GA31" s="35"/>
      <c r="GB31" s="35">
        <v>62132700</v>
      </c>
      <c r="GC31" s="36"/>
      <c r="GD31" s="36">
        <v>62132700</v>
      </c>
      <c r="GE31" s="85">
        <v>62132700</v>
      </c>
      <c r="GF31" s="35"/>
      <c r="GG31" s="35">
        <v>72029571.430000007</v>
      </c>
      <c r="GH31" s="35">
        <v>50420700</v>
      </c>
      <c r="GI31" s="35">
        <v>21608871.43</v>
      </c>
      <c r="GJ31" s="35">
        <v>50420700</v>
      </c>
      <c r="GK31" s="35">
        <v>619502</v>
      </c>
      <c r="GL31" s="36"/>
      <c r="GM31" s="35">
        <v>72029571.430000007</v>
      </c>
      <c r="GN31" s="35">
        <v>50420700</v>
      </c>
      <c r="GO31" s="35"/>
      <c r="GP31" s="35">
        <v>21608871.43</v>
      </c>
      <c r="GQ31" s="35">
        <v>30</v>
      </c>
      <c r="GR31" s="35">
        <v>619502</v>
      </c>
      <c r="GS31" s="35"/>
      <c r="GT31" s="35">
        <v>50420700</v>
      </c>
      <c r="GU31" s="36"/>
      <c r="GV31" s="36">
        <v>50420700</v>
      </c>
      <c r="GW31" s="85">
        <v>50420700</v>
      </c>
      <c r="GX31" s="35"/>
      <c r="GY31" s="35"/>
      <c r="GZ31" s="35"/>
      <c r="HA31" s="35"/>
      <c r="HB31" s="35"/>
      <c r="HC31" s="35">
        <v>1168412.6499999999</v>
      </c>
      <c r="HD31" s="36"/>
      <c r="HE31" s="35"/>
      <c r="HF31" s="35"/>
      <c r="HG31" s="35"/>
      <c r="HH31" s="35"/>
      <c r="HI31" s="35"/>
      <c r="HJ31" s="35">
        <v>1144052.6499999999</v>
      </c>
      <c r="HK31" s="35">
        <v>24360</v>
      </c>
      <c r="HL31" s="35"/>
      <c r="HM31" s="36"/>
      <c r="HN31" s="36"/>
      <c r="HO31" s="85"/>
      <c r="HP31" s="35"/>
      <c r="HQ31" s="35">
        <v>48825096.18</v>
      </c>
      <c r="HR31" s="35">
        <v>33401600</v>
      </c>
      <c r="HS31" s="35">
        <v>15423496.18</v>
      </c>
      <c r="HT31" s="35">
        <v>33401600</v>
      </c>
      <c r="HU31" s="35"/>
      <c r="HV31" s="36"/>
      <c r="HW31" s="35">
        <v>48825096.18</v>
      </c>
      <c r="HX31" s="35">
        <v>33401600</v>
      </c>
      <c r="HY31" s="35"/>
      <c r="HZ31" s="35">
        <v>15423496.18</v>
      </c>
      <c r="IA31" s="35">
        <v>31.589279999999999</v>
      </c>
      <c r="IB31" s="35"/>
      <c r="IC31" s="35"/>
      <c r="ID31" s="35">
        <v>33401600</v>
      </c>
      <c r="IE31" s="36"/>
      <c r="IF31" s="36">
        <v>33401600</v>
      </c>
      <c r="IG31" s="85">
        <v>33401600</v>
      </c>
      <c r="IH31" s="35"/>
      <c r="II31" s="35"/>
      <c r="IJ31" s="35"/>
      <c r="IK31" s="35"/>
      <c r="IL31" s="35"/>
      <c r="IM31" s="35"/>
      <c r="IN31" s="36"/>
      <c r="IO31" s="35"/>
      <c r="IP31" s="35"/>
      <c r="IQ31" s="35"/>
      <c r="IR31" s="35"/>
      <c r="IS31" s="35"/>
      <c r="IT31" s="35"/>
      <c r="IU31" s="35"/>
      <c r="IV31" s="35"/>
      <c r="IW31" s="36"/>
      <c r="IX31" s="36"/>
      <c r="IY31" s="85"/>
      <c r="IZ31" s="35"/>
      <c r="JA31" s="35"/>
      <c r="JB31" s="35"/>
      <c r="JC31" s="35"/>
      <c r="JD31" s="35"/>
      <c r="JE31" s="35"/>
      <c r="JF31" s="36"/>
      <c r="JG31" s="35"/>
      <c r="JH31" s="35"/>
      <c r="JI31" s="35"/>
      <c r="JJ31" s="35"/>
      <c r="JK31" s="35"/>
      <c r="JL31" s="35"/>
      <c r="JM31" s="35"/>
      <c r="JN31" s="35"/>
      <c r="JO31" s="36"/>
      <c r="JP31" s="36"/>
      <c r="JQ31" s="85"/>
      <c r="JR31" s="35"/>
      <c r="JS31" s="35"/>
      <c r="JT31" s="35"/>
      <c r="JU31" s="35"/>
      <c r="JV31" s="35"/>
      <c r="JW31" s="35"/>
      <c r="JX31" s="36"/>
      <c r="JY31" s="35"/>
      <c r="JZ31" s="35"/>
      <c r="KA31" s="35"/>
      <c r="KB31" s="35"/>
      <c r="KC31" s="35"/>
      <c r="KD31" s="35"/>
      <c r="KE31" s="35"/>
      <c r="KF31" s="35"/>
      <c r="KG31" s="36"/>
      <c r="KH31" s="36"/>
      <c r="KI31" s="85"/>
      <c r="KJ31" s="35"/>
      <c r="KK31" s="35">
        <v>8260188.0899999999</v>
      </c>
      <c r="KL31" s="35">
        <v>2635000</v>
      </c>
      <c r="KM31" s="35">
        <v>5625188.0899999999</v>
      </c>
      <c r="KN31" s="35">
        <v>2524433.5099999998</v>
      </c>
      <c r="KO31" s="35"/>
      <c r="KP31" s="36"/>
      <c r="KQ31" s="35">
        <v>7913584.5800000001</v>
      </c>
      <c r="KR31" s="35">
        <v>2524433.5099999998</v>
      </c>
      <c r="KS31" s="35"/>
      <c r="KT31" s="35">
        <v>5389151.0700000003</v>
      </c>
      <c r="KU31" s="35">
        <v>68.099999999999994</v>
      </c>
      <c r="KV31" s="35"/>
      <c r="KW31" s="35"/>
      <c r="KX31" s="35">
        <v>2524433.5099999998</v>
      </c>
      <c r="KY31" s="36"/>
      <c r="KZ31" s="36">
        <v>2635000</v>
      </c>
      <c r="LA31" s="85">
        <v>2635000</v>
      </c>
      <c r="LB31" s="35"/>
      <c r="LC31" s="35"/>
      <c r="LD31" s="35"/>
      <c r="LE31" s="35"/>
      <c r="LF31" s="35"/>
      <c r="LG31" s="35"/>
      <c r="LH31" s="36"/>
      <c r="LI31" s="35"/>
      <c r="LJ31" s="35"/>
      <c r="LK31" s="35"/>
      <c r="LL31" s="35"/>
      <c r="LM31" s="35"/>
      <c r="LN31" s="35"/>
      <c r="LO31" s="35"/>
      <c r="LP31" s="35"/>
      <c r="LQ31" s="36"/>
      <c r="LR31" s="36"/>
      <c r="LS31" s="85"/>
      <c r="LT31" s="35"/>
      <c r="LU31" s="35">
        <v>5447470.8200000003</v>
      </c>
      <c r="LV31" s="35">
        <v>140000</v>
      </c>
      <c r="LW31" s="35">
        <v>5307470.82</v>
      </c>
      <c r="LX31" s="35">
        <v>140000</v>
      </c>
      <c r="LY31" s="35"/>
      <c r="LZ31" s="36"/>
      <c r="MA31" s="35">
        <v>5447470.8200000003</v>
      </c>
      <c r="MB31" s="35">
        <v>140000</v>
      </c>
      <c r="MC31" s="35"/>
      <c r="MD31" s="35">
        <v>5307470.82</v>
      </c>
      <c r="ME31" s="35">
        <v>97.43</v>
      </c>
      <c r="MF31" s="35"/>
      <c r="MG31" s="35"/>
      <c r="MH31" s="35">
        <v>140000</v>
      </c>
      <c r="MI31" s="36"/>
      <c r="MJ31" s="36">
        <v>140000</v>
      </c>
      <c r="MK31" s="85">
        <v>140000</v>
      </c>
      <c r="ML31" s="35"/>
      <c r="MM31" s="35"/>
      <c r="MN31" s="35"/>
      <c r="MO31" s="35"/>
      <c r="MP31" s="35"/>
      <c r="MQ31" s="35"/>
      <c r="MR31" s="36"/>
      <c r="MS31" s="35"/>
      <c r="MT31" s="35"/>
      <c r="MU31" s="35"/>
      <c r="MV31" s="35"/>
      <c r="MW31" s="35"/>
      <c r="MX31" s="35"/>
      <c r="MY31" s="35"/>
      <c r="MZ31" s="35"/>
      <c r="NA31" s="36"/>
      <c r="NB31" s="36"/>
      <c r="NC31" s="85"/>
      <c r="ND31" s="35"/>
      <c r="NE31" s="35">
        <v>99533096.280000001</v>
      </c>
      <c r="NF31" s="35">
        <v>36389300</v>
      </c>
      <c r="NG31" s="35">
        <v>63143796.280000001</v>
      </c>
      <c r="NH31" s="35">
        <v>36389300</v>
      </c>
      <c r="NI31" s="35"/>
      <c r="NJ31" s="36"/>
      <c r="NK31" s="35">
        <v>99533096.280000001</v>
      </c>
      <c r="NL31" s="35">
        <v>36389300</v>
      </c>
      <c r="NM31" s="35"/>
      <c r="NN31" s="35">
        <v>63143796.280000001</v>
      </c>
      <c r="NO31" s="35">
        <v>63.44</v>
      </c>
      <c r="NP31" s="35"/>
      <c r="NQ31" s="35"/>
      <c r="NR31" s="35">
        <v>36389300</v>
      </c>
      <c r="NS31" s="36"/>
      <c r="NT31" s="36">
        <v>36389300</v>
      </c>
      <c r="NU31" s="85">
        <v>36389300</v>
      </c>
      <c r="NV31" s="35"/>
      <c r="NW31" s="35"/>
      <c r="NX31" s="35"/>
      <c r="NY31" s="35"/>
      <c r="NZ31" s="35"/>
      <c r="OA31" s="35"/>
      <c r="OB31" s="36"/>
      <c r="OC31" s="35"/>
      <c r="OD31" s="35"/>
      <c r="OE31" s="35"/>
      <c r="OF31" s="35"/>
      <c r="OG31" s="35"/>
      <c r="OH31" s="35"/>
      <c r="OI31" s="35"/>
      <c r="OJ31" s="35"/>
      <c r="OK31" s="36"/>
      <c r="OL31" s="36"/>
      <c r="OM31" s="85"/>
      <c r="ON31" s="35"/>
      <c r="OO31" s="35">
        <v>9045153.0600000005</v>
      </c>
      <c r="OP31" s="35">
        <v>3545700</v>
      </c>
      <c r="OQ31" s="35">
        <v>5499453.0599999996</v>
      </c>
      <c r="OR31" s="35">
        <v>3545700</v>
      </c>
      <c r="OS31" s="35"/>
      <c r="OT31" s="36"/>
      <c r="OU31" s="35">
        <v>9045153.0600000005</v>
      </c>
      <c r="OV31" s="35">
        <v>3545700</v>
      </c>
      <c r="OW31" s="35"/>
      <c r="OX31" s="35">
        <v>5499453.0599999996</v>
      </c>
      <c r="OY31" s="35">
        <v>60.8</v>
      </c>
      <c r="OZ31" s="35"/>
      <c r="PA31" s="35"/>
      <c r="PB31" s="35">
        <v>3545700</v>
      </c>
      <c r="PC31" s="36"/>
      <c r="PD31" s="36">
        <v>3545700</v>
      </c>
      <c r="PE31" s="85">
        <v>3545700</v>
      </c>
      <c r="PF31" s="35"/>
      <c r="PG31" s="35"/>
      <c r="PH31" s="35"/>
      <c r="PI31" s="35"/>
      <c r="PJ31" s="35"/>
      <c r="PK31" s="35"/>
      <c r="PL31" s="36"/>
      <c r="PM31" s="35"/>
      <c r="PN31" s="35"/>
      <c r="PO31" s="35"/>
      <c r="PP31" s="35"/>
      <c r="PQ31" s="35"/>
      <c r="PR31" s="35"/>
      <c r="PS31" s="35"/>
      <c r="PT31" s="35"/>
      <c r="PU31" s="36"/>
      <c r="PV31" s="36"/>
      <c r="PW31" s="85"/>
      <c r="PX31" s="35"/>
      <c r="PY31" s="35"/>
      <c r="PZ31" s="35"/>
      <c r="QA31" s="35"/>
      <c r="QB31" s="35"/>
      <c r="QC31" s="35">
        <v>3959051.89</v>
      </c>
      <c r="QD31" s="36"/>
      <c r="QE31" s="35"/>
      <c r="QF31" s="35"/>
      <c r="QG31" s="35"/>
      <c r="QH31" s="35"/>
      <c r="QI31" s="35"/>
      <c r="QJ31" s="35">
        <v>3959051.89</v>
      </c>
      <c r="QK31" s="35"/>
      <c r="QL31" s="35"/>
      <c r="QM31" s="36"/>
      <c r="QN31" s="36"/>
      <c r="QO31" s="85"/>
    </row>
    <row r="32" spans="1:457" x14ac:dyDescent="0.25">
      <c r="A32" s="8" t="s">
        <v>52</v>
      </c>
      <c r="B32" s="173" t="s">
        <v>53</v>
      </c>
      <c r="C32" s="13" t="s">
        <v>54</v>
      </c>
      <c r="F32" s="36">
        <v>2784614400</v>
      </c>
      <c r="G32" s="35"/>
      <c r="H32" s="35"/>
      <c r="I32" s="35">
        <v>1259111800</v>
      </c>
      <c r="J32" s="35">
        <v>1196156200</v>
      </c>
      <c r="K32" s="35">
        <v>62955600</v>
      </c>
      <c r="L32" s="35">
        <v>1196156199.99</v>
      </c>
      <c r="M32" s="35"/>
      <c r="N32" s="36"/>
      <c r="O32" s="35">
        <v>1259111789.3900001</v>
      </c>
      <c r="P32" s="35">
        <v>1196156199.99</v>
      </c>
      <c r="Q32" s="35"/>
      <c r="R32" s="35">
        <v>62955589.399999999</v>
      </c>
      <c r="S32" s="35">
        <v>5</v>
      </c>
      <c r="T32" s="35"/>
      <c r="U32" s="35"/>
      <c r="V32" s="35">
        <v>1196156199.99</v>
      </c>
      <c r="W32" s="36"/>
      <c r="X32" s="36">
        <v>1196156200</v>
      </c>
      <c r="Y32" s="85">
        <v>1196156200</v>
      </c>
      <c r="Z32" s="35"/>
      <c r="AA32" s="35">
        <v>209725500</v>
      </c>
      <c r="AB32" s="35">
        <v>199239200</v>
      </c>
      <c r="AC32" s="35">
        <v>10486300</v>
      </c>
      <c r="AD32" s="35">
        <v>199239200</v>
      </c>
      <c r="AE32" s="35"/>
      <c r="AF32" s="36"/>
      <c r="AG32" s="35">
        <v>209725473.68000001</v>
      </c>
      <c r="AH32" s="35">
        <v>199239200</v>
      </c>
      <c r="AI32" s="35"/>
      <c r="AJ32" s="35">
        <v>10486273.68</v>
      </c>
      <c r="AK32" s="35">
        <v>5</v>
      </c>
      <c r="AL32" s="35"/>
      <c r="AM32" s="35"/>
      <c r="AN32" s="35">
        <v>199239200</v>
      </c>
      <c r="AO32" s="36"/>
      <c r="AP32" s="36">
        <v>199239200</v>
      </c>
      <c r="AQ32" s="85">
        <v>199239200</v>
      </c>
      <c r="AR32" s="35"/>
      <c r="AS32" s="35">
        <v>79673000</v>
      </c>
      <c r="AT32" s="35">
        <v>54183000</v>
      </c>
      <c r="AU32" s="35">
        <v>25490000</v>
      </c>
      <c r="AV32" s="35">
        <v>54083737.939999998</v>
      </c>
      <c r="AW32" s="35"/>
      <c r="AX32" s="36"/>
      <c r="AY32" s="35">
        <v>79523214.140000001</v>
      </c>
      <c r="AZ32" s="35">
        <v>54083737.939999998</v>
      </c>
      <c r="BA32" s="35"/>
      <c r="BB32" s="35">
        <v>25439476.199999999</v>
      </c>
      <c r="BC32" s="35">
        <v>31.99</v>
      </c>
      <c r="BD32" s="35"/>
      <c r="BE32" s="35"/>
      <c r="BF32" s="35">
        <v>54083737.939999998</v>
      </c>
      <c r="BG32" s="36"/>
      <c r="BH32" s="36">
        <v>54183000</v>
      </c>
      <c r="BI32" s="85">
        <v>54183000</v>
      </c>
      <c r="BJ32" s="35"/>
      <c r="BK32" s="35"/>
      <c r="BL32" s="35"/>
      <c r="BM32" s="35"/>
      <c r="BN32" s="35"/>
      <c r="BO32" s="35"/>
      <c r="BP32" s="36"/>
      <c r="BQ32" s="35"/>
      <c r="BR32" s="35"/>
      <c r="BS32" s="35"/>
      <c r="BT32" s="35"/>
      <c r="BU32" s="35"/>
      <c r="BV32" s="35"/>
      <c r="BW32" s="35"/>
      <c r="BX32" s="35"/>
      <c r="BY32" s="36"/>
      <c r="BZ32" s="36"/>
      <c r="CA32" s="85"/>
      <c r="CB32" s="35"/>
      <c r="CC32" s="35">
        <v>147574500</v>
      </c>
      <c r="CD32" s="35">
        <v>110680900</v>
      </c>
      <c r="CE32" s="35">
        <v>36893600</v>
      </c>
      <c r="CF32" s="35">
        <v>109839712.84999999</v>
      </c>
      <c r="CG32" s="35">
        <v>409750.84</v>
      </c>
      <c r="CH32" s="36"/>
      <c r="CI32" s="35">
        <v>146452950.46000001</v>
      </c>
      <c r="CJ32" s="35">
        <v>109839712.84999999</v>
      </c>
      <c r="CK32" s="35"/>
      <c r="CL32" s="35">
        <v>36613237.609999999</v>
      </c>
      <c r="CM32" s="35">
        <v>25</v>
      </c>
      <c r="CN32" s="35">
        <v>409750.84</v>
      </c>
      <c r="CO32" s="35"/>
      <c r="CP32" s="35">
        <v>109839712.84999999</v>
      </c>
      <c r="CQ32" s="36"/>
      <c r="CR32" s="36">
        <v>110680900</v>
      </c>
      <c r="CS32" s="85">
        <v>110680900</v>
      </c>
      <c r="CT32" s="35"/>
      <c r="CU32" s="35">
        <v>242525600</v>
      </c>
      <c r="CV32" s="35">
        <v>180432300</v>
      </c>
      <c r="CW32" s="35">
        <v>62093300</v>
      </c>
      <c r="CX32" s="35">
        <v>177639292.16</v>
      </c>
      <c r="CY32" s="35"/>
      <c r="CZ32" s="36"/>
      <c r="DA32" s="35">
        <v>238771292.55000001</v>
      </c>
      <c r="DB32" s="35">
        <v>177639292.16</v>
      </c>
      <c r="DC32" s="35"/>
      <c r="DD32" s="35">
        <v>61132000.390000001</v>
      </c>
      <c r="DE32" s="35">
        <v>25.602740000000001</v>
      </c>
      <c r="DF32" s="35"/>
      <c r="DG32" s="35"/>
      <c r="DH32" s="35">
        <v>177639292.16</v>
      </c>
      <c r="DI32" s="36"/>
      <c r="DJ32" s="36">
        <v>180432300</v>
      </c>
      <c r="DK32" s="85">
        <v>180432300</v>
      </c>
      <c r="DL32" s="35"/>
      <c r="DM32" s="35"/>
      <c r="DN32" s="35"/>
      <c r="DO32" s="35"/>
      <c r="DP32" s="35"/>
      <c r="DQ32" s="35"/>
      <c r="DR32" s="36"/>
      <c r="DS32" s="35"/>
      <c r="DT32" s="35"/>
      <c r="DU32" s="35"/>
      <c r="DV32" s="35"/>
      <c r="DW32" s="35"/>
      <c r="DX32" s="35"/>
      <c r="DY32" s="35"/>
      <c r="DZ32" s="35"/>
      <c r="EA32" s="36"/>
      <c r="EB32" s="36"/>
      <c r="EC32" s="85"/>
      <c r="ED32" s="35"/>
      <c r="EE32" s="35">
        <v>1049995800</v>
      </c>
      <c r="EF32" s="35">
        <v>997328000</v>
      </c>
      <c r="EG32" s="35">
        <v>52667800</v>
      </c>
      <c r="EH32" s="35">
        <v>997305140.78999996</v>
      </c>
      <c r="EI32" s="35"/>
      <c r="EJ32" s="36"/>
      <c r="EK32" s="35">
        <v>1049971733.4299999</v>
      </c>
      <c r="EL32" s="35">
        <v>997305140.78999996</v>
      </c>
      <c r="EM32" s="35"/>
      <c r="EN32" s="35">
        <v>52666592.640000001</v>
      </c>
      <c r="EO32" s="35">
        <v>5.016</v>
      </c>
      <c r="EP32" s="35"/>
      <c r="EQ32" s="35"/>
      <c r="ER32" s="35">
        <v>997305140.78999996</v>
      </c>
      <c r="ES32" s="36"/>
      <c r="ET32" s="36">
        <v>997328000</v>
      </c>
      <c r="EU32" s="85">
        <v>997328000</v>
      </c>
      <c r="EV32" s="35"/>
      <c r="EW32" s="35"/>
      <c r="EX32" s="35"/>
      <c r="EY32" s="35"/>
      <c r="EZ32" s="35"/>
      <c r="FA32" s="35"/>
      <c r="FB32" s="36"/>
      <c r="FC32" s="35"/>
      <c r="FD32" s="35"/>
      <c r="FE32" s="35"/>
      <c r="FF32" s="35"/>
      <c r="FG32" s="35"/>
      <c r="FH32" s="35"/>
      <c r="FI32" s="35"/>
      <c r="FJ32" s="35"/>
      <c r="FK32" s="36"/>
      <c r="FL32" s="36"/>
      <c r="FM32" s="85"/>
      <c r="FN32" s="35"/>
      <c r="FO32" s="35">
        <v>7441700</v>
      </c>
      <c r="FP32" s="35">
        <v>5969700</v>
      </c>
      <c r="FQ32" s="35">
        <v>1472000</v>
      </c>
      <c r="FR32" s="35">
        <v>5662918.9199999999</v>
      </c>
      <c r="FS32" s="35"/>
      <c r="FT32" s="36"/>
      <c r="FU32" s="35">
        <v>7059235.75</v>
      </c>
      <c r="FV32" s="35">
        <v>5662918.9199999999</v>
      </c>
      <c r="FW32" s="35"/>
      <c r="FX32" s="35">
        <v>1396316.83</v>
      </c>
      <c r="FY32" s="35">
        <v>19.78</v>
      </c>
      <c r="FZ32" s="35"/>
      <c r="GA32" s="35"/>
      <c r="GB32" s="35">
        <v>5662918.9199999999</v>
      </c>
      <c r="GC32" s="36"/>
      <c r="GD32" s="36">
        <v>5969700</v>
      </c>
      <c r="GE32" s="85">
        <v>5969700</v>
      </c>
      <c r="GF32" s="35"/>
      <c r="GG32" s="35">
        <v>21863200</v>
      </c>
      <c r="GH32" s="35">
        <v>9619100</v>
      </c>
      <c r="GI32" s="35">
        <v>12244100</v>
      </c>
      <c r="GJ32" s="35">
        <v>9619100</v>
      </c>
      <c r="GK32" s="35"/>
      <c r="GL32" s="36"/>
      <c r="GM32" s="35">
        <v>21863200</v>
      </c>
      <c r="GN32" s="35">
        <v>9619100</v>
      </c>
      <c r="GO32" s="35"/>
      <c r="GP32" s="35">
        <v>12244100</v>
      </c>
      <c r="GQ32" s="35">
        <v>56.003239999999998</v>
      </c>
      <c r="GR32" s="35"/>
      <c r="GS32" s="35"/>
      <c r="GT32" s="35">
        <v>9619100</v>
      </c>
      <c r="GU32" s="36"/>
      <c r="GV32" s="36">
        <v>9619100</v>
      </c>
      <c r="GW32" s="85">
        <v>9619100</v>
      </c>
      <c r="GX32" s="35"/>
      <c r="GY32" s="35"/>
      <c r="GZ32" s="35"/>
      <c r="HA32" s="35"/>
      <c r="HB32" s="35"/>
      <c r="HC32" s="35">
        <v>559978</v>
      </c>
      <c r="HD32" s="36"/>
      <c r="HE32" s="35"/>
      <c r="HF32" s="35"/>
      <c r="HG32" s="35"/>
      <c r="HH32" s="35"/>
      <c r="HI32" s="35"/>
      <c r="HJ32" s="35">
        <v>559978</v>
      </c>
      <c r="HK32" s="35"/>
      <c r="HL32" s="35"/>
      <c r="HM32" s="36"/>
      <c r="HN32" s="36"/>
      <c r="HO32" s="85"/>
      <c r="HP32" s="35"/>
      <c r="HQ32" s="35">
        <v>45378100</v>
      </c>
      <c r="HR32" s="35">
        <v>31006000</v>
      </c>
      <c r="HS32" s="35">
        <v>14372100</v>
      </c>
      <c r="HT32" s="35">
        <v>30302878.32</v>
      </c>
      <c r="HU32" s="35"/>
      <c r="HV32" s="36"/>
      <c r="HW32" s="35">
        <v>44349281.060000002</v>
      </c>
      <c r="HX32" s="35">
        <v>30302878.32</v>
      </c>
      <c r="HY32" s="35"/>
      <c r="HZ32" s="35">
        <v>14046402.74</v>
      </c>
      <c r="IA32" s="35">
        <v>31.672219999999999</v>
      </c>
      <c r="IB32" s="35"/>
      <c r="IC32" s="35"/>
      <c r="ID32" s="35">
        <v>30302878.32</v>
      </c>
      <c r="IE32" s="36"/>
      <c r="IF32" s="36">
        <v>31006000</v>
      </c>
      <c r="IG32" s="85">
        <v>31006000</v>
      </c>
      <c r="IH32" s="35"/>
      <c r="II32" s="35"/>
      <c r="IJ32" s="35"/>
      <c r="IK32" s="35"/>
      <c r="IL32" s="35"/>
      <c r="IM32" s="35"/>
      <c r="IN32" s="36"/>
      <c r="IO32" s="35"/>
      <c r="IP32" s="35"/>
      <c r="IQ32" s="35"/>
      <c r="IR32" s="35"/>
      <c r="IS32" s="35"/>
      <c r="IT32" s="35"/>
      <c r="IU32" s="35"/>
      <c r="IV32" s="35"/>
      <c r="IW32" s="36"/>
      <c r="IX32" s="36"/>
      <c r="IY32" s="85"/>
      <c r="IZ32" s="35"/>
      <c r="JA32" s="35"/>
      <c r="JB32" s="35"/>
      <c r="JC32" s="35"/>
      <c r="JD32" s="35"/>
      <c r="JE32" s="35"/>
      <c r="JF32" s="36"/>
      <c r="JG32" s="35"/>
      <c r="JH32" s="35"/>
      <c r="JI32" s="35"/>
      <c r="JJ32" s="35"/>
      <c r="JK32" s="35"/>
      <c r="JL32" s="35"/>
      <c r="JM32" s="35"/>
      <c r="JN32" s="35"/>
      <c r="JO32" s="36"/>
      <c r="JP32" s="36"/>
      <c r="JQ32" s="85"/>
      <c r="JR32" s="35"/>
      <c r="JS32" s="35"/>
      <c r="JT32" s="35"/>
      <c r="JU32" s="35"/>
      <c r="JV32" s="35"/>
      <c r="JW32" s="35"/>
      <c r="JX32" s="36"/>
      <c r="JY32" s="35"/>
      <c r="JZ32" s="35"/>
      <c r="KA32" s="35"/>
      <c r="KB32" s="35"/>
      <c r="KC32" s="35"/>
      <c r="KD32" s="35"/>
      <c r="KE32" s="35"/>
      <c r="KF32" s="35"/>
      <c r="KG32" s="36"/>
      <c r="KH32" s="36"/>
      <c r="KI32" s="85"/>
      <c r="KJ32" s="35"/>
      <c r="KK32" s="35"/>
      <c r="KL32" s="35"/>
      <c r="KM32" s="35"/>
      <c r="KN32" s="35"/>
      <c r="KO32" s="35"/>
      <c r="KP32" s="36"/>
      <c r="KQ32" s="35"/>
      <c r="KR32" s="35"/>
      <c r="KS32" s="35"/>
      <c r="KT32" s="35"/>
      <c r="KU32" s="35"/>
      <c r="KV32" s="35"/>
      <c r="KW32" s="35"/>
      <c r="KX32" s="35"/>
      <c r="KY32" s="36"/>
      <c r="KZ32" s="36"/>
      <c r="LA32" s="85"/>
      <c r="LB32" s="35"/>
      <c r="LC32" s="35"/>
      <c r="LD32" s="35"/>
      <c r="LE32" s="35"/>
      <c r="LF32" s="35"/>
      <c r="LG32" s="35"/>
      <c r="LH32" s="36"/>
      <c r="LI32" s="35"/>
      <c r="LJ32" s="35"/>
      <c r="LK32" s="35"/>
      <c r="LL32" s="35"/>
      <c r="LM32" s="35"/>
      <c r="LN32" s="35"/>
      <c r="LO32" s="35"/>
      <c r="LP32" s="35"/>
      <c r="LQ32" s="36"/>
      <c r="LR32" s="36"/>
      <c r="LS32" s="85"/>
      <c r="LT32" s="35"/>
      <c r="LU32" s="35"/>
      <c r="LV32" s="35"/>
      <c r="LW32" s="35"/>
      <c r="LX32" s="35"/>
      <c r="LY32" s="35"/>
      <c r="LZ32" s="36"/>
      <c r="MA32" s="35"/>
      <c r="MB32" s="35"/>
      <c r="MC32" s="35"/>
      <c r="MD32" s="35"/>
      <c r="ME32" s="35"/>
      <c r="MF32" s="35"/>
      <c r="MG32" s="35"/>
      <c r="MH32" s="35"/>
      <c r="MI32" s="36"/>
      <c r="MJ32" s="36"/>
      <c r="MK32" s="85"/>
      <c r="ML32" s="35"/>
      <c r="MM32" s="35"/>
      <c r="MN32" s="35"/>
      <c r="MO32" s="35"/>
      <c r="MP32" s="35"/>
      <c r="MQ32" s="35"/>
      <c r="MR32" s="36"/>
      <c r="MS32" s="35"/>
      <c r="MT32" s="35"/>
      <c r="MU32" s="35"/>
      <c r="MV32" s="35"/>
      <c r="MW32" s="35"/>
      <c r="MX32" s="35"/>
      <c r="MY32" s="35"/>
      <c r="MZ32" s="35"/>
      <c r="NA32" s="36"/>
      <c r="NB32" s="36"/>
      <c r="NC32" s="85"/>
      <c r="ND32" s="35"/>
      <c r="NE32" s="35"/>
      <c r="NF32" s="35"/>
      <c r="NG32" s="35"/>
      <c r="NH32" s="35"/>
      <c r="NI32" s="35"/>
      <c r="NJ32" s="36"/>
      <c r="NK32" s="35"/>
      <c r="NL32" s="35"/>
      <c r="NM32" s="35"/>
      <c r="NN32" s="35"/>
      <c r="NO32" s="35"/>
      <c r="NP32" s="35"/>
      <c r="NQ32" s="35"/>
      <c r="NR32" s="35"/>
      <c r="NS32" s="36"/>
      <c r="NT32" s="36"/>
      <c r="NU32" s="85"/>
      <c r="NV32" s="35"/>
      <c r="NW32" s="35"/>
      <c r="NX32" s="35"/>
      <c r="NY32" s="35"/>
      <c r="NZ32" s="35"/>
      <c r="OA32" s="35"/>
      <c r="OB32" s="36"/>
      <c r="OC32" s="35"/>
      <c r="OD32" s="35"/>
      <c r="OE32" s="35"/>
      <c r="OF32" s="35"/>
      <c r="OG32" s="35"/>
      <c r="OH32" s="35"/>
      <c r="OI32" s="35"/>
      <c r="OJ32" s="35"/>
      <c r="OK32" s="36"/>
      <c r="OL32" s="36"/>
      <c r="OM32" s="85"/>
      <c r="ON32" s="35"/>
      <c r="OO32" s="35"/>
      <c r="OP32" s="35"/>
      <c r="OQ32" s="35"/>
      <c r="OR32" s="35"/>
      <c r="OS32" s="35"/>
      <c r="OT32" s="36"/>
      <c r="OU32" s="35"/>
      <c r="OV32" s="35"/>
      <c r="OW32" s="35"/>
      <c r="OX32" s="35"/>
      <c r="OY32" s="35"/>
      <c r="OZ32" s="35"/>
      <c r="PA32" s="35"/>
      <c r="PB32" s="35"/>
      <c r="PC32" s="36"/>
      <c r="PD32" s="36"/>
      <c r="PE32" s="85"/>
      <c r="PF32" s="35"/>
      <c r="PG32" s="35"/>
      <c r="PH32" s="35"/>
      <c r="PI32" s="35"/>
      <c r="PJ32" s="35"/>
      <c r="PK32" s="35"/>
      <c r="PL32" s="36"/>
      <c r="PM32" s="35"/>
      <c r="PN32" s="35"/>
      <c r="PO32" s="35"/>
      <c r="PP32" s="35"/>
      <c r="PQ32" s="35"/>
      <c r="PR32" s="35"/>
      <c r="PS32" s="35"/>
      <c r="PT32" s="35"/>
      <c r="PU32" s="36"/>
      <c r="PV32" s="36"/>
      <c r="PW32" s="85"/>
      <c r="PX32" s="35"/>
      <c r="PY32" s="35"/>
      <c r="PZ32" s="35"/>
      <c r="QA32" s="35"/>
      <c r="QB32" s="35"/>
      <c r="QC32" s="35">
        <v>1681386.83</v>
      </c>
      <c r="QD32" s="36"/>
      <c r="QE32" s="35"/>
      <c r="QF32" s="35"/>
      <c r="QG32" s="35"/>
      <c r="QH32" s="35"/>
      <c r="QI32" s="35"/>
      <c r="QJ32" s="35">
        <v>1681386.83</v>
      </c>
      <c r="QK32" s="35"/>
      <c r="QL32" s="35"/>
      <c r="QM32" s="36"/>
      <c r="QN32" s="36"/>
      <c r="QO32" s="85"/>
    </row>
    <row r="33" spans="1:457" x14ac:dyDescent="0.25">
      <c r="A33" s="8" t="s">
        <v>55</v>
      </c>
      <c r="B33" s="172" t="s">
        <v>56</v>
      </c>
      <c r="C33" s="13" t="s">
        <v>57</v>
      </c>
      <c r="F33" s="36">
        <v>1136252200</v>
      </c>
      <c r="G33" s="35"/>
      <c r="H33" s="35"/>
      <c r="I33" s="35">
        <v>561973872.05999994</v>
      </c>
      <c r="J33" s="35">
        <v>505271300</v>
      </c>
      <c r="K33" s="35">
        <v>56702572.060000002</v>
      </c>
      <c r="L33" s="35">
        <v>505271300</v>
      </c>
      <c r="M33" s="35"/>
      <c r="N33" s="36"/>
      <c r="O33" s="35">
        <v>561973872.05999994</v>
      </c>
      <c r="P33" s="35">
        <v>505271300</v>
      </c>
      <c r="Q33" s="35"/>
      <c r="R33" s="35">
        <v>56702572.060000002</v>
      </c>
      <c r="S33" s="35">
        <v>10.08989</v>
      </c>
      <c r="T33" s="35"/>
      <c r="U33" s="35"/>
      <c r="V33" s="35">
        <v>505271300</v>
      </c>
      <c r="W33" s="36"/>
      <c r="X33" s="36">
        <v>505271300</v>
      </c>
      <c r="Y33" s="85">
        <v>505271300</v>
      </c>
      <c r="Z33" s="35"/>
      <c r="AA33" s="35">
        <v>34765578.950000003</v>
      </c>
      <c r="AB33" s="35">
        <v>33027300</v>
      </c>
      <c r="AC33" s="35">
        <v>1738278.95</v>
      </c>
      <c r="AD33" s="35">
        <v>33027300</v>
      </c>
      <c r="AE33" s="35"/>
      <c r="AF33" s="36"/>
      <c r="AG33" s="35">
        <v>34765578.950000003</v>
      </c>
      <c r="AH33" s="35">
        <v>33027300</v>
      </c>
      <c r="AI33" s="35"/>
      <c r="AJ33" s="35">
        <v>1738278.95</v>
      </c>
      <c r="AK33" s="35">
        <v>5</v>
      </c>
      <c r="AL33" s="35"/>
      <c r="AM33" s="35"/>
      <c r="AN33" s="35">
        <v>33027300</v>
      </c>
      <c r="AO33" s="36"/>
      <c r="AP33" s="36">
        <v>33027300</v>
      </c>
      <c r="AQ33" s="85">
        <v>33027300</v>
      </c>
      <c r="AR33" s="35"/>
      <c r="AS33" s="35">
        <v>78778800</v>
      </c>
      <c r="AT33" s="35">
        <v>73078800</v>
      </c>
      <c r="AU33" s="35">
        <v>5700000</v>
      </c>
      <c r="AV33" s="35">
        <v>73078800</v>
      </c>
      <c r="AW33" s="35"/>
      <c r="AX33" s="36"/>
      <c r="AY33" s="35">
        <v>78778800</v>
      </c>
      <c r="AZ33" s="35">
        <v>73078800</v>
      </c>
      <c r="BA33" s="35"/>
      <c r="BB33" s="35">
        <v>5700000</v>
      </c>
      <c r="BC33" s="35">
        <v>7.2354500000000002</v>
      </c>
      <c r="BD33" s="35"/>
      <c r="BE33" s="35"/>
      <c r="BF33" s="35">
        <v>73078800</v>
      </c>
      <c r="BG33" s="36"/>
      <c r="BH33" s="36">
        <v>73078800</v>
      </c>
      <c r="BI33" s="85">
        <v>73078800</v>
      </c>
      <c r="BJ33" s="35"/>
      <c r="BK33" s="35"/>
      <c r="BL33" s="35"/>
      <c r="BM33" s="35"/>
      <c r="BN33" s="35"/>
      <c r="BO33" s="35"/>
      <c r="BP33" s="36"/>
      <c r="BQ33" s="35"/>
      <c r="BR33" s="35"/>
      <c r="BS33" s="35"/>
      <c r="BT33" s="35"/>
      <c r="BU33" s="35"/>
      <c r="BV33" s="35"/>
      <c r="BW33" s="35"/>
      <c r="BX33" s="35"/>
      <c r="BY33" s="36"/>
      <c r="BZ33" s="36"/>
      <c r="CA33" s="85"/>
      <c r="CB33" s="35"/>
      <c r="CC33" s="35">
        <v>169229600</v>
      </c>
      <c r="CD33" s="35">
        <v>157029600</v>
      </c>
      <c r="CE33" s="35">
        <v>12200000</v>
      </c>
      <c r="CF33" s="35">
        <v>157009433.03</v>
      </c>
      <c r="CG33" s="35">
        <v>18031</v>
      </c>
      <c r="CH33" s="36"/>
      <c r="CI33" s="35">
        <v>169209433</v>
      </c>
      <c r="CJ33" s="35">
        <v>157009433.03</v>
      </c>
      <c r="CK33" s="35"/>
      <c r="CL33" s="35">
        <v>12199999.970000001</v>
      </c>
      <c r="CM33" s="35">
        <v>7.21</v>
      </c>
      <c r="CN33" s="35">
        <v>18031</v>
      </c>
      <c r="CO33" s="35"/>
      <c r="CP33" s="35">
        <v>157009433.03</v>
      </c>
      <c r="CQ33" s="36"/>
      <c r="CR33" s="36">
        <v>157029600</v>
      </c>
      <c r="CS33" s="85">
        <v>157029600</v>
      </c>
      <c r="CT33" s="35"/>
      <c r="CU33" s="35">
        <v>371216400</v>
      </c>
      <c r="CV33" s="35">
        <v>344488800</v>
      </c>
      <c r="CW33" s="35">
        <v>26727600</v>
      </c>
      <c r="CX33" s="35">
        <v>343747131.95999998</v>
      </c>
      <c r="CY33" s="35"/>
      <c r="CZ33" s="36"/>
      <c r="DA33" s="35">
        <v>370417168</v>
      </c>
      <c r="DB33" s="35">
        <v>343747131.95999998</v>
      </c>
      <c r="DC33" s="35"/>
      <c r="DD33" s="35">
        <v>26670036.039999999</v>
      </c>
      <c r="DE33" s="35">
        <v>7.2</v>
      </c>
      <c r="DF33" s="35"/>
      <c r="DG33" s="35"/>
      <c r="DH33" s="35">
        <v>343747131.95999998</v>
      </c>
      <c r="DI33" s="36"/>
      <c r="DJ33" s="36">
        <v>344488800</v>
      </c>
      <c r="DK33" s="85">
        <v>344488800</v>
      </c>
      <c r="DL33" s="35"/>
      <c r="DM33" s="35"/>
      <c r="DN33" s="35"/>
      <c r="DO33" s="35"/>
      <c r="DP33" s="35"/>
      <c r="DQ33" s="35"/>
      <c r="DR33" s="36"/>
      <c r="DS33" s="35"/>
      <c r="DT33" s="35"/>
      <c r="DU33" s="35"/>
      <c r="DV33" s="35"/>
      <c r="DW33" s="35"/>
      <c r="DX33" s="35"/>
      <c r="DY33" s="35"/>
      <c r="DZ33" s="35"/>
      <c r="EA33" s="36"/>
      <c r="EB33" s="36"/>
      <c r="EC33" s="85"/>
      <c r="ED33" s="35"/>
      <c r="EE33" s="35"/>
      <c r="EF33" s="35"/>
      <c r="EG33" s="35"/>
      <c r="EH33" s="35"/>
      <c r="EI33" s="35"/>
      <c r="EJ33" s="36"/>
      <c r="EK33" s="35"/>
      <c r="EL33" s="35"/>
      <c r="EM33" s="35"/>
      <c r="EN33" s="35"/>
      <c r="EO33" s="35"/>
      <c r="EP33" s="35"/>
      <c r="EQ33" s="35"/>
      <c r="ER33" s="35"/>
      <c r="ES33" s="36"/>
      <c r="ET33" s="36"/>
      <c r="EU33" s="85"/>
      <c r="EV33" s="35"/>
      <c r="EW33" s="35"/>
      <c r="EX33" s="35"/>
      <c r="EY33" s="35"/>
      <c r="EZ33" s="35"/>
      <c r="FA33" s="35"/>
      <c r="FB33" s="36"/>
      <c r="FC33" s="35"/>
      <c r="FD33" s="35"/>
      <c r="FE33" s="35"/>
      <c r="FF33" s="35"/>
      <c r="FG33" s="35"/>
      <c r="FH33" s="35"/>
      <c r="FI33" s="35"/>
      <c r="FJ33" s="35"/>
      <c r="FK33" s="36"/>
      <c r="FL33" s="36"/>
      <c r="FM33" s="85"/>
      <c r="FN33" s="35"/>
      <c r="FO33" s="35">
        <v>6026700</v>
      </c>
      <c r="FP33" s="35">
        <v>5424000</v>
      </c>
      <c r="FQ33" s="35">
        <v>602700</v>
      </c>
      <c r="FR33" s="35"/>
      <c r="FS33" s="35"/>
      <c r="FT33" s="36"/>
      <c r="FU33" s="35"/>
      <c r="FV33" s="35"/>
      <c r="FW33" s="35"/>
      <c r="FX33" s="35"/>
      <c r="FY33" s="35"/>
      <c r="FZ33" s="35"/>
      <c r="GA33" s="35"/>
      <c r="GB33" s="35"/>
      <c r="GC33" s="36"/>
      <c r="GD33" s="36">
        <v>5424000</v>
      </c>
      <c r="GE33" s="85">
        <v>5424000</v>
      </c>
      <c r="GF33" s="35"/>
      <c r="GG33" s="35">
        <v>6932700</v>
      </c>
      <c r="GH33" s="35">
        <v>3932700</v>
      </c>
      <c r="GI33" s="35">
        <v>3000000</v>
      </c>
      <c r="GJ33" s="35">
        <v>3853405.52</v>
      </c>
      <c r="GK33" s="35">
        <v>12250.06</v>
      </c>
      <c r="GL33" s="36"/>
      <c r="GM33" s="35">
        <v>6792535.7300000004</v>
      </c>
      <c r="GN33" s="35">
        <v>3853405.52</v>
      </c>
      <c r="GO33" s="35"/>
      <c r="GP33" s="35">
        <v>2939130.21</v>
      </c>
      <c r="GQ33" s="35">
        <v>43.27</v>
      </c>
      <c r="GR33" s="35">
        <v>12250.06</v>
      </c>
      <c r="GS33" s="35"/>
      <c r="GT33" s="35">
        <v>3853405.52</v>
      </c>
      <c r="GU33" s="36"/>
      <c r="GV33" s="36">
        <v>3932700</v>
      </c>
      <c r="GW33" s="85">
        <v>3932700</v>
      </c>
      <c r="GX33" s="35"/>
      <c r="GY33" s="35"/>
      <c r="GZ33" s="35"/>
      <c r="HA33" s="35"/>
      <c r="HB33" s="35"/>
      <c r="HC33" s="35"/>
      <c r="HD33" s="36"/>
      <c r="HE33" s="35"/>
      <c r="HF33" s="35"/>
      <c r="HG33" s="35"/>
      <c r="HH33" s="35"/>
      <c r="HI33" s="35"/>
      <c r="HJ33" s="35"/>
      <c r="HK33" s="35"/>
      <c r="HL33" s="35"/>
      <c r="HM33" s="36"/>
      <c r="HN33" s="36"/>
      <c r="HO33" s="85"/>
      <c r="HP33" s="35"/>
      <c r="HQ33" s="35">
        <v>27299000</v>
      </c>
      <c r="HR33" s="35">
        <v>13919000</v>
      </c>
      <c r="HS33" s="35">
        <v>13380000</v>
      </c>
      <c r="HT33" s="35">
        <v>12901170.41</v>
      </c>
      <c r="HU33" s="35"/>
      <c r="HV33" s="36"/>
      <c r="HW33" s="35">
        <v>24645415.800000001</v>
      </c>
      <c r="HX33" s="35">
        <v>12566697.52</v>
      </c>
      <c r="HY33" s="35"/>
      <c r="HZ33" s="35">
        <v>12078718.279999999</v>
      </c>
      <c r="IA33" s="35">
        <v>49.01</v>
      </c>
      <c r="IB33" s="35"/>
      <c r="IC33" s="35">
        <v>334472.89</v>
      </c>
      <c r="ID33" s="35">
        <v>12566697.52</v>
      </c>
      <c r="IE33" s="36"/>
      <c r="IF33" s="36">
        <v>13919000</v>
      </c>
      <c r="IG33" s="85">
        <v>13919000</v>
      </c>
      <c r="IH33" s="35"/>
      <c r="II33" s="35"/>
      <c r="IJ33" s="35"/>
      <c r="IK33" s="35"/>
      <c r="IL33" s="35"/>
      <c r="IM33" s="35"/>
      <c r="IN33" s="36"/>
      <c r="IO33" s="35"/>
      <c r="IP33" s="35"/>
      <c r="IQ33" s="35"/>
      <c r="IR33" s="35"/>
      <c r="IS33" s="35"/>
      <c r="IT33" s="35"/>
      <c r="IU33" s="35"/>
      <c r="IV33" s="35"/>
      <c r="IW33" s="36"/>
      <c r="IX33" s="36"/>
      <c r="IY33" s="85"/>
      <c r="IZ33" s="35"/>
      <c r="JA33" s="35"/>
      <c r="JB33" s="35"/>
      <c r="JC33" s="35"/>
      <c r="JD33" s="35"/>
      <c r="JE33" s="35"/>
      <c r="JF33" s="36"/>
      <c r="JG33" s="35"/>
      <c r="JH33" s="35"/>
      <c r="JI33" s="35"/>
      <c r="JJ33" s="35"/>
      <c r="JK33" s="35"/>
      <c r="JL33" s="35"/>
      <c r="JM33" s="35"/>
      <c r="JN33" s="35"/>
      <c r="JO33" s="36"/>
      <c r="JP33" s="36"/>
      <c r="JQ33" s="85"/>
      <c r="JR33" s="35"/>
      <c r="JS33" s="35"/>
      <c r="JT33" s="35"/>
      <c r="JU33" s="35"/>
      <c r="JV33" s="35"/>
      <c r="JW33" s="35"/>
      <c r="JX33" s="36"/>
      <c r="JY33" s="35"/>
      <c r="JZ33" s="35"/>
      <c r="KA33" s="35"/>
      <c r="KB33" s="35"/>
      <c r="KC33" s="35"/>
      <c r="KD33" s="35"/>
      <c r="KE33" s="35"/>
      <c r="KF33" s="35"/>
      <c r="KG33" s="36"/>
      <c r="KH33" s="36"/>
      <c r="KI33" s="85"/>
      <c r="KJ33" s="35"/>
      <c r="KK33" s="35"/>
      <c r="KL33" s="35"/>
      <c r="KM33" s="35"/>
      <c r="KN33" s="35"/>
      <c r="KO33" s="35"/>
      <c r="KP33" s="36"/>
      <c r="KQ33" s="35"/>
      <c r="KR33" s="35"/>
      <c r="KS33" s="35"/>
      <c r="KT33" s="35"/>
      <c r="KU33" s="35"/>
      <c r="KV33" s="35"/>
      <c r="KW33" s="35"/>
      <c r="KX33" s="35"/>
      <c r="KY33" s="36"/>
      <c r="KZ33" s="36"/>
      <c r="LA33" s="85"/>
      <c r="LB33" s="35"/>
      <c r="LC33" s="35"/>
      <c r="LD33" s="35"/>
      <c r="LE33" s="35"/>
      <c r="LF33" s="35"/>
      <c r="LG33" s="35"/>
      <c r="LH33" s="36"/>
      <c r="LI33" s="35"/>
      <c r="LJ33" s="35"/>
      <c r="LK33" s="35"/>
      <c r="LL33" s="35"/>
      <c r="LM33" s="35"/>
      <c r="LN33" s="35"/>
      <c r="LO33" s="35"/>
      <c r="LP33" s="35"/>
      <c r="LQ33" s="36"/>
      <c r="LR33" s="36"/>
      <c r="LS33" s="85"/>
      <c r="LT33" s="35"/>
      <c r="LU33" s="35"/>
      <c r="LV33" s="35"/>
      <c r="LW33" s="35"/>
      <c r="LX33" s="35"/>
      <c r="LY33" s="35"/>
      <c r="LZ33" s="36"/>
      <c r="MA33" s="35"/>
      <c r="MB33" s="35"/>
      <c r="MC33" s="35"/>
      <c r="MD33" s="35"/>
      <c r="ME33" s="35"/>
      <c r="MF33" s="35"/>
      <c r="MG33" s="35"/>
      <c r="MH33" s="35"/>
      <c r="MI33" s="36"/>
      <c r="MJ33" s="36"/>
      <c r="MK33" s="85"/>
      <c r="ML33" s="35"/>
      <c r="MM33" s="35"/>
      <c r="MN33" s="35"/>
      <c r="MO33" s="35"/>
      <c r="MP33" s="35"/>
      <c r="MQ33" s="35"/>
      <c r="MR33" s="36"/>
      <c r="MS33" s="35"/>
      <c r="MT33" s="35"/>
      <c r="MU33" s="35"/>
      <c r="MV33" s="35"/>
      <c r="MW33" s="35"/>
      <c r="MX33" s="35"/>
      <c r="MY33" s="35"/>
      <c r="MZ33" s="35"/>
      <c r="NA33" s="36"/>
      <c r="NB33" s="36"/>
      <c r="NC33" s="85"/>
      <c r="ND33" s="35"/>
      <c r="NE33" s="35"/>
      <c r="NF33" s="35"/>
      <c r="NG33" s="35"/>
      <c r="NH33" s="35"/>
      <c r="NI33" s="35"/>
      <c r="NJ33" s="36"/>
      <c r="NK33" s="35"/>
      <c r="NL33" s="35"/>
      <c r="NM33" s="35"/>
      <c r="NN33" s="35"/>
      <c r="NO33" s="35"/>
      <c r="NP33" s="35"/>
      <c r="NQ33" s="35"/>
      <c r="NR33" s="35"/>
      <c r="NS33" s="36"/>
      <c r="NT33" s="36"/>
      <c r="NU33" s="85"/>
      <c r="NV33" s="35"/>
      <c r="NW33" s="35"/>
      <c r="NX33" s="35"/>
      <c r="NY33" s="35"/>
      <c r="NZ33" s="35"/>
      <c r="OA33" s="35"/>
      <c r="OB33" s="36"/>
      <c r="OC33" s="35"/>
      <c r="OD33" s="35"/>
      <c r="OE33" s="35"/>
      <c r="OF33" s="35"/>
      <c r="OG33" s="35"/>
      <c r="OH33" s="35"/>
      <c r="OI33" s="35"/>
      <c r="OJ33" s="35"/>
      <c r="OK33" s="36"/>
      <c r="OL33" s="36"/>
      <c r="OM33" s="85"/>
      <c r="ON33" s="35"/>
      <c r="OO33" s="35">
        <v>150000</v>
      </c>
      <c r="OP33" s="35">
        <v>80700</v>
      </c>
      <c r="OQ33" s="35">
        <v>69300</v>
      </c>
      <c r="OR33" s="35">
        <v>77414.22</v>
      </c>
      <c r="OS33" s="35"/>
      <c r="OT33" s="36"/>
      <c r="OU33" s="35">
        <v>143892.6</v>
      </c>
      <c r="OV33" s="35">
        <v>77414.22</v>
      </c>
      <c r="OW33" s="35"/>
      <c r="OX33" s="35">
        <v>66478.38</v>
      </c>
      <c r="OY33" s="35">
        <v>46.2</v>
      </c>
      <c r="OZ33" s="35"/>
      <c r="PA33" s="35"/>
      <c r="PB33" s="35">
        <v>77414.22</v>
      </c>
      <c r="PC33" s="36"/>
      <c r="PD33" s="36">
        <v>80700</v>
      </c>
      <c r="PE33" s="85">
        <v>80700</v>
      </c>
      <c r="PF33" s="35"/>
      <c r="PG33" s="35"/>
      <c r="PH33" s="35"/>
      <c r="PI33" s="35"/>
      <c r="PJ33" s="35"/>
      <c r="PK33" s="35"/>
      <c r="PL33" s="36"/>
      <c r="PM33" s="35"/>
      <c r="PN33" s="35"/>
      <c r="PO33" s="35"/>
      <c r="PP33" s="35"/>
      <c r="PQ33" s="35"/>
      <c r="PR33" s="35"/>
      <c r="PS33" s="35"/>
      <c r="PT33" s="35"/>
      <c r="PU33" s="36"/>
      <c r="PV33" s="36"/>
      <c r="PW33" s="85"/>
      <c r="PX33" s="35"/>
      <c r="PY33" s="35"/>
      <c r="PZ33" s="35"/>
      <c r="QA33" s="35"/>
      <c r="QB33" s="35"/>
      <c r="QC33" s="35">
        <v>6706020.96</v>
      </c>
      <c r="QD33" s="36"/>
      <c r="QE33" s="35"/>
      <c r="QF33" s="35"/>
      <c r="QG33" s="35"/>
      <c r="QH33" s="35"/>
      <c r="QI33" s="35"/>
      <c r="QJ33" s="35">
        <v>6706020.96</v>
      </c>
      <c r="QK33" s="35">
        <v>0</v>
      </c>
      <c r="QL33" s="35"/>
      <c r="QM33" s="36"/>
      <c r="QN33" s="36"/>
      <c r="QO33" s="85"/>
    </row>
    <row r="34" spans="1:457" x14ac:dyDescent="0.25">
      <c r="A34" s="8" t="s">
        <v>58</v>
      </c>
      <c r="B34" s="173" t="s">
        <v>59</v>
      </c>
      <c r="C34" s="13" t="s">
        <v>60</v>
      </c>
      <c r="F34" s="36">
        <v>1153507000</v>
      </c>
      <c r="G34" s="35"/>
      <c r="H34" s="35"/>
      <c r="I34" s="35">
        <v>923729745</v>
      </c>
      <c r="J34" s="35">
        <v>708956000</v>
      </c>
      <c r="K34" s="35">
        <v>214773745</v>
      </c>
      <c r="L34" s="35">
        <v>708955999</v>
      </c>
      <c r="M34" s="35"/>
      <c r="N34" s="36"/>
      <c r="O34" s="35">
        <v>923729743.99000001</v>
      </c>
      <c r="P34" s="35">
        <v>708955999</v>
      </c>
      <c r="Q34" s="35"/>
      <c r="R34" s="35">
        <v>214773744.99000001</v>
      </c>
      <c r="S34" s="35">
        <v>23.250710000000002</v>
      </c>
      <c r="T34" s="35"/>
      <c r="U34" s="35"/>
      <c r="V34" s="35">
        <v>708955999</v>
      </c>
      <c r="W34" s="36"/>
      <c r="X34" s="36">
        <v>708956000</v>
      </c>
      <c r="Y34" s="85">
        <v>708956000</v>
      </c>
      <c r="Z34" s="35"/>
      <c r="AA34" s="35"/>
      <c r="AB34" s="35"/>
      <c r="AC34" s="35"/>
      <c r="AD34" s="35"/>
      <c r="AE34" s="35"/>
      <c r="AF34" s="36"/>
      <c r="AG34" s="35"/>
      <c r="AH34" s="35"/>
      <c r="AI34" s="35"/>
      <c r="AJ34" s="35"/>
      <c r="AK34" s="35"/>
      <c r="AL34" s="35"/>
      <c r="AM34" s="35"/>
      <c r="AN34" s="35"/>
      <c r="AO34" s="36"/>
      <c r="AP34" s="36"/>
      <c r="AQ34" s="85"/>
      <c r="AR34" s="35"/>
      <c r="AS34" s="35">
        <v>180774300</v>
      </c>
      <c r="AT34" s="35">
        <v>116124300</v>
      </c>
      <c r="AU34" s="35">
        <v>64650000</v>
      </c>
      <c r="AV34" s="35">
        <v>116124300</v>
      </c>
      <c r="AW34" s="35"/>
      <c r="AX34" s="36"/>
      <c r="AY34" s="35">
        <v>180774299.50999999</v>
      </c>
      <c r="AZ34" s="35">
        <v>116124299.51000001</v>
      </c>
      <c r="BA34" s="35"/>
      <c r="BB34" s="35">
        <v>64650000</v>
      </c>
      <c r="BC34" s="35">
        <v>35.762830000000001</v>
      </c>
      <c r="BD34" s="35"/>
      <c r="BE34" s="35">
        <v>0.49</v>
      </c>
      <c r="BF34" s="35">
        <v>116124299.51000001</v>
      </c>
      <c r="BG34" s="36"/>
      <c r="BH34" s="36">
        <v>116124300</v>
      </c>
      <c r="BI34" s="85">
        <v>116124300</v>
      </c>
      <c r="BJ34" s="35"/>
      <c r="BK34" s="35"/>
      <c r="BL34" s="35"/>
      <c r="BM34" s="35"/>
      <c r="BN34" s="35"/>
      <c r="BO34" s="35"/>
      <c r="BP34" s="36"/>
      <c r="BQ34" s="35"/>
      <c r="BR34" s="35"/>
      <c r="BS34" s="35"/>
      <c r="BT34" s="35"/>
      <c r="BU34" s="35"/>
      <c r="BV34" s="35"/>
      <c r="BW34" s="35"/>
      <c r="BX34" s="35"/>
      <c r="BY34" s="36"/>
      <c r="BZ34" s="36"/>
      <c r="CA34" s="85"/>
      <c r="CB34" s="35"/>
      <c r="CC34" s="35">
        <v>94114900</v>
      </c>
      <c r="CD34" s="35">
        <v>62614900</v>
      </c>
      <c r="CE34" s="35">
        <v>31500000</v>
      </c>
      <c r="CF34" s="35">
        <v>62614899.710000001</v>
      </c>
      <c r="CG34" s="35">
        <v>52230</v>
      </c>
      <c r="CH34" s="36"/>
      <c r="CI34" s="35">
        <v>94114899.709999993</v>
      </c>
      <c r="CJ34" s="35">
        <v>62614899.710000001</v>
      </c>
      <c r="CK34" s="35"/>
      <c r="CL34" s="35">
        <v>31500000</v>
      </c>
      <c r="CM34" s="35">
        <v>33.469729999999998</v>
      </c>
      <c r="CN34" s="35">
        <v>52230</v>
      </c>
      <c r="CO34" s="35"/>
      <c r="CP34" s="35">
        <v>62614899.710000001</v>
      </c>
      <c r="CQ34" s="36"/>
      <c r="CR34" s="36">
        <v>62614900</v>
      </c>
      <c r="CS34" s="85">
        <v>62614900</v>
      </c>
      <c r="CT34" s="35"/>
      <c r="CU34" s="35">
        <v>143360125</v>
      </c>
      <c r="CV34" s="35">
        <v>114688100</v>
      </c>
      <c r="CW34" s="35">
        <v>28672025</v>
      </c>
      <c r="CX34" s="35">
        <v>114688100</v>
      </c>
      <c r="CY34" s="35"/>
      <c r="CZ34" s="36"/>
      <c r="DA34" s="35">
        <v>143360125</v>
      </c>
      <c r="DB34" s="35">
        <v>114688100</v>
      </c>
      <c r="DC34" s="35"/>
      <c r="DD34" s="35">
        <v>28672025</v>
      </c>
      <c r="DE34" s="35">
        <v>20</v>
      </c>
      <c r="DF34" s="35"/>
      <c r="DG34" s="35"/>
      <c r="DH34" s="35">
        <v>114688100</v>
      </c>
      <c r="DI34" s="36"/>
      <c r="DJ34" s="36">
        <v>114688100</v>
      </c>
      <c r="DK34" s="85">
        <v>114688100</v>
      </c>
      <c r="DL34" s="35"/>
      <c r="DM34" s="35"/>
      <c r="DN34" s="35"/>
      <c r="DO34" s="35"/>
      <c r="DP34" s="35"/>
      <c r="DQ34" s="35"/>
      <c r="DR34" s="36"/>
      <c r="DS34" s="35"/>
      <c r="DT34" s="35"/>
      <c r="DU34" s="35"/>
      <c r="DV34" s="35"/>
      <c r="DW34" s="35"/>
      <c r="DX34" s="35"/>
      <c r="DY34" s="35"/>
      <c r="DZ34" s="35"/>
      <c r="EA34" s="36"/>
      <c r="EB34" s="36"/>
      <c r="EC34" s="85"/>
      <c r="ED34" s="35"/>
      <c r="EE34" s="35">
        <v>140435375</v>
      </c>
      <c r="EF34" s="35">
        <v>112348300</v>
      </c>
      <c r="EG34" s="35">
        <v>28087075</v>
      </c>
      <c r="EH34" s="35">
        <v>112348300</v>
      </c>
      <c r="EI34" s="35"/>
      <c r="EJ34" s="36"/>
      <c r="EK34" s="35">
        <v>140435375</v>
      </c>
      <c r="EL34" s="35">
        <v>112348300</v>
      </c>
      <c r="EM34" s="35"/>
      <c r="EN34" s="35">
        <v>28087075</v>
      </c>
      <c r="EO34" s="35">
        <v>20</v>
      </c>
      <c r="EP34" s="35"/>
      <c r="EQ34" s="35"/>
      <c r="ER34" s="35">
        <v>112348300</v>
      </c>
      <c r="ES34" s="36"/>
      <c r="ET34" s="36">
        <v>112348300</v>
      </c>
      <c r="EU34" s="85">
        <v>112348300</v>
      </c>
      <c r="EV34" s="35"/>
      <c r="EW34" s="35"/>
      <c r="EX34" s="35"/>
      <c r="EY34" s="35"/>
      <c r="EZ34" s="35"/>
      <c r="FA34" s="35"/>
      <c r="FB34" s="36"/>
      <c r="FC34" s="35"/>
      <c r="FD34" s="35"/>
      <c r="FE34" s="35"/>
      <c r="FF34" s="35"/>
      <c r="FG34" s="35"/>
      <c r="FH34" s="35"/>
      <c r="FI34" s="35"/>
      <c r="FJ34" s="35"/>
      <c r="FK34" s="36"/>
      <c r="FL34" s="36"/>
      <c r="FM34" s="85"/>
      <c r="FN34" s="35"/>
      <c r="FO34" s="35">
        <v>2222300</v>
      </c>
      <c r="FP34" s="35">
        <v>2000000</v>
      </c>
      <c r="FQ34" s="35">
        <v>222300</v>
      </c>
      <c r="FR34" s="35">
        <v>2000000</v>
      </c>
      <c r="FS34" s="35"/>
      <c r="FT34" s="36"/>
      <c r="FU34" s="35">
        <v>2222300</v>
      </c>
      <c r="FV34" s="35">
        <v>2000000</v>
      </c>
      <c r="FW34" s="35"/>
      <c r="FX34" s="35">
        <v>222300</v>
      </c>
      <c r="FY34" s="35">
        <v>10.00315</v>
      </c>
      <c r="FZ34" s="35"/>
      <c r="GA34" s="35"/>
      <c r="GB34" s="35">
        <v>2000000</v>
      </c>
      <c r="GC34" s="36"/>
      <c r="GD34" s="36">
        <v>2000000</v>
      </c>
      <c r="GE34" s="85">
        <v>2000000</v>
      </c>
      <c r="GF34" s="35"/>
      <c r="GG34" s="35">
        <v>62375900</v>
      </c>
      <c r="GH34" s="35">
        <v>21904400</v>
      </c>
      <c r="GI34" s="35">
        <v>40471500</v>
      </c>
      <c r="GJ34" s="35">
        <v>21904400</v>
      </c>
      <c r="GK34" s="35">
        <v>536081</v>
      </c>
      <c r="GL34" s="36"/>
      <c r="GM34" s="35">
        <v>62375900</v>
      </c>
      <c r="GN34" s="35">
        <v>21904400</v>
      </c>
      <c r="GO34" s="35"/>
      <c r="GP34" s="35">
        <v>40471500</v>
      </c>
      <c r="GQ34" s="35">
        <v>64.883229999999998</v>
      </c>
      <c r="GR34" s="35">
        <v>536081</v>
      </c>
      <c r="GS34" s="35"/>
      <c r="GT34" s="35">
        <v>21904400</v>
      </c>
      <c r="GU34" s="36"/>
      <c r="GV34" s="36">
        <v>21904400</v>
      </c>
      <c r="GW34" s="85">
        <v>21904400</v>
      </c>
      <c r="GX34" s="35"/>
      <c r="GY34" s="35"/>
      <c r="GZ34" s="35"/>
      <c r="HA34" s="35"/>
      <c r="HB34" s="35"/>
      <c r="HC34" s="35"/>
      <c r="HD34" s="36"/>
      <c r="HE34" s="35"/>
      <c r="HF34" s="35"/>
      <c r="HG34" s="35"/>
      <c r="HH34" s="35"/>
      <c r="HI34" s="35"/>
      <c r="HJ34" s="35"/>
      <c r="HK34" s="35"/>
      <c r="HL34" s="35"/>
      <c r="HM34" s="36"/>
      <c r="HN34" s="36"/>
      <c r="HO34" s="85"/>
      <c r="HP34" s="35"/>
      <c r="HQ34" s="35">
        <v>22371000</v>
      </c>
      <c r="HR34" s="35">
        <v>14871000</v>
      </c>
      <c r="HS34" s="35">
        <v>7500000</v>
      </c>
      <c r="HT34" s="35">
        <v>13760798.07</v>
      </c>
      <c r="HU34" s="35">
        <v>677176.3</v>
      </c>
      <c r="HV34" s="36"/>
      <c r="HW34" s="35">
        <v>20700881.68</v>
      </c>
      <c r="HX34" s="35">
        <v>13760798.07</v>
      </c>
      <c r="HY34" s="35"/>
      <c r="HZ34" s="35">
        <v>6940083.6100000003</v>
      </c>
      <c r="IA34" s="35">
        <v>33.525550000000003</v>
      </c>
      <c r="IB34" s="35">
        <v>677176.3</v>
      </c>
      <c r="IC34" s="35"/>
      <c r="ID34" s="35">
        <v>13760798.07</v>
      </c>
      <c r="IE34" s="36"/>
      <c r="IF34" s="36">
        <v>14871000</v>
      </c>
      <c r="IG34" s="85">
        <v>14871000</v>
      </c>
      <c r="IH34" s="35"/>
      <c r="II34" s="35"/>
      <c r="IJ34" s="35"/>
      <c r="IK34" s="35"/>
      <c r="IL34" s="35"/>
      <c r="IM34" s="35"/>
      <c r="IN34" s="36"/>
      <c r="IO34" s="35"/>
      <c r="IP34" s="35"/>
      <c r="IQ34" s="35"/>
      <c r="IR34" s="35"/>
      <c r="IS34" s="35"/>
      <c r="IT34" s="35"/>
      <c r="IU34" s="35"/>
      <c r="IV34" s="35"/>
      <c r="IW34" s="36"/>
      <c r="IX34" s="36"/>
      <c r="IY34" s="85"/>
      <c r="IZ34" s="35"/>
      <c r="JA34" s="35"/>
      <c r="JB34" s="35"/>
      <c r="JC34" s="35"/>
      <c r="JD34" s="35"/>
      <c r="JE34" s="35"/>
      <c r="JF34" s="36"/>
      <c r="JG34" s="35"/>
      <c r="JH34" s="35"/>
      <c r="JI34" s="35"/>
      <c r="JJ34" s="35"/>
      <c r="JK34" s="35"/>
      <c r="JL34" s="35"/>
      <c r="JM34" s="35"/>
      <c r="JN34" s="35"/>
      <c r="JO34" s="36"/>
      <c r="JP34" s="36"/>
      <c r="JQ34" s="85"/>
      <c r="JR34" s="35"/>
      <c r="JS34" s="35"/>
      <c r="JT34" s="35"/>
      <c r="JU34" s="35"/>
      <c r="JV34" s="35"/>
      <c r="JW34" s="35"/>
      <c r="JX34" s="36"/>
      <c r="JY34" s="35"/>
      <c r="JZ34" s="35"/>
      <c r="KA34" s="35"/>
      <c r="KB34" s="35"/>
      <c r="KC34" s="35"/>
      <c r="KD34" s="35"/>
      <c r="KE34" s="35"/>
      <c r="KF34" s="35"/>
      <c r="KG34" s="36"/>
      <c r="KH34" s="36"/>
      <c r="KI34" s="85"/>
      <c r="KJ34" s="35"/>
      <c r="KK34" s="35"/>
      <c r="KL34" s="35"/>
      <c r="KM34" s="35"/>
      <c r="KN34" s="35"/>
      <c r="KO34" s="35"/>
      <c r="KP34" s="36"/>
      <c r="KQ34" s="35"/>
      <c r="KR34" s="35"/>
      <c r="KS34" s="35"/>
      <c r="KT34" s="35"/>
      <c r="KU34" s="35"/>
      <c r="KV34" s="35"/>
      <c r="KW34" s="35"/>
      <c r="KX34" s="35"/>
      <c r="KY34" s="36"/>
      <c r="KZ34" s="36"/>
      <c r="LA34" s="85"/>
      <c r="LB34" s="35"/>
      <c r="LC34" s="35"/>
      <c r="LD34" s="35"/>
      <c r="LE34" s="35"/>
      <c r="LF34" s="35"/>
      <c r="LG34" s="35"/>
      <c r="LH34" s="36"/>
      <c r="LI34" s="35"/>
      <c r="LJ34" s="35"/>
      <c r="LK34" s="35"/>
      <c r="LL34" s="35"/>
      <c r="LM34" s="35"/>
      <c r="LN34" s="35"/>
      <c r="LO34" s="35"/>
      <c r="LP34" s="35"/>
      <c r="LQ34" s="36"/>
      <c r="LR34" s="36"/>
      <c r="LS34" s="85"/>
      <c r="LT34" s="35"/>
      <c r="LU34" s="35"/>
      <c r="LV34" s="35"/>
      <c r="LW34" s="35"/>
      <c r="LX34" s="35"/>
      <c r="LY34" s="35"/>
      <c r="LZ34" s="36"/>
      <c r="MA34" s="35"/>
      <c r="MB34" s="35"/>
      <c r="MC34" s="35"/>
      <c r="MD34" s="35"/>
      <c r="ME34" s="35"/>
      <c r="MF34" s="35"/>
      <c r="MG34" s="35"/>
      <c r="MH34" s="35"/>
      <c r="MI34" s="36"/>
      <c r="MJ34" s="36"/>
      <c r="MK34" s="85"/>
      <c r="ML34" s="35"/>
      <c r="MM34" s="35"/>
      <c r="MN34" s="35"/>
      <c r="MO34" s="35"/>
      <c r="MP34" s="35"/>
      <c r="MQ34" s="35"/>
      <c r="MR34" s="36"/>
      <c r="MS34" s="35"/>
      <c r="MT34" s="35"/>
      <c r="MU34" s="35"/>
      <c r="MV34" s="35"/>
      <c r="MW34" s="35"/>
      <c r="MX34" s="35"/>
      <c r="MY34" s="35"/>
      <c r="MZ34" s="35"/>
      <c r="NA34" s="36"/>
      <c r="NB34" s="36"/>
      <c r="NC34" s="85"/>
      <c r="ND34" s="35"/>
      <c r="NE34" s="35"/>
      <c r="NF34" s="35"/>
      <c r="NG34" s="35"/>
      <c r="NH34" s="35"/>
      <c r="NI34" s="35"/>
      <c r="NJ34" s="36"/>
      <c r="NK34" s="35"/>
      <c r="NL34" s="35"/>
      <c r="NM34" s="35"/>
      <c r="NN34" s="35"/>
      <c r="NO34" s="35"/>
      <c r="NP34" s="35"/>
      <c r="NQ34" s="35"/>
      <c r="NR34" s="35"/>
      <c r="NS34" s="36"/>
      <c r="NT34" s="36"/>
      <c r="NU34" s="85"/>
      <c r="NV34" s="35"/>
      <c r="NW34" s="35"/>
      <c r="NX34" s="35"/>
      <c r="NY34" s="35"/>
      <c r="NZ34" s="35"/>
      <c r="OA34" s="35"/>
      <c r="OB34" s="36"/>
      <c r="OC34" s="35"/>
      <c r="OD34" s="35"/>
      <c r="OE34" s="35"/>
      <c r="OF34" s="35"/>
      <c r="OG34" s="35"/>
      <c r="OH34" s="35"/>
      <c r="OI34" s="35"/>
      <c r="OJ34" s="35"/>
      <c r="OK34" s="36"/>
      <c r="OL34" s="36"/>
      <c r="OM34" s="85"/>
      <c r="ON34" s="35"/>
      <c r="OO34" s="35"/>
      <c r="OP34" s="35"/>
      <c r="OQ34" s="35"/>
      <c r="OR34" s="35"/>
      <c r="OS34" s="35"/>
      <c r="OT34" s="36"/>
      <c r="OU34" s="35"/>
      <c r="OV34" s="35"/>
      <c r="OW34" s="35"/>
      <c r="OX34" s="35"/>
      <c r="OY34" s="35"/>
      <c r="OZ34" s="35"/>
      <c r="PA34" s="35"/>
      <c r="PB34" s="35"/>
      <c r="PC34" s="36"/>
      <c r="PD34" s="36"/>
      <c r="PE34" s="85"/>
      <c r="PF34" s="35"/>
      <c r="PG34" s="35"/>
      <c r="PH34" s="35"/>
      <c r="PI34" s="35"/>
      <c r="PJ34" s="35"/>
      <c r="PK34" s="35"/>
      <c r="PL34" s="36"/>
      <c r="PM34" s="35"/>
      <c r="PN34" s="35"/>
      <c r="PO34" s="35"/>
      <c r="PP34" s="35"/>
      <c r="PQ34" s="35"/>
      <c r="PR34" s="35"/>
      <c r="PS34" s="35"/>
      <c r="PT34" s="35"/>
      <c r="PU34" s="36"/>
      <c r="PV34" s="36"/>
      <c r="PW34" s="85"/>
      <c r="PX34" s="35"/>
      <c r="PY34" s="35"/>
      <c r="PZ34" s="35"/>
      <c r="QA34" s="35"/>
      <c r="QB34" s="35"/>
      <c r="QC34" s="35">
        <v>338840.93</v>
      </c>
      <c r="QD34" s="36"/>
      <c r="QE34" s="35"/>
      <c r="QF34" s="35"/>
      <c r="QG34" s="35"/>
      <c r="QH34" s="35"/>
      <c r="QI34" s="35"/>
      <c r="QJ34" s="35">
        <v>178840.93</v>
      </c>
      <c r="QK34" s="35">
        <v>160000</v>
      </c>
      <c r="QL34" s="35"/>
      <c r="QM34" s="36"/>
      <c r="QN34" s="36"/>
      <c r="QO34" s="85"/>
    </row>
    <row r="35" spans="1:457" x14ac:dyDescent="0.25">
      <c r="A35" s="8" t="s">
        <v>61</v>
      </c>
      <c r="B35" s="172" t="s">
        <v>62</v>
      </c>
      <c r="C35" s="12" t="s">
        <v>63</v>
      </c>
      <c r="F35" s="32"/>
      <c r="G35" s="33"/>
      <c r="H35" s="32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86"/>
      <c r="Z35" s="148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86"/>
      <c r="AR35" s="148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86"/>
      <c r="BJ35" s="148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86"/>
      <c r="CB35" s="148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86"/>
      <c r="CT35" s="148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86"/>
      <c r="DL35" s="148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86"/>
      <c r="ED35" s="148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86"/>
      <c r="EV35" s="148"/>
      <c r="EW35" s="33"/>
      <c r="EX35" s="33"/>
      <c r="EY35" s="33"/>
      <c r="EZ35" s="33"/>
      <c r="FA35" s="33"/>
      <c r="FB35" s="33"/>
      <c r="FC35" s="33"/>
      <c r="FD35" s="33"/>
      <c r="FE35" s="33"/>
      <c r="FF35" s="33"/>
      <c r="FG35" s="33"/>
      <c r="FH35" s="33"/>
      <c r="FI35" s="33"/>
      <c r="FJ35" s="33"/>
      <c r="FK35" s="33"/>
      <c r="FL35" s="33"/>
      <c r="FM35" s="86"/>
      <c r="FN35" s="148"/>
      <c r="FO35" s="33"/>
      <c r="FP35" s="33"/>
      <c r="FQ35" s="33"/>
      <c r="FR35" s="33"/>
      <c r="FS35" s="33"/>
      <c r="FT35" s="33"/>
      <c r="FU35" s="33"/>
      <c r="FV35" s="33"/>
      <c r="FW35" s="33"/>
      <c r="FX35" s="33"/>
      <c r="FY35" s="33"/>
      <c r="FZ35" s="33"/>
      <c r="GA35" s="33"/>
      <c r="GB35" s="33"/>
      <c r="GC35" s="33"/>
      <c r="GD35" s="33"/>
      <c r="GE35" s="86"/>
      <c r="GF35" s="148"/>
      <c r="GG35" s="33"/>
      <c r="GH35" s="33"/>
      <c r="GI35" s="33"/>
      <c r="GJ35" s="33"/>
      <c r="GK35" s="33"/>
      <c r="GL35" s="33"/>
      <c r="GM35" s="33"/>
      <c r="GN35" s="33"/>
      <c r="GO35" s="33"/>
      <c r="GP35" s="33"/>
      <c r="GQ35" s="33"/>
      <c r="GR35" s="33"/>
      <c r="GS35" s="33"/>
      <c r="GT35" s="33"/>
      <c r="GU35" s="33"/>
      <c r="GV35" s="33"/>
      <c r="GW35" s="86"/>
      <c r="GX35" s="148"/>
      <c r="GY35" s="33"/>
      <c r="GZ35" s="33"/>
      <c r="HA35" s="33"/>
      <c r="HB35" s="33"/>
      <c r="HC35" s="33"/>
      <c r="HD35" s="33"/>
      <c r="HE35" s="33"/>
      <c r="HF35" s="33"/>
      <c r="HG35" s="33"/>
      <c r="HH35" s="33"/>
      <c r="HI35" s="33"/>
      <c r="HJ35" s="33"/>
      <c r="HK35" s="33"/>
      <c r="HL35" s="33"/>
      <c r="HM35" s="33"/>
      <c r="HN35" s="33"/>
      <c r="HO35" s="86"/>
      <c r="HP35" s="148"/>
      <c r="HQ35" s="33"/>
      <c r="HR35" s="33"/>
      <c r="HS35" s="33"/>
      <c r="HT35" s="33"/>
      <c r="HU35" s="33"/>
      <c r="HV35" s="33"/>
      <c r="HW35" s="33"/>
      <c r="HX35" s="33"/>
      <c r="HY35" s="33"/>
      <c r="HZ35" s="33"/>
      <c r="IA35" s="33"/>
      <c r="IB35" s="33"/>
      <c r="IC35" s="33"/>
      <c r="ID35" s="33"/>
      <c r="IE35" s="33"/>
      <c r="IF35" s="33"/>
      <c r="IG35" s="86"/>
      <c r="IH35" s="148"/>
      <c r="II35" s="33"/>
      <c r="IJ35" s="33"/>
      <c r="IK35" s="33"/>
      <c r="IL35" s="33"/>
      <c r="IM35" s="33"/>
      <c r="IN35" s="33"/>
      <c r="IO35" s="33"/>
      <c r="IP35" s="33"/>
      <c r="IQ35" s="33"/>
      <c r="IR35" s="33"/>
      <c r="IS35" s="33"/>
      <c r="IT35" s="33"/>
      <c r="IU35" s="33"/>
      <c r="IV35" s="33"/>
      <c r="IW35" s="33"/>
      <c r="IX35" s="33"/>
      <c r="IY35" s="86"/>
      <c r="IZ35" s="148"/>
      <c r="JA35" s="33"/>
      <c r="JB35" s="33"/>
      <c r="JC35" s="33"/>
      <c r="JD35" s="33"/>
      <c r="JE35" s="33"/>
      <c r="JF35" s="33"/>
      <c r="JG35" s="33"/>
      <c r="JH35" s="33"/>
      <c r="JI35" s="33"/>
      <c r="JJ35" s="33"/>
      <c r="JK35" s="33"/>
      <c r="JL35" s="33"/>
      <c r="JM35" s="33"/>
      <c r="JN35" s="33"/>
      <c r="JO35" s="33"/>
      <c r="JP35" s="33"/>
      <c r="JQ35" s="86"/>
      <c r="JR35" s="148"/>
      <c r="JS35" s="33"/>
      <c r="JT35" s="33"/>
      <c r="JU35" s="33"/>
      <c r="JV35" s="33"/>
      <c r="JW35" s="33"/>
      <c r="JX35" s="33"/>
      <c r="JY35" s="33"/>
      <c r="JZ35" s="33"/>
      <c r="KA35" s="33"/>
      <c r="KB35" s="33"/>
      <c r="KC35" s="33"/>
      <c r="KD35" s="33"/>
      <c r="KE35" s="33"/>
      <c r="KF35" s="33"/>
      <c r="KG35" s="33"/>
      <c r="KH35" s="33"/>
      <c r="KI35" s="86"/>
      <c r="KJ35" s="148"/>
      <c r="KK35" s="33"/>
      <c r="KL35" s="33"/>
      <c r="KM35" s="33"/>
      <c r="KN35" s="33"/>
      <c r="KO35" s="33"/>
      <c r="KP35" s="33"/>
      <c r="KQ35" s="33"/>
      <c r="KR35" s="33"/>
      <c r="KS35" s="33"/>
      <c r="KT35" s="33"/>
      <c r="KU35" s="33"/>
      <c r="KV35" s="33"/>
      <c r="KW35" s="33"/>
      <c r="KX35" s="33"/>
      <c r="KY35" s="33"/>
      <c r="KZ35" s="33"/>
      <c r="LA35" s="86"/>
      <c r="LB35" s="148"/>
      <c r="LC35" s="33"/>
      <c r="LD35" s="33"/>
      <c r="LE35" s="33"/>
      <c r="LF35" s="33"/>
      <c r="LG35" s="33"/>
      <c r="LH35" s="33"/>
      <c r="LI35" s="33"/>
      <c r="LJ35" s="33"/>
      <c r="LK35" s="33"/>
      <c r="LL35" s="33"/>
      <c r="LM35" s="33"/>
      <c r="LN35" s="33"/>
      <c r="LO35" s="33"/>
      <c r="LP35" s="33"/>
      <c r="LQ35" s="33"/>
      <c r="LR35" s="33"/>
      <c r="LS35" s="86"/>
      <c r="LT35" s="148"/>
      <c r="LU35" s="33"/>
      <c r="LV35" s="33"/>
      <c r="LW35" s="33"/>
      <c r="LX35" s="33"/>
      <c r="LY35" s="33"/>
      <c r="LZ35" s="33"/>
      <c r="MA35" s="33"/>
      <c r="MB35" s="33"/>
      <c r="MC35" s="33"/>
      <c r="MD35" s="33"/>
      <c r="ME35" s="33"/>
      <c r="MF35" s="33"/>
      <c r="MG35" s="33"/>
      <c r="MH35" s="33"/>
      <c r="MI35" s="33"/>
      <c r="MJ35" s="33"/>
      <c r="MK35" s="86"/>
      <c r="ML35" s="148"/>
      <c r="MM35" s="33"/>
      <c r="MN35" s="33"/>
      <c r="MO35" s="33"/>
      <c r="MP35" s="33"/>
      <c r="MQ35" s="33"/>
      <c r="MR35" s="33"/>
      <c r="MS35" s="33"/>
      <c r="MT35" s="33"/>
      <c r="MU35" s="33"/>
      <c r="MV35" s="33"/>
      <c r="MW35" s="33"/>
      <c r="MX35" s="33"/>
      <c r="MY35" s="33"/>
      <c r="MZ35" s="33"/>
      <c r="NA35" s="33"/>
      <c r="NB35" s="33"/>
      <c r="NC35" s="86"/>
      <c r="ND35" s="148"/>
      <c r="NE35" s="33"/>
      <c r="NF35" s="33"/>
      <c r="NG35" s="33"/>
      <c r="NH35" s="33"/>
      <c r="NI35" s="33"/>
      <c r="NJ35" s="33"/>
      <c r="NK35" s="33"/>
      <c r="NL35" s="33"/>
      <c r="NM35" s="33"/>
      <c r="NN35" s="33"/>
      <c r="NO35" s="33"/>
      <c r="NP35" s="33"/>
      <c r="NQ35" s="33"/>
      <c r="NR35" s="33"/>
      <c r="NS35" s="33"/>
      <c r="NT35" s="33"/>
      <c r="NU35" s="86"/>
      <c r="NV35" s="148"/>
      <c r="NW35" s="33"/>
      <c r="NX35" s="33"/>
      <c r="NY35" s="33"/>
      <c r="NZ35" s="33"/>
      <c r="OA35" s="33"/>
      <c r="OB35" s="33"/>
      <c r="OC35" s="33"/>
      <c r="OD35" s="33"/>
      <c r="OE35" s="33"/>
      <c r="OF35" s="33"/>
      <c r="OG35" s="33"/>
      <c r="OH35" s="33"/>
      <c r="OI35" s="33"/>
      <c r="OJ35" s="33"/>
      <c r="OK35" s="33"/>
      <c r="OL35" s="33"/>
      <c r="OM35" s="86"/>
      <c r="ON35" s="148"/>
      <c r="OO35" s="33"/>
      <c r="OP35" s="33"/>
      <c r="OQ35" s="33"/>
      <c r="OR35" s="33"/>
      <c r="OS35" s="33"/>
      <c r="OT35" s="33"/>
      <c r="OU35" s="33"/>
      <c r="OV35" s="33"/>
      <c r="OW35" s="33"/>
      <c r="OX35" s="33"/>
      <c r="OY35" s="33"/>
      <c r="OZ35" s="33"/>
      <c r="PA35" s="33"/>
      <c r="PB35" s="33"/>
      <c r="PC35" s="33"/>
      <c r="PD35" s="33"/>
      <c r="PE35" s="86"/>
      <c r="PF35" s="148"/>
      <c r="PG35" s="33"/>
      <c r="PH35" s="33"/>
      <c r="PI35" s="33"/>
      <c r="PJ35" s="33"/>
      <c r="PK35" s="33"/>
      <c r="PL35" s="33"/>
      <c r="PM35" s="33"/>
      <c r="PN35" s="33"/>
      <c r="PO35" s="33"/>
      <c r="PP35" s="33"/>
      <c r="PQ35" s="33"/>
      <c r="PR35" s="33"/>
      <c r="PS35" s="33"/>
      <c r="PT35" s="33"/>
      <c r="PU35" s="33"/>
      <c r="PV35" s="33"/>
      <c r="PW35" s="86"/>
      <c r="PX35" s="148"/>
      <c r="PY35" s="33"/>
      <c r="PZ35" s="33"/>
      <c r="QA35" s="33"/>
      <c r="QB35" s="33"/>
      <c r="QC35" s="33"/>
      <c r="QD35" s="33"/>
      <c r="QE35" s="33"/>
      <c r="QF35" s="33"/>
      <c r="QG35" s="33"/>
      <c r="QH35" s="33"/>
      <c r="QI35" s="33"/>
      <c r="QJ35" s="33"/>
      <c r="QK35" s="33"/>
      <c r="QL35" s="33"/>
      <c r="QM35" s="33"/>
      <c r="QN35" s="33"/>
      <c r="QO35" s="86"/>
    </row>
    <row r="36" spans="1:457" x14ac:dyDescent="0.25">
      <c r="A36" s="8" t="s">
        <v>64</v>
      </c>
      <c r="B36" s="173" t="s">
        <v>65</v>
      </c>
      <c r="C36" s="13" t="s">
        <v>66</v>
      </c>
      <c r="F36" s="36">
        <v>176620700</v>
      </c>
      <c r="G36" s="85"/>
      <c r="H36" s="35"/>
      <c r="I36" s="35">
        <v>48194316</v>
      </c>
      <c r="J36" s="35">
        <v>45784600</v>
      </c>
      <c r="K36" s="35">
        <v>2409716</v>
      </c>
      <c r="L36" s="35">
        <v>45784559</v>
      </c>
      <c r="M36" s="35"/>
      <c r="N36" s="36"/>
      <c r="O36" s="35">
        <v>48194272.590000004</v>
      </c>
      <c r="P36" s="35">
        <v>45784559</v>
      </c>
      <c r="Q36" s="35"/>
      <c r="R36" s="35">
        <v>2409713.59</v>
      </c>
      <c r="S36" s="35">
        <v>5</v>
      </c>
      <c r="T36" s="35"/>
      <c r="U36" s="35">
        <v>0</v>
      </c>
      <c r="V36" s="85">
        <v>45784559</v>
      </c>
      <c r="W36" s="27"/>
      <c r="X36" s="36">
        <v>45784600</v>
      </c>
      <c r="Y36" s="85">
        <v>45784600</v>
      </c>
      <c r="Z36" s="35"/>
      <c r="AA36" s="35"/>
      <c r="AB36" s="35"/>
      <c r="AC36" s="35"/>
      <c r="AD36" s="35"/>
      <c r="AE36" s="35"/>
      <c r="AF36" s="36"/>
      <c r="AG36" s="35"/>
      <c r="AH36" s="35"/>
      <c r="AI36" s="35"/>
      <c r="AJ36" s="35"/>
      <c r="AK36" s="35"/>
      <c r="AL36" s="35"/>
      <c r="AM36" s="35"/>
      <c r="AN36" s="85"/>
      <c r="AO36" s="27"/>
      <c r="AP36" s="36"/>
      <c r="AQ36" s="85"/>
      <c r="AR36" s="35"/>
      <c r="AS36" s="35">
        <v>51606106</v>
      </c>
      <c r="AT36" s="35">
        <v>49025800</v>
      </c>
      <c r="AU36" s="35">
        <v>2580306</v>
      </c>
      <c r="AV36" s="35">
        <v>49025799.490000002</v>
      </c>
      <c r="AW36" s="35"/>
      <c r="AX36" s="36"/>
      <c r="AY36" s="35">
        <v>51606105.259999998</v>
      </c>
      <c r="AZ36" s="35">
        <v>49025799.490000002</v>
      </c>
      <c r="BA36" s="35"/>
      <c r="BB36" s="35">
        <v>2580305.77</v>
      </c>
      <c r="BC36" s="35">
        <v>5</v>
      </c>
      <c r="BD36" s="35"/>
      <c r="BE36" s="35">
        <v>0</v>
      </c>
      <c r="BF36" s="85">
        <v>49025799.490000002</v>
      </c>
      <c r="BG36" s="27"/>
      <c r="BH36" s="36">
        <v>49025800</v>
      </c>
      <c r="BI36" s="85">
        <v>49025800</v>
      </c>
      <c r="BJ36" s="35"/>
      <c r="BK36" s="35"/>
      <c r="BL36" s="35"/>
      <c r="BM36" s="35"/>
      <c r="BN36" s="35"/>
      <c r="BO36" s="35"/>
      <c r="BP36" s="36"/>
      <c r="BQ36" s="35"/>
      <c r="BR36" s="35"/>
      <c r="BS36" s="35"/>
      <c r="BT36" s="35"/>
      <c r="BU36" s="35"/>
      <c r="BV36" s="35"/>
      <c r="BW36" s="35"/>
      <c r="BX36" s="85"/>
      <c r="BY36" s="27"/>
      <c r="BZ36" s="36"/>
      <c r="CA36" s="85"/>
      <c r="CB36" s="35"/>
      <c r="CC36" s="35">
        <v>11016000</v>
      </c>
      <c r="CD36" s="35">
        <v>10465200</v>
      </c>
      <c r="CE36" s="35">
        <v>550800</v>
      </c>
      <c r="CF36" s="35">
        <v>10465199.710000001</v>
      </c>
      <c r="CG36" s="35"/>
      <c r="CH36" s="36"/>
      <c r="CI36" s="35">
        <v>11012526.91</v>
      </c>
      <c r="CJ36" s="35">
        <v>10461900.550000001</v>
      </c>
      <c r="CK36" s="35"/>
      <c r="CL36" s="35">
        <v>550626.36</v>
      </c>
      <c r="CM36" s="35">
        <v>5</v>
      </c>
      <c r="CN36" s="35"/>
      <c r="CO36" s="35">
        <v>3299.16</v>
      </c>
      <c r="CP36" s="85">
        <v>10461900.550000001</v>
      </c>
      <c r="CQ36" s="27"/>
      <c r="CR36" s="36">
        <v>10465200</v>
      </c>
      <c r="CS36" s="85">
        <v>10465200</v>
      </c>
      <c r="CT36" s="35"/>
      <c r="CU36" s="35">
        <v>57724957</v>
      </c>
      <c r="CV36" s="35">
        <v>54838700</v>
      </c>
      <c r="CW36" s="35">
        <v>2886257</v>
      </c>
      <c r="CX36" s="35">
        <v>54820788.350000001</v>
      </c>
      <c r="CY36" s="35"/>
      <c r="CZ36" s="36"/>
      <c r="DA36" s="35">
        <v>57706093.359999999</v>
      </c>
      <c r="DB36" s="35">
        <v>54820788.350000001</v>
      </c>
      <c r="DC36" s="35"/>
      <c r="DD36" s="35">
        <v>2885305.01</v>
      </c>
      <c r="DE36" s="35">
        <v>5</v>
      </c>
      <c r="DF36" s="35"/>
      <c r="DG36" s="35">
        <v>0</v>
      </c>
      <c r="DH36" s="85">
        <v>54820788.350000001</v>
      </c>
      <c r="DI36" s="27"/>
      <c r="DJ36" s="36">
        <v>54838700</v>
      </c>
      <c r="DK36" s="85">
        <v>54838700</v>
      </c>
      <c r="DL36" s="35"/>
      <c r="DM36" s="35"/>
      <c r="DN36" s="35"/>
      <c r="DO36" s="35"/>
      <c r="DP36" s="35"/>
      <c r="DQ36" s="35"/>
      <c r="DR36" s="36"/>
      <c r="DS36" s="35"/>
      <c r="DT36" s="35"/>
      <c r="DU36" s="35"/>
      <c r="DV36" s="35"/>
      <c r="DW36" s="35"/>
      <c r="DX36" s="35"/>
      <c r="DY36" s="35"/>
      <c r="DZ36" s="85"/>
      <c r="EA36" s="27"/>
      <c r="EB36" s="36"/>
      <c r="EC36" s="85"/>
      <c r="ED36" s="35"/>
      <c r="EE36" s="35"/>
      <c r="EF36" s="35"/>
      <c r="EG36" s="35"/>
      <c r="EH36" s="35"/>
      <c r="EI36" s="35"/>
      <c r="EJ36" s="36"/>
      <c r="EK36" s="35"/>
      <c r="EL36" s="35"/>
      <c r="EM36" s="35"/>
      <c r="EN36" s="35"/>
      <c r="EO36" s="35"/>
      <c r="EP36" s="35"/>
      <c r="EQ36" s="35"/>
      <c r="ER36" s="85"/>
      <c r="ES36" s="27"/>
      <c r="ET36" s="36"/>
      <c r="EU36" s="85"/>
      <c r="EV36" s="35"/>
      <c r="EW36" s="35"/>
      <c r="EX36" s="35"/>
      <c r="EY36" s="35"/>
      <c r="EZ36" s="35"/>
      <c r="FA36" s="35"/>
      <c r="FB36" s="36"/>
      <c r="FC36" s="35"/>
      <c r="FD36" s="35"/>
      <c r="FE36" s="35"/>
      <c r="FF36" s="35"/>
      <c r="FG36" s="35"/>
      <c r="FH36" s="35"/>
      <c r="FI36" s="35"/>
      <c r="FJ36" s="85"/>
      <c r="FK36" s="27"/>
      <c r="FL36" s="36"/>
      <c r="FM36" s="85"/>
      <c r="FN36" s="35"/>
      <c r="FO36" s="35">
        <v>16264000</v>
      </c>
      <c r="FP36" s="35">
        <v>10384000</v>
      </c>
      <c r="FQ36" s="35">
        <v>5880000</v>
      </c>
      <c r="FR36" s="35">
        <v>10383641.76</v>
      </c>
      <c r="FS36" s="35">
        <v>302277</v>
      </c>
      <c r="FT36" s="36"/>
      <c r="FU36" s="35">
        <v>16263116.68</v>
      </c>
      <c r="FV36" s="35">
        <v>10383641.76</v>
      </c>
      <c r="FW36" s="35"/>
      <c r="FX36" s="35">
        <v>5879474.9199999999</v>
      </c>
      <c r="FY36" s="35">
        <v>36.152200000000001</v>
      </c>
      <c r="FZ36" s="35">
        <v>302277</v>
      </c>
      <c r="GA36" s="35">
        <v>0</v>
      </c>
      <c r="GB36" s="85">
        <v>10383641.76</v>
      </c>
      <c r="GC36" s="27"/>
      <c r="GD36" s="36">
        <v>10384000</v>
      </c>
      <c r="GE36" s="85">
        <v>10384000</v>
      </c>
      <c r="GF36" s="35"/>
      <c r="GG36" s="35">
        <v>20322400</v>
      </c>
      <c r="GH36" s="35">
        <v>5320400</v>
      </c>
      <c r="GI36" s="35">
        <v>15002000</v>
      </c>
      <c r="GJ36" s="35">
        <v>5320400</v>
      </c>
      <c r="GK36" s="35">
        <v>914.97</v>
      </c>
      <c r="GL36" s="36"/>
      <c r="GM36" s="35">
        <v>20322381.010000002</v>
      </c>
      <c r="GN36" s="35">
        <v>5320400</v>
      </c>
      <c r="GO36" s="35"/>
      <c r="GP36" s="35">
        <v>15001981.01</v>
      </c>
      <c r="GQ36" s="35">
        <v>73.819999999999993</v>
      </c>
      <c r="GR36" s="35">
        <v>914.97</v>
      </c>
      <c r="GS36" s="35">
        <v>0</v>
      </c>
      <c r="GT36" s="85">
        <v>5320400</v>
      </c>
      <c r="GU36" s="27"/>
      <c r="GV36" s="36">
        <v>5320400</v>
      </c>
      <c r="GW36" s="85">
        <v>5320400</v>
      </c>
      <c r="GX36" s="35"/>
      <c r="GY36" s="35"/>
      <c r="GZ36" s="35"/>
      <c r="HA36" s="35"/>
      <c r="HB36" s="35"/>
      <c r="HC36" s="35">
        <v>32065.11</v>
      </c>
      <c r="HD36" s="36"/>
      <c r="HE36" s="35"/>
      <c r="HF36" s="35"/>
      <c r="HG36" s="35"/>
      <c r="HH36" s="35"/>
      <c r="HI36" s="35"/>
      <c r="HJ36" s="35">
        <v>32065.11</v>
      </c>
      <c r="HK36" s="35"/>
      <c r="HL36" s="85"/>
      <c r="HM36" s="27"/>
      <c r="HN36" s="36"/>
      <c r="HO36" s="85"/>
      <c r="HP36" s="35"/>
      <c r="HQ36" s="35"/>
      <c r="HR36" s="35"/>
      <c r="HS36" s="35"/>
      <c r="HT36" s="35"/>
      <c r="HU36" s="35"/>
      <c r="HV36" s="36"/>
      <c r="HW36" s="35"/>
      <c r="HX36" s="35"/>
      <c r="HY36" s="35"/>
      <c r="HZ36" s="35"/>
      <c r="IA36" s="35"/>
      <c r="IB36" s="35"/>
      <c r="IC36" s="35"/>
      <c r="ID36" s="85"/>
      <c r="IE36" s="27"/>
      <c r="IF36" s="36"/>
      <c r="IG36" s="85"/>
      <c r="IH36" s="35"/>
      <c r="II36" s="35"/>
      <c r="IJ36" s="35"/>
      <c r="IK36" s="35"/>
      <c r="IL36" s="35"/>
      <c r="IM36" s="35"/>
      <c r="IN36" s="36"/>
      <c r="IO36" s="35"/>
      <c r="IP36" s="35"/>
      <c r="IQ36" s="35"/>
      <c r="IR36" s="35"/>
      <c r="IS36" s="35"/>
      <c r="IT36" s="35"/>
      <c r="IU36" s="35"/>
      <c r="IV36" s="85"/>
      <c r="IW36" s="27"/>
      <c r="IX36" s="36"/>
      <c r="IY36" s="85"/>
      <c r="IZ36" s="35"/>
      <c r="JA36" s="35"/>
      <c r="JB36" s="35"/>
      <c r="JC36" s="35"/>
      <c r="JD36" s="35"/>
      <c r="JE36" s="35"/>
      <c r="JF36" s="36"/>
      <c r="JG36" s="35"/>
      <c r="JH36" s="35"/>
      <c r="JI36" s="35"/>
      <c r="JJ36" s="35"/>
      <c r="JK36" s="35"/>
      <c r="JL36" s="35"/>
      <c r="JM36" s="35"/>
      <c r="JN36" s="85"/>
      <c r="JO36" s="27"/>
      <c r="JP36" s="36"/>
      <c r="JQ36" s="85"/>
      <c r="JR36" s="35"/>
      <c r="JS36" s="35"/>
      <c r="JT36" s="35"/>
      <c r="JU36" s="35"/>
      <c r="JV36" s="35"/>
      <c r="JW36" s="35"/>
      <c r="JX36" s="36"/>
      <c r="JY36" s="35"/>
      <c r="JZ36" s="35"/>
      <c r="KA36" s="35"/>
      <c r="KB36" s="35"/>
      <c r="KC36" s="35"/>
      <c r="KD36" s="35"/>
      <c r="KE36" s="35"/>
      <c r="KF36" s="85"/>
      <c r="KG36" s="27"/>
      <c r="KH36" s="36"/>
      <c r="KI36" s="85"/>
      <c r="KJ36" s="35"/>
      <c r="KK36" s="35">
        <v>1146000</v>
      </c>
      <c r="KL36" s="35">
        <v>802000</v>
      </c>
      <c r="KM36" s="35">
        <v>344000</v>
      </c>
      <c r="KN36" s="35">
        <v>802000</v>
      </c>
      <c r="KO36" s="35"/>
      <c r="KP36" s="36"/>
      <c r="KQ36" s="35">
        <v>1146000</v>
      </c>
      <c r="KR36" s="35">
        <v>802000</v>
      </c>
      <c r="KS36" s="35"/>
      <c r="KT36" s="35">
        <v>344000</v>
      </c>
      <c r="KU36" s="35">
        <v>30.01745</v>
      </c>
      <c r="KV36" s="35"/>
      <c r="KW36" s="35"/>
      <c r="KX36" s="85">
        <v>802000</v>
      </c>
      <c r="KY36" s="27"/>
      <c r="KZ36" s="36">
        <v>802000</v>
      </c>
      <c r="LA36" s="85">
        <v>802000</v>
      </c>
      <c r="LB36" s="35"/>
      <c r="LC36" s="35"/>
      <c r="LD36" s="35"/>
      <c r="LE36" s="35"/>
      <c r="LF36" s="35"/>
      <c r="LG36" s="35"/>
      <c r="LH36" s="36"/>
      <c r="LI36" s="35"/>
      <c r="LJ36" s="35"/>
      <c r="LK36" s="35"/>
      <c r="LL36" s="35"/>
      <c r="LM36" s="35"/>
      <c r="LN36" s="35"/>
      <c r="LO36" s="35"/>
      <c r="LP36" s="85"/>
      <c r="LQ36" s="27"/>
      <c r="LR36" s="36"/>
      <c r="LS36" s="85"/>
      <c r="LT36" s="35"/>
      <c r="LU36" s="35"/>
      <c r="LV36" s="35"/>
      <c r="LW36" s="35"/>
      <c r="LX36" s="35"/>
      <c r="LY36" s="35"/>
      <c r="LZ36" s="36"/>
      <c r="MA36" s="35"/>
      <c r="MB36" s="35"/>
      <c r="MC36" s="35"/>
      <c r="MD36" s="35"/>
      <c r="ME36" s="35"/>
      <c r="MF36" s="35"/>
      <c r="MG36" s="35"/>
      <c r="MH36" s="85"/>
      <c r="MI36" s="27"/>
      <c r="MJ36" s="36"/>
      <c r="MK36" s="85"/>
      <c r="ML36" s="35"/>
      <c r="MM36" s="35"/>
      <c r="MN36" s="35"/>
      <c r="MO36" s="35"/>
      <c r="MP36" s="35"/>
      <c r="MQ36" s="35"/>
      <c r="MR36" s="36"/>
      <c r="MS36" s="35"/>
      <c r="MT36" s="35"/>
      <c r="MU36" s="35"/>
      <c r="MV36" s="35"/>
      <c r="MW36" s="35"/>
      <c r="MX36" s="35"/>
      <c r="MY36" s="35"/>
      <c r="MZ36" s="85"/>
      <c r="NA36" s="27"/>
      <c r="NB36" s="36"/>
      <c r="NC36" s="85"/>
      <c r="ND36" s="35"/>
      <c r="NE36" s="35"/>
      <c r="NF36" s="35"/>
      <c r="NG36" s="35"/>
      <c r="NH36" s="35"/>
      <c r="NI36" s="35"/>
      <c r="NJ36" s="36"/>
      <c r="NK36" s="35"/>
      <c r="NL36" s="35"/>
      <c r="NM36" s="35"/>
      <c r="NN36" s="35"/>
      <c r="NO36" s="35"/>
      <c r="NP36" s="35"/>
      <c r="NQ36" s="35"/>
      <c r="NR36" s="85"/>
      <c r="NS36" s="27"/>
      <c r="NT36" s="36"/>
      <c r="NU36" s="85"/>
      <c r="NV36" s="35"/>
      <c r="NW36" s="35"/>
      <c r="NX36" s="35"/>
      <c r="NY36" s="35"/>
      <c r="NZ36" s="35"/>
      <c r="OA36" s="35"/>
      <c r="OB36" s="36"/>
      <c r="OC36" s="35"/>
      <c r="OD36" s="35"/>
      <c r="OE36" s="35"/>
      <c r="OF36" s="35"/>
      <c r="OG36" s="35"/>
      <c r="OH36" s="35"/>
      <c r="OI36" s="35"/>
      <c r="OJ36" s="85"/>
      <c r="OK36" s="27"/>
      <c r="OL36" s="36"/>
      <c r="OM36" s="85"/>
      <c r="ON36" s="35"/>
      <c r="OO36" s="35"/>
      <c r="OP36" s="35"/>
      <c r="OQ36" s="35"/>
      <c r="OR36" s="35"/>
      <c r="OS36" s="35"/>
      <c r="OT36" s="36"/>
      <c r="OU36" s="35"/>
      <c r="OV36" s="35"/>
      <c r="OW36" s="35"/>
      <c r="OX36" s="35"/>
      <c r="OY36" s="35"/>
      <c r="OZ36" s="35"/>
      <c r="PA36" s="35"/>
      <c r="PB36" s="85"/>
      <c r="PC36" s="27"/>
      <c r="PD36" s="36"/>
      <c r="PE36" s="85"/>
      <c r="PF36" s="35"/>
      <c r="PG36" s="35"/>
      <c r="PH36" s="35"/>
      <c r="PI36" s="35"/>
      <c r="PJ36" s="35"/>
      <c r="PK36" s="35"/>
      <c r="PL36" s="36"/>
      <c r="PM36" s="35"/>
      <c r="PN36" s="35"/>
      <c r="PO36" s="35"/>
      <c r="PP36" s="35"/>
      <c r="PQ36" s="35"/>
      <c r="PR36" s="35"/>
      <c r="PS36" s="35"/>
      <c r="PT36" s="85"/>
      <c r="PU36" s="27"/>
      <c r="PV36" s="36"/>
      <c r="PW36" s="85"/>
      <c r="PX36" s="35"/>
      <c r="PY36" s="35"/>
      <c r="PZ36" s="35"/>
      <c r="QA36" s="35"/>
      <c r="QB36" s="35"/>
      <c r="QC36" s="35"/>
      <c r="QD36" s="36"/>
      <c r="QE36" s="35"/>
      <c r="QF36" s="35"/>
      <c r="QG36" s="35"/>
      <c r="QH36" s="35"/>
      <c r="QI36" s="35"/>
      <c r="QJ36" s="35"/>
      <c r="QK36" s="35"/>
      <c r="QL36" s="85"/>
      <c r="QM36" s="27"/>
      <c r="QN36" s="36"/>
      <c r="QO36" s="85"/>
    </row>
    <row r="37" spans="1:457" x14ac:dyDescent="0.25">
      <c r="A37" s="8" t="s">
        <v>67</v>
      </c>
      <c r="B37" s="172" t="s">
        <v>68</v>
      </c>
      <c r="C37" s="13" t="s">
        <v>69</v>
      </c>
      <c r="F37" s="36">
        <v>201486500</v>
      </c>
      <c r="G37" s="85"/>
      <c r="H37" s="35"/>
      <c r="I37" s="35">
        <v>21356830</v>
      </c>
      <c r="J37" s="35">
        <v>15700000</v>
      </c>
      <c r="K37" s="35">
        <v>5656830</v>
      </c>
      <c r="L37" s="35">
        <v>15700000</v>
      </c>
      <c r="M37" s="35"/>
      <c r="N37" s="36"/>
      <c r="O37" s="35">
        <v>21356830</v>
      </c>
      <c r="P37" s="35">
        <v>15700000</v>
      </c>
      <c r="Q37" s="35">
        <v>0</v>
      </c>
      <c r="R37" s="35">
        <v>5656830</v>
      </c>
      <c r="S37" s="35">
        <v>26.487220000000001</v>
      </c>
      <c r="T37" s="35"/>
      <c r="U37" s="35"/>
      <c r="V37" s="85">
        <v>15700000</v>
      </c>
      <c r="W37" s="27"/>
      <c r="X37" s="36">
        <v>15700000</v>
      </c>
      <c r="Y37" s="85">
        <v>15700000</v>
      </c>
      <c r="Z37" s="35"/>
      <c r="AA37" s="35"/>
      <c r="AB37" s="35"/>
      <c r="AC37" s="35"/>
      <c r="AD37" s="35"/>
      <c r="AE37" s="35"/>
      <c r="AF37" s="36"/>
      <c r="AG37" s="35"/>
      <c r="AH37" s="35"/>
      <c r="AI37" s="35"/>
      <c r="AJ37" s="35"/>
      <c r="AK37" s="35"/>
      <c r="AL37" s="35"/>
      <c r="AM37" s="35"/>
      <c r="AN37" s="85"/>
      <c r="AO37" s="27"/>
      <c r="AP37" s="36"/>
      <c r="AQ37" s="85"/>
      <c r="AR37" s="35"/>
      <c r="AS37" s="35">
        <v>27198800</v>
      </c>
      <c r="AT37" s="35">
        <v>13327400</v>
      </c>
      <c r="AU37" s="35">
        <v>13871400</v>
      </c>
      <c r="AV37" s="35">
        <v>13327400</v>
      </c>
      <c r="AW37" s="35"/>
      <c r="AX37" s="36"/>
      <c r="AY37" s="35">
        <v>27198800</v>
      </c>
      <c r="AZ37" s="35">
        <v>13327400</v>
      </c>
      <c r="BA37" s="35">
        <v>0</v>
      </c>
      <c r="BB37" s="35">
        <v>13871400</v>
      </c>
      <c r="BC37" s="35">
        <v>51.000039999999998</v>
      </c>
      <c r="BD37" s="35"/>
      <c r="BE37" s="35"/>
      <c r="BF37" s="85">
        <v>13327400</v>
      </c>
      <c r="BG37" s="27"/>
      <c r="BH37" s="36">
        <v>13327400</v>
      </c>
      <c r="BI37" s="85">
        <v>13327400</v>
      </c>
      <c r="BJ37" s="35"/>
      <c r="BK37" s="35"/>
      <c r="BL37" s="35"/>
      <c r="BM37" s="35"/>
      <c r="BN37" s="35"/>
      <c r="BO37" s="35"/>
      <c r="BP37" s="36"/>
      <c r="BQ37" s="35"/>
      <c r="BR37" s="35"/>
      <c r="BS37" s="35"/>
      <c r="BT37" s="35"/>
      <c r="BU37" s="35"/>
      <c r="BV37" s="35"/>
      <c r="BW37" s="35"/>
      <c r="BX37" s="85"/>
      <c r="BY37" s="27"/>
      <c r="BZ37" s="36"/>
      <c r="CA37" s="85"/>
      <c r="CB37" s="35"/>
      <c r="CC37" s="35">
        <v>17770400</v>
      </c>
      <c r="CD37" s="35">
        <v>8128400</v>
      </c>
      <c r="CE37" s="35">
        <v>9642000</v>
      </c>
      <c r="CF37" s="35">
        <v>8128400</v>
      </c>
      <c r="CG37" s="35"/>
      <c r="CH37" s="36"/>
      <c r="CI37" s="35">
        <v>17770400</v>
      </c>
      <c r="CJ37" s="35">
        <v>8128400</v>
      </c>
      <c r="CK37" s="35">
        <v>0</v>
      </c>
      <c r="CL37" s="35">
        <v>9642000</v>
      </c>
      <c r="CM37" s="35">
        <v>54.258769999999998</v>
      </c>
      <c r="CN37" s="35"/>
      <c r="CO37" s="35"/>
      <c r="CP37" s="85">
        <v>8128400</v>
      </c>
      <c r="CQ37" s="27"/>
      <c r="CR37" s="36">
        <v>8128400</v>
      </c>
      <c r="CS37" s="85">
        <v>8128400</v>
      </c>
      <c r="CT37" s="35"/>
      <c r="CU37" s="35">
        <v>133625600</v>
      </c>
      <c r="CV37" s="35">
        <v>57913300</v>
      </c>
      <c r="CW37" s="35">
        <v>75712300</v>
      </c>
      <c r="CX37" s="35">
        <v>57909347.939999998</v>
      </c>
      <c r="CY37" s="35"/>
      <c r="CZ37" s="36"/>
      <c r="DA37" s="35">
        <v>133615152.23</v>
      </c>
      <c r="DB37" s="35">
        <v>57908770.909999996</v>
      </c>
      <c r="DC37" s="35">
        <v>0</v>
      </c>
      <c r="DD37" s="35">
        <v>75706381.319999993</v>
      </c>
      <c r="DE37" s="35">
        <v>56.660029999999999</v>
      </c>
      <c r="DF37" s="35"/>
      <c r="DG37" s="35">
        <v>577.03</v>
      </c>
      <c r="DH37" s="85">
        <v>57908770.909999996</v>
      </c>
      <c r="DI37" s="27"/>
      <c r="DJ37" s="36">
        <v>57913300</v>
      </c>
      <c r="DK37" s="85">
        <v>57913300</v>
      </c>
      <c r="DL37" s="35"/>
      <c r="DM37" s="35"/>
      <c r="DN37" s="35"/>
      <c r="DO37" s="35"/>
      <c r="DP37" s="35"/>
      <c r="DQ37" s="35"/>
      <c r="DR37" s="36"/>
      <c r="DS37" s="35"/>
      <c r="DT37" s="35"/>
      <c r="DU37" s="35"/>
      <c r="DV37" s="35"/>
      <c r="DW37" s="35"/>
      <c r="DX37" s="35"/>
      <c r="DY37" s="35"/>
      <c r="DZ37" s="85"/>
      <c r="EA37" s="27"/>
      <c r="EB37" s="36"/>
      <c r="EC37" s="85"/>
      <c r="ED37" s="35"/>
      <c r="EE37" s="35"/>
      <c r="EF37" s="35"/>
      <c r="EG37" s="35"/>
      <c r="EH37" s="35"/>
      <c r="EI37" s="35"/>
      <c r="EJ37" s="36"/>
      <c r="EK37" s="35"/>
      <c r="EL37" s="35"/>
      <c r="EM37" s="35"/>
      <c r="EN37" s="35"/>
      <c r="EO37" s="35"/>
      <c r="EP37" s="35"/>
      <c r="EQ37" s="35"/>
      <c r="ER37" s="85"/>
      <c r="ES37" s="27"/>
      <c r="ET37" s="36"/>
      <c r="EU37" s="85"/>
      <c r="EV37" s="35"/>
      <c r="EW37" s="35">
        <v>77283060</v>
      </c>
      <c r="EX37" s="35">
        <v>54219100</v>
      </c>
      <c r="EY37" s="35">
        <v>23063960</v>
      </c>
      <c r="EZ37" s="35">
        <v>54219100</v>
      </c>
      <c r="FA37" s="35"/>
      <c r="FB37" s="36"/>
      <c r="FC37" s="35">
        <v>77283060</v>
      </c>
      <c r="FD37" s="35">
        <v>54219100</v>
      </c>
      <c r="FE37" s="35">
        <v>0</v>
      </c>
      <c r="FF37" s="35">
        <v>23063960</v>
      </c>
      <c r="FG37" s="35">
        <v>29.843489999999999</v>
      </c>
      <c r="FH37" s="35"/>
      <c r="FI37" s="35"/>
      <c r="FJ37" s="85">
        <v>54219100</v>
      </c>
      <c r="FK37" s="27"/>
      <c r="FL37" s="36">
        <v>54219100</v>
      </c>
      <c r="FM37" s="85">
        <v>54219100</v>
      </c>
      <c r="FN37" s="35"/>
      <c r="FO37" s="35">
        <v>10718400</v>
      </c>
      <c r="FP37" s="35">
        <v>3062400</v>
      </c>
      <c r="FQ37" s="35">
        <v>7656000</v>
      </c>
      <c r="FR37" s="35">
        <v>2773119.28</v>
      </c>
      <c r="FS37" s="35"/>
      <c r="FT37" s="36"/>
      <c r="FU37" s="35">
        <v>9705917.6600000001</v>
      </c>
      <c r="FV37" s="35">
        <v>2773119.28</v>
      </c>
      <c r="FW37" s="35">
        <v>0</v>
      </c>
      <c r="FX37" s="35">
        <v>6932798.3799999999</v>
      </c>
      <c r="FY37" s="35">
        <v>71.428569999999993</v>
      </c>
      <c r="FZ37" s="35"/>
      <c r="GA37" s="35">
        <v>0</v>
      </c>
      <c r="GB37" s="85">
        <v>2773119.28</v>
      </c>
      <c r="GC37" s="27"/>
      <c r="GD37" s="36">
        <v>3062400</v>
      </c>
      <c r="GE37" s="85">
        <v>3062400</v>
      </c>
      <c r="GF37" s="35"/>
      <c r="GG37" s="35">
        <v>59775400</v>
      </c>
      <c r="GH37" s="35">
        <v>16375400</v>
      </c>
      <c r="GI37" s="35">
        <v>43400000</v>
      </c>
      <c r="GJ37" s="35">
        <v>16375400</v>
      </c>
      <c r="GK37" s="35">
        <v>32538.35</v>
      </c>
      <c r="GL37" s="36"/>
      <c r="GM37" s="35">
        <v>59775400</v>
      </c>
      <c r="GN37" s="35">
        <v>16375400</v>
      </c>
      <c r="GO37" s="35"/>
      <c r="GP37" s="35">
        <v>43400000</v>
      </c>
      <c r="GQ37" s="35">
        <v>72.605119999999999</v>
      </c>
      <c r="GR37" s="35">
        <v>32538.35</v>
      </c>
      <c r="GS37" s="35"/>
      <c r="GT37" s="85">
        <v>16375400</v>
      </c>
      <c r="GU37" s="27"/>
      <c r="GV37" s="36">
        <v>16375400</v>
      </c>
      <c r="GW37" s="85">
        <v>16375400</v>
      </c>
      <c r="GX37" s="35"/>
      <c r="GY37" s="35"/>
      <c r="GZ37" s="35"/>
      <c r="HA37" s="35"/>
      <c r="HB37" s="35"/>
      <c r="HC37" s="35"/>
      <c r="HD37" s="36"/>
      <c r="HE37" s="35"/>
      <c r="HF37" s="35"/>
      <c r="HG37" s="35"/>
      <c r="HH37" s="35"/>
      <c r="HI37" s="35"/>
      <c r="HJ37" s="35"/>
      <c r="HK37" s="35"/>
      <c r="HL37" s="85"/>
      <c r="HM37" s="27"/>
      <c r="HN37" s="36"/>
      <c r="HO37" s="85"/>
      <c r="HP37" s="35"/>
      <c r="HQ37" s="35">
        <v>17239900</v>
      </c>
      <c r="HR37" s="35">
        <v>10943000</v>
      </c>
      <c r="HS37" s="35">
        <v>6296900</v>
      </c>
      <c r="HT37" s="35">
        <v>10943000</v>
      </c>
      <c r="HU37" s="35"/>
      <c r="HV37" s="36"/>
      <c r="HW37" s="35">
        <v>17239900</v>
      </c>
      <c r="HX37" s="35">
        <v>10943000</v>
      </c>
      <c r="HY37" s="35"/>
      <c r="HZ37" s="35">
        <v>6296900</v>
      </c>
      <c r="IA37" s="35">
        <v>36.525149999999996</v>
      </c>
      <c r="IB37" s="35"/>
      <c r="IC37" s="35"/>
      <c r="ID37" s="85">
        <v>10943000</v>
      </c>
      <c r="IE37" s="27"/>
      <c r="IF37" s="36">
        <v>10943000</v>
      </c>
      <c r="IG37" s="85">
        <v>10943000</v>
      </c>
      <c r="IH37" s="35"/>
      <c r="II37" s="35"/>
      <c r="IJ37" s="35"/>
      <c r="IK37" s="35"/>
      <c r="IL37" s="35"/>
      <c r="IM37" s="35"/>
      <c r="IN37" s="36"/>
      <c r="IO37" s="35"/>
      <c r="IP37" s="35"/>
      <c r="IQ37" s="35"/>
      <c r="IR37" s="35"/>
      <c r="IS37" s="35"/>
      <c r="IT37" s="35"/>
      <c r="IU37" s="35"/>
      <c r="IV37" s="85"/>
      <c r="IW37" s="27"/>
      <c r="IX37" s="36"/>
      <c r="IY37" s="85"/>
      <c r="IZ37" s="35"/>
      <c r="JA37" s="35">
        <v>11092000</v>
      </c>
      <c r="JB37" s="35">
        <v>5291000</v>
      </c>
      <c r="JC37" s="35">
        <v>5801000</v>
      </c>
      <c r="JD37" s="35">
        <v>5291000</v>
      </c>
      <c r="JE37" s="35"/>
      <c r="JF37" s="36"/>
      <c r="JG37" s="35">
        <v>11092000</v>
      </c>
      <c r="JH37" s="35">
        <v>5291000</v>
      </c>
      <c r="JI37" s="35"/>
      <c r="JJ37" s="35">
        <v>5801000</v>
      </c>
      <c r="JK37" s="35">
        <v>52.298949999999998</v>
      </c>
      <c r="JL37" s="35"/>
      <c r="JM37" s="35"/>
      <c r="JN37" s="85">
        <v>5291000</v>
      </c>
      <c r="JO37" s="27"/>
      <c r="JP37" s="36">
        <v>5291000</v>
      </c>
      <c r="JQ37" s="85">
        <v>5291000</v>
      </c>
      <c r="JR37" s="35"/>
      <c r="JS37" s="35"/>
      <c r="JT37" s="35"/>
      <c r="JU37" s="35"/>
      <c r="JV37" s="35"/>
      <c r="JW37" s="35"/>
      <c r="JX37" s="36"/>
      <c r="JY37" s="35"/>
      <c r="JZ37" s="35"/>
      <c r="KA37" s="35"/>
      <c r="KB37" s="35"/>
      <c r="KC37" s="35"/>
      <c r="KD37" s="35"/>
      <c r="KE37" s="35"/>
      <c r="KF37" s="85"/>
      <c r="KG37" s="27"/>
      <c r="KH37" s="36"/>
      <c r="KI37" s="85"/>
      <c r="KJ37" s="35"/>
      <c r="KK37" s="35"/>
      <c r="KL37" s="35"/>
      <c r="KM37" s="35"/>
      <c r="KN37" s="35"/>
      <c r="KO37" s="35"/>
      <c r="KP37" s="36"/>
      <c r="KQ37" s="35"/>
      <c r="KR37" s="35"/>
      <c r="KS37" s="35"/>
      <c r="KT37" s="35"/>
      <c r="KU37" s="35"/>
      <c r="KV37" s="35"/>
      <c r="KW37" s="35"/>
      <c r="KX37" s="85"/>
      <c r="KY37" s="27"/>
      <c r="KZ37" s="36"/>
      <c r="LA37" s="85"/>
      <c r="LB37" s="35"/>
      <c r="LC37" s="35"/>
      <c r="LD37" s="35"/>
      <c r="LE37" s="35"/>
      <c r="LF37" s="35"/>
      <c r="LG37" s="35"/>
      <c r="LH37" s="36"/>
      <c r="LI37" s="35"/>
      <c r="LJ37" s="35"/>
      <c r="LK37" s="35"/>
      <c r="LL37" s="35"/>
      <c r="LM37" s="35"/>
      <c r="LN37" s="35"/>
      <c r="LO37" s="35"/>
      <c r="LP37" s="85"/>
      <c r="LQ37" s="27"/>
      <c r="LR37" s="36"/>
      <c r="LS37" s="85"/>
      <c r="LT37" s="35"/>
      <c r="LU37" s="35">
        <v>5528100</v>
      </c>
      <c r="LV37" s="35">
        <v>992000</v>
      </c>
      <c r="LW37" s="35">
        <v>4536100</v>
      </c>
      <c r="LX37" s="35">
        <v>992000</v>
      </c>
      <c r="LY37" s="35"/>
      <c r="LZ37" s="36"/>
      <c r="MA37" s="35">
        <v>5528100</v>
      </c>
      <c r="MB37" s="35">
        <v>992000</v>
      </c>
      <c r="MC37" s="35"/>
      <c r="MD37" s="35">
        <v>4536100</v>
      </c>
      <c r="ME37" s="35">
        <v>82.055319999999995</v>
      </c>
      <c r="MF37" s="35"/>
      <c r="MG37" s="35"/>
      <c r="MH37" s="85">
        <v>992000</v>
      </c>
      <c r="MI37" s="27"/>
      <c r="MJ37" s="36">
        <v>992000</v>
      </c>
      <c r="MK37" s="85">
        <v>992000</v>
      </c>
      <c r="ML37" s="35"/>
      <c r="MM37" s="35"/>
      <c r="MN37" s="35"/>
      <c r="MO37" s="35"/>
      <c r="MP37" s="35"/>
      <c r="MQ37" s="35"/>
      <c r="MR37" s="36"/>
      <c r="MS37" s="35"/>
      <c r="MT37" s="35"/>
      <c r="MU37" s="35"/>
      <c r="MV37" s="35"/>
      <c r="MW37" s="35"/>
      <c r="MX37" s="35"/>
      <c r="MY37" s="35"/>
      <c r="MZ37" s="85"/>
      <c r="NA37" s="27"/>
      <c r="NB37" s="36"/>
      <c r="NC37" s="85"/>
      <c r="ND37" s="35"/>
      <c r="NE37" s="35">
        <v>20906500</v>
      </c>
      <c r="NF37" s="35">
        <v>14634500</v>
      </c>
      <c r="NG37" s="35">
        <v>6272000</v>
      </c>
      <c r="NH37" s="35">
        <v>14634500</v>
      </c>
      <c r="NI37" s="35"/>
      <c r="NJ37" s="36"/>
      <c r="NK37" s="35">
        <v>19525199</v>
      </c>
      <c r="NL37" s="35">
        <v>14634500</v>
      </c>
      <c r="NM37" s="35"/>
      <c r="NN37" s="35">
        <v>4890699</v>
      </c>
      <c r="NO37" s="35">
        <v>25.04814</v>
      </c>
      <c r="NP37" s="35"/>
      <c r="NQ37" s="35"/>
      <c r="NR37" s="85">
        <v>14634500</v>
      </c>
      <c r="NS37" s="27"/>
      <c r="NT37" s="36">
        <v>14634500</v>
      </c>
      <c r="NU37" s="85">
        <v>14634500</v>
      </c>
      <c r="NV37" s="35"/>
      <c r="NW37" s="35"/>
      <c r="NX37" s="35"/>
      <c r="NY37" s="35"/>
      <c r="NZ37" s="35"/>
      <c r="OA37" s="35"/>
      <c r="OB37" s="36"/>
      <c r="OC37" s="35"/>
      <c r="OD37" s="35"/>
      <c r="OE37" s="35"/>
      <c r="OF37" s="35"/>
      <c r="OG37" s="35"/>
      <c r="OH37" s="35"/>
      <c r="OI37" s="35"/>
      <c r="OJ37" s="85"/>
      <c r="OK37" s="27"/>
      <c r="OL37" s="36"/>
      <c r="OM37" s="85"/>
      <c r="ON37" s="35"/>
      <c r="OO37" s="35">
        <v>2555000</v>
      </c>
      <c r="OP37" s="35">
        <v>900000</v>
      </c>
      <c r="OQ37" s="35">
        <v>1655000</v>
      </c>
      <c r="OR37" s="35">
        <v>900000</v>
      </c>
      <c r="OS37" s="35"/>
      <c r="OT37" s="36"/>
      <c r="OU37" s="35">
        <v>2555000</v>
      </c>
      <c r="OV37" s="35">
        <v>900000</v>
      </c>
      <c r="OW37" s="35"/>
      <c r="OX37" s="35">
        <v>1655000</v>
      </c>
      <c r="OY37" s="35">
        <v>64.774950000000004</v>
      </c>
      <c r="OZ37" s="35"/>
      <c r="PA37" s="35"/>
      <c r="PB37" s="85">
        <v>900000</v>
      </c>
      <c r="PC37" s="27"/>
      <c r="PD37" s="36">
        <v>900000</v>
      </c>
      <c r="PE37" s="85">
        <v>900000</v>
      </c>
      <c r="PF37" s="35"/>
      <c r="PG37" s="35"/>
      <c r="PH37" s="35"/>
      <c r="PI37" s="35"/>
      <c r="PJ37" s="35"/>
      <c r="PK37" s="35"/>
      <c r="PL37" s="36"/>
      <c r="PM37" s="35"/>
      <c r="PN37" s="35"/>
      <c r="PO37" s="35"/>
      <c r="PP37" s="35"/>
      <c r="PQ37" s="35"/>
      <c r="PR37" s="35"/>
      <c r="PS37" s="35"/>
      <c r="PT37" s="85"/>
      <c r="PU37" s="27"/>
      <c r="PV37" s="36"/>
      <c r="PW37" s="85"/>
      <c r="PX37" s="35"/>
      <c r="PY37" s="35"/>
      <c r="PZ37" s="35"/>
      <c r="QA37" s="35"/>
      <c r="QB37" s="35"/>
      <c r="QC37" s="35">
        <v>100548.98</v>
      </c>
      <c r="QD37" s="36"/>
      <c r="QE37" s="35"/>
      <c r="QF37" s="35"/>
      <c r="QG37" s="35"/>
      <c r="QH37" s="35"/>
      <c r="QI37" s="35"/>
      <c r="QJ37" s="35">
        <v>100548.98</v>
      </c>
      <c r="QK37" s="35"/>
      <c r="QL37" s="85"/>
      <c r="QM37" s="27"/>
      <c r="QN37" s="36"/>
      <c r="QO37" s="85"/>
    </row>
    <row r="38" spans="1:457" x14ac:dyDescent="0.25">
      <c r="A38" s="8" t="s">
        <v>70</v>
      </c>
      <c r="B38" s="173" t="s">
        <v>71</v>
      </c>
      <c r="C38" s="13" t="s">
        <v>72</v>
      </c>
      <c r="F38" s="36">
        <v>465535900</v>
      </c>
      <c r="G38" s="85"/>
      <c r="H38" s="35"/>
      <c r="I38" s="35">
        <v>48044834.789999999</v>
      </c>
      <c r="J38" s="35">
        <v>38130000</v>
      </c>
      <c r="K38" s="35">
        <v>9914834.7899999991</v>
      </c>
      <c r="L38" s="35">
        <v>38130000</v>
      </c>
      <c r="M38" s="35"/>
      <c r="N38" s="36"/>
      <c r="O38" s="35">
        <v>48044834.759999998</v>
      </c>
      <c r="P38" s="35">
        <v>38130000</v>
      </c>
      <c r="Q38" s="35"/>
      <c r="R38" s="35">
        <v>9914834.7599999998</v>
      </c>
      <c r="S38" s="35">
        <v>20.63663</v>
      </c>
      <c r="T38" s="35"/>
      <c r="U38" s="35"/>
      <c r="V38" s="85">
        <v>38130000</v>
      </c>
      <c r="W38" s="27"/>
      <c r="X38" s="36">
        <v>38130000</v>
      </c>
      <c r="Y38" s="85">
        <v>38130000</v>
      </c>
      <c r="Z38" s="35"/>
      <c r="AA38" s="35"/>
      <c r="AB38" s="35"/>
      <c r="AC38" s="35"/>
      <c r="AD38" s="35"/>
      <c r="AE38" s="35"/>
      <c r="AF38" s="36"/>
      <c r="AG38" s="35"/>
      <c r="AH38" s="35"/>
      <c r="AI38" s="35"/>
      <c r="AJ38" s="35"/>
      <c r="AK38" s="35"/>
      <c r="AL38" s="35"/>
      <c r="AM38" s="35"/>
      <c r="AN38" s="85"/>
      <c r="AO38" s="27"/>
      <c r="AP38" s="36"/>
      <c r="AQ38" s="85"/>
      <c r="AR38" s="35"/>
      <c r="AS38" s="35">
        <v>83444600</v>
      </c>
      <c r="AT38" s="35">
        <v>79244600</v>
      </c>
      <c r="AU38" s="35">
        <v>4200000</v>
      </c>
      <c r="AV38" s="35">
        <v>79244600</v>
      </c>
      <c r="AW38" s="35"/>
      <c r="AX38" s="36"/>
      <c r="AY38" s="35">
        <v>83444600</v>
      </c>
      <c r="AZ38" s="35">
        <v>79244600</v>
      </c>
      <c r="BA38" s="35"/>
      <c r="BB38" s="35">
        <v>4200000</v>
      </c>
      <c r="BC38" s="35">
        <v>5.0332800000000004</v>
      </c>
      <c r="BD38" s="35"/>
      <c r="BE38" s="35"/>
      <c r="BF38" s="85">
        <v>79244600</v>
      </c>
      <c r="BG38" s="27"/>
      <c r="BH38" s="36">
        <v>79244600</v>
      </c>
      <c r="BI38" s="85">
        <v>79244600</v>
      </c>
      <c r="BJ38" s="35"/>
      <c r="BK38" s="35"/>
      <c r="BL38" s="35"/>
      <c r="BM38" s="35"/>
      <c r="BN38" s="35"/>
      <c r="BO38" s="35"/>
      <c r="BP38" s="36"/>
      <c r="BQ38" s="35"/>
      <c r="BR38" s="35"/>
      <c r="BS38" s="35"/>
      <c r="BT38" s="35"/>
      <c r="BU38" s="35"/>
      <c r="BV38" s="35"/>
      <c r="BW38" s="35"/>
      <c r="BX38" s="85"/>
      <c r="BY38" s="27"/>
      <c r="BZ38" s="36"/>
      <c r="CA38" s="85"/>
      <c r="CB38" s="35"/>
      <c r="CC38" s="35">
        <v>22743600</v>
      </c>
      <c r="CD38" s="35">
        <v>20464600</v>
      </c>
      <c r="CE38" s="35">
        <v>2279000</v>
      </c>
      <c r="CF38" s="35">
        <v>20427838.399999999</v>
      </c>
      <c r="CG38" s="35"/>
      <c r="CH38" s="36"/>
      <c r="CI38" s="35">
        <v>22702744.43</v>
      </c>
      <c r="CJ38" s="35">
        <v>20427838.399999999</v>
      </c>
      <c r="CK38" s="35"/>
      <c r="CL38" s="35">
        <v>2274906.0299999998</v>
      </c>
      <c r="CM38" s="35">
        <v>10.0204</v>
      </c>
      <c r="CN38" s="35"/>
      <c r="CO38" s="35"/>
      <c r="CP38" s="85">
        <v>20427838.399999999</v>
      </c>
      <c r="CQ38" s="27"/>
      <c r="CR38" s="36">
        <v>20464600</v>
      </c>
      <c r="CS38" s="85">
        <v>20464600</v>
      </c>
      <c r="CT38" s="35"/>
      <c r="CU38" s="35">
        <v>131920843</v>
      </c>
      <c r="CV38" s="35">
        <v>125324800</v>
      </c>
      <c r="CW38" s="35">
        <v>6596043</v>
      </c>
      <c r="CX38" s="35">
        <v>125323784.90000001</v>
      </c>
      <c r="CY38" s="35"/>
      <c r="CZ38" s="36"/>
      <c r="DA38" s="35">
        <v>131919774.95</v>
      </c>
      <c r="DB38" s="35">
        <v>125323784.90000001</v>
      </c>
      <c r="DC38" s="35"/>
      <c r="DD38" s="35">
        <v>6595990.0499999998</v>
      </c>
      <c r="DE38" s="35">
        <v>5</v>
      </c>
      <c r="DF38" s="35"/>
      <c r="DG38" s="35"/>
      <c r="DH38" s="85">
        <v>125323784.90000001</v>
      </c>
      <c r="DI38" s="27"/>
      <c r="DJ38" s="36">
        <v>125324800</v>
      </c>
      <c r="DK38" s="85">
        <v>125324800</v>
      </c>
      <c r="DL38" s="35"/>
      <c r="DM38" s="35"/>
      <c r="DN38" s="35"/>
      <c r="DO38" s="35"/>
      <c r="DP38" s="35"/>
      <c r="DQ38" s="35"/>
      <c r="DR38" s="36"/>
      <c r="DS38" s="35"/>
      <c r="DT38" s="35"/>
      <c r="DU38" s="35"/>
      <c r="DV38" s="35"/>
      <c r="DW38" s="35"/>
      <c r="DX38" s="35"/>
      <c r="DY38" s="35"/>
      <c r="DZ38" s="85"/>
      <c r="EA38" s="27"/>
      <c r="EB38" s="36"/>
      <c r="EC38" s="85"/>
      <c r="ED38" s="35"/>
      <c r="EE38" s="35">
        <v>64217699.359999999</v>
      </c>
      <c r="EF38" s="35">
        <v>60857200</v>
      </c>
      <c r="EG38" s="35">
        <v>3360499.36</v>
      </c>
      <c r="EH38" s="35">
        <v>60855541.030000001</v>
      </c>
      <c r="EI38" s="35"/>
      <c r="EJ38" s="36"/>
      <c r="EK38" s="35">
        <v>64215948.789999999</v>
      </c>
      <c r="EL38" s="35">
        <v>60855541.030000001</v>
      </c>
      <c r="EM38" s="35"/>
      <c r="EN38" s="35">
        <v>3360407.76</v>
      </c>
      <c r="EO38" s="35">
        <v>5.2329800000000004</v>
      </c>
      <c r="EP38" s="35"/>
      <c r="EQ38" s="35"/>
      <c r="ER38" s="85">
        <v>60855541.030000001</v>
      </c>
      <c r="ES38" s="27"/>
      <c r="ET38" s="36">
        <v>60857200</v>
      </c>
      <c r="EU38" s="85">
        <v>60857200</v>
      </c>
      <c r="EV38" s="35"/>
      <c r="EW38" s="35">
        <v>24631564.859999999</v>
      </c>
      <c r="EX38" s="35">
        <v>23342600</v>
      </c>
      <c r="EY38" s="35">
        <v>1288964.8600000001</v>
      </c>
      <c r="EZ38" s="35">
        <v>23342600</v>
      </c>
      <c r="FA38" s="35"/>
      <c r="FB38" s="36"/>
      <c r="FC38" s="35">
        <v>24631512.100000001</v>
      </c>
      <c r="FD38" s="35">
        <v>23342550</v>
      </c>
      <c r="FE38" s="35"/>
      <c r="FF38" s="35">
        <v>1288962.1000000001</v>
      </c>
      <c r="FG38" s="35">
        <v>5.2329800000000004</v>
      </c>
      <c r="FH38" s="35"/>
      <c r="FI38" s="35">
        <v>50</v>
      </c>
      <c r="FJ38" s="85">
        <v>23342550</v>
      </c>
      <c r="FK38" s="27"/>
      <c r="FL38" s="36">
        <v>23342600</v>
      </c>
      <c r="FM38" s="85">
        <v>23342600</v>
      </c>
      <c r="FN38" s="35"/>
      <c r="FO38" s="35">
        <v>102198900</v>
      </c>
      <c r="FP38" s="35">
        <v>91198900</v>
      </c>
      <c r="FQ38" s="35">
        <v>11000000</v>
      </c>
      <c r="FR38" s="35">
        <v>90727384.120000005</v>
      </c>
      <c r="FS38" s="35"/>
      <c r="FT38" s="36"/>
      <c r="FU38" s="35">
        <v>101670511.72</v>
      </c>
      <c r="FV38" s="35">
        <v>90727384.120000005</v>
      </c>
      <c r="FW38" s="35"/>
      <c r="FX38" s="35">
        <v>10943127.6</v>
      </c>
      <c r="FY38" s="35">
        <v>10.76332</v>
      </c>
      <c r="FZ38" s="35"/>
      <c r="GA38" s="35"/>
      <c r="GB38" s="85">
        <v>90727384.120000005</v>
      </c>
      <c r="GC38" s="27"/>
      <c r="GD38" s="36">
        <v>91198900</v>
      </c>
      <c r="GE38" s="85">
        <v>91198900</v>
      </c>
      <c r="GF38" s="35"/>
      <c r="GG38" s="35">
        <v>48022200</v>
      </c>
      <c r="GH38" s="35">
        <v>22307200</v>
      </c>
      <c r="GI38" s="35">
        <v>25715000</v>
      </c>
      <c r="GJ38" s="35">
        <v>22307199.84</v>
      </c>
      <c r="GK38" s="35"/>
      <c r="GL38" s="36"/>
      <c r="GM38" s="35">
        <v>48022199.840000004</v>
      </c>
      <c r="GN38" s="35">
        <v>22307199.84</v>
      </c>
      <c r="GO38" s="35"/>
      <c r="GP38" s="35">
        <v>25715000</v>
      </c>
      <c r="GQ38" s="35">
        <v>53.54815</v>
      </c>
      <c r="GR38" s="35"/>
      <c r="GS38" s="35"/>
      <c r="GT38" s="85">
        <v>22307199.84</v>
      </c>
      <c r="GU38" s="27"/>
      <c r="GV38" s="36">
        <v>22307200</v>
      </c>
      <c r="GW38" s="85">
        <v>22307200</v>
      </c>
      <c r="GX38" s="35"/>
      <c r="GY38" s="35"/>
      <c r="GZ38" s="35"/>
      <c r="HA38" s="35"/>
      <c r="HB38" s="35"/>
      <c r="HC38" s="35"/>
      <c r="HD38" s="36"/>
      <c r="HE38" s="35"/>
      <c r="HF38" s="35"/>
      <c r="HG38" s="35"/>
      <c r="HH38" s="35"/>
      <c r="HI38" s="35"/>
      <c r="HJ38" s="35"/>
      <c r="HK38" s="35"/>
      <c r="HL38" s="85"/>
      <c r="HM38" s="27"/>
      <c r="HN38" s="36"/>
      <c r="HO38" s="85"/>
      <c r="HP38" s="35"/>
      <c r="HQ38" s="35">
        <v>6666000</v>
      </c>
      <c r="HR38" s="35">
        <v>4666000</v>
      </c>
      <c r="HS38" s="35">
        <v>2000000</v>
      </c>
      <c r="HT38" s="35">
        <v>4666000</v>
      </c>
      <c r="HU38" s="35"/>
      <c r="HV38" s="36"/>
      <c r="HW38" s="35">
        <v>6666000</v>
      </c>
      <c r="HX38" s="35">
        <v>4666000</v>
      </c>
      <c r="HY38" s="35"/>
      <c r="HZ38" s="35">
        <v>2000000</v>
      </c>
      <c r="IA38" s="35">
        <v>30.003</v>
      </c>
      <c r="IB38" s="35"/>
      <c r="IC38" s="35"/>
      <c r="ID38" s="85">
        <v>4666000</v>
      </c>
      <c r="IE38" s="27"/>
      <c r="IF38" s="36">
        <v>4666000</v>
      </c>
      <c r="IG38" s="85">
        <v>4666000</v>
      </c>
      <c r="IH38" s="35"/>
      <c r="II38" s="35"/>
      <c r="IJ38" s="35"/>
      <c r="IK38" s="35"/>
      <c r="IL38" s="35"/>
      <c r="IM38" s="35"/>
      <c r="IN38" s="36"/>
      <c r="IO38" s="35"/>
      <c r="IP38" s="35"/>
      <c r="IQ38" s="35"/>
      <c r="IR38" s="35"/>
      <c r="IS38" s="35"/>
      <c r="IT38" s="35"/>
      <c r="IU38" s="35"/>
      <c r="IV38" s="85"/>
      <c r="IW38" s="27"/>
      <c r="IX38" s="36"/>
      <c r="IY38" s="85"/>
      <c r="IZ38" s="35"/>
      <c r="JA38" s="35"/>
      <c r="JB38" s="35"/>
      <c r="JC38" s="35"/>
      <c r="JD38" s="35"/>
      <c r="JE38" s="35"/>
      <c r="JF38" s="36"/>
      <c r="JG38" s="35"/>
      <c r="JH38" s="35"/>
      <c r="JI38" s="35"/>
      <c r="JJ38" s="35"/>
      <c r="JK38" s="35"/>
      <c r="JL38" s="35"/>
      <c r="JM38" s="35"/>
      <c r="JN38" s="85"/>
      <c r="JO38" s="27"/>
      <c r="JP38" s="36"/>
      <c r="JQ38" s="85"/>
      <c r="JR38" s="35"/>
      <c r="JS38" s="35"/>
      <c r="JT38" s="35"/>
      <c r="JU38" s="35"/>
      <c r="JV38" s="35"/>
      <c r="JW38" s="35">
        <v>402248.84</v>
      </c>
      <c r="JX38" s="36"/>
      <c r="JY38" s="35"/>
      <c r="JZ38" s="35"/>
      <c r="KA38" s="35"/>
      <c r="KB38" s="35"/>
      <c r="KC38" s="35"/>
      <c r="KD38" s="35">
        <v>402248.84</v>
      </c>
      <c r="KE38" s="35"/>
      <c r="KF38" s="85"/>
      <c r="KG38" s="27"/>
      <c r="KH38" s="36"/>
      <c r="KI38" s="85"/>
      <c r="KJ38" s="35"/>
      <c r="KK38" s="35"/>
      <c r="KL38" s="35"/>
      <c r="KM38" s="35"/>
      <c r="KN38" s="35"/>
      <c r="KO38" s="35"/>
      <c r="KP38" s="36"/>
      <c r="KQ38" s="35"/>
      <c r="KR38" s="35"/>
      <c r="KS38" s="35"/>
      <c r="KT38" s="35"/>
      <c r="KU38" s="35"/>
      <c r="KV38" s="35"/>
      <c r="KW38" s="35"/>
      <c r="KX38" s="85"/>
      <c r="KY38" s="27"/>
      <c r="KZ38" s="36"/>
      <c r="LA38" s="85"/>
      <c r="LB38" s="35"/>
      <c r="LC38" s="35"/>
      <c r="LD38" s="35"/>
      <c r="LE38" s="35"/>
      <c r="LF38" s="35"/>
      <c r="LG38" s="35">
        <v>0</v>
      </c>
      <c r="LH38" s="36"/>
      <c r="LI38" s="35"/>
      <c r="LJ38" s="35"/>
      <c r="LK38" s="35"/>
      <c r="LL38" s="35"/>
      <c r="LM38" s="35"/>
      <c r="LN38" s="35">
        <v>0</v>
      </c>
      <c r="LO38" s="35"/>
      <c r="LP38" s="85"/>
      <c r="LQ38" s="27"/>
      <c r="LR38" s="36"/>
      <c r="LS38" s="85"/>
      <c r="LT38" s="35"/>
      <c r="LU38" s="35"/>
      <c r="LV38" s="35"/>
      <c r="LW38" s="35"/>
      <c r="LX38" s="35"/>
      <c r="LY38" s="35"/>
      <c r="LZ38" s="36"/>
      <c r="MA38" s="35"/>
      <c r="MB38" s="35"/>
      <c r="MC38" s="35"/>
      <c r="MD38" s="35"/>
      <c r="ME38" s="35"/>
      <c r="MF38" s="35"/>
      <c r="MG38" s="35"/>
      <c r="MH38" s="85"/>
      <c r="MI38" s="27"/>
      <c r="MJ38" s="36"/>
      <c r="MK38" s="85"/>
      <c r="ML38" s="35"/>
      <c r="MM38" s="35"/>
      <c r="MN38" s="35"/>
      <c r="MO38" s="35"/>
      <c r="MP38" s="35"/>
      <c r="MQ38" s="35"/>
      <c r="MR38" s="36"/>
      <c r="MS38" s="35"/>
      <c r="MT38" s="35"/>
      <c r="MU38" s="35"/>
      <c r="MV38" s="35"/>
      <c r="MW38" s="35"/>
      <c r="MX38" s="35"/>
      <c r="MY38" s="35"/>
      <c r="MZ38" s="85"/>
      <c r="NA38" s="27"/>
      <c r="NB38" s="36"/>
      <c r="NC38" s="85"/>
      <c r="ND38" s="35"/>
      <c r="NE38" s="35"/>
      <c r="NF38" s="35"/>
      <c r="NG38" s="35"/>
      <c r="NH38" s="35"/>
      <c r="NI38" s="35"/>
      <c r="NJ38" s="36"/>
      <c r="NK38" s="35"/>
      <c r="NL38" s="35"/>
      <c r="NM38" s="35"/>
      <c r="NN38" s="35"/>
      <c r="NO38" s="35"/>
      <c r="NP38" s="35"/>
      <c r="NQ38" s="35"/>
      <c r="NR38" s="85"/>
      <c r="NS38" s="27"/>
      <c r="NT38" s="36"/>
      <c r="NU38" s="85"/>
      <c r="NV38" s="35"/>
      <c r="NW38" s="35"/>
      <c r="NX38" s="35"/>
      <c r="NY38" s="35"/>
      <c r="NZ38" s="35"/>
      <c r="OA38" s="35"/>
      <c r="OB38" s="36"/>
      <c r="OC38" s="35"/>
      <c r="OD38" s="35"/>
      <c r="OE38" s="35"/>
      <c r="OF38" s="35"/>
      <c r="OG38" s="35"/>
      <c r="OH38" s="35"/>
      <c r="OI38" s="35"/>
      <c r="OJ38" s="85"/>
      <c r="OK38" s="27"/>
      <c r="OL38" s="36"/>
      <c r="OM38" s="85"/>
      <c r="ON38" s="35"/>
      <c r="OO38" s="35"/>
      <c r="OP38" s="35"/>
      <c r="OQ38" s="35"/>
      <c r="OR38" s="35"/>
      <c r="OS38" s="35"/>
      <c r="OT38" s="36"/>
      <c r="OU38" s="35"/>
      <c r="OV38" s="35"/>
      <c r="OW38" s="35"/>
      <c r="OX38" s="35"/>
      <c r="OY38" s="35"/>
      <c r="OZ38" s="35"/>
      <c r="PA38" s="35"/>
      <c r="PB38" s="85"/>
      <c r="PC38" s="27"/>
      <c r="PD38" s="36"/>
      <c r="PE38" s="85"/>
      <c r="PF38" s="35"/>
      <c r="PG38" s="35"/>
      <c r="PH38" s="35"/>
      <c r="PI38" s="35"/>
      <c r="PJ38" s="35"/>
      <c r="PK38" s="35"/>
      <c r="PL38" s="36"/>
      <c r="PM38" s="35"/>
      <c r="PN38" s="35"/>
      <c r="PO38" s="35"/>
      <c r="PP38" s="35"/>
      <c r="PQ38" s="35"/>
      <c r="PR38" s="35"/>
      <c r="PS38" s="35"/>
      <c r="PT38" s="85"/>
      <c r="PU38" s="27"/>
      <c r="PV38" s="36"/>
      <c r="PW38" s="85"/>
      <c r="PX38" s="35"/>
      <c r="PY38" s="35"/>
      <c r="PZ38" s="35"/>
      <c r="QA38" s="35"/>
      <c r="QB38" s="35"/>
      <c r="QC38" s="35">
        <v>808031.97</v>
      </c>
      <c r="QD38" s="36"/>
      <c r="QE38" s="35"/>
      <c r="QF38" s="35"/>
      <c r="QG38" s="35"/>
      <c r="QH38" s="35"/>
      <c r="QI38" s="35"/>
      <c r="QJ38" s="35">
        <v>808031.97</v>
      </c>
      <c r="QK38" s="35"/>
      <c r="QL38" s="85"/>
      <c r="QM38" s="27"/>
      <c r="QN38" s="36"/>
      <c r="QO38" s="85"/>
    </row>
    <row r="39" spans="1:457" x14ac:dyDescent="0.25">
      <c r="A39" s="8" t="s">
        <v>73</v>
      </c>
      <c r="B39" s="172" t="s">
        <v>74</v>
      </c>
      <c r="C39" s="13" t="s">
        <v>274</v>
      </c>
      <c r="F39" s="36">
        <v>39907500</v>
      </c>
      <c r="G39" s="85"/>
      <c r="H39" s="35"/>
      <c r="I39" s="35"/>
      <c r="J39" s="35"/>
      <c r="K39" s="35"/>
      <c r="L39" s="35"/>
      <c r="M39" s="35"/>
      <c r="N39" s="36"/>
      <c r="O39" s="35"/>
      <c r="P39" s="35"/>
      <c r="Q39" s="35"/>
      <c r="R39" s="35"/>
      <c r="S39" s="35"/>
      <c r="T39" s="35"/>
      <c r="U39" s="35"/>
      <c r="V39" s="85"/>
      <c r="W39" s="27"/>
      <c r="X39" s="36"/>
      <c r="Y39" s="85"/>
      <c r="Z39" s="35"/>
      <c r="AA39" s="35"/>
      <c r="AB39" s="35"/>
      <c r="AC39" s="35"/>
      <c r="AD39" s="35"/>
      <c r="AE39" s="35"/>
      <c r="AF39" s="36"/>
      <c r="AG39" s="35"/>
      <c r="AH39" s="35"/>
      <c r="AI39" s="35"/>
      <c r="AJ39" s="35"/>
      <c r="AK39" s="35"/>
      <c r="AL39" s="35"/>
      <c r="AM39" s="35"/>
      <c r="AN39" s="85"/>
      <c r="AO39" s="27"/>
      <c r="AP39" s="36"/>
      <c r="AQ39" s="85"/>
      <c r="AR39" s="35"/>
      <c r="AS39" s="35">
        <v>135204000</v>
      </c>
      <c r="AT39" s="35">
        <v>1032900</v>
      </c>
      <c r="AU39" s="35">
        <v>134171100</v>
      </c>
      <c r="AV39" s="35">
        <v>1032899.08</v>
      </c>
      <c r="AW39" s="35"/>
      <c r="AX39" s="36"/>
      <c r="AY39" s="35">
        <v>135203999.08000001</v>
      </c>
      <c r="AZ39" s="35">
        <v>1032899.08</v>
      </c>
      <c r="BA39" s="35"/>
      <c r="BB39" s="35">
        <v>134171100</v>
      </c>
      <c r="BC39" s="35">
        <v>99.236040000000003</v>
      </c>
      <c r="BD39" s="35"/>
      <c r="BE39" s="35"/>
      <c r="BF39" s="85">
        <v>1032899.08</v>
      </c>
      <c r="BG39" s="27"/>
      <c r="BH39" s="36">
        <v>1032900</v>
      </c>
      <c r="BI39" s="85">
        <v>1032900</v>
      </c>
      <c r="BJ39" s="35"/>
      <c r="BK39" s="35"/>
      <c r="BL39" s="35"/>
      <c r="BM39" s="35"/>
      <c r="BN39" s="35"/>
      <c r="BO39" s="35"/>
      <c r="BP39" s="36"/>
      <c r="BQ39" s="35"/>
      <c r="BR39" s="35"/>
      <c r="BS39" s="35"/>
      <c r="BT39" s="35"/>
      <c r="BU39" s="35"/>
      <c r="BV39" s="35"/>
      <c r="BW39" s="35"/>
      <c r="BX39" s="85"/>
      <c r="BY39" s="27"/>
      <c r="BZ39" s="36"/>
      <c r="CA39" s="85"/>
      <c r="CB39" s="35"/>
      <c r="CC39" s="35"/>
      <c r="CD39" s="35"/>
      <c r="CE39" s="35"/>
      <c r="CF39" s="35"/>
      <c r="CG39" s="35"/>
      <c r="CH39" s="36"/>
      <c r="CI39" s="35"/>
      <c r="CJ39" s="35"/>
      <c r="CK39" s="35"/>
      <c r="CL39" s="35"/>
      <c r="CM39" s="35"/>
      <c r="CN39" s="35"/>
      <c r="CO39" s="35"/>
      <c r="CP39" s="85"/>
      <c r="CQ39" s="27"/>
      <c r="CR39" s="36"/>
      <c r="CS39" s="85"/>
      <c r="CT39" s="35"/>
      <c r="CU39" s="35">
        <v>53537600</v>
      </c>
      <c r="CV39" s="35">
        <v>38874600</v>
      </c>
      <c r="CW39" s="35">
        <v>14663000</v>
      </c>
      <c r="CX39" s="35">
        <v>38874600</v>
      </c>
      <c r="CY39" s="35"/>
      <c r="CZ39" s="36"/>
      <c r="DA39" s="35">
        <v>53537600</v>
      </c>
      <c r="DB39" s="35">
        <v>38874600</v>
      </c>
      <c r="DC39" s="35"/>
      <c r="DD39" s="35">
        <v>14663000</v>
      </c>
      <c r="DE39" s="35">
        <v>27.38823</v>
      </c>
      <c r="DF39" s="35"/>
      <c r="DG39" s="35"/>
      <c r="DH39" s="85">
        <v>38874600</v>
      </c>
      <c r="DI39" s="27"/>
      <c r="DJ39" s="36">
        <v>38874600</v>
      </c>
      <c r="DK39" s="85">
        <v>38874600</v>
      </c>
      <c r="DL39" s="35"/>
      <c r="DM39" s="35"/>
      <c r="DN39" s="35"/>
      <c r="DO39" s="35"/>
      <c r="DP39" s="35"/>
      <c r="DQ39" s="35"/>
      <c r="DR39" s="36"/>
      <c r="DS39" s="35"/>
      <c r="DT39" s="35"/>
      <c r="DU39" s="35"/>
      <c r="DV39" s="35"/>
      <c r="DW39" s="35"/>
      <c r="DX39" s="35"/>
      <c r="DY39" s="35"/>
      <c r="DZ39" s="85"/>
      <c r="EA39" s="27"/>
      <c r="EB39" s="36"/>
      <c r="EC39" s="85"/>
      <c r="ED39" s="35"/>
      <c r="EE39" s="35"/>
      <c r="EF39" s="35"/>
      <c r="EG39" s="35"/>
      <c r="EH39" s="35"/>
      <c r="EI39" s="35"/>
      <c r="EJ39" s="36"/>
      <c r="EK39" s="35"/>
      <c r="EL39" s="35"/>
      <c r="EM39" s="35"/>
      <c r="EN39" s="35"/>
      <c r="EO39" s="35"/>
      <c r="EP39" s="35"/>
      <c r="EQ39" s="35"/>
      <c r="ER39" s="85"/>
      <c r="ES39" s="27"/>
      <c r="ET39" s="36"/>
      <c r="EU39" s="85"/>
      <c r="EV39" s="35"/>
      <c r="EW39" s="35"/>
      <c r="EX39" s="35"/>
      <c r="EY39" s="35"/>
      <c r="EZ39" s="35"/>
      <c r="FA39" s="35"/>
      <c r="FB39" s="36"/>
      <c r="FC39" s="35"/>
      <c r="FD39" s="35"/>
      <c r="FE39" s="35"/>
      <c r="FF39" s="35"/>
      <c r="FG39" s="35"/>
      <c r="FH39" s="35"/>
      <c r="FI39" s="35"/>
      <c r="FJ39" s="85"/>
      <c r="FK39" s="27"/>
      <c r="FL39" s="36"/>
      <c r="FM39" s="85"/>
      <c r="FN39" s="35"/>
      <c r="FO39" s="35"/>
      <c r="FP39" s="35"/>
      <c r="FQ39" s="35"/>
      <c r="FR39" s="35"/>
      <c r="FS39" s="35"/>
      <c r="FT39" s="36"/>
      <c r="FU39" s="35"/>
      <c r="FV39" s="35"/>
      <c r="FW39" s="35"/>
      <c r="FX39" s="35"/>
      <c r="FY39" s="35"/>
      <c r="FZ39" s="35"/>
      <c r="GA39" s="35"/>
      <c r="GB39" s="85"/>
      <c r="GC39" s="27"/>
      <c r="GD39" s="36"/>
      <c r="GE39" s="85"/>
      <c r="GF39" s="35"/>
      <c r="GG39" s="35"/>
      <c r="GH39" s="35"/>
      <c r="GI39" s="35"/>
      <c r="GJ39" s="35"/>
      <c r="GK39" s="35"/>
      <c r="GL39" s="36"/>
      <c r="GM39" s="35"/>
      <c r="GN39" s="35"/>
      <c r="GO39" s="35"/>
      <c r="GP39" s="35"/>
      <c r="GQ39" s="35"/>
      <c r="GR39" s="35"/>
      <c r="GS39" s="35"/>
      <c r="GT39" s="85"/>
      <c r="GU39" s="27"/>
      <c r="GV39" s="36"/>
      <c r="GW39" s="85"/>
      <c r="GX39" s="35"/>
      <c r="GY39" s="35"/>
      <c r="GZ39" s="35"/>
      <c r="HA39" s="35"/>
      <c r="HB39" s="35"/>
      <c r="HC39" s="35"/>
      <c r="HD39" s="36"/>
      <c r="HE39" s="35"/>
      <c r="HF39" s="35"/>
      <c r="HG39" s="35"/>
      <c r="HH39" s="35"/>
      <c r="HI39" s="35"/>
      <c r="HJ39" s="35"/>
      <c r="HK39" s="35"/>
      <c r="HL39" s="85"/>
      <c r="HM39" s="27"/>
      <c r="HN39" s="36"/>
      <c r="HO39" s="85"/>
      <c r="HP39" s="35"/>
      <c r="HQ39" s="35"/>
      <c r="HR39" s="35"/>
      <c r="HS39" s="35"/>
      <c r="HT39" s="35"/>
      <c r="HU39" s="35"/>
      <c r="HV39" s="36"/>
      <c r="HW39" s="35"/>
      <c r="HX39" s="35"/>
      <c r="HY39" s="35"/>
      <c r="HZ39" s="35"/>
      <c r="IA39" s="35"/>
      <c r="IB39" s="35"/>
      <c r="IC39" s="35"/>
      <c r="ID39" s="85"/>
      <c r="IE39" s="27"/>
      <c r="IF39" s="36"/>
      <c r="IG39" s="85"/>
      <c r="IH39" s="35"/>
      <c r="II39" s="35"/>
      <c r="IJ39" s="35"/>
      <c r="IK39" s="35"/>
      <c r="IL39" s="35"/>
      <c r="IM39" s="35"/>
      <c r="IN39" s="36"/>
      <c r="IO39" s="35"/>
      <c r="IP39" s="35"/>
      <c r="IQ39" s="35"/>
      <c r="IR39" s="35"/>
      <c r="IS39" s="35"/>
      <c r="IT39" s="35"/>
      <c r="IU39" s="35"/>
      <c r="IV39" s="85"/>
      <c r="IW39" s="27"/>
      <c r="IX39" s="36"/>
      <c r="IY39" s="85"/>
      <c r="IZ39" s="35"/>
      <c r="JA39" s="35"/>
      <c r="JB39" s="35"/>
      <c r="JC39" s="35"/>
      <c r="JD39" s="35"/>
      <c r="JE39" s="35"/>
      <c r="JF39" s="36"/>
      <c r="JG39" s="35"/>
      <c r="JH39" s="35"/>
      <c r="JI39" s="35"/>
      <c r="JJ39" s="35"/>
      <c r="JK39" s="35"/>
      <c r="JL39" s="35"/>
      <c r="JM39" s="35"/>
      <c r="JN39" s="85"/>
      <c r="JO39" s="27"/>
      <c r="JP39" s="36"/>
      <c r="JQ39" s="85"/>
      <c r="JR39" s="35"/>
      <c r="JS39" s="35"/>
      <c r="JT39" s="35"/>
      <c r="JU39" s="35"/>
      <c r="JV39" s="35"/>
      <c r="JW39" s="35"/>
      <c r="JX39" s="36"/>
      <c r="JY39" s="35"/>
      <c r="JZ39" s="35"/>
      <c r="KA39" s="35"/>
      <c r="KB39" s="35"/>
      <c r="KC39" s="35"/>
      <c r="KD39" s="35"/>
      <c r="KE39" s="35"/>
      <c r="KF39" s="85"/>
      <c r="KG39" s="27"/>
      <c r="KH39" s="36"/>
      <c r="KI39" s="85"/>
      <c r="KJ39" s="35"/>
      <c r="KK39" s="35"/>
      <c r="KL39" s="35"/>
      <c r="KM39" s="35"/>
      <c r="KN39" s="35"/>
      <c r="KO39" s="35"/>
      <c r="KP39" s="36"/>
      <c r="KQ39" s="35"/>
      <c r="KR39" s="35"/>
      <c r="KS39" s="35"/>
      <c r="KT39" s="35"/>
      <c r="KU39" s="35"/>
      <c r="KV39" s="35"/>
      <c r="KW39" s="35"/>
      <c r="KX39" s="85"/>
      <c r="KY39" s="27"/>
      <c r="KZ39" s="36"/>
      <c r="LA39" s="85"/>
      <c r="LB39" s="35"/>
      <c r="LC39" s="35"/>
      <c r="LD39" s="35"/>
      <c r="LE39" s="35"/>
      <c r="LF39" s="35"/>
      <c r="LG39" s="35"/>
      <c r="LH39" s="36"/>
      <c r="LI39" s="35"/>
      <c r="LJ39" s="35"/>
      <c r="LK39" s="35"/>
      <c r="LL39" s="35"/>
      <c r="LM39" s="35"/>
      <c r="LN39" s="35"/>
      <c r="LO39" s="35"/>
      <c r="LP39" s="85"/>
      <c r="LQ39" s="27"/>
      <c r="LR39" s="36"/>
      <c r="LS39" s="85"/>
      <c r="LT39" s="35"/>
      <c r="LU39" s="35"/>
      <c r="LV39" s="35"/>
      <c r="LW39" s="35"/>
      <c r="LX39" s="35"/>
      <c r="LY39" s="35"/>
      <c r="LZ39" s="36"/>
      <c r="MA39" s="35"/>
      <c r="MB39" s="35"/>
      <c r="MC39" s="35"/>
      <c r="MD39" s="35"/>
      <c r="ME39" s="35"/>
      <c r="MF39" s="35"/>
      <c r="MG39" s="35"/>
      <c r="MH39" s="85"/>
      <c r="MI39" s="27"/>
      <c r="MJ39" s="36"/>
      <c r="MK39" s="85"/>
      <c r="ML39" s="35"/>
      <c r="MM39" s="35"/>
      <c r="MN39" s="35"/>
      <c r="MO39" s="35"/>
      <c r="MP39" s="35"/>
      <c r="MQ39" s="35"/>
      <c r="MR39" s="36"/>
      <c r="MS39" s="35"/>
      <c r="MT39" s="35"/>
      <c r="MU39" s="35"/>
      <c r="MV39" s="35"/>
      <c r="MW39" s="35"/>
      <c r="MX39" s="35"/>
      <c r="MY39" s="35"/>
      <c r="MZ39" s="85"/>
      <c r="NA39" s="27"/>
      <c r="NB39" s="36"/>
      <c r="NC39" s="85"/>
      <c r="ND39" s="35"/>
      <c r="NE39" s="35"/>
      <c r="NF39" s="35"/>
      <c r="NG39" s="35"/>
      <c r="NH39" s="35"/>
      <c r="NI39" s="35"/>
      <c r="NJ39" s="36"/>
      <c r="NK39" s="35"/>
      <c r="NL39" s="35"/>
      <c r="NM39" s="35"/>
      <c r="NN39" s="35"/>
      <c r="NO39" s="35"/>
      <c r="NP39" s="35"/>
      <c r="NQ39" s="35"/>
      <c r="NR39" s="85"/>
      <c r="NS39" s="27"/>
      <c r="NT39" s="36"/>
      <c r="NU39" s="85"/>
      <c r="NV39" s="35"/>
      <c r="NW39" s="35"/>
      <c r="NX39" s="35"/>
      <c r="NY39" s="35"/>
      <c r="NZ39" s="35"/>
      <c r="OA39" s="35"/>
      <c r="OB39" s="36"/>
      <c r="OC39" s="35"/>
      <c r="OD39" s="35"/>
      <c r="OE39" s="35"/>
      <c r="OF39" s="35"/>
      <c r="OG39" s="35"/>
      <c r="OH39" s="35"/>
      <c r="OI39" s="35"/>
      <c r="OJ39" s="85"/>
      <c r="OK39" s="27"/>
      <c r="OL39" s="36"/>
      <c r="OM39" s="85"/>
      <c r="ON39" s="35"/>
      <c r="OO39" s="35"/>
      <c r="OP39" s="35"/>
      <c r="OQ39" s="35"/>
      <c r="OR39" s="35"/>
      <c r="OS39" s="35"/>
      <c r="OT39" s="36"/>
      <c r="OU39" s="35"/>
      <c r="OV39" s="35"/>
      <c r="OW39" s="35"/>
      <c r="OX39" s="35"/>
      <c r="OY39" s="35"/>
      <c r="OZ39" s="35"/>
      <c r="PA39" s="35"/>
      <c r="PB39" s="85"/>
      <c r="PC39" s="27"/>
      <c r="PD39" s="36"/>
      <c r="PE39" s="85"/>
      <c r="PF39" s="35"/>
      <c r="PG39" s="35"/>
      <c r="PH39" s="35"/>
      <c r="PI39" s="35"/>
      <c r="PJ39" s="35"/>
      <c r="PK39" s="35"/>
      <c r="PL39" s="36"/>
      <c r="PM39" s="35"/>
      <c r="PN39" s="35"/>
      <c r="PO39" s="35"/>
      <c r="PP39" s="35"/>
      <c r="PQ39" s="35"/>
      <c r="PR39" s="35"/>
      <c r="PS39" s="35"/>
      <c r="PT39" s="85"/>
      <c r="PU39" s="27"/>
      <c r="PV39" s="36"/>
      <c r="PW39" s="85"/>
      <c r="PX39" s="35"/>
      <c r="PY39" s="35"/>
      <c r="PZ39" s="35"/>
      <c r="QA39" s="35"/>
      <c r="QB39" s="35"/>
      <c r="QC39" s="35"/>
      <c r="QD39" s="36"/>
      <c r="QE39" s="35"/>
      <c r="QF39" s="35"/>
      <c r="QG39" s="35"/>
      <c r="QH39" s="35"/>
      <c r="QI39" s="35"/>
      <c r="QJ39" s="35"/>
      <c r="QK39" s="35"/>
      <c r="QL39" s="85"/>
      <c r="QM39" s="27"/>
      <c r="QN39" s="36"/>
      <c r="QO39" s="85"/>
    </row>
    <row r="40" spans="1:457" x14ac:dyDescent="0.25">
      <c r="A40" s="8" t="s">
        <v>75</v>
      </c>
      <c r="B40" s="173" t="s">
        <v>76</v>
      </c>
      <c r="C40" s="13" t="s">
        <v>77</v>
      </c>
      <c r="F40" s="36">
        <v>812163900</v>
      </c>
      <c r="G40" s="85"/>
      <c r="H40" s="35"/>
      <c r="I40" s="35">
        <v>82418315.790000007</v>
      </c>
      <c r="J40" s="35">
        <v>78297400</v>
      </c>
      <c r="K40" s="35">
        <v>4120915.79</v>
      </c>
      <c r="L40" s="35">
        <v>76324447.290000007</v>
      </c>
      <c r="M40" s="35"/>
      <c r="N40" s="36"/>
      <c r="O40" s="35">
        <v>80341523.469999999</v>
      </c>
      <c r="P40" s="35">
        <v>76324447.290000007</v>
      </c>
      <c r="Q40" s="35"/>
      <c r="R40" s="35">
        <v>4017076.18</v>
      </c>
      <c r="S40" s="35">
        <v>5</v>
      </c>
      <c r="T40" s="35"/>
      <c r="U40" s="35"/>
      <c r="V40" s="85">
        <v>76324447.290000007</v>
      </c>
      <c r="W40" s="27"/>
      <c r="X40" s="36">
        <v>78297400</v>
      </c>
      <c r="Y40" s="85">
        <v>78297400</v>
      </c>
      <c r="Z40" s="35"/>
      <c r="AA40" s="35"/>
      <c r="AB40" s="35"/>
      <c r="AC40" s="35"/>
      <c r="AD40" s="35"/>
      <c r="AE40" s="35"/>
      <c r="AF40" s="36"/>
      <c r="AG40" s="35"/>
      <c r="AH40" s="35"/>
      <c r="AI40" s="35"/>
      <c r="AJ40" s="35"/>
      <c r="AK40" s="35"/>
      <c r="AL40" s="35"/>
      <c r="AM40" s="35"/>
      <c r="AN40" s="85"/>
      <c r="AO40" s="27"/>
      <c r="AP40" s="36"/>
      <c r="AQ40" s="85"/>
      <c r="AR40" s="35"/>
      <c r="AS40" s="35">
        <v>302529580</v>
      </c>
      <c r="AT40" s="35">
        <v>287403100</v>
      </c>
      <c r="AU40" s="35">
        <v>15126480</v>
      </c>
      <c r="AV40" s="35">
        <v>287403100</v>
      </c>
      <c r="AW40" s="35"/>
      <c r="AX40" s="36"/>
      <c r="AY40" s="35">
        <v>302529578.94</v>
      </c>
      <c r="AZ40" s="35">
        <v>287403100</v>
      </c>
      <c r="BA40" s="35"/>
      <c r="BB40" s="35">
        <v>15126478.939999999</v>
      </c>
      <c r="BC40" s="35">
        <v>5</v>
      </c>
      <c r="BD40" s="35"/>
      <c r="BE40" s="35"/>
      <c r="BF40" s="85">
        <v>287403100</v>
      </c>
      <c r="BG40" s="27"/>
      <c r="BH40" s="36">
        <v>287403100</v>
      </c>
      <c r="BI40" s="85">
        <v>287403100</v>
      </c>
      <c r="BJ40" s="35"/>
      <c r="BK40" s="35"/>
      <c r="BL40" s="35"/>
      <c r="BM40" s="35"/>
      <c r="BN40" s="35"/>
      <c r="BO40" s="35"/>
      <c r="BP40" s="36"/>
      <c r="BQ40" s="35"/>
      <c r="BR40" s="35"/>
      <c r="BS40" s="35"/>
      <c r="BT40" s="35"/>
      <c r="BU40" s="35"/>
      <c r="BV40" s="35"/>
      <c r="BW40" s="35"/>
      <c r="BX40" s="85"/>
      <c r="BY40" s="27"/>
      <c r="BZ40" s="36"/>
      <c r="CA40" s="85"/>
      <c r="CB40" s="35"/>
      <c r="CC40" s="35">
        <v>101482950</v>
      </c>
      <c r="CD40" s="35">
        <v>96408800</v>
      </c>
      <c r="CE40" s="35">
        <v>5074150</v>
      </c>
      <c r="CF40" s="35">
        <v>96408800</v>
      </c>
      <c r="CG40" s="35"/>
      <c r="CH40" s="36"/>
      <c r="CI40" s="35">
        <v>101482949.5</v>
      </c>
      <c r="CJ40" s="35">
        <v>96408800</v>
      </c>
      <c r="CK40" s="35"/>
      <c r="CL40" s="35">
        <v>5074149.5</v>
      </c>
      <c r="CM40" s="35">
        <v>5</v>
      </c>
      <c r="CN40" s="35"/>
      <c r="CO40" s="35"/>
      <c r="CP40" s="85">
        <v>96408800</v>
      </c>
      <c r="CQ40" s="27"/>
      <c r="CR40" s="36">
        <v>96408800</v>
      </c>
      <c r="CS40" s="85">
        <v>96408800</v>
      </c>
      <c r="CT40" s="35"/>
      <c r="CU40" s="35">
        <v>259943263.16</v>
      </c>
      <c r="CV40" s="35">
        <v>246946100</v>
      </c>
      <c r="CW40" s="35">
        <v>12997163.16</v>
      </c>
      <c r="CX40" s="35">
        <v>246939249.97</v>
      </c>
      <c r="CY40" s="35"/>
      <c r="CZ40" s="36"/>
      <c r="DA40" s="35">
        <v>259936052.63999999</v>
      </c>
      <c r="DB40" s="35">
        <v>246939249.97</v>
      </c>
      <c r="DC40" s="35"/>
      <c r="DD40" s="35">
        <v>12996802.67</v>
      </c>
      <c r="DE40" s="35">
        <v>5</v>
      </c>
      <c r="DF40" s="35"/>
      <c r="DG40" s="35"/>
      <c r="DH40" s="85">
        <v>246939249.97</v>
      </c>
      <c r="DI40" s="27"/>
      <c r="DJ40" s="36">
        <v>246946100</v>
      </c>
      <c r="DK40" s="85">
        <v>246946100</v>
      </c>
      <c r="DL40" s="35"/>
      <c r="DM40" s="35"/>
      <c r="DN40" s="35"/>
      <c r="DO40" s="35"/>
      <c r="DP40" s="35"/>
      <c r="DQ40" s="35"/>
      <c r="DR40" s="36"/>
      <c r="DS40" s="35"/>
      <c r="DT40" s="35"/>
      <c r="DU40" s="35"/>
      <c r="DV40" s="35"/>
      <c r="DW40" s="35"/>
      <c r="DX40" s="35"/>
      <c r="DY40" s="35"/>
      <c r="DZ40" s="85"/>
      <c r="EA40" s="27"/>
      <c r="EB40" s="36"/>
      <c r="EC40" s="85"/>
      <c r="ED40" s="35"/>
      <c r="EE40" s="35">
        <v>20592421.050000001</v>
      </c>
      <c r="EF40" s="35">
        <v>19562800</v>
      </c>
      <c r="EG40" s="35">
        <v>1029621.05</v>
      </c>
      <c r="EH40" s="35">
        <v>19562770.899999999</v>
      </c>
      <c r="EI40" s="35"/>
      <c r="EJ40" s="36"/>
      <c r="EK40" s="35">
        <v>20592390.420000002</v>
      </c>
      <c r="EL40" s="35">
        <v>19562770.899999999</v>
      </c>
      <c r="EM40" s="35"/>
      <c r="EN40" s="35">
        <v>1029619.52</v>
      </c>
      <c r="EO40" s="35">
        <v>5</v>
      </c>
      <c r="EP40" s="35"/>
      <c r="EQ40" s="35"/>
      <c r="ER40" s="85">
        <v>19562770.899999999</v>
      </c>
      <c r="ES40" s="27"/>
      <c r="ET40" s="36">
        <v>19562800</v>
      </c>
      <c r="EU40" s="85">
        <v>19562800</v>
      </c>
      <c r="EV40" s="35"/>
      <c r="EW40" s="35"/>
      <c r="EX40" s="35"/>
      <c r="EY40" s="35"/>
      <c r="EZ40" s="35"/>
      <c r="FA40" s="35"/>
      <c r="FB40" s="36"/>
      <c r="FC40" s="35"/>
      <c r="FD40" s="35"/>
      <c r="FE40" s="35"/>
      <c r="FF40" s="35"/>
      <c r="FG40" s="35"/>
      <c r="FH40" s="35"/>
      <c r="FI40" s="35"/>
      <c r="FJ40" s="85"/>
      <c r="FK40" s="27"/>
      <c r="FL40" s="36"/>
      <c r="FM40" s="85"/>
      <c r="FN40" s="35"/>
      <c r="FO40" s="35">
        <v>3276700</v>
      </c>
      <c r="FP40" s="35">
        <v>1276700</v>
      </c>
      <c r="FQ40" s="35">
        <v>2000000</v>
      </c>
      <c r="FR40" s="35">
        <v>1276700</v>
      </c>
      <c r="FS40" s="35"/>
      <c r="FT40" s="36"/>
      <c r="FU40" s="35">
        <v>3276700</v>
      </c>
      <c r="FV40" s="35">
        <v>1276700</v>
      </c>
      <c r="FW40" s="35"/>
      <c r="FX40" s="35">
        <v>2000000</v>
      </c>
      <c r="FY40" s="35">
        <v>61.037019999999998</v>
      </c>
      <c r="FZ40" s="35"/>
      <c r="GA40" s="35"/>
      <c r="GB40" s="85">
        <v>1276700</v>
      </c>
      <c r="GC40" s="27"/>
      <c r="GD40" s="36">
        <v>1276700</v>
      </c>
      <c r="GE40" s="85">
        <v>1276700</v>
      </c>
      <c r="GF40" s="35"/>
      <c r="GG40" s="35">
        <v>79533200</v>
      </c>
      <c r="GH40" s="35">
        <v>29533200</v>
      </c>
      <c r="GI40" s="35">
        <v>50000000</v>
      </c>
      <c r="GJ40" s="35">
        <v>29533182.210000001</v>
      </c>
      <c r="GK40" s="35">
        <v>282729.61</v>
      </c>
      <c r="GL40" s="36"/>
      <c r="GM40" s="35">
        <v>79164875.209999993</v>
      </c>
      <c r="GN40" s="35">
        <v>29396429.280000001</v>
      </c>
      <c r="GO40" s="35"/>
      <c r="GP40" s="35">
        <v>49768445.93</v>
      </c>
      <c r="GQ40" s="35">
        <v>62.86683</v>
      </c>
      <c r="GR40" s="35">
        <v>282729.61</v>
      </c>
      <c r="GS40" s="35">
        <v>136752.93</v>
      </c>
      <c r="GT40" s="85">
        <v>29396429.280000001</v>
      </c>
      <c r="GU40" s="27"/>
      <c r="GV40" s="36">
        <v>29533200</v>
      </c>
      <c r="GW40" s="85">
        <v>29533200</v>
      </c>
      <c r="GX40" s="35"/>
      <c r="GY40" s="35"/>
      <c r="GZ40" s="35"/>
      <c r="HA40" s="35"/>
      <c r="HB40" s="35"/>
      <c r="HC40" s="35">
        <v>205213.16</v>
      </c>
      <c r="HD40" s="36"/>
      <c r="HE40" s="35"/>
      <c r="HF40" s="35"/>
      <c r="HG40" s="35"/>
      <c r="HH40" s="35"/>
      <c r="HI40" s="35"/>
      <c r="HJ40" s="35">
        <v>205213.16</v>
      </c>
      <c r="HK40" s="35"/>
      <c r="HL40" s="85"/>
      <c r="HM40" s="27"/>
      <c r="HN40" s="36"/>
      <c r="HO40" s="85"/>
      <c r="HP40" s="35"/>
      <c r="HQ40" s="35">
        <v>65016000</v>
      </c>
      <c r="HR40" s="35">
        <v>38006000</v>
      </c>
      <c r="HS40" s="35">
        <v>27010000</v>
      </c>
      <c r="HT40" s="35">
        <v>35366540.659999996</v>
      </c>
      <c r="HU40" s="35"/>
      <c r="HV40" s="36"/>
      <c r="HW40" s="35">
        <v>61245294.350000001</v>
      </c>
      <c r="HX40" s="35">
        <v>35366540.659999996</v>
      </c>
      <c r="HY40" s="35"/>
      <c r="HZ40" s="35">
        <v>25878753.690000001</v>
      </c>
      <c r="IA40" s="35">
        <v>42.254269999999998</v>
      </c>
      <c r="IB40" s="35"/>
      <c r="IC40" s="35"/>
      <c r="ID40" s="85">
        <v>35366540.659999996</v>
      </c>
      <c r="IE40" s="27"/>
      <c r="IF40" s="36">
        <v>38006000</v>
      </c>
      <c r="IG40" s="85">
        <v>38006000</v>
      </c>
      <c r="IH40" s="35"/>
      <c r="II40" s="35"/>
      <c r="IJ40" s="35"/>
      <c r="IK40" s="35"/>
      <c r="IL40" s="35"/>
      <c r="IM40" s="35"/>
      <c r="IN40" s="36"/>
      <c r="IO40" s="35"/>
      <c r="IP40" s="35"/>
      <c r="IQ40" s="35"/>
      <c r="IR40" s="35"/>
      <c r="IS40" s="35"/>
      <c r="IT40" s="35"/>
      <c r="IU40" s="35"/>
      <c r="IV40" s="85"/>
      <c r="IW40" s="27"/>
      <c r="IX40" s="36"/>
      <c r="IY40" s="85"/>
      <c r="IZ40" s="35"/>
      <c r="JA40" s="35">
        <v>29185900</v>
      </c>
      <c r="JB40" s="35">
        <v>7717000</v>
      </c>
      <c r="JC40" s="35">
        <v>21468900</v>
      </c>
      <c r="JD40" s="35">
        <v>7717000</v>
      </c>
      <c r="JE40" s="35">
        <v>117992.92</v>
      </c>
      <c r="JF40" s="36"/>
      <c r="JG40" s="35">
        <v>29185899.859999999</v>
      </c>
      <c r="JH40" s="35">
        <v>7717000</v>
      </c>
      <c r="JI40" s="35"/>
      <c r="JJ40" s="35">
        <v>21468899.859999999</v>
      </c>
      <c r="JK40" s="35">
        <v>73.559150000000002</v>
      </c>
      <c r="JL40" s="35">
        <v>117992.92</v>
      </c>
      <c r="JM40" s="35"/>
      <c r="JN40" s="85">
        <v>7717000</v>
      </c>
      <c r="JO40" s="27"/>
      <c r="JP40" s="36">
        <v>7717000</v>
      </c>
      <c r="JQ40" s="85">
        <v>7717000</v>
      </c>
      <c r="JR40" s="35"/>
      <c r="JS40" s="35"/>
      <c r="JT40" s="35"/>
      <c r="JU40" s="35"/>
      <c r="JV40" s="35"/>
      <c r="JW40" s="35"/>
      <c r="JX40" s="36"/>
      <c r="JY40" s="35"/>
      <c r="JZ40" s="35"/>
      <c r="KA40" s="35"/>
      <c r="KB40" s="35"/>
      <c r="KC40" s="35"/>
      <c r="KD40" s="35"/>
      <c r="KE40" s="35"/>
      <c r="KF40" s="85"/>
      <c r="KG40" s="27"/>
      <c r="KH40" s="36"/>
      <c r="KI40" s="85"/>
      <c r="KJ40" s="35"/>
      <c r="KK40" s="35">
        <v>7795000</v>
      </c>
      <c r="KL40" s="35">
        <v>587000</v>
      </c>
      <c r="KM40" s="35">
        <v>7208000</v>
      </c>
      <c r="KN40" s="35">
        <v>580660.80000000005</v>
      </c>
      <c r="KO40" s="35"/>
      <c r="KP40" s="36"/>
      <c r="KQ40" s="35">
        <v>7710819.4400000004</v>
      </c>
      <c r="KR40" s="35">
        <v>580660.80000000005</v>
      </c>
      <c r="KS40" s="35"/>
      <c r="KT40" s="35">
        <v>7130158.6399999997</v>
      </c>
      <c r="KU40" s="35">
        <v>92.469530000000006</v>
      </c>
      <c r="KV40" s="35"/>
      <c r="KW40" s="35"/>
      <c r="KX40" s="85">
        <v>580660.80000000005</v>
      </c>
      <c r="KY40" s="27"/>
      <c r="KZ40" s="36">
        <v>587000</v>
      </c>
      <c r="LA40" s="85">
        <v>587000</v>
      </c>
      <c r="LB40" s="35"/>
      <c r="LC40" s="35"/>
      <c r="LD40" s="35"/>
      <c r="LE40" s="35"/>
      <c r="LF40" s="35"/>
      <c r="LG40" s="35"/>
      <c r="LH40" s="36"/>
      <c r="LI40" s="35"/>
      <c r="LJ40" s="35"/>
      <c r="LK40" s="35"/>
      <c r="LL40" s="35"/>
      <c r="LM40" s="35"/>
      <c r="LN40" s="35"/>
      <c r="LO40" s="35"/>
      <c r="LP40" s="85"/>
      <c r="LQ40" s="27"/>
      <c r="LR40" s="36"/>
      <c r="LS40" s="85"/>
      <c r="LT40" s="35"/>
      <c r="LU40" s="35">
        <v>9053000</v>
      </c>
      <c r="LV40" s="35">
        <v>2137000</v>
      </c>
      <c r="LW40" s="35">
        <v>6916000</v>
      </c>
      <c r="LX40" s="35">
        <v>2132712.11</v>
      </c>
      <c r="LY40" s="35"/>
      <c r="LZ40" s="36"/>
      <c r="MA40" s="35">
        <v>9034835</v>
      </c>
      <c r="MB40" s="35">
        <v>2132712.11</v>
      </c>
      <c r="MC40" s="35"/>
      <c r="MD40" s="35">
        <v>6902122.8899999997</v>
      </c>
      <c r="ME40" s="35">
        <v>76.394559999999998</v>
      </c>
      <c r="MF40" s="35"/>
      <c r="MG40" s="35"/>
      <c r="MH40" s="85">
        <v>2132712.11</v>
      </c>
      <c r="MI40" s="27"/>
      <c r="MJ40" s="36">
        <v>2137000</v>
      </c>
      <c r="MK40" s="85">
        <v>2137000</v>
      </c>
      <c r="ML40" s="35"/>
      <c r="MM40" s="35"/>
      <c r="MN40" s="35"/>
      <c r="MO40" s="35"/>
      <c r="MP40" s="35"/>
      <c r="MQ40" s="35"/>
      <c r="MR40" s="36"/>
      <c r="MS40" s="35"/>
      <c r="MT40" s="35"/>
      <c r="MU40" s="35"/>
      <c r="MV40" s="35"/>
      <c r="MW40" s="35"/>
      <c r="MX40" s="35"/>
      <c r="MY40" s="35"/>
      <c r="MZ40" s="85"/>
      <c r="NA40" s="27"/>
      <c r="NB40" s="36"/>
      <c r="NC40" s="85"/>
      <c r="ND40" s="35"/>
      <c r="NE40" s="35"/>
      <c r="NF40" s="35"/>
      <c r="NG40" s="35"/>
      <c r="NH40" s="35"/>
      <c r="NI40" s="35"/>
      <c r="NJ40" s="36"/>
      <c r="NK40" s="35"/>
      <c r="NL40" s="35"/>
      <c r="NM40" s="35"/>
      <c r="NN40" s="35"/>
      <c r="NO40" s="35"/>
      <c r="NP40" s="35"/>
      <c r="NQ40" s="35"/>
      <c r="NR40" s="85"/>
      <c r="NS40" s="27"/>
      <c r="NT40" s="36"/>
      <c r="NU40" s="85"/>
      <c r="NV40" s="35"/>
      <c r="NW40" s="35"/>
      <c r="NX40" s="35"/>
      <c r="NY40" s="35"/>
      <c r="NZ40" s="35"/>
      <c r="OA40" s="35"/>
      <c r="OB40" s="36"/>
      <c r="OC40" s="35"/>
      <c r="OD40" s="35"/>
      <c r="OE40" s="35"/>
      <c r="OF40" s="35"/>
      <c r="OG40" s="35"/>
      <c r="OH40" s="35"/>
      <c r="OI40" s="35"/>
      <c r="OJ40" s="85"/>
      <c r="OK40" s="27"/>
      <c r="OL40" s="36"/>
      <c r="OM40" s="85"/>
      <c r="ON40" s="35"/>
      <c r="OO40" s="35">
        <v>8329384</v>
      </c>
      <c r="OP40" s="35">
        <v>4288800</v>
      </c>
      <c r="OQ40" s="35">
        <v>4040584</v>
      </c>
      <c r="OR40" s="35">
        <v>4288649.74</v>
      </c>
      <c r="OS40" s="35"/>
      <c r="OT40" s="36"/>
      <c r="OU40" s="35">
        <v>8329092.21</v>
      </c>
      <c r="OV40" s="35">
        <v>4288649.74</v>
      </c>
      <c r="OW40" s="35"/>
      <c r="OX40" s="35">
        <v>4040442.47</v>
      </c>
      <c r="OY40" s="35">
        <v>48.51</v>
      </c>
      <c r="OZ40" s="35"/>
      <c r="PA40" s="35"/>
      <c r="PB40" s="85">
        <v>4288649.74</v>
      </c>
      <c r="PC40" s="27"/>
      <c r="PD40" s="36">
        <v>4288800</v>
      </c>
      <c r="PE40" s="85">
        <v>4288800</v>
      </c>
      <c r="PF40" s="35"/>
      <c r="PG40" s="35"/>
      <c r="PH40" s="35"/>
      <c r="PI40" s="35"/>
      <c r="PJ40" s="35"/>
      <c r="PK40" s="35"/>
      <c r="PL40" s="36"/>
      <c r="PM40" s="35"/>
      <c r="PN40" s="35"/>
      <c r="PO40" s="35"/>
      <c r="PP40" s="35"/>
      <c r="PQ40" s="35"/>
      <c r="PR40" s="35"/>
      <c r="PS40" s="35"/>
      <c r="PT40" s="85"/>
      <c r="PU40" s="27"/>
      <c r="PV40" s="36"/>
      <c r="PW40" s="85"/>
      <c r="PX40" s="35"/>
      <c r="PY40" s="35"/>
      <c r="PZ40" s="35"/>
      <c r="QA40" s="35"/>
      <c r="QB40" s="35"/>
      <c r="QC40" s="35">
        <v>1371625.51</v>
      </c>
      <c r="QD40" s="36"/>
      <c r="QE40" s="35"/>
      <c r="QF40" s="35"/>
      <c r="QG40" s="35"/>
      <c r="QH40" s="35"/>
      <c r="QI40" s="35"/>
      <c r="QJ40" s="35">
        <v>1371625.51</v>
      </c>
      <c r="QK40" s="35"/>
      <c r="QL40" s="85"/>
      <c r="QM40" s="27"/>
      <c r="QN40" s="36"/>
      <c r="QO40" s="85"/>
    </row>
    <row r="41" spans="1:457" x14ac:dyDescent="0.25">
      <c r="A41" s="8" t="s">
        <v>78</v>
      </c>
      <c r="B41" s="172" t="s">
        <v>79</v>
      </c>
      <c r="C41" s="13" t="s">
        <v>80</v>
      </c>
      <c r="F41" s="36">
        <v>2500442800</v>
      </c>
      <c r="G41" s="85"/>
      <c r="H41" s="35"/>
      <c r="I41" s="35">
        <v>1931997270</v>
      </c>
      <c r="J41" s="35">
        <v>1814106800</v>
      </c>
      <c r="K41" s="35">
        <v>117890470</v>
      </c>
      <c r="L41" s="35">
        <v>1803088462.99</v>
      </c>
      <c r="M41" s="35"/>
      <c r="N41" s="36"/>
      <c r="O41" s="35">
        <v>1920262885</v>
      </c>
      <c r="P41" s="35">
        <v>1803088462.99</v>
      </c>
      <c r="Q41" s="35"/>
      <c r="R41" s="35">
        <v>117174422.01000001</v>
      </c>
      <c r="S41" s="35">
        <v>6.1020000000000003</v>
      </c>
      <c r="T41" s="35"/>
      <c r="U41" s="35"/>
      <c r="V41" s="85">
        <v>1803088462.99</v>
      </c>
      <c r="W41" s="27"/>
      <c r="X41" s="36">
        <v>1814106800</v>
      </c>
      <c r="Y41" s="85">
        <v>1814106800</v>
      </c>
      <c r="Z41" s="35"/>
      <c r="AA41" s="35"/>
      <c r="AB41" s="35"/>
      <c r="AC41" s="35"/>
      <c r="AD41" s="35"/>
      <c r="AE41" s="35"/>
      <c r="AF41" s="36"/>
      <c r="AG41" s="35"/>
      <c r="AH41" s="35"/>
      <c r="AI41" s="35"/>
      <c r="AJ41" s="35"/>
      <c r="AK41" s="35"/>
      <c r="AL41" s="35"/>
      <c r="AM41" s="35"/>
      <c r="AN41" s="85"/>
      <c r="AO41" s="27"/>
      <c r="AP41" s="36"/>
      <c r="AQ41" s="85"/>
      <c r="AR41" s="35"/>
      <c r="AS41" s="35">
        <v>126541400</v>
      </c>
      <c r="AT41" s="35">
        <v>71541400</v>
      </c>
      <c r="AU41" s="35">
        <v>55000000</v>
      </c>
      <c r="AV41" s="35">
        <v>71512500.310000002</v>
      </c>
      <c r="AW41" s="35"/>
      <c r="AX41" s="36"/>
      <c r="AY41" s="35">
        <v>126490282</v>
      </c>
      <c r="AZ41" s="35">
        <v>71512500.310000002</v>
      </c>
      <c r="BA41" s="35"/>
      <c r="BB41" s="35">
        <v>54977781.689999998</v>
      </c>
      <c r="BC41" s="35">
        <v>43.464039999999997</v>
      </c>
      <c r="BD41" s="35"/>
      <c r="BE41" s="35"/>
      <c r="BF41" s="85">
        <v>71512500.310000002</v>
      </c>
      <c r="BG41" s="27"/>
      <c r="BH41" s="36">
        <v>71541400</v>
      </c>
      <c r="BI41" s="85">
        <v>71541400</v>
      </c>
      <c r="BJ41" s="35"/>
      <c r="BK41" s="35"/>
      <c r="BL41" s="35"/>
      <c r="BM41" s="35"/>
      <c r="BN41" s="35"/>
      <c r="BO41" s="35"/>
      <c r="BP41" s="36"/>
      <c r="BQ41" s="35"/>
      <c r="BR41" s="35"/>
      <c r="BS41" s="35"/>
      <c r="BT41" s="35"/>
      <c r="BU41" s="35"/>
      <c r="BV41" s="35"/>
      <c r="BW41" s="35"/>
      <c r="BX41" s="85"/>
      <c r="BY41" s="27"/>
      <c r="BZ41" s="36"/>
      <c r="CA41" s="85"/>
      <c r="CB41" s="35"/>
      <c r="CC41" s="35">
        <v>163806100</v>
      </c>
      <c r="CD41" s="35">
        <v>58806100</v>
      </c>
      <c r="CE41" s="35">
        <v>105000000</v>
      </c>
      <c r="CF41" s="35">
        <v>58806100</v>
      </c>
      <c r="CG41" s="35"/>
      <c r="CH41" s="36"/>
      <c r="CI41" s="35">
        <v>163806100</v>
      </c>
      <c r="CJ41" s="35">
        <v>58806100</v>
      </c>
      <c r="CK41" s="35"/>
      <c r="CL41" s="35">
        <v>105000000</v>
      </c>
      <c r="CM41" s="35">
        <v>64.100179999999995</v>
      </c>
      <c r="CN41" s="35"/>
      <c r="CO41" s="35"/>
      <c r="CP41" s="85">
        <v>58806100</v>
      </c>
      <c r="CQ41" s="27"/>
      <c r="CR41" s="36">
        <v>58806100</v>
      </c>
      <c r="CS41" s="85">
        <v>58806100</v>
      </c>
      <c r="CT41" s="35"/>
      <c r="CU41" s="35">
        <v>608507440</v>
      </c>
      <c r="CV41" s="35">
        <v>486745100</v>
      </c>
      <c r="CW41" s="35">
        <v>121762340</v>
      </c>
      <c r="CX41" s="35">
        <v>486394977.81999999</v>
      </c>
      <c r="CY41" s="35"/>
      <c r="CZ41" s="36"/>
      <c r="DA41" s="35">
        <v>608069731</v>
      </c>
      <c r="DB41" s="35">
        <v>486394977.81999999</v>
      </c>
      <c r="DC41" s="35"/>
      <c r="DD41" s="35">
        <v>121674753.18000001</v>
      </c>
      <c r="DE41" s="35">
        <v>20.010000000000002</v>
      </c>
      <c r="DF41" s="35"/>
      <c r="DG41" s="35"/>
      <c r="DH41" s="85">
        <v>486394977.81999999</v>
      </c>
      <c r="DI41" s="27"/>
      <c r="DJ41" s="36">
        <v>486745100</v>
      </c>
      <c r="DK41" s="85">
        <v>486745100</v>
      </c>
      <c r="DL41" s="35"/>
      <c r="DM41" s="35"/>
      <c r="DN41" s="35"/>
      <c r="DO41" s="35"/>
      <c r="DP41" s="35"/>
      <c r="DQ41" s="35"/>
      <c r="DR41" s="36"/>
      <c r="DS41" s="35"/>
      <c r="DT41" s="35"/>
      <c r="DU41" s="35"/>
      <c r="DV41" s="35"/>
      <c r="DW41" s="35"/>
      <c r="DX41" s="35"/>
      <c r="DY41" s="35"/>
      <c r="DZ41" s="85"/>
      <c r="EA41" s="27"/>
      <c r="EB41" s="36"/>
      <c r="EC41" s="85"/>
      <c r="ED41" s="35"/>
      <c r="EE41" s="35"/>
      <c r="EF41" s="35"/>
      <c r="EG41" s="35"/>
      <c r="EH41" s="35"/>
      <c r="EI41" s="35"/>
      <c r="EJ41" s="36"/>
      <c r="EK41" s="35"/>
      <c r="EL41" s="35"/>
      <c r="EM41" s="35"/>
      <c r="EN41" s="35"/>
      <c r="EO41" s="35"/>
      <c r="EP41" s="35"/>
      <c r="EQ41" s="35"/>
      <c r="ER41" s="85"/>
      <c r="ES41" s="27"/>
      <c r="ET41" s="36"/>
      <c r="EU41" s="85"/>
      <c r="EV41" s="35"/>
      <c r="EW41" s="35"/>
      <c r="EX41" s="35"/>
      <c r="EY41" s="35"/>
      <c r="EZ41" s="35"/>
      <c r="FA41" s="35"/>
      <c r="FB41" s="36"/>
      <c r="FC41" s="35"/>
      <c r="FD41" s="35"/>
      <c r="FE41" s="35"/>
      <c r="FF41" s="35"/>
      <c r="FG41" s="35"/>
      <c r="FH41" s="35"/>
      <c r="FI41" s="35"/>
      <c r="FJ41" s="85"/>
      <c r="FK41" s="27"/>
      <c r="FL41" s="36"/>
      <c r="FM41" s="85"/>
      <c r="FN41" s="35"/>
      <c r="FO41" s="35">
        <v>71400000</v>
      </c>
      <c r="FP41" s="35">
        <v>50400000</v>
      </c>
      <c r="FQ41" s="35">
        <v>21000000</v>
      </c>
      <c r="FR41" s="35">
        <v>50297939.090000004</v>
      </c>
      <c r="FS41" s="35"/>
      <c r="FT41" s="36"/>
      <c r="FU41" s="35">
        <v>71255413</v>
      </c>
      <c r="FV41" s="35">
        <v>50297939.090000004</v>
      </c>
      <c r="FW41" s="35"/>
      <c r="FX41" s="35">
        <v>20957473.91</v>
      </c>
      <c r="FY41" s="35">
        <v>29.411760000000001</v>
      </c>
      <c r="FZ41" s="35"/>
      <c r="GA41" s="35"/>
      <c r="GB41" s="85">
        <v>50297939.090000004</v>
      </c>
      <c r="GC41" s="27"/>
      <c r="GD41" s="36">
        <v>50400000</v>
      </c>
      <c r="GE41" s="85">
        <v>50400000</v>
      </c>
      <c r="GF41" s="35"/>
      <c r="GG41" s="35">
        <v>17617100</v>
      </c>
      <c r="GH41" s="35">
        <v>7617100</v>
      </c>
      <c r="GI41" s="35">
        <v>10000000</v>
      </c>
      <c r="GJ41" s="35">
        <v>7617100</v>
      </c>
      <c r="GK41" s="35"/>
      <c r="GL41" s="36"/>
      <c r="GM41" s="35">
        <v>17617100</v>
      </c>
      <c r="GN41" s="35">
        <v>7617100</v>
      </c>
      <c r="GO41" s="35"/>
      <c r="GP41" s="35">
        <v>10000000</v>
      </c>
      <c r="GQ41" s="35">
        <v>56.763030000000001</v>
      </c>
      <c r="GR41" s="35"/>
      <c r="GS41" s="35"/>
      <c r="GT41" s="85">
        <v>7617100</v>
      </c>
      <c r="GU41" s="27"/>
      <c r="GV41" s="36">
        <v>7617100</v>
      </c>
      <c r="GW41" s="85">
        <v>7617100</v>
      </c>
      <c r="GX41" s="35"/>
      <c r="GY41" s="35"/>
      <c r="GZ41" s="35"/>
      <c r="HA41" s="35"/>
      <c r="HB41" s="35"/>
      <c r="HC41" s="35"/>
      <c r="HD41" s="36"/>
      <c r="HE41" s="35"/>
      <c r="HF41" s="35"/>
      <c r="HG41" s="35"/>
      <c r="HH41" s="35"/>
      <c r="HI41" s="35"/>
      <c r="HJ41" s="35"/>
      <c r="HK41" s="35"/>
      <c r="HL41" s="85"/>
      <c r="HM41" s="27"/>
      <c r="HN41" s="36"/>
      <c r="HO41" s="85"/>
      <c r="HP41" s="35"/>
      <c r="HQ41" s="35"/>
      <c r="HR41" s="35"/>
      <c r="HS41" s="35"/>
      <c r="HT41" s="35"/>
      <c r="HU41" s="35"/>
      <c r="HV41" s="36"/>
      <c r="HW41" s="35"/>
      <c r="HX41" s="35"/>
      <c r="HY41" s="35"/>
      <c r="HZ41" s="35"/>
      <c r="IA41" s="35"/>
      <c r="IB41" s="35"/>
      <c r="IC41" s="35"/>
      <c r="ID41" s="85"/>
      <c r="IE41" s="27"/>
      <c r="IF41" s="36"/>
      <c r="IG41" s="85"/>
      <c r="IH41" s="35"/>
      <c r="II41" s="35"/>
      <c r="IJ41" s="35"/>
      <c r="IK41" s="35"/>
      <c r="IL41" s="35"/>
      <c r="IM41" s="35"/>
      <c r="IN41" s="36"/>
      <c r="IO41" s="35"/>
      <c r="IP41" s="35"/>
      <c r="IQ41" s="35"/>
      <c r="IR41" s="35"/>
      <c r="IS41" s="35"/>
      <c r="IT41" s="35"/>
      <c r="IU41" s="35"/>
      <c r="IV41" s="85"/>
      <c r="IW41" s="27"/>
      <c r="IX41" s="36"/>
      <c r="IY41" s="85"/>
      <c r="IZ41" s="35"/>
      <c r="JA41" s="35"/>
      <c r="JB41" s="35"/>
      <c r="JC41" s="35"/>
      <c r="JD41" s="35"/>
      <c r="JE41" s="35"/>
      <c r="JF41" s="36"/>
      <c r="JG41" s="35"/>
      <c r="JH41" s="35"/>
      <c r="JI41" s="35"/>
      <c r="JJ41" s="35"/>
      <c r="JK41" s="35"/>
      <c r="JL41" s="35"/>
      <c r="JM41" s="35"/>
      <c r="JN41" s="85"/>
      <c r="JO41" s="27"/>
      <c r="JP41" s="36"/>
      <c r="JQ41" s="85"/>
      <c r="JR41" s="35"/>
      <c r="JS41" s="35"/>
      <c r="JT41" s="35"/>
      <c r="JU41" s="35"/>
      <c r="JV41" s="35"/>
      <c r="JW41" s="35"/>
      <c r="JX41" s="36"/>
      <c r="JY41" s="35"/>
      <c r="JZ41" s="35"/>
      <c r="KA41" s="35"/>
      <c r="KB41" s="35"/>
      <c r="KC41" s="35"/>
      <c r="KD41" s="35"/>
      <c r="KE41" s="35"/>
      <c r="KF41" s="85"/>
      <c r="KG41" s="27"/>
      <c r="KH41" s="36"/>
      <c r="KI41" s="85"/>
      <c r="KJ41" s="35"/>
      <c r="KK41" s="35">
        <v>4514832.4000000004</v>
      </c>
      <c r="KL41" s="35">
        <v>1339000</v>
      </c>
      <c r="KM41" s="35">
        <v>3175832.4</v>
      </c>
      <c r="KN41" s="35">
        <v>1209480.3999999999</v>
      </c>
      <c r="KO41" s="35"/>
      <c r="KP41" s="36"/>
      <c r="KQ41" s="35">
        <v>4078118.94</v>
      </c>
      <c r="KR41" s="35">
        <v>1209480.3999999999</v>
      </c>
      <c r="KS41" s="35"/>
      <c r="KT41" s="35">
        <v>2868638.54</v>
      </c>
      <c r="KU41" s="35">
        <v>70.342200000000005</v>
      </c>
      <c r="KV41" s="35"/>
      <c r="KW41" s="35"/>
      <c r="KX41" s="85">
        <v>1209480.3999999999</v>
      </c>
      <c r="KY41" s="27"/>
      <c r="KZ41" s="36">
        <v>1339000</v>
      </c>
      <c r="LA41" s="85">
        <v>1339000</v>
      </c>
      <c r="LB41" s="35"/>
      <c r="LC41" s="35"/>
      <c r="LD41" s="35"/>
      <c r="LE41" s="35"/>
      <c r="LF41" s="35"/>
      <c r="LG41" s="35"/>
      <c r="LH41" s="36"/>
      <c r="LI41" s="35"/>
      <c r="LJ41" s="35"/>
      <c r="LK41" s="35"/>
      <c r="LL41" s="35"/>
      <c r="LM41" s="35"/>
      <c r="LN41" s="35"/>
      <c r="LO41" s="35"/>
      <c r="LP41" s="85"/>
      <c r="LQ41" s="27"/>
      <c r="LR41" s="36"/>
      <c r="LS41" s="85"/>
      <c r="LT41" s="35"/>
      <c r="LU41" s="35"/>
      <c r="LV41" s="35"/>
      <c r="LW41" s="35"/>
      <c r="LX41" s="35"/>
      <c r="LY41" s="35"/>
      <c r="LZ41" s="36"/>
      <c r="MA41" s="35"/>
      <c r="MB41" s="35"/>
      <c r="MC41" s="35"/>
      <c r="MD41" s="35"/>
      <c r="ME41" s="35"/>
      <c r="MF41" s="35"/>
      <c r="MG41" s="35"/>
      <c r="MH41" s="85"/>
      <c r="MI41" s="27"/>
      <c r="MJ41" s="36"/>
      <c r="MK41" s="85"/>
      <c r="ML41" s="35"/>
      <c r="MM41" s="35"/>
      <c r="MN41" s="35"/>
      <c r="MO41" s="35"/>
      <c r="MP41" s="35"/>
      <c r="MQ41" s="35"/>
      <c r="MR41" s="36"/>
      <c r="MS41" s="35"/>
      <c r="MT41" s="35"/>
      <c r="MU41" s="35"/>
      <c r="MV41" s="35"/>
      <c r="MW41" s="35"/>
      <c r="MX41" s="35"/>
      <c r="MY41" s="35"/>
      <c r="MZ41" s="85"/>
      <c r="NA41" s="27"/>
      <c r="NB41" s="36"/>
      <c r="NC41" s="85"/>
      <c r="ND41" s="35"/>
      <c r="NE41" s="35">
        <v>18012220</v>
      </c>
      <c r="NF41" s="35">
        <v>9887300</v>
      </c>
      <c r="NG41" s="35">
        <v>8124920</v>
      </c>
      <c r="NH41" s="35">
        <v>9887300</v>
      </c>
      <c r="NI41" s="35"/>
      <c r="NJ41" s="36"/>
      <c r="NK41" s="35">
        <v>15396341.48</v>
      </c>
      <c r="NL41" s="35">
        <v>8451387.4800000004</v>
      </c>
      <c r="NM41" s="35"/>
      <c r="NN41" s="35">
        <v>6944954</v>
      </c>
      <c r="NO41" s="35">
        <v>45.107819999999997</v>
      </c>
      <c r="NP41" s="35"/>
      <c r="NQ41" s="35">
        <v>1435912.52</v>
      </c>
      <c r="NR41" s="85">
        <v>8451387.4800000004</v>
      </c>
      <c r="NS41" s="27"/>
      <c r="NT41" s="36">
        <v>9887300</v>
      </c>
      <c r="NU41" s="85">
        <v>9887300</v>
      </c>
      <c r="NV41" s="35"/>
      <c r="NW41" s="35"/>
      <c r="NX41" s="35"/>
      <c r="NY41" s="35"/>
      <c r="NZ41" s="35"/>
      <c r="OA41" s="35"/>
      <c r="OB41" s="36"/>
      <c r="OC41" s="35"/>
      <c r="OD41" s="35"/>
      <c r="OE41" s="35"/>
      <c r="OF41" s="35"/>
      <c r="OG41" s="35"/>
      <c r="OH41" s="35"/>
      <c r="OI41" s="35"/>
      <c r="OJ41" s="85"/>
      <c r="OK41" s="27"/>
      <c r="OL41" s="36"/>
      <c r="OM41" s="85"/>
      <c r="ON41" s="35"/>
      <c r="OO41" s="35"/>
      <c r="OP41" s="35"/>
      <c r="OQ41" s="35"/>
      <c r="OR41" s="35"/>
      <c r="OS41" s="35"/>
      <c r="OT41" s="36"/>
      <c r="OU41" s="35"/>
      <c r="OV41" s="35"/>
      <c r="OW41" s="35"/>
      <c r="OX41" s="35"/>
      <c r="OY41" s="35"/>
      <c r="OZ41" s="35"/>
      <c r="PA41" s="35"/>
      <c r="PB41" s="85"/>
      <c r="PC41" s="27"/>
      <c r="PD41" s="36"/>
      <c r="PE41" s="85"/>
      <c r="PF41" s="35"/>
      <c r="PG41" s="35"/>
      <c r="PH41" s="35"/>
      <c r="PI41" s="35"/>
      <c r="PJ41" s="35"/>
      <c r="PK41" s="35"/>
      <c r="PL41" s="36"/>
      <c r="PM41" s="35"/>
      <c r="PN41" s="35"/>
      <c r="PO41" s="35"/>
      <c r="PP41" s="35"/>
      <c r="PQ41" s="35"/>
      <c r="PR41" s="35"/>
      <c r="PS41" s="35"/>
      <c r="PT41" s="85"/>
      <c r="PU41" s="27"/>
      <c r="PV41" s="36"/>
      <c r="PW41" s="85"/>
      <c r="PX41" s="35"/>
      <c r="PY41" s="35"/>
      <c r="PZ41" s="35"/>
      <c r="QA41" s="35"/>
      <c r="QB41" s="35"/>
      <c r="QC41" s="35">
        <v>847858</v>
      </c>
      <c r="QD41" s="36"/>
      <c r="QE41" s="35"/>
      <c r="QF41" s="35"/>
      <c r="QG41" s="35"/>
      <c r="QH41" s="35"/>
      <c r="QI41" s="35"/>
      <c r="QJ41" s="35">
        <v>847858</v>
      </c>
      <c r="QK41" s="35"/>
      <c r="QL41" s="85"/>
      <c r="QM41" s="27"/>
      <c r="QN41" s="36"/>
      <c r="QO41" s="85"/>
    </row>
    <row r="42" spans="1:457" x14ac:dyDescent="0.25">
      <c r="A42" s="8" t="s">
        <v>81</v>
      </c>
      <c r="B42" s="173" t="s">
        <v>82</v>
      </c>
      <c r="C42" s="13" t="s">
        <v>83</v>
      </c>
      <c r="F42" s="36">
        <v>1618685800</v>
      </c>
      <c r="G42" s="85"/>
      <c r="H42" s="35"/>
      <c r="I42" s="35">
        <v>768120800</v>
      </c>
      <c r="J42" s="35">
        <v>729714700</v>
      </c>
      <c r="K42" s="35">
        <v>38406100</v>
      </c>
      <c r="L42" s="35">
        <v>729714700</v>
      </c>
      <c r="M42" s="35"/>
      <c r="N42" s="36"/>
      <c r="O42" s="35">
        <v>768120744.98000002</v>
      </c>
      <c r="P42" s="35">
        <v>729714700</v>
      </c>
      <c r="Q42" s="35"/>
      <c r="R42" s="35">
        <v>38406044.979999997</v>
      </c>
      <c r="S42" s="35">
        <v>5</v>
      </c>
      <c r="T42" s="35"/>
      <c r="U42" s="35"/>
      <c r="V42" s="85">
        <v>729714700</v>
      </c>
      <c r="W42" s="27"/>
      <c r="X42" s="36">
        <v>729714700</v>
      </c>
      <c r="Y42" s="85">
        <v>729714700</v>
      </c>
      <c r="Z42" s="35"/>
      <c r="AA42" s="35"/>
      <c r="AB42" s="35"/>
      <c r="AC42" s="35"/>
      <c r="AD42" s="35"/>
      <c r="AE42" s="35"/>
      <c r="AF42" s="36"/>
      <c r="AG42" s="35"/>
      <c r="AH42" s="35"/>
      <c r="AI42" s="35"/>
      <c r="AJ42" s="35"/>
      <c r="AK42" s="35"/>
      <c r="AL42" s="35"/>
      <c r="AM42" s="35"/>
      <c r="AN42" s="85"/>
      <c r="AO42" s="27"/>
      <c r="AP42" s="36"/>
      <c r="AQ42" s="85"/>
      <c r="AR42" s="35"/>
      <c r="AS42" s="35">
        <v>234111100</v>
      </c>
      <c r="AT42" s="35">
        <v>210699100</v>
      </c>
      <c r="AU42" s="35">
        <v>23412000</v>
      </c>
      <c r="AV42" s="35">
        <v>210699100</v>
      </c>
      <c r="AW42" s="35"/>
      <c r="AX42" s="36"/>
      <c r="AY42" s="35">
        <v>234111100</v>
      </c>
      <c r="AZ42" s="35">
        <v>210699100</v>
      </c>
      <c r="BA42" s="35"/>
      <c r="BB42" s="35">
        <v>23412000</v>
      </c>
      <c r="BC42" s="35">
        <v>10.00038</v>
      </c>
      <c r="BD42" s="35"/>
      <c r="BE42" s="35"/>
      <c r="BF42" s="85">
        <v>210699100</v>
      </c>
      <c r="BG42" s="27"/>
      <c r="BH42" s="36">
        <v>210699100</v>
      </c>
      <c r="BI42" s="85">
        <v>210699100</v>
      </c>
      <c r="BJ42" s="35"/>
      <c r="BK42" s="35"/>
      <c r="BL42" s="35"/>
      <c r="BM42" s="35"/>
      <c r="BN42" s="35"/>
      <c r="BO42" s="35"/>
      <c r="BP42" s="36"/>
      <c r="BQ42" s="35"/>
      <c r="BR42" s="35"/>
      <c r="BS42" s="35"/>
      <c r="BT42" s="35"/>
      <c r="BU42" s="35"/>
      <c r="BV42" s="35"/>
      <c r="BW42" s="35"/>
      <c r="BX42" s="85"/>
      <c r="BY42" s="27"/>
      <c r="BZ42" s="36"/>
      <c r="CA42" s="85"/>
      <c r="CB42" s="35"/>
      <c r="CC42" s="35">
        <v>76493500</v>
      </c>
      <c r="CD42" s="35">
        <v>68843500</v>
      </c>
      <c r="CE42" s="35">
        <v>7650000</v>
      </c>
      <c r="CF42" s="35">
        <v>68843500</v>
      </c>
      <c r="CG42" s="35"/>
      <c r="CH42" s="36"/>
      <c r="CI42" s="35">
        <v>76492777.780000001</v>
      </c>
      <c r="CJ42" s="35">
        <v>68843500</v>
      </c>
      <c r="CK42" s="35"/>
      <c r="CL42" s="35">
        <v>7649277.7800000003</v>
      </c>
      <c r="CM42" s="35">
        <v>10</v>
      </c>
      <c r="CN42" s="35"/>
      <c r="CO42" s="35"/>
      <c r="CP42" s="85">
        <v>68843500</v>
      </c>
      <c r="CQ42" s="27"/>
      <c r="CR42" s="36">
        <v>68843500</v>
      </c>
      <c r="CS42" s="85">
        <v>68843500</v>
      </c>
      <c r="CT42" s="35"/>
      <c r="CU42" s="35">
        <v>487810000</v>
      </c>
      <c r="CV42" s="35">
        <v>439029000</v>
      </c>
      <c r="CW42" s="35">
        <v>48781000</v>
      </c>
      <c r="CX42" s="35">
        <v>439029000</v>
      </c>
      <c r="CY42" s="35"/>
      <c r="CZ42" s="36"/>
      <c r="DA42" s="35">
        <v>487810000</v>
      </c>
      <c r="DB42" s="35">
        <v>439029000</v>
      </c>
      <c r="DC42" s="35"/>
      <c r="DD42" s="35">
        <v>48781000</v>
      </c>
      <c r="DE42" s="35">
        <v>10</v>
      </c>
      <c r="DF42" s="35"/>
      <c r="DG42" s="35"/>
      <c r="DH42" s="85">
        <v>439029000</v>
      </c>
      <c r="DI42" s="27"/>
      <c r="DJ42" s="36">
        <v>439029000</v>
      </c>
      <c r="DK42" s="85">
        <v>439029000</v>
      </c>
      <c r="DL42" s="35"/>
      <c r="DM42" s="35"/>
      <c r="DN42" s="35"/>
      <c r="DO42" s="35"/>
      <c r="DP42" s="35"/>
      <c r="DQ42" s="35"/>
      <c r="DR42" s="36"/>
      <c r="DS42" s="35"/>
      <c r="DT42" s="35"/>
      <c r="DU42" s="35"/>
      <c r="DV42" s="35"/>
      <c r="DW42" s="35"/>
      <c r="DX42" s="35"/>
      <c r="DY42" s="35"/>
      <c r="DZ42" s="85"/>
      <c r="EA42" s="27"/>
      <c r="EB42" s="36"/>
      <c r="EC42" s="85"/>
      <c r="ED42" s="35"/>
      <c r="EE42" s="35">
        <v>60000000</v>
      </c>
      <c r="EF42" s="35">
        <v>30000000</v>
      </c>
      <c r="EG42" s="35">
        <v>30000000</v>
      </c>
      <c r="EH42" s="35">
        <v>30000000</v>
      </c>
      <c r="EI42" s="35"/>
      <c r="EJ42" s="36"/>
      <c r="EK42" s="35">
        <v>60000000</v>
      </c>
      <c r="EL42" s="35">
        <v>30000000</v>
      </c>
      <c r="EM42" s="35"/>
      <c r="EN42" s="35">
        <v>30000000</v>
      </c>
      <c r="EO42" s="35">
        <v>50</v>
      </c>
      <c r="EP42" s="35"/>
      <c r="EQ42" s="35"/>
      <c r="ER42" s="85">
        <v>30000000</v>
      </c>
      <c r="ES42" s="27"/>
      <c r="ET42" s="36">
        <v>30000000</v>
      </c>
      <c r="EU42" s="85">
        <v>30000000</v>
      </c>
      <c r="EV42" s="35"/>
      <c r="EW42" s="35">
        <v>32706210.530000001</v>
      </c>
      <c r="EX42" s="35">
        <v>31070900</v>
      </c>
      <c r="EY42" s="35">
        <v>1635310.53</v>
      </c>
      <c r="EZ42" s="35">
        <v>31070900</v>
      </c>
      <c r="FA42" s="35"/>
      <c r="FB42" s="36"/>
      <c r="FC42" s="35">
        <v>32706210.530000001</v>
      </c>
      <c r="FD42" s="35">
        <v>31070900</v>
      </c>
      <c r="FE42" s="35"/>
      <c r="FF42" s="35">
        <v>1635310.53</v>
      </c>
      <c r="FG42" s="35">
        <v>5</v>
      </c>
      <c r="FH42" s="35"/>
      <c r="FI42" s="35"/>
      <c r="FJ42" s="85">
        <v>31070900</v>
      </c>
      <c r="FK42" s="27"/>
      <c r="FL42" s="36">
        <v>31070900</v>
      </c>
      <c r="FM42" s="85">
        <v>31070900</v>
      </c>
      <c r="FN42" s="35"/>
      <c r="FO42" s="35">
        <v>30386360</v>
      </c>
      <c r="FP42" s="35">
        <v>27347700</v>
      </c>
      <c r="FQ42" s="35">
        <v>3038660</v>
      </c>
      <c r="FR42" s="35">
        <v>27347700</v>
      </c>
      <c r="FS42" s="35"/>
      <c r="FT42" s="36"/>
      <c r="FU42" s="35">
        <v>30386360</v>
      </c>
      <c r="FV42" s="35">
        <v>27347700</v>
      </c>
      <c r="FW42" s="35"/>
      <c r="FX42" s="35">
        <v>3038660</v>
      </c>
      <c r="FY42" s="35">
        <v>10.000080000000001</v>
      </c>
      <c r="FZ42" s="35"/>
      <c r="GA42" s="35"/>
      <c r="GB42" s="85">
        <v>27347700</v>
      </c>
      <c r="GC42" s="27"/>
      <c r="GD42" s="36">
        <v>27347700</v>
      </c>
      <c r="GE42" s="85">
        <v>27347700</v>
      </c>
      <c r="GF42" s="35"/>
      <c r="GG42" s="35">
        <v>177503100</v>
      </c>
      <c r="GH42" s="35">
        <v>25754300</v>
      </c>
      <c r="GI42" s="35">
        <v>151748800</v>
      </c>
      <c r="GJ42" s="35">
        <v>25754300</v>
      </c>
      <c r="GK42" s="35">
        <v>2500000</v>
      </c>
      <c r="GL42" s="36"/>
      <c r="GM42" s="35">
        <v>177503100</v>
      </c>
      <c r="GN42" s="35">
        <v>25754300</v>
      </c>
      <c r="GO42" s="35"/>
      <c r="GP42" s="35">
        <v>151748800</v>
      </c>
      <c r="GQ42" s="35">
        <v>85.490790000000004</v>
      </c>
      <c r="GR42" s="35">
        <v>2500000</v>
      </c>
      <c r="GS42" s="35">
        <v>0</v>
      </c>
      <c r="GT42" s="85">
        <v>25754300</v>
      </c>
      <c r="GU42" s="27"/>
      <c r="GV42" s="36">
        <v>25754300</v>
      </c>
      <c r="GW42" s="85">
        <v>25754300</v>
      </c>
      <c r="GX42" s="35"/>
      <c r="GY42" s="35"/>
      <c r="GZ42" s="35"/>
      <c r="HA42" s="35"/>
      <c r="HB42" s="35"/>
      <c r="HC42" s="35">
        <v>2708492.07</v>
      </c>
      <c r="HD42" s="36"/>
      <c r="HE42" s="35"/>
      <c r="HF42" s="35"/>
      <c r="HG42" s="35"/>
      <c r="HH42" s="35"/>
      <c r="HI42" s="35"/>
      <c r="HJ42" s="35">
        <v>2708492.07</v>
      </c>
      <c r="HK42" s="35">
        <v>0</v>
      </c>
      <c r="HL42" s="85"/>
      <c r="HM42" s="27"/>
      <c r="HN42" s="36"/>
      <c r="HO42" s="85"/>
      <c r="HP42" s="35"/>
      <c r="HQ42" s="35">
        <v>39650000</v>
      </c>
      <c r="HR42" s="35">
        <v>20731000</v>
      </c>
      <c r="HS42" s="35">
        <v>18919000</v>
      </c>
      <c r="HT42" s="35">
        <v>18350728.710000001</v>
      </c>
      <c r="HU42" s="35"/>
      <c r="HV42" s="36"/>
      <c r="HW42" s="35">
        <v>34409510.18</v>
      </c>
      <c r="HX42" s="35">
        <v>17924983.609999999</v>
      </c>
      <c r="HY42" s="35"/>
      <c r="HZ42" s="35">
        <v>16484526.57</v>
      </c>
      <c r="IA42" s="35">
        <v>47.906889999999997</v>
      </c>
      <c r="IB42" s="35"/>
      <c r="IC42" s="35">
        <v>425745.1</v>
      </c>
      <c r="ID42" s="85">
        <v>17924983.609999999</v>
      </c>
      <c r="IE42" s="27"/>
      <c r="IF42" s="36">
        <v>20731000</v>
      </c>
      <c r="IG42" s="85">
        <v>20731000</v>
      </c>
      <c r="IH42" s="35"/>
      <c r="II42" s="35"/>
      <c r="IJ42" s="35"/>
      <c r="IK42" s="35"/>
      <c r="IL42" s="35"/>
      <c r="IM42" s="35"/>
      <c r="IN42" s="36"/>
      <c r="IO42" s="35"/>
      <c r="IP42" s="35"/>
      <c r="IQ42" s="35"/>
      <c r="IR42" s="35"/>
      <c r="IS42" s="35"/>
      <c r="IT42" s="35"/>
      <c r="IU42" s="35"/>
      <c r="IV42" s="85"/>
      <c r="IW42" s="27"/>
      <c r="IX42" s="36"/>
      <c r="IY42" s="85"/>
      <c r="IZ42" s="35"/>
      <c r="JA42" s="35"/>
      <c r="JB42" s="35"/>
      <c r="JC42" s="35"/>
      <c r="JD42" s="35"/>
      <c r="JE42" s="35"/>
      <c r="JF42" s="36"/>
      <c r="JG42" s="35"/>
      <c r="JH42" s="35"/>
      <c r="JI42" s="35"/>
      <c r="JJ42" s="35"/>
      <c r="JK42" s="35"/>
      <c r="JL42" s="35"/>
      <c r="JM42" s="35"/>
      <c r="JN42" s="85"/>
      <c r="JO42" s="27"/>
      <c r="JP42" s="36"/>
      <c r="JQ42" s="85"/>
      <c r="JR42" s="35"/>
      <c r="JS42" s="35"/>
      <c r="JT42" s="35"/>
      <c r="JU42" s="35"/>
      <c r="JV42" s="35"/>
      <c r="JW42" s="35"/>
      <c r="JX42" s="36"/>
      <c r="JY42" s="35"/>
      <c r="JZ42" s="35"/>
      <c r="KA42" s="35"/>
      <c r="KB42" s="35"/>
      <c r="KC42" s="35"/>
      <c r="KD42" s="35"/>
      <c r="KE42" s="35"/>
      <c r="KF42" s="85"/>
      <c r="KG42" s="27"/>
      <c r="KH42" s="36"/>
      <c r="KI42" s="85"/>
      <c r="KJ42" s="35"/>
      <c r="KK42" s="35">
        <v>29676400</v>
      </c>
      <c r="KL42" s="35">
        <v>3470000</v>
      </c>
      <c r="KM42" s="35">
        <v>26206400</v>
      </c>
      <c r="KN42" s="35">
        <v>3451931.57</v>
      </c>
      <c r="KO42" s="35"/>
      <c r="KP42" s="36"/>
      <c r="KQ42" s="35">
        <v>29521873.609999999</v>
      </c>
      <c r="KR42" s="35">
        <v>3451931.57</v>
      </c>
      <c r="KS42" s="35"/>
      <c r="KT42" s="35">
        <v>26069942.039999999</v>
      </c>
      <c r="KU42" s="35">
        <v>88.307209999999998</v>
      </c>
      <c r="KV42" s="35"/>
      <c r="KW42" s="35">
        <v>0</v>
      </c>
      <c r="KX42" s="85">
        <v>3451931.57</v>
      </c>
      <c r="KY42" s="27"/>
      <c r="KZ42" s="36">
        <v>3470000</v>
      </c>
      <c r="LA42" s="85">
        <v>3470000</v>
      </c>
      <c r="LB42" s="35"/>
      <c r="LC42" s="35"/>
      <c r="LD42" s="35"/>
      <c r="LE42" s="35"/>
      <c r="LF42" s="35"/>
      <c r="LG42" s="35"/>
      <c r="LH42" s="36"/>
      <c r="LI42" s="35"/>
      <c r="LJ42" s="35"/>
      <c r="LK42" s="35"/>
      <c r="LL42" s="35"/>
      <c r="LM42" s="35"/>
      <c r="LN42" s="35"/>
      <c r="LO42" s="35"/>
      <c r="LP42" s="85"/>
      <c r="LQ42" s="27"/>
      <c r="LR42" s="36"/>
      <c r="LS42" s="85"/>
      <c r="LT42" s="35"/>
      <c r="LU42" s="35">
        <v>14155400</v>
      </c>
      <c r="LV42" s="35">
        <v>3155400</v>
      </c>
      <c r="LW42" s="35">
        <v>11000000</v>
      </c>
      <c r="LX42" s="35">
        <v>3155400</v>
      </c>
      <c r="LY42" s="35"/>
      <c r="LZ42" s="36"/>
      <c r="MA42" s="35">
        <v>14155400</v>
      </c>
      <c r="MB42" s="35">
        <v>3155400</v>
      </c>
      <c r="MC42" s="35"/>
      <c r="MD42" s="35">
        <v>11000000</v>
      </c>
      <c r="ME42" s="35">
        <v>77.708860000000001</v>
      </c>
      <c r="MF42" s="35"/>
      <c r="MG42" s="35"/>
      <c r="MH42" s="85">
        <v>3155400</v>
      </c>
      <c r="MI42" s="27"/>
      <c r="MJ42" s="36">
        <v>3155400</v>
      </c>
      <c r="MK42" s="85">
        <v>3155400</v>
      </c>
      <c r="ML42" s="35"/>
      <c r="MM42" s="35"/>
      <c r="MN42" s="35"/>
      <c r="MO42" s="35"/>
      <c r="MP42" s="35"/>
      <c r="MQ42" s="35"/>
      <c r="MR42" s="36"/>
      <c r="MS42" s="35"/>
      <c r="MT42" s="35"/>
      <c r="MU42" s="35"/>
      <c r="MV42" s="35"/>
      <c r="MW42" s="35"/>
      <c r="MX42" s="35"/>
      <c r="MY42" s="35"/>
      <c r="MZ42" s="85"/>
      <c r="NA42" s="27"/>
      <c r="NB42" s="36"/>
      <c r="NC42" s="85"/>
      <c r="ND42" s="35"/>
      <c r="NE42" s="35">
        <v>50298900</v>
      </c>
      <c r="NF42" s="35">
        <v>25298900</v>
      </c>
      <c r="NG42" s="35">
        <v>25000000</v>
      </c>
      <c r="NH42" s="35">
        <v>25298900</v>
      </c>
      <c r="NI42" s="35"/>
      <c r="NJ42" s="36"/>
      <c r="NK42" s="35">
        <v>50298900</v>
      </c>
      <c r="NL42" s="35">
        <v>25298900</v>
      </c>
      <c r="NM42" s="35"/>
      <c r="NN42" s="35">
        <v>25000000</v>
      </c>
      <c r="NO42" s="35">
        <v>49.70288</v>
      </c>
      <c r="NP42" s="35"/>
      <c r="NQ42" s="35"/>
      <c r="NR42" s="85">
        <v>25298900</v>
      </c>
      <c r="NS42" s="27"/>
      <c r="NT42" s="36">
        <v>25298900</v>
      </c>
      <c r="NU42" s="85">
        <v>25298900</v>
      </c>
      <c r="NV42" s="35"/>
      <c r="NW42" s="35"/>
      <c r="NX42" s="35"/>
      <c r="NY42" s="35"/>
      <c r="NZ42" s="35"/>
      <c r="OA42" s="35"/>
      <c r="OB42" s="36"/>
      <c r="OC42" s="35"/>
      <c r="OD42" s="35"/>
      <c r="OE42" s="35"/>
      <c r="OF42" s="35"/>
      <c r="OG42" s="35"/>
      <c r="OH42" s="35"/>
      <c r="OI42" s="35"/>
      <c r="OJ42" s="85"/>
      <c r="OK42" s="27"/>
      <c r="OL42" s="36"/>
      <c r="OM42" s="85"/>
      <c r="ON42" s="35"/>
      <c r="OO42" s="35">
        <v>5316800</v>
      </c>
      <c r="OP42" s="35">
        <v>3571300</v>
      </c>
      <c r="OQ42" s="35">
        <v>1745500</v>
      </c>
      <c r="OR42" s="35">
        <v>3571288.86</v>
      </c>
      <c r="OS42" s="35"/>
      <c r="OT42" s="36"/>
      <c r="OU42" s="35">
        <v>5316783.4400000004</v>
      </c>
      <c r="OV42" s="35">
        <v>3571288.86</v>
      </c>
      <c r="OW42" s="35"/>
      <c r="OX42" s="35">
        <v>1745494.58</v>
      </c>
      <c r="OY42" s="35">
        <v>32.829900000000002</v>
      </c>
      <c r="OZ42" s="35"/>
      <c r="PA42" s="35"/>
      <c r="PB42" s="85">
        <v>3571288.86</v>
      </c>
      <c r="PC42" s="27"/>
      <c r="PD42" s="36">
        <v>3571300</v>
      </c>
      <c r="PE42" s="85">
        <v>3571300</v>
      </c>
      <c r="PF42" s="35"/>
      <c r="PG42" s="35"/>
      <c r="PH42" s="35"/>
      <c r="PI42" s="35"/>
      <c r="PJ42" s="35"/>
      <c r="PK42" s="35"/>
      <c r="PL42" s="36"/>
      <c r="PM42" s="35"/>
      <c r="PN42" s="35"/>
      <c r="PO42" s="35"/>
      <c r="PP42" s="35"/>
      <c r="PQ42" s="35"/>
      <c r="PR42" s="35"/>
      <c r="PS42" s="35"/>
      <c r="PT42" s="85"/>
      <c r="PU42" s="27"/>
      <c r="PV42" s="36"/>
      <c r="PW42" s="85"/>
      <c r="PX42" s="35"/>
      <c r="PY42" s="35"/>
      <c r="PZ42" s="35"/>
      <c r="QA42" s="35"/>
      <c r="QB42" s="35"/>
      <c r="QC42" s="35">
        <v>24964</v>
      </c>
      <c r="QD42" s="36"/>
      <c r="QE42" s="35"/>
      <c r="QF42" s="35"/>
      <c r="QG42" s="35"/>
      <c r="QH42" s="35"/>
      <c r="QI42" s="35"/>
      <c r="QJ42" s="35">
        <v>24964</v>
      </c>
      <c r="QK42" s="35"/>
      <c r="QL42" s="85"/>
      <c r="QM42" s="27"/>
      <c r="QN42" s="36"/>
      <c r="QO42" s="85"/>
    </row>
    <row r="43" spans="1:457" x14ac:dyDescent="0.25">
      <c r="A43" s="8" t="s">
        <v>84</v>
      </c>
      <c r="B43" s="172" t="s">
        <v>85</v>
      </c>
      <c r="C43" s="13" t="s">
        <v>275</v>
      </c>
      <c r="F43" s="36">
        <v>70302600</v>
      </c>
      <c r="G43" s="85"/>
      <c r="H43" s="35"/>
      <c r="I43" s="35"/>
      <c r="J43" s="35"/>
      <c r="K43" s="35"/>
      <c r="L43" s="35"/>
      <c r="M43" s="35"/>
      <c r="N43" s="36"/>
      <c r="O43" s="35"/>
      <c r="P43" s="35"/>
      <c r="Q43" s="35"/>
      <c r="R43" s="35"/>
      <c r="S43" s="35"/>
      <c r="T43" s="35"/>
      <c r="U43" s="35"/>
      <c r="V43" s="85"/>
      <c r="W43" s="27"/>
      <c r="X43" s="36"/>
      <c r="Y43" s="85"/>
      <c r="Z43" s="35"/>
      <c r="AA43" s="35"/>
      <c r="AB43" s="35"/>
      <c r="AC43" s="35"/>
      <c r="AD43" s="35"/>
      <c r="AE43" s="35"/>
      <c r="AF43" s="36"/>
      <c r="AG43" s="35"/>
      <c r="AH43" s="35"/>
      <c r="AI43" s="35"/>
      <c r="AJ43" s="35"/>
      <c r="AK43" s="35"/>
      <c r="AL43" s="35"/>
      <c r="AM43" s="35"/>
      <c r="AN43" s="85"/>
      <c r="AO43" s="27"/>
      <c r="AP43" s="36"/>
      <c r="AQ43" s="85"/>
      <c r="AR43" s="35"/>
      <c r="AS43" s="35">
        <v>6285000</v>
      </c>
      <c r="AT43" s="35">
        <v>5655000</v>
      </c>
      <c r="AU43" s="35">
        <v>630000</v>
      </c>
      <c r="AV43" s="35">
        <v>5655000</v>
      </c>
      <c r="AW43" s="35"/>
      <c r="AX43" s="36"/>
      <c r="AY43" s="35">
        <v>6285000</v>
      </c>
      <c r="AZ43" s="35">
        <v>5655000</v>
      </c>
      <c r="BA43" s="35"/>
      <c r="BB43" s="35">
        <v>630000</v>
      </c>
      <c r="BC43" s="35">
        <v>10.023870000000001</v>
      </c>
      <c r="BD43" s="35"/>
      <c r="BE43" s="35"/>
      <c r="BF43" s="85">
        <v>5655000</v>
      </c>
      <c r="BG43" s="27"/>
      <c r="BH43" s="36">
        <v>5655000</v>
      </c>
      <c r="BI43" s="85">
        <v>5655000</v>
      </c>
      <c r="BJ43" s="35"/>
      <c r="BK43" s="35"/>
      <c r="BL43" s="35"/>
      <c r="BM43" s="35"/>
      <c r="BN43" s="35"/>
      <c r="BO43" s="35"/>
      <c r="BP43" s="36"/>
      <c r="BQ43" s="35"/>
      <c r="BR43" s="35"/>
      <c r="BS43" s="35"/>
      <c r="BT43" s="35"/>
      <c r="BU43" s="35"/>
      <c r="BV43" s="35"/>
      <c r="BW43" s="35"/>
      <c r="BX43" s="85"/>
      <c r="BY43" s="27"/>
      <c r="BZ43" s="36"/>
      <c r="CA43" s="85"/>
      <c r="CB43" s="35"/>
      <c r="CC43" s="35"/>
      <c r="CD43" s="35"/>
      <c r="CE43" s="35"/>
      <c r="CF43" s="35"/>
      <c r="CG43" s="35"/>
      <c r="CH43" s="36"/>
      <c r="CI43" s="35"/>
      <c r="CJ43" s="35"/>
      <c r="CK43" s="35"/>
      <c r="CL43" s="35"/>
      <c r="CM43" s="35"/>
      <c r="CN43" s="35"/>
      <c r="CO43" s="35"/>
      <c r="CP43" s="85"/>
      <c r="CQ43" s="27"/>
      <c r="CR43" s="36"/>
      <c r="CS43" s="85"/>
      <c r="CT43" s="35"/>
      <c r="CU43" s="35">
        <v>80628100</v>
      </c>
      <c r="CV43" s="35">
        <v>64647600</v>
      </c>
      <c r="CW43" s="35">
        <v>15980500</v>
      </c>
      <c r="CX43" s="35">
        <v>64647600</v>
      </c>
      <c r="CY43" s="35"/>
      <c r="CZ43" s="36"/>
      <c r="DA43" s="35">
        <v>80628100</v>
      </c>
      <c r="DB43" s="35">
        <v>64647600</v>
      </c>
      <c r="DC43" s="35"/>
      <c r="DD43" s="35">
        <v>15980500</v>
      </c>
      <c r="DE43" s="35">
        <v>19.82001</v>
      </c>
      <c r="DF43" s="35"/>
      <c r="DG43" s="35"/>
      <c r="DH43" s="85">
        <v>64647600</v>
      </c>
      <c r="DI43" s="27"/>
      <c r="DJ43" s="36">
        <v>64647600</v>
      </c>
      <c r="DK43" s="85">
        <v>64647600</v>
      </c>
      <c r="DL43" s="35"/>
      <c r="DM43" s="35"/>
      <c r="DN43" s="35"/>
      <c r="DO43" s="35"/>
      <c r="DP43" s="35"/>
      <c r="DQ43" s="35"/>
      <c r="DR43" s="36"/>
      <c r="DS43" s="35"/>
      <c r="DT43" s="35"/>
      <c r="DU43" s="35"/>
      <c r="DV43" s="35"/>
      <c r="DW43" s="35"/>
      <c r="DX43" s="35"/>
      <c r="DY43" s="35"/>
      <c r="DZ43" s="85"/>
      <c r="EA43" s="27"/>
      <c r="EB43" s="36"/>
      <c r="EC43" s="85"/>
      <c r="ED43" s="35"/>
      <c r="EE43" s="35"/>
      <c r="EF43" s="35"/>
      <c r="EG43" s="35"/>
      <c r="EH43" s="35"/>
      <c r="EI43" s="35"/>
      <c r="EJ43" s="36"/>
      <c r="EK43" s="35"/>
      <c r="EL43" s="35"/>
      <c r="EM43" s="35"/>
      <c r="EN43" s="35"/>
      <c r="EO43" s="35"/>
      <c r="EP43" s="35"/>
      <c r="EQ43" s="35"/>
      <c r="ER43" s="85"/>
      <c r="ES43" s="27"/>
      <c r="ET43" s="36"/>
      <c r="EU43" s="85"/>
      <c r="EV43" s="35"/>
      <c r="EW43" s="35"/>
      <c r="EX43" s="35"/>
      <c r="EY43" s="35"/>
      <c r="EZ43" s="35"/>
      <c r="FA43" s="35"/>
      <c r="FB43" s="36"/>
      <c r="FC43" s="35"/>
      <c r="FD43" s="35"/>
      <c r="FE43" s="35"/>
      <c r="FF43" s="35"/>
      <c r="FG43" s="35"/>
      <c r="FH43" s="35"/>
      <c r="FI43" s="35"/>
      <c r="FJ43" s="85"/>
      <c r="FK43" s="27"/>
      <c r="FL43" s="36"/>
      <c r="FM43" s="85"/>
      <c r="FN43" s="35"/>
      <c r="FO43" s="35"/>
      <c r="FP43" s="35"/>
      <c r="FQ43" s="35"/>
      <c r="FR43" s="35"/>
      <c r="FS43" s="35"/>
      <c r="FT43" s="36"/>
      <c r="FU43" s="35"/>
      <c r="FV43" s="35"/>
      <c r="FW43" s="35"/>
      <c r="FX43" s="35"/>
      <c r="FY43" s="35"/>
      <c r="FZ43" s="35"/>
      <c r="GA43" s="35"/>
      <c r="GB43" s="85"/>
      <c r="GC43" s="27"/>
      <c r="GD43" s="36"/>
      <c r="GE43" s="85"/>
      <c r="GF43" s="35"/>
      <c r="GG43" s="35"/>
      <c r="GH43" s="35"/>
      <c r="GI43" s="35"/>
      <c r="GJ43" s="35"/>
      <c r="GK43" s="35"/>
      <c r="GL43" s="36"/>
      <c r="GM43" s="35"/>
      <c r="GN43" s="35"/>
      <c r="GO43" s="35"/>
      <c r="GP43" s="35"/>
      <c r="GQ43" s="35"/>
      <c r="GR43" s="35"/>
      <c r="GS43" s="35"/>
      <c r="GT43" s="85"/>
      <c r="GU43" s="27"/>
      <c r="GV43" s="36"/>
      <c r="GW43" s="85"/>
      <c r="GX43" s="35"/>
      <c r="GY43" s="35"/>
      <c r="GZ43" s="35"/>
      <c r="HA43" s="35"/>
      <c r="HB43" s="35"/>
      <c r="HC43" s="35"/>
      <c r="HD43" s="36"/>
      <c r="HE43" s="35"/>
      <c r="HF43" s="35"/>
      <c r="HG43" s="35"/>
      <c r="HH43" s="35"/>
      <c r="HI43" s="35"/>
      <c r="HJ43" s="35"/>
      <c r="HK43" s="35"/>
      <c r="HL43" s="85"/>
      <c r="HM43" s="27"/>
      <c r="HN43" s="36"/>
      <c r="HO43" s="85"/>
      <c r="HP43" s="35"/>
      <c r="HQ43" s="35"/>
      <c r="HR43" s="35"/>
      <c r="HS43" s="35"/>
      <c r="HT43" s="35"/>
      <c r="HU43" s="35"/>
      <c r="HV43" s="36"/>
      <c r="HW43" s="35"/>
      <c r="HX43" s="35"/>
      <c r="HY43" s="35"/>
      <c r="HZ43" s="35"/>
      <c r="IA43" s="35"/>
      <c r="IB43" s="35"/>
      <c r="IC43" s="35"/>
      <c r="ID43" s="85"/>
      <c r="IE43" s="27"/>
      <c r="IF43" s="36"/>
      <c r="IG43" s="85"/>
      <c r="IH43" s="35"/>
      <c r="II43" s="35"/>
      <c r="IJ43" s="35"/>
      <c r="IK43" s="35"/>
      <c r="IL43" s="35"/>
      <c r="IM43" s="35"/>
      <c r="IN43" s="36"/>
      <c r="IO43" s="35"/>
      <c r="IP43" s="35"/>
      <c r="IQ43" s="35"/>
      <c r="IR43" s="35"/>
      <c r="IS43" s="35"/>
      <c r="IT43" s="35"/>
      <c r="IU43" s="35"/>
      <c r="IV43" s="85"/>
      <c r="IW43" s="27"/>
      <c r="IX43" s="36"/>
      <c r="IY43" s="85"/>
      <c r="IZ43" s="35"/>
      <c r="JA43" s="35"/>
      <c r="JB43" s="35"/>
      <c r="JC43" s="35"/>
      <c r="JD43" s="35"/>
      <c r="JE43" s="35"/>
      <c r="JF43" s="36"/>
      <c r="JG43" s="35"/>
      <c r="JH43" s="35"/>
      <c r="JI43" s="35"/>
      <c r="JJ43" s="35"/>
      <c r="JK43" s="35"/>
      <c r="JL43" s="35"/>
      <c r="JM43" s="35"/>
      <c r="JN43" s="85"/>
      <c r="JO43" s="27"/>
      <c r="JP43" s="36"/>
      <c r="JQ43" s="85"/>
      <c r="JR43" s="35"/>
      <c r="JS43" s="35"/>
      <c r="JT43" s="35"/>
      <c r="JU43" s="35"/>
      <c r="JV43" s="35"/>
      <c r="JW43" s="35"/>
      <c r="JX43" s="36"/>
      <c r="JY43" s="35"/>
      <c r="JZ43" s="35"/>
      <c r="KA43" s="35"/>
      <c r="KB43" s="35"/>
      <c r="KC43" s="35"/>
      <c r="KD43" s="35"/>
      <c r="KE43" s="35"/>
      <c r="KF43" s="85"/>
      <c r="KG43" s="27"/>
      <c r="KH43" s="36"/>
      <c r="KI43" s="85"/>
      <c r="KJ43" s="35"/>
      <c r="KK43" s="35"/>
      <c r="KL43" s="35"/>
      <c r="KM43" s="35"/>
      <c r="KN43" s="35"/>
      <c r="KO43" s="35"/>
      <c r="KP43" s="36"/>
      <c r="KQ43" s="35"/>
      <c r="KR43" s="35"/>
      <c r="KS43" s="35"/>
      <c r="KT43" s="35"/>
      <c r="KU43" s="35"/>
      <c r="KV43" s="35"/>
      <c r="KW43" s="35"/>
      <c r="KX43" s="85"/>
      <c r="KY43" s="27"/>
      <c r="KZ43" s="36"/>
      <c r="LA43" s="85"/>
      <c r="LB43" s="35"/>
      <c r="LC43" s="35"/>
      <c r="LD43" s="35"/>
      <c r="LE43" s="35"/>
      <c r="LF43" s="35"/>
      <c r="LG43" s="35"/>
      <c r="LH43" s="36"/>
      <c r="LI43" s="35"/>
      <c r="LJ43" s="35"/>
      <c r="LK43" s="35"/>
      <c r="LL43" s="35"/>
      <c r="LM43" s="35"/>
      <c r="LN43" s="35"/>
      <c r="LO43" s="35"/>
      <c r="LP43" s="85"/>
      <c r="LQ43" s="27"/>
      <c r="LR43" s="36"/>
      <c r="LS43" s="85"/>
      <c r="LT43" s="35"/>
      <c r="LU43" s="35"/>
      <c r="LV43" s="35"/>
      <c r="LW43" s="35"/>
      <c r="LX43" s="35"/>
      <c r="LY43" s="35"/>
      <c r="LZ43" s="36"/>
      <c r="MA43" s="35"/>
      <c r="MB43" s="35"/>
      <c r="MC43" s="35"/>
      <c r="MD43" s="35"/>
      <c r="ME43" s="35"/>
      <c r="MF43" s="35"/>
      <c r="MG43" s="35"/>
      <c r="MH43" s="85"/>
      <c r="MI43" s="27"/>
      <c r="MJ43" s="36"/>
      <c r="MK43" s="85"/>
      <c r="ML43" s="35"/>
      <c r="MM43" s="35"/>
      <c r="MN43" s="35"/>
      <c r="MO43" s="35"/>
      <c r="MP43" s="35"/>
      <c r="MQ43" s="35"/>
      <c r="MR43" s="36"/>
      <c r="MS43" s="35"/>
      <c r="MT43" s="35"/>
      <c r="MU43" s="35"/>
      <c r="MV43" s="35"/>
      <c r="MW43" s="35"/>
      <c r="MX43" s="35"/>
      <c r="MY43" s="35"/>
      <c r="MZ43" s="85"/>
      <c r="NA43" s="27"/>
      <c r="NB43" s="36"/>
      <c r="NC43" s="85"/>
      <c r="ND43" s="35"/>
      <c r="NE43" s="35"/>
      <c r="NF43" s="35"/>
      <c r="NG43" s="35"/>
      <c r="NH43" s="35"/>
      <c r="NI43" s="35"/>
      <c r="NJ43" s="36"/>
      <c r="NK43" s="35"/>
      <c r="NL43" s="35"/>
      <c r="NM43" s="35"/>
      <c r="NN43" s="35"/>
      <c r="NO43" s="35"/>
      <c r="NP43" s="35"/>
      <c r="NQ43" s="35"/>
      <c r="NR43" s="85"/>
      <c r="NS43" s="27"/>
      <c r="NT43" s="36"/>
      <c r="NU43" s="85"/>
      <c r="NV43" s="35"/>
      <c r="NW43" s="35"/>
      <c r="NX43" s="35"/>
      <c r="NY43" s="35"/>
      <c r="NZ43" s="35"/>
      <c r="OA43" s="35"/>
      <c r="OB43" s="36"/>
      <c r="OC43" s="35"/>
      <c r="OD43" s="35"/>
      <c r="OE43" s="35"/>
      <c r="OF43" s="35"/>
      <c r="OG43" s="35"/>
      <c r="OH43" s="35"/>
      <c r="OI43" s="35"/>
      <c r="OJ43" s="85"/>
      <c r="OK43" s="27"/>
      <c r="OL43" s="36"/>
      <c r="OM43" s="85"/>
      <c r="ON43" s="35"/>
      <c r="OO43" s="35"/>
      <c r="OP43" s="35"/>
      <c r="OQ43" s="35"/>
      <c r="OR43" s="35"/>
      <c r="OS43" s="35"/>
      <c r="OT43" s="36"/>
      <c r="OU43" s="35"/>
      <c r="OV43" s="35"/>
      <c r="OW43" s="35"/>
      <c r="OX43" s="35"/>
      <c r="OY43" s="35"/>
      <c r="OZ43" s="35"/>
      <c r="PA43" s="35"/>
      <c r="PB43" s="85"/>
      <c r="PC43" s="27"/>
      <c r="PD43" s="36"/>
      <c r="PE43" s="85"/>
      <c r="PF43" s="35"/>
      <c r="PG43" s="35"/>
      <c r="PH43" s="35"/>
      <c r="PI43" s="35"/>
      <c r="PJ43" s="35"/>
      <c r="PK43" s="35"/>
      <c r="PL43" s="36"/>
      <c r="PM43" s="35"/>
      <c r="PN43" s="35"/>
      <c r="PO43" s="35"/>
      <c r="PP43" s="35"/>
      <c r="PQ43" s="35"/>
      <c r="PR43" s="35"/>
      <c r="PS43" s="35"/>
      <c r="PT43" s="85"/>
      <c r="PU43" s="27"/>
      <c r="PV43" s="36"/>
      <c r="PW43" s="85"/>
      <c r="PX43" s="35"/>
      <c r="PY43" s="35"/>
      <c r="PZ43" s="35"/>
      <c r="QA43" s="35"/>
      <c r="QB43" s="35"/>
      <c r="QC43" s="35"/>
      <c r="QD43" s="36"/>
      <c r="QE43" s="35"/>
      <c r="QF43" s="35"/>
      <c r="QG43" s="35"/>
      <c r="QH43" s="35"/>
      <c r="QI43" s="35"/>
      <c r="QJ43" s="35"/>
      <c r="QK43" s="35"/>
      <c r="QL43" s="85"/>
      <c r="QM43" s="27"/>
      <c r="QN43" s="36"/>
      <c r="QO43" s="85"/>
    </row>
    <row r="44" spans="1:457" x14ac:dyDescent="0.25">
      <c r="A44" s="8" t="s">
        <v>86</v>
      </c>
      <c r="B44" s="173" t="s">
        <v>87</v>
      </c>
      <c r="C44" s="13" t="s">
        <v>88</v>
      </c>
      <c r="F44" s="36">
        <v>45669900</v>
      </c>
      <c r="G44" s="85"/>
      <c r="H44" s="35"/>
      <c r="I44" s="35"/>
      <c r="J44" s="35"/>
      <c r="K44" s="35"/>
      <c r="L44" s="35"/>
      <c r="M44" s="35"/>
      <c r="N44" s="36"/>
      <c r="O44" s="35"/>
      <c r="P44" s="35"/>
      <c r="Q44" s="35"/>
      <c r="R44" s="35"/>
      <c r="S44" s="35"/>
      <c r="T44" s="35"/>
      <c r="U44" s="35"/>
      <c r="V44" s="85"/>
      <c r="W44" s="27"/>
      <c r="X44" s="36"/>
      <c r="Y44" s="85"/>
      <c r="Z44" s="35"/>
      <c r="AA44" s="35"/>
      <c r="AB44" s="35"/>
      <c r="AC44" s="35"/>
      <c r="AD44" s="35"/>
      <c r="AE44" s="35"/>
      <c r="AF44" s="36"/>
      <c r="AG44" s="35"/>
      <c r="AH44" s="35"/>
      <c r="AI44" s="35"/>
      <c r="AJ44" s="35"/>
      <c r="AK44" s="35"/>
      <c r="AL44" s="35"/>
      <c r="AM44" s="35"/>
      <c r="AN44" s="85"/>
      <c r="AO44" s="27"/>
      <c r="AP44" s="36"/>
      <c r="AQ44" s="85"/>
      <c r="AR44" s="35"/>
      <c r="AS44" s="35">
        <v>27146870</v>
      </c>
      <c r="AT44" s="35">
        <v>8352200</v>
      </c>
      <c r="AU44" s="35">
        <v>18794670</v>
      </c>
      <c r="AV44" s="35">
        <v>6469642.4100000001</v>
      </c>
      <c r="AW44" s="35"/>
      <c r="AX44" s="36"/>
      <c r="AY44" s="35">
        <v>21028057.120000001</v>
      </c>
      <c r="AZ44" s="35">
        <v>6469642.4100000001</v>
      </c>
      <c r="BA44" s="35"/>
      <c r="BB44" s="35">
        <v>14558414.710000001</v>
      </c>
      <c r="BC44" s="35">
        <v>69.233279999999993</v>
      </c>
      <c r="BD44" s="35"/>
      <c r="BE44" s="35"/>
      <c r="BF44" s="85">
        <v>6469642.4100000001</v>
      </c>
      <c r="BG44" s="27"/>
      <c r="BH44" s="36">
        <v>8352200</v>
      </c>
      <c r="BI44" s="85">
        <v>8352200</v>
      </c>
      <c r="BJ44" s="35"/>
      <c r="BK44" s="35"/>
      <c r="BL44" s="35"/>
      <c r="BM44" s="35"/>
      <c r="BN44" s="35"/>
      <c r="BO44" s="35"/>
      <c r="BP44" s="36"/>
      <c r="BQ44" s="35"/>
      <c r="BR44" s="35"/>
      <c r="BS44" s="35"/>
      <c r="BT44" s="35"/>
      <c r="BU44" s="35"/>
      <c r="BV44" s="35"/>
      <c r="BW44" s="35"/>
      <c r="BX44" s="85"/>
      <c r="BY44" s="27"/>
      <c r="BZ44" s="36"/>
      <c r="CA44" s="85"/>
      <c r="CB44" s="35"/>
      <c r="CC44" s="35">
        <v>3754600</v>
      </c>
      <c r="CD44" s="35">
        <v>1254600</v>
      </c>
      <c r="CE44" s="35">
        <v>2500000</v>
      </c>
      <c r="CF44" s="35">
        <v>1254600</v>
      </c>
      <c r="CG44" s="35"/>
      <c r="CH44" s="36"/>
      <c r="CI44" s="35">
        <v>3754600</v>
      </c>
      <c r="CJ44" s="35">
        <v>1254600</v>
      </c>
      <c r="CK44" s="35"/>
      <c r="CL44" s="35">
        <v>2500000</v>
      </c>
      <c r="CM44" s="35">
        <v>66.584990000000005</v>
      </c>
      <c r="CN44" s="35"/>
      <c r="CO44" s="35"/>
      <c r="CP44" s="85">
        <v>1254600</v>
      </c>
      <c r="CQ44" s="27"/>
      <c r="CR44" s="36">
        <v>1254600</v>
      </c>
      <c r="CS44" s="85">
        <v>1254600</v>
      </c>
      <c r="CT44" s="35"/>
      <c r="CU44" s="35">
        <v>45940200</v>
      </c>
      <c r="CV44" s="35">
        <v>36027200</v>
      </c>
      <c r="CW44" s="35">
        <v>9913000</v>
      </c>
      <c r="CX44" s="35">
        <v>35717880.479999997</v>
      </c>
      <c r="CY44" s="35">
        <v>40868.44</v>
      </c>
      <c r="CZ44" s="36"/>
      <c r="DA44" s="35">
        <v>45545770.549999997</v>
      </c>
      <c r="DB44" s="35">
        <v>35717880.479999997</v>
      </c>
      <c r="DC44" s="35"/>
      <c r="DD44" s="35">
        <v>9827890.0700000003</v>
      </c>
      <c r="DE44" s="35">
        <v>21.578050000000001</v>
      </c>
      <c r="DF44" s="35">
        <v>40868.44</v>
      </c>
      <c r="DG44" s="35"/>
      <c r="DH44" s="85">
        <v>35717880.479999997</v>
      </c>
      <c r="DI44" s="27"/>
      <c r="DJ44" s="36">
        <v>36027200</v>
      </c>
      <c r="DK44" s="85">
        <v>36027200</v>
      </c>
      <c r="DL44" s="35"/>
      <c r="DM44" s="35"/>
      <c r="DN44" s="35"/>
      <c r="DO44" s="35"/>
      <c r="DP44" s="35"/>
      <c r="DQ44" s="35"/>
      <c r="DR44" s="36"/>
      <c r="DS44" s="35"/>
      <c r="DT44" s="35"/>
      <c r="DU44" s="35"/>
      <c r="DV44" s="35"/>
      <c r="DW44" s="35"/>
      <c r="DX44" s="35"/>
      <c r="DY44" s="35"/>
      <c r="DZ44" s="85"/>
      <c r="EA44" s="27"/>
      <c r="EB44" s="36"/>
      <c r="EC44" s="85"/>
      <c r="ED44" s="35"/>
      <c r="EE44" s="35"/>
      <c r="EF44" s="35"/>
      <c r="EG44" s="35"/>
      <c r="EH44" s="35"/>
      <c r="EI44" s="35"/>
      <c r="EJ44" s="36"/>
      <c r="EK44" s="35"/>
      <c r="EL44" s="35"/>
      <c r="EM44" s="35"/>
      <c r="EN44" s="35"/>
      <c r="EO44" s="35"/>
      <c r="EP44" s="35"/>
      <c r="EQ44" s="35"/>
      <c r="ER44" s="85"/>
      <c r="ES44" s="27"/>
      <c r="ET44" s="36"/>
      <c r="EU44" s="85"/>
      <c r="EV44" s="35"/>
      <c r="EW44" s="35"/>
      <c r="EX44" s="35"/>
      <c r="EY44" s="35"/>
      <c r="EZ44" s="35"/>
      <c r="FA44" s="35"/>
      <c r="FB44" s="36"/>
      <c r="FC44" s="35"/>
      <c r="FD44" s="35"/>
      <c r="FE44" s="35"/>
      <c r="FF44" s="35"/>
      <c r="FG44" s="35"/>
      <c r="FH44" s="35"/>
      <c r="FI44" s="35"/>
      <c r="FJ44" s="85"/>
      <c r="FK44" s="27"/>
      <c r="FL44" s="36"/>
      <c r="FM44" s="85"/>
      <c r="FN44" s="35"/>
      <c r="FO44" s="35"/>
      <c r="FP44" s="35"/>
      <c r="FQ44" s="35"/>
      <c r="FR44" s="35"/>
      <c r="FS44" s="35"/>
      <c r="FT44" s="36"/>
      <c r="FU44" s="35"/>
      <c r="FV44" s="35"/>
      <c r="FW44" s="35"/>
      <c r="FX44" s="35"/>
      <c r="FY44" s="35"/>
      <c r="FZ44" s="35"/>
      <c r="GA44" s="35"/>
      <c r="GB44" s="85"/>
      <c r="GC44" s="27"/>
      <c r="GD44" s="36"/>
      <c r="GE44" s="85"/>
      <c r="GF44" s="35"/>
      <c r="GG44" s="35">
        <v>2535900</v>
      </c>
      <c r="GH44" s="35">
        <v>35900</v>
      </c>
      <c r="GI44" s="35">
        <v>2500000</v>
      </c>
      <c r="GJ44" s="35">
        <v>35900</v>
      </c>
      <c r="GK44" s="35"/>
      <c r="GL44" s="36"/>
      <c r="GM44" s="35">
        <v>2535900</v>
      </c>
      <c r="GN44" s="35">
        <v>35900</v>
      </c>
      <c r="GO44" s="35"/>
      <c r="GP44" s="35">
        <v>2500000</v>
      </c>
      <c r="GQ44" s="35">
        <v>98.584329999999994</v>
      </c>
      <c r="GR44" s="35"/>
      <c r="GS44" s="35"/>
      <c r="GT44" s="85">
        <v>35900</v>
      </c>
      <c r="GU44" s="27"/>
      <c r="GV44" s="36">
        <v>35900</v>
      </c>
      <c r="GW44" s="85">
        <v>35900</v>
      </c>
      <c r="GX44" s="35"/>
      <c r="GY44" s="35"/>
      <c r="GZ44" s="35"/>
      <c r="HA44" s="35"/>
      <c r="HB44" s="35"/>
      <c r="HC44" s="35"/>
      <c r="HD44" s="36"/>
      <c r="HE44" s="35"/>
      <c r="HF44" s="35"/>
      <c r="HG44" s="35"/>
      <c r="HH44" s="35"/>
      <c r="HI44" s="35"/>
      <c r="HJ44" s="35"/>
      <c r="HK44" s="35"/>
      <c r="HL44" s="85"/>
      <c r="HM44" s="27"/>
      <c r="HN44" s="36"/>
      <c r="HO44" s="85"/>
      <c r="HP44" s="35"/>
      <c r="HQ44" s="35"/>
      <c r="HR44" s="35"/>
      <c r="HS44" s="35"/>
      <c r="HT44" s="35"/>
      <c r="HU44" s="35"/>
      <c r="HV44" s="36"/>
      <c r="HW44" s="35"/>
      <c r="HX44" s="35"/>
      <c r="HY44" s="35"/>
      <c r="HZ44" s="35"/>
      <c r="IA44" s="35"/>
      <c r="IB44" s="35"/>
      <c r="IC44" s="35"/>
      <c r="ID44" s="85"/>
      <c r="IE44" s="27"/>
      <c r="IF44" s="36"/>
      <c r="IG44" s="85"/>
      <c r="IH44" s="35"/>
      <c r="II44" s="35"/>
      <c r="IJ44" s="35"/>
      <c r="IK44" s="35"/>
      <c r="IL44" s="35"/>
      <c r="IM44" s="35"/>
      <c r="IN44" s="36"/>
      <c r="IO44" s="35"/>
      <c r="IP44" s="35"/>
      <c r="IQ44" s="35"/>
      <c r="IR44" s="35"/>
      <c r="IS44" s="35"/>
      <c r="IT44" s="35"/>
      <c r="IU44" s="35"/>
      <c r="IV44" s="85"/>
      <c r="IW44" s="27"/>
      <c r="IX44" s="36"/>
      <c r="IY44" s="85"/>
      <c r="IZ44" s="35"/>
      <c r="JA44" s="35"/>
      <c r="JB44" s="35"/>
      <c r="JC44" s="35"/>
      <c r="JD44" s="35"/>
      <c r="JE44" s="35"/>
      <c r="JF44" s="36"/>
      <c r="JG44" s="35"/>
      <c r="JH44" s="35"/>
      <c r="JI44" s="35"/>
      <c r="JJ44" s="35"/>
      <c r="JK44" s="35"/>
      <c r="JL44" s="35"/>
      <c r="JM44" s="35"/>
      <c r="JN44" s="85"/>
      <c r="JO44" s="27"/>
      <c r="JP44" s="36"/>
      <c r="JQ44" s="85"/>
      <c r="JR44" s="35"/>
      <c r="JS44" s="35"/>
      <c r="JT44" s="35"/>
      <c r="JU44" s="35"/>
      <c r="JV44" s="35"/>
      <c r="JW44" s="35"/>
      <c r="JX44" s="36"/>
      <c r="JY44" s="35"/>
      <c r="JZ44" s="35"/>
      <c r="KA44" s="35"/>
      <c r="KB44" s="35"/>
      <c r="KC44" s="35"/>
      <c r="KD44" s="35"/>
      <c r="KE44" s="35"/>
      <c r="KF44" s="85"/>
      <c r="KG44" s="27"/>
      <c r="KH44" s="36"/>
      <c r="KI44" s="85"/>
      <c r="KJ44" s="35"/>
      <c r="KK44" s="35"/>
      <c r="KL44" s="35"/>
      <c r="KM44" s="35"/>
      <c r="KN44" s="35"/>
      <c r="KO44" s="35"/>
      <c r="KP44" s="36"/>
      <c r="KQ44" s="35"/>
      <c r="KR44" s="35"/>
      <c r="KS44" s="35"/>
      <c r="KT44" s="35"/>
      <c r="KU44" s="35"/>
      <c r="KV44" s="35"/>
      <c r="KW44" s="35"/>
      <c r="KX44" s="85"/>
      <c r="KY44" s="27"/>
      <c r="KZ44" s="36"/>
      <c r="LA44" s="85"/>
      <c r="LB44" s="35"/>
      <c r="LC44" s="35"/>
      <c r="LD44" s="35"/>
      <c r="LE44" s="35"/>
      <c r="LF44" s="35"/>
      <c r="LG44" s="35"/>
      <c r="LH44" s="36"/>
      <c r="LI44" s="35"/>
      <c r="LJ44" s="35"/>
      <c r="LK44" s="35"/>
      <c r="LL44" s="35"/>
      <c r="LM44" s="35"/>
      <c r="LN44" s="35"/>
      <c r="LO44" s="35"/>
      <c r="LP44" s="85"/>
      <c r="LQ44" s="27"/>
      <c r="LR44" s="36"/>
      <c r="LS44" s="85"/>
      <c r="LT44" s="35"/>
      <c r="LU44" s="35"/>
      <c r="LV44" s="35"/>
      <c r="LW44" s="35"/>
      <c r="LX44" s="35"/>
      <c r="LY44" s="35"/>
      <c r="LZ44" s="36"/>
      <c r="MA44" s="35"/>
      <c r="MB44" s="35"/>
      <c r="MC44" s="35"/>
      <c r="MD44" s="35"/>
      <c r="ME44" s="35"/>
      <c r="MF44" s="35"/>
      <c r="MG44" s="35"/>
      <c r="MH44" s="85"/>
      <c r="MI44" s="27"/>
      <c r="MJ44" s="36"/>
      <c r="MK44" s="85"/>
      <c r="ML44" s="35"/>
      <c r="MM44" s="35"/>
      <c r="MN44" s="35"/>
      <c r="MO44" s="35"/>
      <c r="MP44" s="35"/>
      <c r="MQ44" s="35"/>
      <c r="MR44" s="36"/>
      <c r="MS44" s="35"/>
      <c r="MT44" s="35"/>
      <c r="MU44" s="35"/>
      <c r="MV44" s="35"/>
      <c r="MW44" s="35"/>
      <c r="MX44" s="35"/>
      <c r="MY44" s="35"/>
      <c r="MZ44" s="85"/>
      <c r="NA44" s="27"/>
      <c r="NB44" s="36"/>
      <c r="NC44" s="85"/>
      <c r="ND44" s="35"/>
      <c r="NE44" s="35"/>
      <c r="NF44" s="35"/>
      <c r="NG44" s="35"/>
      <c r="NH44" s="35"/>
      <c r="NI44" s="35"/>
      <c r="NJ44" s="36"/>
      <c r="NK44" s="35"/>
      <c r="NL44" s="35"/>
      <c r="NM44" s="35"/>
      <c r="NN44" s="35"/>
      <c r="NO44" s="35"/>
      <c r="NP44" s="35"/>
      <c r="NQ44" s="35"/>
      <c r="NR44" s="85"/>
      <c r="NS44" s="27"/>
      <c r="NT44" s="36"/>
      <c r="NU44" s="85"/>
      <c r="NV44" s="35"/>
      <c r="NW44" s="35"/>
      <c r="NX44" s="35"/>
      <c r="NY44" s="35"/>
      <c r="NZ44" s="35"/>
      <c r="OA44" s="35"/>
      <c r="OB44" s="36"/>
      <c r="OC44" s="35"/>
      <c r="OD44" s="35"/>
      <c r="OE44" s="35"/>
      <c r="OF44" s="35"/>
      <c r="OG44" s="35"/>
      <c r="OH44" s="35"/>
      <c r="OI44" s="35"/>
      <c r="OJ44" s="85"/>
      <c r="OK44" s="27"/>
      <c r="OL44" s="36"/>
      <c r="OM44" s="85"/>
      <c r="ON44" s="35"/>
      <c r="OO44" s="35"/>
      <c r="OP44" s="35"/>
      <c r="OQ44" s="35"/>
      <c r="OR44" s="35"/>
      <c r="OS44" s="35"/>
      <c r="OT44" s="36"/>
      <c r="OU44" s="35"/>
      <c r="OV44" s="35"/>
      <c r="OW44" s="35"/>
      <c r="OX44" s="35"/>
      <c r="OY44" s="35"/>
      <c r="OZ44" s="35"/>
      <c r="PA44" s="35"/>
      <c r="PB44" s="85"/>
      <c r="PC44" s="27"/>
      <c r="PD44" s="36"/>
      <c r="PE44" s="85"/>
      <c r="PF44" s="35"/>
      <c r="PG44" s="35"/>
      <c r="PH44" s="35"/>
      <c r="PI44" s="35"/>
      <c r="PJ44" s="35"/>
      <c r="PK44" s="35"/>
      <c r="PL44" s="36"/>
      <c r="PM44" s="35"/>
      <c r="PN44" s="35"/>
      <c r="PO44" s="35"/>
      <c r="PP44" s="35"/>
      <c r="PQ44" s="35"/>
      <c r="PR44" s="35"/>
      <c r="PS44" s="35"/>
      <c r="PT44" s="85"/>
      <c r="PU44" s="27"/>
      <c r="PV44" s="36"/>
      <c r="PW44" s="85"/>
      <c r="PX44" s="35"/>
      <c r="PY44" s="35"/>
      <c r="PZ44" s="35"/>
      <c r="QA44" s="35"/>
      <c r="QB44" s="35"/>
      <c r="QC44" s="35"/>
      <c r="QD44" s="36"/>
      <c r="QE44" s="35"/>
      <c r="QF44" s="35"/>
      <c r="QG44" s="35"/>
      <c r="QH44" s="35"/>
      <c r="QI44" s="35"/>
      <c r="QJ44" s="35"/>
      <c r="QK44" s="35"/>
      <c r="QL44" s="85"/>
      <c r="QM44" s="27"/>
      <c r="QN44" s="36"/>
      <c r="QO44" s="85"/>
    </row>
    <row r="45" spans="1:457" x14ac:dyDescent="0.25">
      <c r="A45" s="8" t="s">
        <v>89</v>
      </c>
      <c r="B45" s="172" t="s">
        <v>90</v>
      </c>
      <c r="C45" s="13" t="s">
        <v>91</v>
      </c>
      <c r="F45" s="36">
        <v>595287100</v>
      </c>
      <c r="G45" s="85"/>
      <c r="H45" s="35"/>
      <c r="I45" s="35">
        <v>300673400</v>
      </c>
      <c r="J45" s="35">
        <v>236551300</v>
      </c>
      <c r="K45" s="35">
        <v>64122100</v>
      </c>
      <c r="L45" s="35">
        <v>235655664.41999999</v>
      </c>
      <c r="M45" s="35"/>
      <c r="N45" s="36"/>
      <c r="O45" s="35">
        <v>299534983.08999997</v>
      </c>
      <c r="P45" s="35">
        <v>235655664.41999999</v>
      </c>
      <c r="Q45" s="35"/>
      <c r="R45" s="35">
        <v>63879318.670000002</v>
      </c>
      <c r="S45" s="35">
        <v>21.326160000000002</v>
      </c>
      <c r="T45" s="35"/>
      <c r="U45" s="35"/>
      <c r="V45" s="85">
        <v>235655664.41999999</v>
      </c>
      <c r="W45" s="27"/>
      <c r="X45" s="36">
        <v>236551300</v>
      </c>
      <c r="Y45" s="85">
        <v>236551300</v>
      </c>
      <c r="Z45" s="35"/>
      <c r="AA45" s="35"/>
      <c r="AB45" s="35"/>
      <c r="AC45" s="35"/>
      <c r="AD45" s="35"/>
      <c r="AE45" s="35"/>
      <c r="AF45" s="36"/>
      <c r="AG45" s="35"/>
      <c r="AH45" s="35"/>
      <c r="AI45" s="35"/>
      <c r="AJ45" s="35"/>
      <c r="AK45" s="35"/>
      <c r="AL45" s="35"/>
      <c r="AM45" s="35"/>
      <c r="AN45" s="85"/>
      <c r="AO45" s="27"/>
      <c r="AP45" s="36"/>
      <c r="AQ45" s="85"/>
      <c r="AR45" s="35"/>
      <c r="AS45" s="35">
        <v>42390500</v>
      </c>
      <c r="AT45" s="35">
        <v>24525500</v>
      </c>
      <c r="AU45" s="35">
        <v>17865000</v>
      </c>
      <c r="AV45" s="35">
        <v>24525500</v>
      </c>
      <c r="AW45" s="35"/>
      <c r="AX45" s="36"/>
      <c r="AY45" s="35">
        <v>42390500</v>
      </c>
      <c r="AZ45" s="35">
        <v>24525500</v>
      </c>
      <c r="BA45" s="35"/>
      <c r="BB45" s="35">
        <v>17865000</v>
      </c>
      <c r="BC45" s="35">
        <v>42.143880000000003</v>
      </c>
      <c r="BD45" s="35"/>
      <c r="BE45" s="35"/>
      <c r="BF45" s="85">
        <v>24525500</v>
      </c>
      <c r="BG45" s="27"/>
      <c r="BH45" s="36">
        <v>24525500</v>
      </c>
      <c r="BI45" s="85">
        <v>24525500</v>
      </c>
      <c r="BJ45" s="35"/>
      <c r="BK45" s="35"/>
      <c r="BL45" s="35"/>
      <c r="BM45" s="35"/>
      <c r="BN45" s="35"/>
      <c r="BO45" s="35"/>
      <c r="BP45" s="36"/>
      <c r="BQ45" s="35"/>
      <c r="BR45" s="35"/>
      <c r="BS45" s="35"/>
      <c r="BT45" s="35"/>
      <c r="BU45" s="35"/>
      <c r="BV45" s="35"/>
      <c r="BW45" s="35"/>
      <c r="BX45" s="85"/>
      <c r="BY45" s="27"/>
      <c r="BZ45" s="36"/>
      <c r="CA45" s="85"/>
      <c r="CB45" s="35"/>
      <c r="CC45" s="35">
        <v>81031700</v>
      </c>
      <c r="CD45" s="35">
        <v>60050700</v>
      </c>
      <c r="CE45" s="35">
        <v>20981000</v>
      </c>
      <c r="CF45" s="35">
        <v>60050700</v>
      </c>
      <c r="CG45" s="35"/>
      <c r="CH45" s="36"/>
      <c r="CI45" s="35">
        <v>81031700</v>
      </c>
      <c r="CJ45" s="35">
        <v>60050700</v>
      </c>
      <c r="CK45" s="35"/>
      <c r="CL45" s="35">
        <v>20981000</v>
      </c>
      <c r="CM45" s="35">
        <v>25.892340000000001</v>
      </c>
      <c r="CN45" s="35"/>
      <c r="CO45" s="35"/>
      <c r="CP45" s="85">
        <v>60050700</v>
      </c>
      <c r="CQ45" s="27"/>
      <c r="CR45" s="36">
        <v>60050700</v>
      </c>
      <c r="CS45" s="85">
        <v>60050700</v>
      </c>
      <c r="CT45" s="35"/>
      <c r="CU45" s="35">
        <v>151664900</v>
      </c>
      <c r="CV45" s="35">
        <v>99319000</v>
      </c>
      <c r="CW45" s="35">
        <v>52345900</v>
      </c>
      <c r="CX45" s="35">
        <v>99319000</v>
      </c>
      <c r="CY45" s="35"/>
      <c r="CZ45" s="36"/>
      <c r="DA45" s="35">
        <v>151664900</v>
      </c>
      <c r="DB45" s="35">
        <v>99319000</v>
      </c>
      <c r="DC45" s="35"/>
      <c r="DD45" s="35">
        <v>52345900</v>
      </c>
      <c r="DE45" s="35">
        <v>34.514180000000003</v>
      </c>
      <c r="DF45" s="35"/>
      <c r="DG45" s="35"/>
      <c r="DH45" s="85">
        <v>99319000</v>
      </c>
      <c r="DI45" s="27"/>
      <c r="DJ45" s="36">
        <v>99319000</v>
      </c>
      <c r="DK45" s="85">
        <v>99319000</v>
      </c>
      <c r="DL45" s="35"/>
      <c r="DM45" s="35"/>
      <c r="DN45" s="35"/>
      <c r="DO45" s="35"/>
      <c r="DP45" s="35"/>
      <c r="DQ45" s="35"/>
      <c r="DR45" s="36"/>
      <c r="DS45" s="35"/>
      <c r="DT45" s="35"/>
      <c r="DU45" s="35"/>
      <c r="DV45" s="35"/>
      <c r="DW45" s="35"/>
      <c r="DX45" s="35"/>
      <c r="DY45" s="35"/>
      <c r="DZ45" s="85"/>
      <c r="EA45" s="27"/>
      <c r="EB45" s="36"/>
      <c r="EC45" s="85"/>
      <c r="ED45" s="35"/>
      <c r="EE45" s="35">
        <v>104991527</v>
      </c>
      <c r="EF45" s="35">
        <v>98400000</v>
      </c>
      <c r="EG45" s="35">
        <v>6591527</v>
      </c>
      <c r="EH45" s="35">
        <v>98400000</v>
      </c>
      <c r="EI45" s="35"/>
      <c r="EJ45" s="36"/>
      <c r="EK45" s="35">
        <v>104991527</v>
      </c>
      <c r="EL45" s="35">
        <v>98400000</v>
      </c>
      <c r="EM45" s="35"/>
      <c r="EN45" s="35">
        <v>6591527</v>
      </c>
      <c r="EO45" s="35">
        <v>6.2781500000000001</v>
      </c>
      <c r="EP45" s="35"/>
      <c r="EQ45" s="35"/>
      <c r="ER45" s="85">
        <v>98400000</v>
      </c>
      <c r="ES45" s="27"/>
      <c r="ET45" s="36">
        <v>98400000</v>
      </c>
      <c r="EU45" s="85">
        <v>98400000</v>
      </c>
      <c r="EV45" s="35"/>
      <c r="EW45" s="35"/>
      <c r="EX45" s="35"/>
      <c r="EY45" s="35"/>
      <c r="EZ45" s="35"/>
      <c r="FA45" s="35"/>
      <c r="FB45" s="36"/>
      <c r="FC45" s="35"/>
      <c r="FD45" s="35"/>
      <c r="FE45" s="35"/>
      <c r="FF45" s="35"/>
      <c r="FG45" s="35"/>
      <c r="FH45" s="35"/>
      <c r="FI45" s="35"/>
      <c r="FJ45" s="85"/>
      <c r="FK45" s="27"/>
      <c r="FL45" s="36"/>
      <c r="FM45" s="85"/>
      <c r="FN45" s="35"/>
      <c r="FO45" s="35">
        <v>77364600</v>
      </c>
      <c r="FP45" s="35">
        <v>55364600</v>
      </c>
      <c r="FQ45" s="35">
        <v>22000000</v>
      </c>
      <c r="FR45" s="35">
        <v>55364600</v>
      </c>
      <c r="FS45" s="35"/>
      <c r="FT45" s="36"/>
      <c r="FU45" s="35">
        <v>77364600</v>
      </c>
      <c r="FV45" s="35">
        <v>55364600</v>
      </c>
      <c r="FW45" s="35"/>
      <c r="FX45" s="35">
        <v>22000000</v>
      </c>
      <c r="FY45" s="35">
        <v>28.436779999999999</v>
      </c>
      <c r="FZ45" s="35"/>
      <c r="GA45" s="35"/>
      <c r="GB45" s="85">
        <v>55364600</v>
      </c>
      <c r="GC45" s="27"/>
      <c r="GD45" s="36">
        <v>55364600</v>
      </c>
      <c r="GE45" s="85">
        <v>55364600</v>
      </c>
      <c r="GF45" s="35"/>
      <c r="GG45" s="35">
        <v>47200300</v>
      </c>
      <c r="GH45" s="35">
        <v>11903300</v>
      </c>
      <c r="GI45" s="35">
        <v>35297000</v>
      </c>
      <c r="GJ45" s="35">
        <v>11903300</v>
      </c>
      <c r="GK45" s="35"/>
      <c r="GL45" s="36"/>
      <c r="GM45" s="35">
        <v>47200300</v>
      </c>
      <c r="GN45" s="35">
        <v>11903300</v>
      </c>
      <c r="GO45" s="35"/>
      <c r="GP45" s="35">
        <v>35297000</v>
      </c>
      <c r="GQ45" s="35">
        <v>74.781300000000002</v>
      </c>
      <c r="GR45" s="35"/>
      <c r="GS45" s="35"/>
      <c r="GT45" s="85">
        <v>11903300</v>
      </c>
      <c r="GU45" s="27"/>
      <c r="GV45" s="36">
        <v>11903300</v>
      </c>
      <c r="GW45" s="85">
        <v>11903300</v>
      </c>
      <c r="GX45" s="35"/>
      <c r="GY45" s="35"/>
      <c r="GZ45" s="35"/>
      <c r="HA45" s="35"/>
      <c r="HB45" s="35"/>
      <c r="HC45" s="35"/>
      <c r="HD45" s="36"/>
      <c r="HE45" s="35"/>
      <c r="HF45" s="35"/>
      <c r="HG45" s="35"/>
      <c r="HH45" s="35"/>
      <c r="HI45" s="35"/>
      <c r="HJ45" s="35"/>
      <c r="HK45" s="35"/>
      <c r="HL45" s="85"/>
      <c r="HM45" s="27"/>
      <c r="HN45" s="36"/>
      <c r="HO45" s="85"/>
      <c r="HP45" s="35"/>
      <c r="HQ45" s="35">
        <v>16240768.99</v>
      </c>
      <c r="HR45" s="35">
        <v>7124000</v>
      </c>
      <c r="HS45" s="35">
        <v>9116768.9900000002</v>
      </c>
      <c r="HT45" s="35">
        <v>7124000</v>
      </c>
      <c r="HU45" s="35"/>
      <c r="HV45" s="36"/>
      <c r="HW45" s="35">
        <v>16240768.99</v>
      </c>
      <c r="HX45" s="35">
        <v>7124000</v>
      </c>
      <c r="HY45" s="35"/>
      <c r="HZ45" s="35">
        <v>9116768.9900000002</v>
      </c>
      <c r="IA45" s="35">
        <v>56.135080000000002</v>
      </c>
      <c r="IB45" s="35"/>
      <c r="IC45" s="35"/>
      <c r="ID45" s="85">
        <v>7124000</v>
      </c>
      <c r="IE45" s="27"/>
      <c r="IF45" s="36">
        <v>7124000</v>
      </c>
      <c r="IG45" s="85">
        <v>7124000</v>
      </c>
      <c r="IH45" s="35"/>
      <c r="II45" s="35"/>
      <c r="IJ45" s="35"/>
      <c r="IK45" s="35"/>
      <c r="IL45" s="35"/>
      <c r="IM45" s="35"/>
      <c r="IN45" s="36"/>
      <c r="IO45" s="35"/>
      <c r="IP45" s="35"/>
      <c r="IQ45" s="35"/>
      <c r="IR45" s="35"/>
      <c r="IS45" s="35"/>
      <c r="IT45" s="35"/>
      <c r="IU45" s="35"/>
      <c r="IV45" s="85"/>
      <c r="IW45" s="27"/>
      <c r="IX45" s="36"/>
      <c r="IY45" s="85"/>
      <c r="IZ45" s="35"/>
      <c r="JA45" s="35"/>
      <c r="JB45" s="35"/>
      <c r="JC45" s="35"/>
      <c r="JD45" s="35"/>
      <c r="JE45" s="35"/>
      <c r="JF45" s="36"/>
      <c r="JG45" s="35"/>
      <c r="JH45" s="35"/>
      <c r="JI45" s="35"/>
      <c r="JJ45" s="35"/>
      <c r="JK45" s="35"/>
      <c r="JL45" s="35"/>
      <c r="JM45" s="35"/>
      <c r="JN45" s="85"/>
      <c r="JO45" s="27"/>
      <c r="JP45" s="36"/>
      <c r="JQ45" s="85"/>
      <c r="JR45" s="35"/>
      <c r="JS45" s="35"/>
      <c r="JT45" s="35"/>
      <c r="JU45" s="35"/>
      <c r="JV45" s="35"/>
      <c r="JW45" s="35"/>
      <c r="JX45" s="36"/>
      <c r="JY45" s="35"/>
      <c r="JZ45" s="35"/>
      <c r="KA45" s="35"/>
      <c r="KB45" s="35"/>
      <c r="KC45" s="35"/>
      <c r="KD45" s="35"/>
      <c r="KE45" s="35"/>
      <c r="KF45" s="85"/>
      <c r="KG45" s="27"/>
      <c r="KH45" s="36"/>
      <c r="KI45" s="85"/>
      <c r="KJ45" s="35"/>
      <c r="KK45" s="35">
        <v>14750000</v>
      </c>
      <c r="KL45" s="35">
        <v>1093000</v>
      </c>
      <c r="KM45" s="35">
        <v>13657000</v>
      </c>
      <c r="KN45" s="35">
        <v>1093000</v>
      </c>
      <c r="KO45" s="35"/>
      <c r="KP45" s="36"/>
      <c r="KQ45" s="35">
        <v>14750000</v>
      </c>
      <c r="KR45" s="35">
        <v>1093000</v>
      </c>
      <c r="KS45" s="35"/>
      <c r="KT45" s="35">
        <v>13657000</v>
      </c>
      <c r="KU45" s="35">
        <v>92.589830000000006</v>
      </c>
      <c r="KV45" s="35"/>
      <c r="KW45" s="35"/>
      <c r="KX45" s="85">
        <v>1093000</v>
      </c>
      <c r="KY45" s="27"/>
      <c r="KZ45" s="36">
        <v>1093000</v>
      </c>
      <c r="LA45" s="85">
        <v>1093000</v>
      </c>
      <c r="LB45" s="35"/>
      <c r="LC45" s="35"/>
      <c r="LD45" s="35"/>
      <c r="LE45" s="35"/>
      <c r="LF45" s="35"/>
      <c r="LG45" s="35"/>
      <c r="LH45" s="36"/>
      <c r="LI45" s="35"/>
      <c r="LJ45" s="35"/>
      <c r="LK45" s="35"/>
      <c r="LL45" s="35"/>
      <c r="LM45" s="35"/>
      <c r="LN45" s="35"/>
      <c r="LO45" s="35"/>
      <c r="LP45" s="85"/>
      <c r="LQ45" s="27"/>
      <c r="LR45" s="36"/>
      <c r="LS45" s="85"/>
      <c r="LT45" s="35"/>
      <c r="LU45" s="35"/>
      <c r="LV45" s="35"/>
      <c r="LW45" s="35"/>
      <c r="LX45" s="35"/>
      <c r="LY45" s="35"/>
      <c r="LZ45" s="36"/>
      <c r="MA45" s="35"/>
      <c r="MB45" s="35"/>
      <c r="MC45" s="35"/>
      <c r="MD45" s="35"/>
      <c r="ME45" s="35"/>
      <c r="MF45" s="35"/>
      <c r="MG45" s="35"/>
      <c r="MH45" s="85"/>
      <c r="MI45" s="27"/>
      <c r="MJ45" s="36"/>
      <c r="MK45" s="85"/>
      <c r="ML45" s="35"/>
      <c r="MM45" s="35"/>
      <c r="MN45" s="35"/>
      <c r="MO45" s="35"/>
      <c r="MP45" s="35"/>
      <c r="MQ45" s="35"/>
      <c r="MR45" s="36"/>
      <c r="MS45" s="35"/>
      <c r="MT45" s="35"/>
      <c r="MU45" s="35"/>
      <c r="MV45" s="35"/>
      <c r="MW45" s="35"/>
      <c r="MX45" s="35"/>
      <c r="MY45" s="35"/>
      <c r="MZ45" s="85"/>
      <c r="NA45" s="27"/>
      <c r="NB45" s="36"/>
      <c r="NC45" s="85"/>
      <c r="ND45" s="35"/>
      <c r="NE45" s="35"/>
      <c r="NF45" s="35"/>
      <c r="NG45" s="35"/>
      <c r="NH45" s="35"/>
      <c r="NI45" s="35"/>
      <c r="NJ45" s="36"/>
      <c r="NK45" s="35"/>
      <c r="NL45" s="35"/>
      <c r="NM45" s="35"/>
      <c r="NN45" s="35"/>
      <c r="NO45" s="35"/>
      <c r="NP45" s="35"/>
      <c r="NQ45" s="35"/>
      <c r="NR45" s="85"/>
      <c r="NS45" s="27"/>
      <c r="NT45" s="36"/>
      <c r="NU45" s="85"/>
      <c r="NV45" s="35"/>
      <c r="NW45" s="35"/>
      <c r="NX45" s="35"/>
      <c r="NY45" s="35"/>
      <c r="NZ45" s="35"/>
      <c r="OA45" s="35"/>
      <c r="OB45" s="36"/>
      <c r="OC45" s="35"/>
      <c r="OD45" s="35"/>
      <c r="OE45" s="35"/>
      <c r="OF45" s="35"/>
      <c r="OG45" s="35"/>
      <c r="OH45" s="35"/>
      <c r="OI45" s="35"/>
      <c r="OJ45" s="85"/>
      <c r="OK45" s="27"/>
      <c r="OL45" s="36"/>
      <c r="OM45" s="85"/>
      <c r="ON45" s="35"/>
      <c r="OO45" s="35">
        <v>5194000</v>
      </c>
      <c r="OP45" s="35">
        <v>955700</v>
      </c>
      <c r="OQ45" s="35">
        <v>4238300</v>
      </c>
      <c r="OR45" s="35">
        <v>955700</v>
      </c>
      <c r="OS45" s="35"/>
      <c r="OT45" s="36"/>
      <c r="OU45" s="35">
        <v>5194000</v>
      </c>
      <c r="OV45" s="35">
        <v>955700</v>
      </c>
      <c r="OW45" s="35"/>
      <c r="OX45" s="35">
        <v>4238300</v>
      </c>
      <c r="OY45" s="35">
        <v>81.599919999999997</v>
      </c>
      <c r="OZ45" s="35"/>
      <c r="PA45" s="35"/>
      <c r="PB45" s="85">
        <v>955700</v>
      </c>
      <c r="PC45" s="27"/>
      <c r="PD45" s="36">
        <v>955700</v>
      </c>
      <c r="PE45" s="85">
        <v>955700</v>
      </c>
      <c r="PF45" s="35"/>
      <c r="PG45" s="35"/>
      <c r="PH45" s="35"/>
      <c r="PI45" s="35"/>
      <c r="PJ45" s="35"/>
      <c r="PK45" s="35"/>
      <c r="PL45" s="36"/>
      <c r="PM45" s="35"/>
      <c r="PN45" s="35"/>
      <c r="PO45" s="35"/>
      <c r="PP45" s="35"/>
      <c r="PQ45" s="35"/>
      <c r="PR45" s="35"/>
      <c r="PS45" s="35"/>
      <c r="PT45" s="85"/>
      <c r="PU45" s="27"/>
      <c r="PV45" s="36"/>
      <c r="PW45" s="85"/>
      <c r="PX45" s="35"/>
      <c r="PY45" s="35"/>
      <c r="PZ45" s="35"/>
      <c r="QA45" s="35"/>
      <c r="QB45" s="35"/>
      <c r="QC45" s="35">
        <v>472633.18</v>
      </c>
      <c r="QD45" s="36"/>
      <c r="QE45" s="35"/>
      <c r="QF45" s="35"/>
      <c r="QG45" s="35"/>
      <c r="QH45" s="35"/>
      <c r="QI45" s="35"/>
      <c r="QJ45" s="35">
        <v>472633.18</v>
      </c>
      <c r="QK45" s="35"/>
      <c r="QL45" s="85"/>
      <c r="QM45" s="27"/>
      <c r="QN45" s="36"/>
      <c r="QO45" s="85"/>
    </row>
    <row r="46" spans="1:457" x14ac:dyDescent="0.25">
      <c r="A46" s="8" t="s">
        <v>92</v>
      </c>
      <c r="B46" s="174">
        <v>32</v>
      </c>
      <c r="C46" s="13" t="s">
        <v>93</v>
      </c>
      <c r="F46" s="36">
        <v>1651388400</v>
      </c>
      <c r="G46" s="85"/>
      <c r="H46" s="35"/>
      <c r="I46" s="35">
        <v>1073315573</v>
      </c>
      <c r="J46" s="35">
        <v>914572200</v>
      </c>
      <c r="K46" s="35">
        <v>158743373</v>
      </c>
      <c r="L46" s="35">
        <v>914555079.40999997</v>
      </c>
      <c r="M46" s="35"/>
      <c r="N46" s="36"/>
      <c r="O46" s="35">
        <v>1073298452.41</v>
      </c>
      <c r="P46" s="35">
        <v>914555079.40999997</v>
      </c>
      <c r="Q46" s="35"/>
      <c r="R46" s="35">
        <v>158743373</v>
      </c>
      <c r="S46" s="35">
        <v>14.790240000000001</v>
      </c>
      <c r="T46" s="35"/>
      <c r="U46" s="35"/>
      <c r="V46" s="85">
        <v>914555079.40999997</v>
      </c>
      <c r="W46" s="27"/>
      <c r="X46" s="36">
        <v>914572200</v>
      </c>
      <c r="Y46" s="85">
        <v>914572200</v>
      </c>
      <c r="Z46" s="35"/>
      <c r="AA46" s="35">
        <v>58603337</v>
      </c>
      <c r="AB46" s="35">
        <v>49935900</v>
      </c>
      <c r="AC46" s="35">
        <v>8667437</v>
      </c>
      <c r="AD46" s="35">
        <v>49935900</v>
      </c>
      <c r="AE46" s="35"/>
      <c r="AF46" s="36"/>
      <c r="AG46" s="35">
        <v>58603337</v>
      </c>
      <c r="AH46" s="35">
        <v>49935900</v>
      </c>
      <c r="AI46" s="35"/>
      <c r="AJ46" s="35">
        <v>8667437</v>
      </c>
      <c r="AK46" s="35">
        <v>14.790010000000001</v>
      </c>
      <c r="AL46" s="35"/>
      <c r="AM46" s="35"/>
      <c r="AN46" s="85">
        <v>49935900</v>
      </c>
      <c r="AO46" s="27"/>
      <c r="AP46" s="36">
        <v>49935900</v>
      </c>
      <c r="AQ46" s="85">
        <v>49935900</v>
      </c>
      <c r="AR46" s="35"/>
      <c r="AS46" s="35">
        <v>141338200</v>
      </c>
      <c r="AT46" s="35">
        <v>134271200</v>
      </c>
      <c r="AU46" s="35">
        <v>7067000</v>
      </c>
      <c r="AV46" s="35">
        <v>134271200</v>
      </c>
      <c r="AW46" s="35"/>
      <c r="AX46" s="36"/>
      <c r="AY46" s="35">
        <v>141338200</v>
      </c>
      <c r="AZ46" s="35">
        <v>134271200</v>
      </c>
      <c r="BA46" s="35"/>
      <c r="BB46" s="35">
        <v>7067000</v>
      </c>
      <c r="BC46" s="35">
        <v>5.0000600000000004</v>
      </c>
      <c r="BD46" s="35"/>
      <c r="BE46" s="35"/>
      <c r="BF46" s="85">
        <v>134271200</v>
      </c>
      <c r="BG46" s="27"/>
      <c r="BH46" s="36">
        <v>134271200</v>
      </c>
      <c r="BI46" s="85">
        <v>134271200</v>
      </c>
      <c r="BJ46" s="35"/>
      <c r="BK46" s="35"/>
      <c r="BL46" s="35"/>
      <c r="BM46" s="35"/>
      <c r="BN46" s="35"/>
      <c r="BO46" s="35"/>
      <c r="BP46" s="36"/>
      <c r="BQ46" s="35"/>
      <c r="BR46" s="35"/>
      <c r="BS46" s="35"/>
      <c r="BT46" s="35"/>
      <c r="BU46" s="35"/>
      <c r="BV46" s="35"/>
      <c r="BW46" s="35"/>
      <c r="BX46" s="85"/>
      <c r="BY46" s="27"/>
      <c r="BZ46" s="36"/>
      <c r="CA46" s="85"/>
      <c r="CB46" s="35"/>
      <c r="CC46" s="35">
        <v>59158400</v>
      </c>
      <c r="CD46" s="35">
        <v>56200400</v>
      </c>
      <c r="CE46" s="35">
        <v>2958000</v>
      </c>
      <c r="CF46" s="35">
        <v>56200400</v>
      </c>
      <c r="CG46" s="35"/>
      <c r="CH46" s="36"/>
      <c r="CI46" s="35">
        <v>59158400</v>
      </c>
      <c r="CJ46" s="35">
        <v>56200400</v>
      </c>
      <c r="CK46" s="35"/>
      <c r="CL46" s="35">
        <v>2958000</v>
      </c>
      <c r="CM46" s="35">
        <v>5.00014</v>
      </c>
      <c r="CN46" s="35"/>
      <c r="CO46" s="35"/>
      <c r="CP46" s="85">
        <v>56200400</v>
      </c>
      <c r="CQ46" s="27"/>
      <c r="CR46" s="36">
        <v>56200400</v>
      </c>
      <c r="CS46" s="85">
        <v>56200400</v>
      </c>
      <c r="CT46" s="35"/>
      <c r="CU46" s="35">
        <v>220877400</v>
      </c>
      <c r="CV46" s="35">
        <v>196560000</v>
      </c>
      <c r="CW46" s="35">
        <v>24317400</v>
      </c>
      <c r="CX46" s="35">
        <v>196379039.44</v>
      </c>
      <c r="CY46" s="35"/>
      <c r="CZ46" s="36"/>
      <c r="DA46" s="35">
        <v>220674052.06999999</v>
      </c>
      <c r="DB46" s="35">
        <v>196379039.44</v>
      </c>
      <c r="DC46" s="35"/>
      <c r="DD46" s="35">
        <v>24295012.629999999</v>
      </c>
      <c r="DE46" s="35">
        <v>11.009460000000001</v>
      </c>
      <c r="DF46" s="35"/>
      <c r="DG46" s="35"/>
      <c r="DH46" s="85">
        <v>196379039.44</v>
      </c>
      <c r="DI46" s="27"/>
      <c r="DJ46" s="36">
        <v>196560000</v>
      </c>
      <c r="DK46" s="85">
        <v>196560000</v>
      </c>
      <c r="DL46" s="35"/>
      <c r="DM46" s="35"/>
      <c r="DN46" s="35"/>
      <c r="DO46" s="35"/>
      <c r="DP46" s="35"/>
      <c r="DQ46" s="35"/>
      <c r="DR46" s="36"/>
      <c r="DS46" s="35"/>
      <c r="DT46" s="35"/>
      <c r="DU46" s="35"/>
      <c r="DV46" s="35"/>
      <c r="DW46" s="35"/>
      <c r="DX46" s="35"/>
      <c r="DY46" s="35"/>
      <c r="DZ46" s="85"/>
      <c r="EA46" s="27"/>
      <c r="EB46" s="36"/>
      <c r="EC46" s="85"/>
      <c r="ED46" s="35"/>
      <c r="EE46" s="35">
        <v>210526316</v>
      </c>
      <c r="EF46" s="35">
        <v>200000000</v>
      </c>
      <c r="EG46" s="35">
        <v>10526316</v>
      </c>
      <c r="EH46" s="35">
        <v>200000000</v>
      </c>
      <c r="EI46" s="35"/>
      <c r="EJ46" s="36"/>
      <c r="EK46" s="35">
        <v>210526316</v>
      </c>
      <c r="EL46" s="35">
        <v>200000000</v>
      </c>
      <c r="EM46" s="35"/>
      <c r="EN46" s="35">
        <v>10526316</v>
      </c>
      <c r="EO46" s="35">
        <v>5</v>
      </c>
      <c r="EP46" s="35"/>
      <c r="EQ46" s="35"/>
      <c r="ER46" s="85">
        <v>200000000</v>
      </c>
      <c r="ES46" s="27"/>
      <c r="ET46" s="36">
        <v>200000000</v>
      </c>
      <c r="EU46" s="85">
        <v>200000000</v>
      </c>
      <c r="EV46" s="35"/>
      <c r="EW46" s="35"/>
      <c r="EX46" s="35"/>
      <c r="EY46" s="35"/>
      <c r="EZ46" s="35"/>
      <c r="FA46" s="35"/>
      <c r="FB46" s="36"/>
      <c r="FC46" s="35"/>
      <c r="FD46" s="35"/>
      <c r="FE46" s="35"/>
      <c r="FF46" s="35"/>
      <c r="FG46" s="35"/>
      <c r="FH46" s="35"/>
      <c r="FI46" s="35"/>
      <c r="FJ46" s="85"/>
      <c r="FK46" s="27"/>
      <c r="FL46" s="36"/>
      <c r="FM46" s="85"/>
      <c r="FN46" s="35"/>
      <c r="FO46" s="35">
        <v>148424500</v>
      </c>
      <c r="FP46" s="35">
        <v>98424500</v>
      </c>
      <c r="FQ46" s="35">
        <v>50000000</v>
      </c>
      <c r="FR46" s="35">
        <v>98424500</v>
      </c>
      <c r="FS46" s="35"/>
      <c r="FT46" s="36"/>
      <c r="FU46" s="35">
        <v>148424500</v>
      </c>
      <c r="FV46" s="35">
        <v>98424500</v>
      </c>
      <c r="FW46" s="35"/>
      <c r="FX46" s="35">
        <v>50000000</v>
      </c>
      <c r="FY46" s="35">
        <v>33.687159999999999</v>
      </c>
      <c r="FZ46" s="35"/>
      <c r="GA46" s="35"/>
      <c r="GB46" s="85">
        <v>98424500</v>
      </c>
      <c r="GC46" s="27"/>
      <c r="GD46" s="36">
        <v>98424500</v>
      </c>
      <c r="GE46" s="85">
        <v>98424500</v>
      </c>
      <c r="GF46" s="35"/>
      <c r="GG46" s="35">
        <v>4348200</v>
      </c>
      <c r="GH46" s="35">
        <v>1424200</v>
      </c>
      <c r="GI46" s="35">
        <v>2924000</v>
      </c>
      <c r="GJ46" s="35">
        <v>1424200</v>
      </c>
      <c r="GK46" s="35">
        <v>0</v>
      </c>
      <c r="GL46" s="36"/>
      <c r="GM46" s="35">
        <v>4348200</v>
      </c>
      <c r="GN46" s="35">
        <v>1424200</v>
      </c>
      <c r="GO46" s="35"/>
      <c r="GP46" s="35">
        <v>2924000</v>
      </c>
      <c r="GQ46" s="35">
        <v>67.246219999999994</v>
      </c>
      <c r="GR46" s="35">
        <v>0</v>
      </c>
      <c r="GS46" s="35"/>
      <c r="GT46" s="85">
        <v>1424200</v>
      </c>
      <c r="GU46" s="27"/>
      <c r="GV46" s="36">
        <v>1424200</v>
      </c>
      <c r="GW46" s="85">
        <v>1424200</v>
      </c>
      <c r="GX46" s="35"/>
      <c r="GY46" s="35"/>
      <c r="GZ46" s="35"/>
      <c r="HA46" s="35"/>
      <c r="HB46" s="35"/>
      <c r="HC46" s="35">
        <v>128678.78</v>
      </c>
      <c r="HD46" s="36"/>
      <c r="HE46" s="35"/>
      <c r="HF46" s="35"/>
      <c r="HG46" s="35"/>
      <c r="HH46" s="35"/>
      <c r="HI46" s="35"/>
      <c r="HJ46" s="35">
        <v>128678.78</v>
      </c>
      <c r="HK46" s="35"/>
      <c r="HL46" s="85"/>
      <c r="HM46" s="27"/>
      <c r="HN46" s="36"/>
      <c r="HO46" s="85"/>
      <c r="HP46" s="35"/>
      <c r="HQ46" s="35"/>
      <c r="HR46" s="35"/>
      <c r="HS46" s="35"/>
      <c r="HT46" s="35"/>
      <c r="HU46" s="35"/>
      <c r="HV46" s="36"/>
      <c r="HW46" s="35"/>
      <c r="HX46" s="35"/>
      <c r="HY46" s="35"/>
      <c r="HZ46" s="35"/>
      <c r="IA46" s="35"/>
      <c r="IB46" s="35"/>
      <c r="IC46" s="35"/>
      <c r="ID46" s="85"/>
      <c r="IE46" s="27"/>
      <c r="IF46" s="36"/>
      <c r="IG46" s="85"/>
      <c r="IH46" s="35"/>
      <c r="II46" s="35"/>
      <c r="IJ46" s="35"/>
      <c r="IK46" s="35"/>
      <c r="IL46" s="35"/>
      <c r="IM46" s="35"/>
      <c r="IN46" s="36"/>
      <c r="IO46" s="35"/>
      <c r="IP46" s="35"/>
      <c r="IQ46" s="35"/>
      <c r="IR46" s="35"/>
      <c r="IS46" s="35"/>
      <c r="IT46" s="35"/>
      <c r="IU46" s="35"/>
      <c r="IV46" s="85"/>
      <c r="IW46" s="27"/>
      <c r="IX46" s="36"/>
      <c r="IY46" s="85"/>
      <c r="IZ46" s="35"/>
      <c r="JA46" s="35"/>
      <c r="JB46" s="35"/>
      <c r="JC46" s="35"/>
      <c r="JD46" s="35"/>
      <c r="JE46" s="35"/>
      <c r="JF46" s="36"/>
      <c r="JG46" s="35"/>
      <c r="JH46" s="35"/>
      <c r="JI46" s="35"/>
      <c r="JJ46" s="35"/>
      <c r="JK46" s="35"/>
      <c r="JL46" s="35"/>
      <c r="JM46" s="35"/>
      <c r="JN46" s="85"/>
      <c r="JO46" s="27"/>
      <c r="JP46" s="36"/>
      <c r="JQ46" s="85"/>
      <c r="JR46" s="35"/>
      <c r="JS46" s="35"/>
      <c r="JT46" s="35"/>
      <c r="JU46" s="35"/>
      <c r="JV46" s="35"/>
      <c r="JW46" s="35"/>
      <c r="JX46" s="36"/>
      <c r="JY46" s="35"/>
      <c r="JZ46" s="35"/>
      <c r="KA46" s="35"/>
      <c r="KB46" s="35"/>
      <c r="KC46" s="35"/>
      <c r="KD46" s="35"/>
      <c r="KE46" s="35"/>
      <c r="KF46" s="85"/>
      <c r="KG46" s="27"/>
      <c r="KH46" s="36"/>
      <c r="KI46" s="85"/>
      <c r="KJ46" s="35"/>
      <c r="KK46" s="35"/>
      <c r="KL46" s="35"/>
      <c r="KM46" s="35"/>
      <c r="KN46" s="35"/>
      <c r="KO46" s="35"/>
      <c r="KP46" s="36"/>
      <c r="KQ46" s="35"/>
      <c r="KR46" s="35"/>
      <c r="KS46" s="35"/>
      <c r="KT46" s="35"/>
      <c r="KU46" s="35"/>
      <c r="KV46" s="35"/>
      <c r="KW46" s="35"/>
      <c r="KX46" s="85"/>
      <c r="KY46" s="27"/>
      <c r="KZ46" s="36"/>
      <c r="LA46" s="85"/>
      <c r="LB46" s="35"/>
      <c r="LC46" s="35"/>
      <c r="LD46" s="35"/>
      <c r="LE46" s="35"/>
      <c r="LF46" s="35"/>
      <c r="LG46" s="35"/>
      <c r="LH46" s="36"/>
      <c r="LI46" s="35"/>
      <c r="LJ46" s="35"/>
      <c r="LK46" s="35"/>
      <c r="LL46" s="35"/>
      <c r="LM46" s="35"/>
      <c r="LN46" s="35"/>
      <c r="LO46" s="35"/>
      <c r="LP46" s="85"/>
      <c r="LQ46" s="27"/>
      <c r="LR46" s="36"/>
      <c r="LS46" s="85"/>
      <c r="LT46" s="35"/>
      <c r="LU46" s="35"/>
      <c r="LV46" s="35"/>
      <c r="LW46" s="35"/>
      <c r="LX46" s="35"/>
      <c r="LY46" s="35"/>
      <c r="LZ46" s="36"/>
      <c r="MA46" s="35"/>
      <c r="MB46" s="35"/>
      <c r="MC46" s="35"/>
      <c r="MD46" s="35"/>
      <c r="ME46" s="35"/>
      <c r="MF46" s="35"/>
      <c r="MG46" s="35"/>
      <c r="MH46" s="85"/>
      <c r="MI46" s="27"/>
      <c r="MJ46" s="36"/>
      <c r="MK46" s="85"/>
      <c r="ML46" s="35"/>
      <c r="MM46" s="35"/>
      <c r="MN46" s="35"/>
      <c r="MO46" s="35"/>
      <c r="MP46" s="35"/>
      <c r="MQ46" s="35"/>
      <c r="MR46" s="36"/>
      <c r="MS46" s="35"/>
      <c r="MT46" s="35"/>
      <c r="MU46" s="35"/>
      <c r="MV46" s="35"/>
      <c r="MW46" s="35"/>
      <c r="MX46" s="35"/>
      <c r="MY46" s="35"/>
      <c r="MZ46" s="85"/>
      <c r="NA46" s="27"/>
      <c r="NB46" s="36"/>
      <c r="NC46" s="85"/>
      <c r="ND46" s="35"/>
      <c r="NE46" s="35"/>
      <c r="NF46" s="35"/>
      <c r="NG46" s="35"/>
      <c r="NH46" s="35"/>
      <c r="NI46" s="35"/>
      <c r="NJ46" s="36"/>
      <c r="NK46" s="35"/>
      <c r="NL46" s="35"/>
      <c r="NM46" s="35"/>
      <c r="NN46" s="35"/>
      <c r="NO46" s="35"/>
      <c r="NP46" s="35"/>
      <c r="NQ46" s="35"/>
      <c r="NR46" s="85"/>
      <c r="NS46" s="27"/>
      <c r="NT46" s="36"/>
      <c r="NU46" s="85"/>
      <c r="NV46" s="35"/>
      <c r="NW46" s="35"/>
      <c r="NX46" s="35"/>
      <c r="NY46" s="35"/>
      <c r="NZ46" s="35"/>
      <c r="OA46" s="35"/>
      <c r="OB46" s="36"/>
      <c r="OC46" s="35"/>
      <c r="OD46" s="35"/>
      <c r="OE46" s="35"/>
      <c r="OF46" s="35"/>
      <c r="OG46" s="35"/>
      <c r="OH46" s="35"/>
      <c r="OI46" s="35"/>
      <c r="OJ46" s="85"/>
      <c r="OK46" s="27"/>
      <c r="OL46" s="36"/>
      <c r="OM46" s="85"/>
      <c r="ON46" s="35"/>
      <c r="OO46" s="35"/>
      <c r="OP46" s="35"/>
      <c r="OQ46" s="35"/>
      <c r="OR46" s="35"/>
      <c r="OS46" s="35"/>
      <c r="OT46" s="36"/>
      <c r="OU46" s="35"/>
      <c r="OV46" s="35"/>
      <c r="OW46" s="35"/>
      <c r="OX46" s="35"/>
      <c r="OY46" s="35"/>
      <c r="OZ46" s="35"/>
      <c r="PA46" s="35"/>
      <c r="PB46" s="85"/>
      <c r="PC46" s="27"/>
      <c r="PD46" s="36"/>
      <c r="PE46" s="85"/>
      <c r="PF46" s="35"/>
      <c r="PG46" s="35"/>
      <c r="PH46" s="35"/>
      <c r="PI46" s="35"/>
      <c r="PJ46" s="35"/>
      <c r="PK46" s="35"/>
      <c r="PL46" s="36"/>
      <c r="PM46" s="35"/>
      <c r="PN46" s="35"/>
      <c r="PO46" s="35"/>
      <c r="PP46" s="35"/>
      <c r="PQ46" s="35"/>
      <c r="PR46" s="35"/>
      <c r="PS46" s="35"/>
      <c r="PT46" s="85"/>
      <c r="PU46" s="27"/>
      <c r="PV46" s="36"/>
      <c r="PW46" s="85"/>
      <c r="PX46" s="35"/>
      <c r="PY46" s="35"/>
      <c r="PZ46" s="35"/>
      <c r="QA46" s="35"/>
      <c r="QB46" s="35"/>
      <c r="QC46" s="35">
        <v>1832866.45</v>
      </c>
      <c r="QD46" s="36"/>
      <c r="QE46" s="35"/>
      <c r="QF46" s="35"/>
      <c r="QG46" s="35"/>
      <c r="QH46" s="35"/>
      <c r="QI46" s="35"/>
      <c r="QJ46" s="35">
        <v>1832866.45</v>
      </c>
      <c r="QK46" s="35"/>
      <c r="QL46" s="85"/>
      <c r="QM46" s="27"/>
      <c r="QN46" s="36"/>
      <c r="QO46" s="85"/>
    </row>
    <row r="47" spans="1:457" x14ac:dyDescent="0.25">
      <c r="A47" s="14" t="s">
        <v>94</v>
      </c>
      <c r="B47" s="174">
        <v>33</v>
      </c>
      <c r="C47" s="15" t="s">
        <v>95</v>
      </c>
      <c r="F47" s="32"/>
      <c r="G47" s="33"/>
      <c r="H47" s="32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86"/>
      <c r="Z47" s="148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86"/>
      <c r="AR47" s="148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86"/>
      <c r="BJ47" s="148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86"/>
      <c r="CB47" s="148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86"/>
      <c r="CT47" s="148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86"/>
      <c r="DL47" s="148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86"/>
      <c r="ED47" s="148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33"/>
      <c r="ES47" s="33"/>
      <c r="ET47" s="33"/>
      <c r="EU47" s="86"/>
      <c r="EV47" s="148"/>
      <c r="EW47" s="33"/>
      <c r="EX47" s="33"/>
      <c r="EY47" s="33"/>
      <c r="EZ47" s="33"/>
      <c r="FA47" s="33"/>
      <c r="FB47" s="33"/>
      <c r="FC47" s="33"/>
      <c r="FD47" s="33"/>
      <c r="FE47" s="33"/>
      <c r="FF47" s="33"/>
      <c r="FG47" s="33"/>
      <c r="FH47" s="33"/>
      <c r="FI47" s="33"/>
      <c r="FJ47" s="33"/>
      <c r="FK47" s="33"/>
      <c r="FL47" s="33"/>
      <c r="FM47" s="86"/>
      <c r="FN47" s="148"/>
      <c r="FO47" s="33"/>
      <c r="FP47" s="33"/>
      <c r="FQ47" s="33"/>
      <c r="FR47" s="33"/>
      <c r="FS47" s="33"/>
      <c r="FT47" s="33"/>
      <c r="FU47" s="33"/>
      <c r="FV47" s="33"/>
      <c r="FW47" s="33"/>
      <c r="FX47" s="33"/>
      <c r="FY47" s="33"/>
      <c r="FZ47" s="33"/>
      <c r="GA47" s="33"/>
      <c r="GB47" s="33"/>
      <c r="GC47" s="33"/>
      <c r="GD47" s="33"/>
      <c r="GE47" s="86"/>
      <c r="GF47" s="148"/>
      <c r="GG47" s="33"/>
      <c r="GH47" s="33"/>
      <c r="GI47" s="33"/>
      <c r="GJ47" s="33"/>
      <c r="GK47" s="33"/>
      <c r="GL47" s="33"/>
      <c r="GM47" s="33"/>
      <c r="GN47" s="33"/>
      <c r="GO47" s="33"/>
      <c r="GP47" s="33"/>
      <c r="GQ47" s="33"/>
      <c r="GR47" s="33"/>
      <c r="GS47" s="33"/>
      <c r="GT47" s="33"/>
      <c r="GU47" s="33"/>
      <c r="GV47" s="33"/>
      <c r="GW47" s="86"/>
      <c r="GX47" s="148"/>
      <c r="GY47" s="33"/>
      <c r="GZ47" s="33"/>
      <c r="HA47" s="33"/>
      <c r="HB47" s="33"/>
      <c r="HC47" s="33"/>
      <c r="HD47" s="33"/>
      <c r="HE47" s="33"/>
      <c r="HF47" s="33"/>
      <c r="HG47" s="33"/>
      <c r="HH47" s="33"/>
      <c r="HI47" s="33"/>
      <c r="HJ47" s="33"/>
      <c r="HK47" s="33"/>
      <c r="HL47" s="33"/>
      <c r="HM47" s="33"/>
      <c r="HN47" s="33"/>
      <c r="HO47" s="86"/>
      <c r="HP47" s="148"/>
      <c r="HQ47" s="33"/>
      <c r="HR47" s="33"/>
      <c r="HS47" s="33"/>
      <c r="HT47" s="33"/>
      <c r="HU47" s="33"/>
      <c r="HV47" s="33"/>
      <c r="HW47" s="33"/>
      <c r="HX47" s="33"/>
      <c r="HY47" s="33"/>
      <c r="HZ47" s="33"/>
      <c r="IA47" s="33"/>
      <c r="IB47" s="33"/>
      <c r="IC47" s="33"/>
      <c r="ID47" s="33"/>
      <c r="IE47" s="33"/>
      <c r="IF47" s="33"/>
      <c r="IG47" s="86"/>
      <c r="IH47" s="148"/>
      <c r="II47" s="33"/>
      <c r="IJ47" s="33"/>
      <c r="IK47" s="33"/>
      <c r="IL47" s="33"/>
      <c r="IM47" s="33"/>
      <c r="IN47" s="33"/>
      <c r="IO47" s="33"/>
      <c r="IP47" s="33"/>
      <c r="IQ47" s="33"/>
      <c r="IR47" s="33"/>
      <c r="IS47" s="33"/>
      <c r="IT47" s="33"/>
      <c r="IU47" s="33"/>
      <c r="IV47" s="33"/>
      <c r="IW47" s="33"/>
      <c r="IX47" s="33"/>
      <c r="IY47" s="86"/>
      <c r="IZ47" s="148"/>
      <c r="JA47" s="33"/>
      <c r="JB47" s="33"/>
      <c r="JC47" s="33"/>
      <c r="JD47" s="33"/>
      <c r="JE47" s="33"/>
      <c r="JF47" s="33"/>
      <c r="JG47" s="33"/>
      <c r="JH47" s="33"/>
      <c r="JI47" s="33"/>
      <c r="JJ47" s="33"/>
      <c r="JK47" s="33"/>
      <c r="JL47" s="33"/>
      <c r="JM47" s="33"/>
      <c r="JN47" s="33"/>
      <c r="JO47" s="33"/>
      <c r="JP47" s="33"/>
      <c r="JQ47" s="86"/>
      <c r="JR47" s="148"/>
      <c r="JS47" s="33"/>
      <c r="JT47" s="33"/>
      <c r="JU47" s="33"/>
      <c r="JV47" s="33"/>
      <c r="JW47" s="33"/>
      <c r="JX47" s="33"/>
      <c r="JY47" s="33"/>
      <c r="JZ47" s="33"/>
      <c r="KA47" s="33"/>
      <c r="KB47" s="33"/>
      <c r="KC47" s="33"/>
      <c r="KD47" s="33"/>
      <c r="KE47" s="33"/>
      <c r="KF47" s="33"/>
      <c r="KG47" s="33"/>
      <c r="KH47" s="33"/>
      <c r="KI47" s="86"/>
      <c r="KJ47" s="148"/>
      <c r="KK47" s="33"/>
      <c r="KL47" s="33"/>
      <c r="KM47" s="33"/>
      <c r="KN47" s="33"/>
      <c r="KO47" s="33"/>
      <c r="KP47" s="33"/>
      <c r="KQ47" s="33"/>
      <c r="KR47" s="33"/>
      <c r="KS47" s="33"/>
      <c r="KT47" s="33"/>
      <c r="KU47" s="33"/>
      <c r="KV47" s="33"/>
      <c r="KW47" s="33"/>
      <c r="KX47" s="33"/>
      <c r="KY47" s="33"/>
      <c r="KZ47" s="33"/>
      <c r="LA47" s="86"/>
      <c r="LB47" s="148"/>
      <c r="LC47" s="33"/>
      <c r="LD47" s="33"/>
      <c r="LE47" s="33"/>
      <c r="LF47" s="33"/>
      <c r="LG47" s="33"/>
      <c r="LH47" s="33"/>
      <c r="LI47" s="33"/>
      <c r="LJ47" s="33"/>
      <c r="LK47" s="33"/>
      <c r="LL47" s="33"/>
      <c r="LM47" s="33"/>
      <c r="LN47" s="33"/>
      <c r="LO47" s="33"/>
      <c r="LP47" s="33"/>
      <c r="LQ47" s="33"/>
      <c r="LR47" s="33"/>
      <c r="LS47" s="86"/>
      <c r="LT47" s="148"/>
      <c r="LU47" s="33"/>
      <c r="LV47" s="33"/>
      <c r="LW47" s="33"/>
      <c r="LX47" s="33"/>
      <c r="LY47" s="33"/>
      <c r="LZ47" s="33"/>
      <c r="MA47" s="33"/>
      <c r="MB47" s="33"/>
      <c r="MC47" s="33"/>
      <c r="MD47" s="33"/>
      <c r="ME47" s="33"/>
      <c r="MF47" s="33"/>
      <c r="MG47" s="33"/>
      <c r="MH47" s="33"/>
      <c r="MI47" s="33"/>
      <c r="MJ47" s="33"/>
      <c r="MK47" s="86"/>
      <c r="ML47" s="148"/>
      <c r="MM47" s="33"/>
      <c r="MN47" s="33"/>
      <c r="MO47" s="33"/>
      <c r="MP47" s="33"/>
      <c r="MQ47" s="33"/>
      <c r="MR47" s="33"/>
      <c r="MS47" s="33"/>
      <c r="MT47" s="33"/>
      <c r="MU47" s="33"/>
      <c r="MV47" s="33"/>
      <c r="MW47" s="33"/>
      <c r="MX47" s="33"/>
      <c r="MY47" s="33"/>
      <c r="MZ47" s="33"/>
      <c r="NA47" s="33"/>
      <c r="NB47" s="33"/>
      <c r="NC47" s="86"/>
      <c r="ND47" s="148"/>
      <c r="NE47" s="33"/>
      <c r="NF47" s="33"/>
      <c r="NG47" s="33"/>
      <c r="NH47" s="33"/>
      <c r="NI47" s="33"/>
      <c r="NJ47" s="33"/>
      <c r="NK47" s="33"/>
      <c r="NL47" s="33"/>
      <c r="NM47" s="33"/>
      <c r="NN47" s="33"/>
      <c r="NO47" s="33"/>
      <c r="NP47" s="33"/>
      <c r="NQ47" s="33"/>
      <c r="NR47" s="33"/>
      <c r="NS47" s="33"/>
      <c r="NT47" s="33"/>
      <c r="NU47" s="86"/>
      <c r="NV47" s="148"/>
      <c r="NW47" s="33"/>
      <c r="NX47" s="33"/>
      <c r="NY47" s="33"/>
      <c r="NZ47" s="33"/>
      <c r="OA47" s="33"/>
      <c r="OB47" s="33"/>
      <c r="OC47" s="33"/>
      <c r="OD47" s="33"/>
      <c r="OE47" s="33"/>
      <c r="OF47" s="33"/>
      <c r="OG47" s="33"/>
      <c r="OH47" s="33"/>
      <c r="OI47" s="33"/>
      <c r="OJ47" s="33"/>
      <c r="OK47" s="33"/>
      <c r="OL47" s="33"/>
      <c r="OM47" s="86"/>
      <c r="ON47" s="148"/>
      <c r="OO47" s="33"/>
      <c r="OP47" s="33"/>
      <c r="OQ47" s="33"/>
      <c r="OR47" s="33"/>
      <c r="OS47" s="33"/>
      <c r="OT47" s="33"/>
      <c r="OU47" s="33"/>
      <c r="OV47" s="33"/>
      <c r="OW47" s="33"/>
      <c r="OX47" s="33"/>
      <c r="OY47" s="33"/>
      <c r="OZ47" s="33"/>
      <c r="PA47" s="33"/>
      <c r="PB47" s="33"/>
      <c r="PC47" s="33"/>
      <c r="PD47" s="33"/>
      <c r="PE47" s="86"/>
      <c r="PF47" s="148"/>
      <c r="PG47" s="33"/>
      <c r="PH47" s="33"/>
      <c r="PI47" s="33"/>
      <c r="PJ47" s="33"/>
      <c r="PK47" s="33"/>
      <c r="PL47" s="33"/>
      <c r="PM47" s="33"/>
      <c r="PN47" s="33"/>
      <c r="PO47" s="33"/>
      <c r="PP47" s="33"/>
      <c r="PQ47" s="33"/>
      <c r="PR47" s="33"/>
      <c r="PS47" s="33"/>
      <c r="PT47" s="33"/>
      <c r="PU47" s="33"/>
      <c r="PV47" s="33"/>
      <c r="PW47" s="86"/>
      <c r="PX47" s="148"/>
      <c r="PY47" s="33"/>
      <c r="PZ47" s="33"/>
      <c r="QA47" s="33"/>
      <c r="QB47" s="33"/>
      <c r="QC47" s="33"/>
      <c r="QD47" s="33"/>
      <c r="QE47" s="33"/>
      <c r="QF47" s="33"/>
      <c r="QG47" s="33"/>
      <c r="QH47" s="33"/>
      <c r="QI47" s="33"/>
      <c r="QJ47" s="33"/>
      <c r="QK47" s="33"/>
      <c r="QL47" s="33"/>
      <c r="QM47" s="33"/>
      <c r="QN47" s="33"/>
      <c r="QO47" s="86"/>
    </row>
    <row r="48" spans="1:457" x14ac:dyDescent="0.25">
      <c r="A48" s="14" t="s">
        <v>96</v>
      </c>
      <c r="B48" s="174">
        <v>34</v>
      </c>
      <c r="C48" s="16" t="s">
        <v>97</v>
      </c>
      <c r="F48" s="36">
        <v>357456700</v>
      </c>
      <c r="G48" s="85"/>
      <c r="H48" s="35"/>
      <c r="I48" s="35">
        <v>9521789.4700000007</v>
      </c>
      <c r="J48" s="35">
        <v>9045700</v>
      </c>
      <c r="K48" s="35">
        <v>476089.47</v>
      </c>
      <c r="L48" s="35">
        <v>9045700</v>
      </c>
      <c r="M48" s="35"/>
      <c r="N48" s="36"/>
      <c r="O48" s="35">
        <v>9521789.4700000007</v>
      </c>
      <c r="P48" s="35">
        <v>9045700</v>
      </c>
      <c r="Q48" s="35"/>
      <c r="R48" s="35">
        <v>476089.47</v>
      </c>
      <c r="S48" s="35">
        <v>5</v>
      </c>
      <c r="T48" s="35"/>
      <c r="U48" s="35"/>
      <c r="V48" s="85">
        <v>9045700</v>
      </c>
      <c r="W48" s="27"/>
      <c r="X48" s="36">
        <v>9045700</v>
      </c>
      <c r="Y48" s="85">
        <v>9045700</v>
      </c>
      <c r="Z48" s="35"/>
      <c r="AA48" s="35"/>
      <c r="AB48" s="35"/>
      <c r="AC48" s="35"/>
      <c r="AD48" s="35"/>
      <c r="AE48" s="35"/>
      <c r="AF48" s="36"/>
      <c r="AG48" s="35"/>
      <c r="AH48" s="35"/>
      <c r="AI48" s="35"/>
      <c r="AJ48" s="35"/>
      <c r="AK48" s="35"/>
      <c r="AL48" s="35"/>
      <c r="AM48" s="35"/>
      <c r="AN48" s="85"/>
      <c r="AO48" s="27"/>
      <c r="AP48" s="36"/>
      <c r="AQ48" s="85"/>
      <c r="AR48" s="35"/>
      <c r="AS48" s="35">
        <v>8359368.4199999999</v>
      </c>
      <c r="AT48" s="35">
        <v>7941400</v>
      </c>
      <c r="AU48" s="35">
        <v>417968.42</v>
      </c>
      <c r="AV48" s="35">
        <v>7941400</v>
      </c>
      <c r="AW48" s="35"/>
      <c r="AX48" s="36"/>
      <c r="AY48" s="35">
        <v>8359368.4199999999</v>
      </c>
      <c r="AZ48" s="35">
        <v>7941400</v>
      </c>
      <c r="BA48" s="35"/>
      <c r="BB48" s="35">
        <v>417968.42</v>
      </c>
      <c r="BC48" s="35">
        <v>5</v>
      </c>
      <c r="BD48" s="35"/>
      <c r="BE48" s="35"/>
      <c r="BF48" s="85">
        <v>7941400</v>
      </c>
      <c r="BG48" s="27"/>
      <c r="BH48" s="36">
        <v>7941400</v>
      </c>
      <c r="BI48" s="85">
        <v>7941400</v>
      </c>
      <c r="BJ48" s="35"/>
      <c r="BK48" s="35"/>
      <c r="BL48" s="35"/>
      <c r="BM48" s="35"/>
      <c r="BN48" s="35"/>
      <c r="BO48" s="35"/>
      <c r="BP48" s="36"/>
      <c r="BQ48" s="35"/>
      <c r="BR48" s="35"/>
      <c r="BS48" s="35"/>
      <c r="BT48" s="35"/>
      <c r="BU48" s="35"/>
      <c r="BV48" s="35"/>
      <c r="BW48" s="35"/>
      <c r="BX48" s="85"/>
      <c r="BY48" s="27"/>
      <c r="BZ48" s="36"/>
      <c r="CA48" s="85"/>
      <c r="CB48" s="35"/>
      <c r="CC48" s="35">
        <v>41556315.789999999</v>
      </c>
      <c r="CD48" s="35">
        <v>39478500</v>
      </c>
      <c r="CE48" s="35">
        <v>2077815.79</v>
      </c>
      <c r="CF48" s="35">
        <v>39478500</v>
      </c>
      <c r="CG48" s="35"/>
      <c r="CH48" s="36"/>
      <c r="CI48" s="35">
        <v>41556315.789999999</v>
      </c>
      <c r="CJ48" s="35">
        <v>39478500</v>
      </c>
      <c r="CK48" s="35"/>
      <c r="CL48" s="35">
        <v>2077815.79</v>
      </c>
      <c r="CM48" s="35">
        <v>5</v>
      </c>
      <c r="CN48" s="35"/>
      <c r="CO48" s="35"/>
      <c r="CP48" s="85">
        <v>39478500</v>
      </c>
      <c r="CQ48" s="27"/>
      <c r="CR48" s="36">
        <v>39478500</v>
      </c>
      <c r="CS48" s="85">
        <v>39478500</v>
      </c>
      <c r="CT48" s="35"/>
      <c r="CU48" s="35">
        <v>234490736.84</v>
      </c>
      <c r="CV48" s="35">
        <v>222766200</v>
      </c>
      <c r="CW48" s="35">
        <v>11724536.84</v>
      </c>
      <c r="CX48" s="35">
        <v>222766200</v>
      </c>
      <c r="CY48" s="35"/>
      <c r="CZ48" s="36"/>
      <c r="DA48" s="35">
        <v>234490736.84</v>
      </c>
      <c r="DB48" s="35">
        <v>222766200</v>
      </c>
      <c r="DC48" s="35"/>
      <c r="DD48" s="35">
        <v>11724536.84</v>
      </c>
      <c r="DE48" s="35">
        <v>5</v>
      </c>
      <c r="DF48" s="35"/>
      <c r="DG48" s="35"/>
      <c r="DH48" s="85">
        <v>222766200</v>
      </c>
      <c r="DI48" s="27"/>
      <c r="DJ48" s="36">
        <v>222766200</v>
      </c>
      <c r="DK48" s="85">
        <v>222766200</v>
      </c>
      <c r="DL48" s="35"/>
      <c r="DM48" s="35"/>
      <c r="DN48" s="35"/>
      <c r="DO48" s="35"/>
      <c r="DP48" s="35"/>
      <c r="DQ48" s="35"/>
      <c r="DR48" s="36"/>
      <c r="DS48" s="35"/>
      <c r="DT48" s="35"/>
      <c r="DU48" s="35"/>
      <c r="DV48" s="35"/>
      <c r="DW48" s="35"/>
      <c r="DX48" s="35"/>
      <c r="DY48" s="35"/>
      <c r="DZ48" s="85"/>
      <c r="EA48" s="27"/>
      <c r="EB48" s="36"/>
      <c r="EC48" s="85"/>
      <c r="ED48" s="35"/>
      <c r="EE48" s="35"/>
      <c r="EF48" s="35"/>
      <c r="EG48" s="35"/>
      <c r="EH48" s="35"/>
      <c r="EI48" s="35"/>
      <c r="EJ48" s="36"/>
      <c r="EK48" s="35"/>
      <c r="EL48" s="35"/>
      <c r="EM48" s="35"/>
      <c r="EN48" s="35"/>
      <c r="EO48" s="35"/>
      <c r="EP48" s="35"/>
      <c r="EQ48" s="35"/>
      <c r="ER48" s="85"/>
      <c r="ES48" s="27"/>
      <c r="ET48" s="36"/>
      <c r="EU48" s="85"/>
      <c r="EV48" s="35"/>
      <c r="EW48" s="35"/>
      <c r="EX48" s="35"/>
      <c r="EY48" s="35"/>
      <c r="EZ48" s="35"/>
      <c r="FA48" s="35"/>
      <c r="FB48" s="36"/>
      <c r="FC48" s="35"/>
      <c r="FD48" s="35"/>
      <c r="FE48" s="35"/>
      <c r="FF48" s="35"/>
      <c r="FG48" s="35"/>
      <c r="FH48" s="35"/>
      <c r="FI48" s="35"/>
      <c r="FJ48" s="85"/>
      <c r="FK48" s="27"/>
      <c r="FL48" s="36"/>
      <c r="FM48" s="85"/>
      <c r="FN48" s="35"/>
      <c r="FO48" s="35">
        <v>29672706.199999999</v>
      </c>
      <c r="FP48" s="35">
        <v>20471200</v>
      </c>
      <c r="FQ48" s="35">
        <v>9201506.1999999993</v>
      </c>
      <c r="FR48" s="35">
        <v>20471200</v>
      </c>
      <c r="FS48" s="35"/>
      <c r="FT48" s="36"/>
      <c r="FU48" s="35">
        <v>29672706.199999999</v>
      </c>
      <c r="FV48" s="35">
        <v>20471200</v>
      </c>
      <c r="FW48" s="35"/>
      <c r="FX48" s="35">
        <v>9201506.1999999993</v>
      </c>
      <c r="FY48" s="35">
        <v>31.01</v>
      </c>
      <c r="FZ48" s="35"/>
      <c r="GA48" s="35"/>
      <c r="GB48" s="85">
        <v>20471200</v>
      </c>
      <c r="GC48" s="27"/>
      <c r="GD48" s="36">
        <v>20471200</v>
      </c>
      <c r="GE48" s="85">
        <v>20471200</v>
      </c>
      <c r="GF48" s="35"/>
      <c r="GG48" s="35">
        <v>11887210.119999999</v>
      </c>
      <c r="GH48" s="35">
        <v>6766200</v>
      </c>
      <c r="GI48" s="35">
        <v>5121010.12</v>
      </c>
      <c r="GJ48" s="35">
        <v>6766200</v>
      </c>
      <c r="GK48" s="35"/>
      <c r="GL48" s="36"/>
      <c r="GM48" s="35">
        <v>11887210.119999999</v>
      </c>
      <c r="GN48" s="35">
        <v>6766200</v>
      </c>
      <c r="GO48" s="35"/>
      <c r="GP48" s="35">
        <v>5121010.12</v>
      </c>
      <c r="GQ48" s="35">
        <v>43.08</v>
      </c>
      <c r="GR48" s="35"/>
      <c r="GS48" s="35"/>
      <c r="GT48" s="85">
        <v>6766200</v>
      </c>
      <c r="GU48" s="27"/>
      <c r="GV48" s="36">
        <v>6766200</v>
      </c>
      <c r="GW48" s="85">
        <v>6766200</v>
      </c>
      <c r="GX48" s="35"/>
      <c r="GY48" s="35"/>
      <c r="GZ48" s="35"/>
      <c r="HA48" s="35"/>
      <c r="HB48" s="35"/>
      <c r="HC48" s="35">
        <v>424318.44</v>
      </c>
      <c r="HD48" s="36"/>
      <c r="HE48" s="35"/>
      <c r="HF48" s="35"/>
      <c r="HG48" s="35"/>
      <c r="HH48" s="35"/>
      <c r="HI48" s="35"/>
      <c r="HJ48" s="35">
        <v>424318.44</v>
      </c>
      <c r="HK48" s="35">
        <v>0</v>
      </c>
      <c r="HL48" s="85"/>
      <c r="HM48" s="27"/>
      <c r="HN48" s="36"/>
      <c r="HO48" s="85"/>
      <c r="HP48" s="35"/>
      <c r="HQ48" s="35">
        <v>53780714.289999999</v>
      </c>
      <c r="HR48" s="35">
        <v>37646500</v>
      </c>
      <c r="HS48" s="35">
        <v>16134214.289999999</v>
      </c>
      <c r="HT48" s="35">
        <v>37646500</v>
      </c>
      <c r="HU48" s="35"/>
      <c r="HV48" s="36"/>
      <c r="HW48" s="35">
        <v>53780714.289999999</v>
      </c>
      <c r="HX48" s="35">
        <v>37646500</v>
      </c>
      <c r="HY48" s="35"/>
      <c r="HZ48" s="35">
        <v>16134214.289999999</v>
      </c>
      <c r="IA48" s="35">
        <v>30</v>
      </c>
      <c r="IB48" s="35"/>
      <c r="IC48" s="35"/>
      <c r="ID48" s="85">
        <v>37646500</v>
      </c>
      <c r="IE48" s="27"/>
      <c r="IF48" s="36">
        <v>37646500</v>
      </c>
      <c r="IG48" s="85">
        <v>37646500</v>
      </c>
      <c r="IH48" s="35"/>
      <c r="II48" s="35"/>
      <c r="IJ48" s="35"/>
      <c r="IK48" s="35"/>
      <c r="IL48" s="35"/>
      <c r="IM48" s="35"/>
      <c r="IN48" s="36"/>
      <c r="IO48" s="35"/>
      <c r="IP48" s="35"/>
      <c r="IQ48" s="35"/>
      <c r="IR48" s="35"/>
      <c r="IS48" s="35"/>
      <c r="IT48" s="35"/>
      <c r="IU48" s="35"/>
      <c r="IV48" s="85"/>
      <c r="IW48" s="27"/>
      <c r="IX48" s="36"/>
      <c r="IY48" s="85"/>
      <c r="IZ48" s="35"/>
      <c r="JA48" s="35">
        <v>12824285.720000001</v>
      </c>
      <c r="JB48" s="35">
        <v>8977000</v>
      </c>
      <c r="JC48" s="35">
        <v>3847285.72</v>
      </c>
      <c r="JD48" s="35">
        <v>8977000</v>
      </c>
      <c r="JE48" s="35"/>
      <c r="JF48" s="36"/>
      <c r="JG48" s="35">
        <v>12824285.720000001</v>
      </c>
      <c r="JH48" s="35">
        <v>8977000</v>
      </c>
      <c r="JI48" s="35"/>
      <c r="JJ48" s="35">
        <v>3847285.72</v>
      </c>
      <c r="JK48" s="35">
        <v>30</v>
      </c>
      <c r="JL48" s="35"/>
      <c r="JM48" s="35"/>
      <c r="JN48" s="85">
        <v>8977000</v>
      </c>
      <c r="JO48" s="27"/>
      <c r="JP48" s="36">
        <v>8977000</v>
      </c>
      <c r="JQ48" s="85">
        <v>8977000</v>
      </c>
      <c r="JR48" s="35"/>
      <c r="JS48" s="35"/>
      <c r="JT48" s="35"/>
      <c r="JU48" s="35"/>
      <c r="JV48" s="35"/>
      <c r="JW48" s="35"/>
      <c r="JX48" s="36"/>
      <c r="JY48" s="35"/>
      <c r="JZ48" s="35"/>
      <c r="KA48" s="35"/>
      <c r="KB48" s="35"/>
      <c r="KC48" s="35"/>
      <c r="KD48" s="35"/>
      <c r="KE48" s="35"/>
      <c r="KF48" s="85"/>
      <c r="KG48" s="27"/>
      <c r="KH48" s="36"/>
      <c r="KI48" s="85"/>
      <c r="KJ48" s="35"/>
      <c r="KK48" s="35">
        <v>4367968.24</v>
      </c>
      <c r="KL48" s="35">
        <v>2640000</v>
      </c>
      <c r="KM48" s="35">
        <v>1727968.24</v>
      </c>
      <c r="KN48" s="35">
        <v>2640000</v>
      </c>
      <c r="KO48" s="35"/>
      <c r="KP48" s="36"/>
      <c r="KQ48" s="35">
        <v>4367968.24</v>
      </c>
      <c r="KR48" s="35">
        <v>2640000</v>
      </c>
      <c r="KS48" s="35"/>
      <c r="KT48" s="35">
        <v>1727968.24</v>
      </c>
      <c r="KU48" s="35">
        <v>39.56</v>
      </c>
      <c r="KV48" s="35"/>
      <c r="KW48" s="35"/>
      <c r="KX48" s="85">
        <v>2640000</v>
      </c>
      <c r="KY48" s="27"/>
      <c r="KZ48" s="36">
        <v>2640000</v>
      </c>
      <c r="LA48" s="85">
        <v>2640000</v>
      </c>
      <c r="LB48" s="35"/>
      <c r="LC48" s="35"/>
      <c r="LD48" s="35"/>
      <c r="LE48" s="35"/>
      <c r="LF48" s="35"/>
      <c r="LG48" s="35"/>
      <c r="LH48" s="36"/>
      <c r="LI48" s="35"/>
      <c r="LJ48" s="35"/>
      <c r="LK48" s="35"/>
      <c r="LL48" s="35"/>
      <c r="LM48" s="35"/>
      <c r="LN48" s="35"/>
      <c r="LO48" s="35"/>
      <c r="LP48" s="85"/>
      <c r="LQ48" s="27"/>
      <c r="LR48" s="36"/>
      <c r="LS48" s="85"/>
      <c r="LT48" s="35"/>
      <c r="LU48" s="35">
        <v>2462857.14</v>
      </c>
      <c r="LV48" s="35">
        <v>1724000</v>
      </c>
      <c r="LW48" s="35">
        <v>738857.14</v>
      </c>
      <c r="LX48" s="35">
        <v>1724000</v>
      </c>
      <c r="LY48" s="35"/>
      <c r="LZ48" s="36"/>
      <c r="MA48" s="35">
        <v>2462857.14</v>
      </c>
      <c r="MB48" s="35">
        <v>1724000</v>
      </c>
      <c r="MC48" s="35"/>
      <c r="MD48" s="35">
        <v>738857.14</v>
      </c>
      <c r="ME48" s="35">
        <v>30</v>
      </c>
      <c r="MF48" s="35"/>
      <c r="MG48" s="35"/>
      <c r="MH48" s="85">
        <v>1724000</v>
      </c>
      <c r="MI48" s="27"/>
      <c r="MJ48" s="36">
        <v>1724000</v>
      </c>
      <c r="MK48" s="85">
        <v>1724000</v>
      </c>
      <c r="ML48" s="35"/>
      <c r="MM48" s="35"/>
      <c r="MN48" s="35"/>
      <c r="MO48" s="35"/>
      <c r="MP48" s="35"/>
      <c r="MQ48" s="35"/>
      <c r="MR48" s="36"/>
      <c r="MS48" s="35"/>
      <c r="MT48" s="35"/>
      <c r="MU48" s="35"/>
      <c r="MV48" s="35"/>
      <c r="MW48" s="35"/>
      <c r="MX48" s="35"/>
      <c r="MY48" s="35"/>
      <c r="MZ48" s="85"/>
      <c r="NA48" s="27"/>
      <c r="NB48" s="36"/>
      <c r="NC48" s="85"/>
      <c r="ND48" s="35"/>
      <c r="NE48" s="35"/>
      <c r="NF48" s="35"/>
      <c r="NG48" s="35"/>
      <c r="NH48" s="35"/>
      <c r="NI48" s="35"/>
      <c r="NJ48" s="36"/>
      <c r="NK48" s="35"/>
      <c r="NL48" s="35"/>
      <c r="NM48" s="35"/>
      <c r="NN48" s="35"/>
      <c r="NO48" s="35"/>
      <c r="NP48" s="35"/>
      <c r="NQ48" s="35"/>
      <c r="NR48" s="85"/>
      <c r="NS48" s="27"/>
      <c r="NT48" s="36"/>
      <c r="NU48" s="85"/>
      <c r="NV48" s="35"/>
      <c r="NW48" s="35"/>
      <c r="NX48" s="35"/>
      <c r="NY48" s="35"/>
      <c r="NZ48" s="35"/>
      <c r="OA48" s="35"/>
      <c r="OB48" s="36"/>
      <c r="OC48" s="35"/>
      <c r="OD48" s="35"/>
      <c r="OE48" s="35"/>
      <c r="OF48" s="35"/>
      <c r="OG48" s="35"/>
      <c r="OH48" s="35"/>
      <c r="OI48" s="35"/>
      <c r="OJ48" s="85"/>
      <c r="OK48" s="27"/>
      <c r="OL48" s="36"/>
      <c r="OM48" s="85"/>
      <c r="ON48" s="35"/>
      <c r="OO48" s="35"/>
      <c r="OP48" s="35"/>
      <c r="OQ48" s="35"/>
      <c r="OR48" s="35"/>
      <c r="OS48" s="35"/>
      <c r="OT48" s="36"/>
      <c r="OU48" s="35"/>
      <c r="OV48" s="35"/>
      <c r="OW48" s="35"/>
      <c r="OX48" s="35"/>
      <c r="OY48" s="35"/>
      <c r="OZ48" s="35"/>
      <c r="PA48" s="35"/>
      <c r="PB48" s="85"/>
      <c r="PC48" s="27"/>
      <c r="PD48" s="36"/>
      <c r="PE48" s="85"/>
      <c r="PF48" s="35"/>
      <c r="PG48" s="35"/>
      <c r="PH48" s="35"/>
      <c r="PI48" s="35"/>
      <c r="PJ48" s="35"/>
      <c r="PK48" s="35"/>
      <c r="PL48" s="36"/>
      <c r="PM48" s="35"/>
      <c r="PN48" s="35"/>
      <c r="PO48" s="35"/>
      <c r="PP48" s="35"/>
      <c r="PQ48" s="35"/>
      <c r="PR48" s="35"/>
      <c r="PS48" s="35"/>
      <c r="PT48" s="85"/>
      <c r="PU48" s="27"/>
      <c r="PV48" s="36"/>
      <c r="PW48" s="85"/>
      <c r="PX48" s="35"/>
      <c r="PY48" s="35"/>
      <c r="PZ48" s="35"/>
      <c r="QA48" s="35"/>
      <c r="QB48" s="35"/>
      <c r="QC48" s="35">
        <v>125656.89</v>
      </c>
      <c r="QD48" s="36"/>
      <c r="QE48" s="35"/>
      <c r="QF48" s="35"/>
      <c r="QG48" s="35"/>
      <c r="QH48" s="35"/>
      <c r="QI48" s="35"/>
      <c r="QJ48" s="35">
        <v>125656.89</v>
      </c>
      <c r="QK48" s="35">
        <v>0</v>
      </c>
      <c r="QL48" s="85"/>
      <c r="QM48" s="27"/>
      <c r="QN48" s="36"/>
      <c r="QO48" s="85"/>
    </row>
    <row r="49" spans="1:457" x14ac:dyDescent="0.25">
      <c r="A49" s="14" t="s">
        <v>98</v>
      </c>
      <c r="B49" s="175">
        <v>35</v>
      </c>
      <c r="C49" s="16" t="s">
        <v>99</v>
      </c>
      <c r="F49" s="36">
        <v>922264700</v>
      </c>
      <c r="G49" s="85"/>
      <c r="H49" s="35"/>
      <c r="I49" s="35">
        <v>85576587.269999996</v>
      </c>
      <c r="J49" s="35">
        <v>85250300</v>
      </c>
      <c r="K49" s="35">
        <v>326287.27</v>
      </c>
      <c r="L49" s="35">
        <v>74215296.769999996</v>
      </c>
      <c r="M49" s="35"/>
      <c r="N49" s="36"/>
      <c r="O49" s="35">
        <v>74499348.640000001</v>
      </c>
      <c r="P49" s="35">
        <v>74215296.769999996</v>
      </c>
      <c r="Q49" s="35"/>
      <c r="R49" s="35">
        <v>284051.87</v>
      </c>
      <c r="S49" s="35">
        <v>0.38128000000000001</v>
      </c>
      <c r="T49" s="35"/>
      <c r="U49" s="35"/>
      <c r="V49" s="85">
        <v>74215296.769999996</v>
      </c>
      <c r="W49" s="27"/>
      <c r="X49" s="36">
        <v>85250300</v>
      </c>
      <c r="Y49" s="85">
        <v>85250300</v>
      </c>
      <c r="Z49" s="35"/>
      <c r="AA49" s="35"/>
      <c r="AB49" s="35"/>
      <c r="AC49" s="35"/>
      <c r="AD49" s="35"/>
      <c r="AE49" s="35"/>
      <c r="AF49" s="36"/>
      <c r="AG49" s="35"/>
      <c r="AH49" s="35"/>
      <c r="AI49" s="35"/>
      <c r="AJ49" s="35"/>
      <c r="AK49" s="35"/>
      <c r="AL49" s="35"/>
      <c r="AM49" s="35"/>
      <c r="AN49" s="85"/>
      <c r="AO49" s="27"/>
      <c r="AP49" s="36"/>
      <c r="AQ49" s="85"/>
      <c r="AR49" s="35"/>
      <c r="AS49" s="35"/>
      <c r="AT49" s="35"/>
      <c r="AU49" s="35"/>
      <c r="AV49" s="35"/>
      <c r="AW49" s="35"/>
      <c r="AX49" s="36"/>
      <c r="AY49" s="35"/>
      <c r="AZ49" s="35"/>
      <c r="BA49" s="35"/>
      <c r="BB49" s="35"/>
      <c r="BC49" s="35"/>
      <c r="BD49" s="35"/>
      <c r="BE49" s="35"/>
      <c r="BF49" s="85"/>
      <c r="BG49" s="27"/>
      <c r="BH49" s="36"/>
      <c r="BI49" s="85"/>
      <c r="BJ49" s="35"/>
      <c r="BK49" s="35"/>
      <c r="BL49" s="35"/>
      <c r="BM49" s="35"/>
      <c r="BN49" s="35"/>
      <c r="BO49" s="35"/>
      <c r="BP49" s="36"/>
      <c r="BQ49" s="35"/>
      <c r="BR49" s="35"/>
      <c r="BS49" s="35"/>
      <c r="BT49" s="35"/>
      <c r="BU49" s="35"/>
      <c r="BV49" s="35"/>
      <c r="BW49" s="35"/>
      <c r="BX49" s="85"/>
      <c r="BY49" s="27"/>
      <c r="BZ49" s="36"/>
      <c r="CA49" s="85"/>
      <c r="CB49" s="35"/>
      <c r="CC49" s="35">
        <v>66620400</v>
      </c>
      <c r="CD49" s="35">
        <v>63289300</v>
      </c>
      <c r="CE49" s="35">
        <v>3331100</v>
      </c>
      <c r="CF49" s="35">
        <v>63289300</v>
      </c>
      <c r="CG49" s="35"/>
      <c r="CH49" s="36"/>
      <c r="CI49" s="35">
        <v>66620400</v>
      </c>
      <c r="CJ49" s="35">
        <v>63289300</v>
      </c>
      <c r="CK49" s="35"/>
      <c r="CL49" s="35">
        <v>3331100</v>
      </c>
      <c r="CM49" s="35">
        <v>5.0001199999999999</v>
      </c>
      <c r="CN49" s="35"/>
      <c r="CO49" s="35"/>
      <c r="CP49" s="85">
        <v>63289300</v>
      </c>
      <c r="CQ49" s="27"/>
      <c r="CR49" s="36">
        <v>63289300</v>
      </c>
      <c r="CS49" s="85">
        <v>63289300</v>
      </c>
      <c r="CT49" s="35"/>
      <c r="CU49" s="35">
        <v>561083600</v>
      </c>
      <c r="CV49" s="35">
        <v>533028700</v>
      </c>
      <c r="CW49" s="35">
        <v>28054900</v>
      </c>
      <c r="CX49" s="35">
        <v>533028700</v>
      </c>
      <c r="CY49" s="35"/>
      <c r="CZ49" s="36"/>
      <c r="DA49" s="35">
        <v>561083598.11000001</v>
      </c>
      <c r="DB49" s="35">
        <v>533028700</v>
      </c>
      <c r="DC49" s="35"/>
      <c r="DD49" s="35">
        <v>28054898.109999999</v>
      </c>
      <c r="DE49" s="35">
        <v>5.0001300000000004</v>
      </c>
      <c r="DF49" s="35"/>
      <c r="DG49" s="35"/>
      <c r="DH49" s="85">
        <v>533028700</v>
      </c>
      <c r="DI49" s="27"/>
      <c r="DJ49" s="36">
        <v>533028700</v>
      </c>
      <c r="DK49" s="85">
        <v>533028700</v>
      </c>
      <c r="DL49" s="35"/>
      <c r="DM49" s="35"/>
      <c r="DN49" s="35"/>
      <c r="DO49" s="35"/>
      <c r="DP49" s="35"/>
      <c r="DQ49" s="35"/>
      <c r="DR49" s="36"/>
      <c r="DS49" s="35"/>
      <c r="DT49" s="35"/>
      <c r="DU49" s="35"/>
      <c r="DV49" s="35"/>
      <c r="DW49" s="35"/>
      <c r="DX49" s="35"/>
      <c r="DY49" s="35"/>
      <c r="DZ49" s="85"/>
      <c r="EA49" s="27"/>
      <c r="EB49" s="36"/>
      <c r="EC49" s="85"/>
      <c r="ED49" s="35"/>
      <c r="EE49" s="35"/>
      <c r="EF49" s="35"/>
      <c r="EG49" s="35"/>
      <c r="EH49" s="35"/>
      <c r="EI49" s="35"/>
      <c r="EJ49" s="36"/>
      <c r="EK49" s="35"/>
      <c r="EL49" s="35"/>
      <c r="EM49" s="35"/>
      <c r="EN49" s="35"/>
      <c r="EO49" s="35"/>
      <c r="EP49" s="35"/>
      <c r="EQ49" s="35"/>
      <c r="ER49" s="85"/>
      <c r="ES49" s="27"/>
      <c r="ET49" s="36"/>
      <c r="EU49" s="85"/>
      <c r="EV49" s="35"/>
      <c r="EW49" s="35"/>
      <c r="EX49" s="35"/>
      <c r="EY49" s="35"/>
      <c r="EZ49" s="35"/>
      <c r="FA49" s="35"/>
      <c r="FB49" s="36"/>
      <c r="FC49" s="35"/>
      <c r="FD49" s="35"/>
      <c r="FE49" s="35"/>
      <c r="FF49" s="35"/>
      <c r="FG49" s="35"/>
      <c r="FH49" s="35"/>
      <c r="FI49" s="35"/>
      <c r="FJ49" s="85"/>
      <c r="FK49" s="27"/>
      <c r="FL49" s="36"/>
      <c r="FM49" s="85"/>
      <c r="FN49" s="35"/>
      <c r="FO49" s="35">
        <v>237960909.40000001</v>
      </c>
      <c r="FP49" s="35">
        <v>205146100</v>
      </c>
      <c r="FQ49" s="35">
        <v>32814809.399999999</v>
      </c>
      <c r="FR49" s="35">
        <v>205146100</v>
      </c>
      <c r="FS49" s="35">
        <v>5239293.6100000003</v>
      </c>
      <c r="FT49" s="36"/>
      <c r="FU49" s="35">
        <v>237960909.40000001</v>
      </c>
      <c r="FV49" s="35">
        <v>205146100</v>
      </c>
      <c r="FW49" s="35"/>
      <c r="FX49" s="35">
        <v>32814809.399999999</v>
      </c>
      <c r="FY49" s="35">
        <v>13.79</v>
      </c>
      <c r="FZ49" s="35">
        <v>5239293.6100000003</v>
      </c>
      <c r="GA49" s="35">
        <v>0</v>
      </c>
      <c r="GB49" s="85">
        <v>205146100</v>
      </c>
      <c r="GC49" s="27"/>
      <c r="GD49" s="36">
        <v>205146100</v>
      </c>
      <c r="GE49" s="85">
        <v>205146100</v>
      </c>
      <c r="GF49" s="35"/>
      <c r="GG49" s="35">
        <v>7060900</v>
      </c>
      <c r="GH49" s="35">
        <v>4940900</v>
      </c>
      <c r="GI49" s="35">
        <v>2120000</v>
      </c>
      <c r="GJ49" s="35">
        <v>4940900</v>
      </c>
      <c r="GK49" s="35"/>
      <c r="GL49" s="36"/>
      <c r="GM49" s="35">
        <v>7060900</v>
      </c>
      <c r="GN49" s="35">
        <v>4940900</v>
      </c>
      <c r="GO49" s="35"/>
      <c r="GP49" s="35">
        <v>2120000</v>
      </c>
      <c r="GQ49" s="35">
        <v>30.0245</v>
      </c>
      <c r="GR49" s="35"/>
      <c r="GS49" s="35"/>
      <c r="GT49" s="85">
        <v>4940900</v>
      </c>
      <c r="GU49" s="27"/>
      <c r="GV49" s="36">
        <v>4940900</v>
      </c>
      <c r="GW49" s="85">
        <v>4940900</v>
      </c>
      <c r="GX49" s="35"/>
      <c r="GY49" s="35"/>
      <c r="GZ49" s="35"/>
      <c r="HA49" s="35"/>
      <c r="HB49" s="35"/>
      <c r="HC49" s="35">
        <v>68790</v>
      </c>
      <c r="HD49" s="36"/>
      <c r="HE49" s="35"/>
      <c r="HF49" s="35"/>
      <c r="HG49" s="35"/>
      <c r="HH49" s="35"/>
      <c r="HI49" s="35"/>
      <c r="HJ49" s="35">
        <v>68790</v>
      </c>
      <c r="HK49" s="35"/>
      <c r="HL49" s="85"/>
      <c r="HM49" s="27"/>
      <c r="HN49" s="36"/>
      <c r="HO49" s="85"/>
      <c r="HP49" s="35"/>
      <c r="HQ49" s="35">
        <v>36604300</v>
      </c>
      <c r="HR49" s="35">
        <v>25623000</v>
      </c>
      <c r="HS49" s="35">
        <v>10981300</v>
      </c>
      <c r="HT49" s="35">
        <v>25623000</v>
      </c>
      <c r="HU49" s="35"/>
      <c r="HV49" s="36"/>
      <c r="HW49" s="35">
        <v>36604300</v>
      </c>
      <c r="HX49" s="35">
        <v>25623000</v>
      </c>
      <c r="HY49" s="35"/>
      <c r="HZ49" s="35">
        <v>10981300</v>
      </c>
      <c r="IA49" s="35">
        <v>30.000029999999999</v>
      </c>
      <c r="IB49" s="35"/>
      <c r="IC49" s="35"/>
      <c r="ID49" s="85">
        <v>25623000</v>
      </c>
      <c r="IE49" s="27"/>
      <c r="IF49" s="36">
        <v>25623000</v>
      </c>
      <c r="IG49" s="85">
        <v>25623000</v>
      </c>
      <c r="IH49" s="35"/>
      <c r="II49" s="35"/>
      <c r="IJ49" s="35"/>
      <c r="IK49" s="35"/>
      <c r="IL49" s="35"/>
      <c r="IM49" s="35"/>
      <c r="IN49" s="36"/>
      <c r="IO49" s="35"/>
      <c r="IP49" s="35"/>
      <c r="IQ49" s="35"/>
      <c r="IR49" s="35"/>
      <c r="IS49" s="35"/>
      <c r="IT49" s="35"/>
      <c r="IU49" s="35"/>
      <c r="IV49" s="85"/>
      <c r="IW49" s="27"/>
      <c r="IX49" s="36"/>
      <c r="IY49" s="85"/>
      <c r="IZ49" s="35"/>
      <c r="JA49" s="35"/>
      <c r="JB49" s="35"/>
      <c r="JC49" s="35"/>
      <c r="JD49" s="35"/>
      <c r="JE49" s="35"/>
      <c r="JF49" s="36"/>
      <c r="JG49" s="35"/>
      <c r="JH49" s="35"/>
      <c r="JI49" s="35"/>
      <c r="JJ49" s="35"/>
      <c r="JK49" s="35"/>
      <c r="JL49" s="35"/>
      <c r="JM49" s="35"/>
      <c r="JN49" s="85"/>
      <c r="JO49" s="27"/>
      <c r="JP49" s="36"/>
      <c r="JQ49" s="85"/>
      <c r="JR49" s="35"/>
      <c r="JS49" s="35"/>
      <c r="JT49" s="35"/>
      <c r="JU49" s="35"/>
      <c r="JV49" s="35"/>
      <c r="JW49" s="35"/>
      <c r="JX49" s="36"/>
      <c r="JY49" s="35"/>
      <c r="JZ49" s="35"/>
      <c r="KA49" s="35"/>
      <c r="KB49" s="35"/>
      <c r="KC49" s="35"/>
      <c r="KD49" s="35"/>
      <c r="KE49" s="35"/>
      <c r="KF49" s="85"/>
      <c r="KG49" s="27"/>
      <c r="KH49" s="36"/>
      <c r="KI49" s="85"/>
      <c r="KJ49" s="35"/>
      <c r="KK49" s="35"/>
      <c r="KL49" s="35"/>
      <c r="KM49" s="35"/>
      <c r="KN49" s="35"/>
      <c r="KO49" s="35"/>
      <c r="KP49" s="36"/>
      <c r="KQ49" s="35"/>
      <c r="KR49" s="35"/>
      <c r="KS49" s="35"/>
      <c r="KT49" s="35"/>
      <c r="KU49" s="35"/>
      <c r="KV49" s="35"/>
      <c r="KW49" s="35"/>
      <c r="KX49" s="85"/>
      <c r="KY49" s="27"/>
      <c r="KZ49" s="36"/>
      <c r="LA49" s="85"/>
      <c r="LB49" s="35"/>
      <c r="LC49" s="35"/>
      <c r="LD49" s="35"/>
      <c r="LE49" s="35"/>
      <c r="LF49" s="35"/>
      <c r="LG49" s="35"/>
      <c r="LH49" s="36"/>
      <c r="LI49" s="35"/>
      <c r="LJ49" s="35"/>
      <c r="LK49" s="35"/>
      <c r="LL49" s="35"/>
      <c r="LM49" s="35"/>
      <c r="LN49" s="35"/>
      <c r="LO49" s="35"/>
      <c r="LP49" s="85"/>
      <c r="LQ49" s="27"/>
      <c r="LR49" s="36"/>
      <c r="LS49" s="85"/>
      <c r="LT49" s="35"/>
      <c r="LU49" s="35">
        <v>1866600</v>
      </c>
      <c r="LV49" s="35">
        <v>1196500</v>
      </c>
      <c r="LW49" s="35">
        <v>670100</v>
      </c>
      <c r="LX49" s="35">
        <v>1196500</v>
      </c>
      <c r="LY49" s="35"/>
      <c r="LZ49" s="36"/>
      <c r="MA49" s="35">
        <v>1866600</v>
      </c>
      <c r="MB49" s="35">
        <v>1196500</v>
      </c>
      <c r="MC49" s="35"/>
      <c r="MD49" s="35">
        <v>670100</v>
      </c>
      <c r="ME49" s="35">
        <v>35.899500000000003</v>
      </c>
      <c r="MF49" s="35"/>
      <c r="MG49" s="35"/>
      <c r="MH49" s="85">
        <v>1196500</v>
      </c>
      <c r="MI49" s="27"/>
      <c r="MJ49" s="36">
        <v>1196500</v>
      </c>
      <c r="MK49" s="85">
        <v>1196500</v>
      </c>
      <c r="ML49" s="35"/>
      <c r="MM49" s="35"/>
      <c r="MN49" s="35"/>
      <c r="MO49" s="35"/>
      <c r="MP49" s="35"/>
      <c r="MQ49" s="35"/>
      <c r="MR49" s="36"/>
      <c r="MS49" s="35"/>
      <c r="MT49" s="35"/>
      <c r="MU49" s="35"/>
      <c r="MV49" s="35"/>
      <c r="MW49" s="35"/>
      <c r="MX49" s="35"/>
      <c r="MY49" s="35"/>
      <c r="MZ49" s="85"/>
      <c r="NA49" s="27"/>
      <c r="NB49" s="36"/>
      <c r="NC49" s="85"/>
      <c r="ND49" s="35"/>
      <c r="NE49" s="35">
        <v>4230800</v>
      </c>
      <c r="NF49" s="35">
        <v>2961500</v>
      </c>
      <c r="NG49" s="35">
        <v>1269300</v>
      </c>
      <c r="NH49" s="35">
        <v>2961500</v>
      </c>
      <c r="NI49" s="35"/>
      <c r="NJ49" s="36"/>
      <c r="NK49" s="35">
        <v>4230800</v>
      </c>
      <c r="NL49" s="35">
        <v>2961500</v>
      </c>
      <c r="NM49" s="35"/>
      <c r="NN49" s="35">
        <v>1269300</v>
      </c>
      <c r="NO49" s="35">
        <v>30.00142</v>
      </c>
      <c r="NP49" s="35"/>
      <c r="NQ49" s="35"/>
      <c r="NR49" s="85">
        <v>2961500</v>
      </c>
      <c r="NS49" s="27"/>
      <c r="NT49" s="36">
        <v>2961500</v>
      </c>
      <c r="NU49" s="85">
        <v>2961500</v>
      </c>
      <c r="NV49" s="35"/>
      <c r="NW49" s="35"/>
      <c r="NX49" s="35"/>
      <c r="NY49" s="35"/>
      <c r="NZ49" s="35"/>
      <c r="OA49" s="35"/>
      <c r="OB49" s="36"/>
      <c r="OC49" s="35"/>
      <c r="OD49" s="35"/>
      <c r="OE49" s="35"/>
      <c r="OF49" s="35"/>
      <c r="OG49" s="35"/>
      <c r="OH49" s="35"/>
      <c r="OI49" s="35"/>
      <c r="OJ49" s="85"/>
      <c r="OK49" s="27"/>
      <c r="OL49" s="36"/>
      <c r="OM49" s="85"/>
      <c r="ON49" s="35"/>
      <c r="OO49" s="35">
        <v>1218400</v>
      </c>
      <c r="OP49" s="35">
        <v>828400</v>
      </c>
      <c r="OQ49" s="35">
        <v>390000</v>
      </c>
      <c r="OR49" s="35">
        <v>828400</v>
      </c>
      <c r="OS49" s="35"/>
      <c r="OT49" s="36"/>
      <c r="OU49" s="35">
        <v>1218400</v>
      </c>
      <c r="OV49" s="35">
        <v>828400</v>
      </c>
      <c r="OW49" s="35"/>
      <c r="OX49" s="35">
        <v>390000</v>
      </c>
      <c r="OY49" s="35">
        <v>32.009189999999997</v>
      </c>
      <c r="OZ49" s="35"/>
      <c r="PA49" s="35"/>
      <c r="PB49" s="85">
        <v>828400</v>
      </c>
      <c r="PC49" s="27"/>
      <c r="PD49" s="36">
        <v>828400</v>
      </c>
      <c r="PE49" s="85">
        <v>828400</v>
      </c>
      <c r="PF49" s="35"/>
      <c r="PG49" s="35"/>
      <c r="PH49" s="35"/>
      <c r="PI49" s="35"/>
      <c r="PJ49" s="35"/>
      <c r="PK49" s="35"/>
      <c r="PL49" s="36"/>
      <c r="PM49" s="35"/>
      <c r="PN49" s="35"/>
      <c r="PO49" s="35"/>
      <c r="PP49" s="35"/>
      <c r="PQ49" s="35"/>
      <c r="PR49" s="35"/>
      <c r="PS49" s="35"/>
      <c r="PT49" s="85"/>
      <c r="PU49" s="27"/>
      <c r="PV49" s="36"/>
      <c r="PW49" s="85"/>
      <c r="PX49" s="35"/>
      <c r="PY49" s="35"/>
      <c r="PZ49" s="35"/>
      <c r="QA49" s="35"/>
      <c r="QB49" s="35"/>
      <c r="QC49" s="35">
        <v>6903379.7400000002</v>
      </c>
      <c r="QD49" s="36"/>
      <c r="QE49" s="35"/>
      <c r="QF49" s="35"/>
      <c r="QG49" s="35"/>
      <c r="QH49" s="35"/>
      <c r="QI49" s="35"/>
      <c r="QJ49" s="35">
        <v>6903379.7400000002</v>
      </c>
      <c r="QK49" s="35">
        <v>0</v>
      </c>
      <c r="QL49" s="85"/>
      <c r="QM49" s="27"/>
      <c r="QN49" s="36"/>
      <c r="QO49" s="85"/>
    </row>
    <row r="50" spans="1:457" x14ac:dyDescent="0.25">
      <c r="A50" s="8">
        <v>35000000000</v>
      </c>
      <c r="B50" s="173">
        <v>36</v>
      </c>
      <c r="C50" s="63" t="s">
        <v>318</v>
      </c>
      <c r="F50" s="36">
        <v>1910597300</v>
      </c>
      <c r="G50" s="85"/>
      <c r="H50" s="35"/>
      <c r="I50" s="35"/>
      <c r="J50" s="35"/>
      <c r="K50" s="35"/>
      <c r="L50" s="35"/>
      <c r="M50" s="35"/>
      <c r="N50" s="36"/>
      <c r="O50" s="35"/>
      <c r="P50" s="35"/>
      <c r="Q50" s="35"/>
      <c r="R50" s="35"/>
      <c r="S50" s="35"/>
      <c r="T50" s="35"/>
      <c r="U50" s="35"/>
      <c r="V50" s="85"/>
      <c r="W50" s="27"/>
      <c r="X50" s="36"/>
      <c r="Y50" s="85"/>
      <c r="Z50" s="35"/>
      <c r="AA50" s="35"/>
      <c r="AB50" s="35"/>
      <c r="AC50" s="35"/>
      <c r="AD50" s="35"/>
      <c r="AE50" s="35"/>
      <c r="AF50" s="36"/>
      <c r="AG50" s="35"/>
      <c r="AH50" s="35"/>
      <c r="AI50" s="35"/>
      <c r="AJ50" s="35"/>
      <c r="AK50" s="35"/>
      <c r="AL50" s="35"/>
      <c r="AM50" s="35"/>
      <c r="AN50" s="85"/>
      <c r="AO50" s="27"/>
      <c r="AP50" s="36"/>
      <c r="AQ50" s="85"/>
      <c r="AR50" s="35"/>
      <c r="AS50" s="35">
        <v>28405600</v>
      </c>
      <c r="AT50" s="35">
        <v>14202800</v>
      </c>
      <c r="AU50" s="35">
        <v>14202800</v>
      </c>
      <c r="AV50" s="35">
        <v>14202800</v>
      </c>
      <c r="AW50" s="35"/>
      <c r="AX50" s="36"/>
      <c r="AY50" s="35">
        <v>28405600</v>
      </c>
      <c r="AZ50" s="35">
        <v>14202800</v>
      </c>
      <c r="BA50" s="35"/>
      <c r="BB50" s="35">
        <v>14202800</v>
      </c>
      <c r="BC50" s="35">
        <v>50</v>
      </c>
      <c r="BD50" s="35"/>
      <c r="BE50" s="35"/>
      <c r="BF50" s="85">
        <v>14202800</v>
      </c>
      <c r="BG50" s="27"/>
      <c r="BH50" s="36">
        <v>14202800</v>
      </c>
      <c r="BI50" s="85">
        <v>14202800</v>
      </c>
      <c r="BJ50" s="35"/>
      <c r="BK50" s="35">
        <v>126315790</v>
      </c>
      <c r="BL50" s="35">
        <v>120000000</v>
      </c>
      <c r="BM50" s="35">
        <v>6315790</v>
      </c>
      <c r="BN50" s="35">
        <v>120000000</v>
      </c>
      <c r="BO50" s="35"/>
      <c r="BP50" s="36"/>
      <c r="BQ50" s="35">
        <v>126315789.47</v>
      </c>
      <c r="BR50" s="35">
        <v>120000000</v>
      </c>
      <c r="BS50" s="35"/>
      <c r="BT50" s="35">
        <v>6315789.4699999997</v>
      </c>
      <c r="BU50" s="35">
        <v>5</v>
      </c>
      <c r="BV50" s="35"/>
      <c r="BW50" s="35"/>
      <c r="BX50" s="85">
        <v>120000000</v>
      </c>
      <c r="BY50" s="27"/>
      <c r="BZ50" s="36">
        <v>120000000</v>
      </c>
      <c r="CA50" s="85">
        <v>120000000</v>
      </c>
      <c r="CB50" s="35"/>
      <c r="CC50" s="35">
        <v>143756106</v>
      </c>
      <c r="CD50" s="35">
        <v>136568300</v>
      </c>
      <c r="CE50" s="35">
        <v>7187806</v>
      </c>
      <c r="CF50" s="35">
        <v>136568299.25999999</v>
      </c>
      <c r="CG50" s="35"/>
      <c r="CH50" s="36"/>
      <c r="CI50" s="35">
        <v>143756105.25999999</v>
      </c>
      <c r="CJ50" s="35">
        <v>136568299.25999999</v>
      </c>
      <c r="CK50" s="35"/>
      <c r="CL50" s="35">
        <v>7187806</v>
      </c>
      <c r="CM50" s="35">
        <v>5</v>
      </c>
      <c r="CN50" s="35"/>
      <c r="CO50" s="35"/>
      <c r="CP50" s="85">
        <v>136568299.25999999</v>
      </c>
      <c r="CQ50" s="27"/>
      <c r="CR50" s="36">
        <v>136568300</v>
      </c>
      <c r="CS50" s="85">
        <v>136568300</v>
      </c>
      <c r="CT50" s="35"/>
      <c r="CU50" s="35">
        <v>1323559053</v>
      </c>
      <c r="CV50" s="35">
        <v>1257381100</v>
      </c>
      <c r="CW50" s="35">
        <v>66177953</v>
      </c>
      <c r="CX50" s="35">
        <v>1257170132.7299998</v>
      </c>
      <c r="CY50" s="35"/>
      <c r="CZ50" s="36"/>
      <c r="DA50" s="35">
        <v>1323337051.3299999</v>
      </c>
      <c r="DB50" s="35">
        <v>1257170132.7299998</v>
      </c>
      <c r="DC50" s="35"/>
      <c r="DD50" s="35">
        <v>66166918.600000001</v>
      </c>
      <c r="DE50" s="35">
        <v>5</v>
      </c>
      <c r="DF50" s="35"/>
      <c r="DG50" s="35"/>
      <c r="DH50" s="85">
        <v>1257170132.7299998</v>
      </c>
      <c r="DI50" s="27"/>
      <c r="DJ50" s="36">
        <v>1257381100</v>
      </c>
      <c r="DK50" s="85">
        <v>1257381100</v>
      </c>
      <c r="DL50" s="35"/>
      <c r="DM50" s="35">
        <v>84210527</v>
      </c>
      <c r="DN50" s="35">
        <v>80000000</v>
      </c>
      <c r="DO50" s="35">
        <v>4210527</v>
      </c>
      <c r="DP50" s="35">
        <v>80000000</v>
      </c>
      <c r="DQ50" s="35"/>
      <c r="DR50" s="36"/>
      <c r="DS50" s="35">
        <v>84210526.310000002</v>
      </c>
      <c r="DT50" s="35">
        <v>80000000</v>
      </c>
      <c r="DU50" s="35"/>
      <c r="DV50" s="35">
        <v>4210526.3099999996</v>
      </c>
      <c r="DW50" s="35">
        <v>5</v>
      </c>
      <c r="DX50" s="35"/>
      <c r="DY50" s="35"/>
      <c r="DZ50" s="85">
        <v>80000000</v>
      </c>
      <c r="EA50" s="27"/>
      <c r="EB50" s="36">
        <v>80000000</v>
      </c>
      <c r="EC50" s="85">
        <v>80000000</v>
      </c>
      <c r="ED50" s="35"/>
      <c r="EE50" s="35"/>
      <c r="EF50" s="35"/>
      <c r="EG50" s="35"/>
      <c r="EH50" s="35"/>
      <c r="EI50" s="35"/>
      <c r="EJ50" s="36"/>
      <c r="EK50" s="35"/>
      <c r="EL50" s="35"/>
      <c r="EM50" s="35"/>
      <c r="EN50" s="35"/>
      <c r="EO50" s="35"/>
      <c r="EP50" s="35"/>
      <c r="EQ50" s="35"/>
      <c r="ER50" s="85"/>
      <c r="ES50" s="27"/>
      <c r="ET50" s="36"/>
      <c r="EU50" s="85"/>
      <c r="EV50" s="35"/>
      <c r="EW50" s="35"/>
      <c r="EX50" s="35"/>
      <c r="EY50" s="35"/>
      <c r="EZ50" s="35"/>
      <c r="FA50" s="35"/>
      <c r="FB50" s="36"/>
      <c r="FC50" s="35"/>
      <c r="FD50" s="35"/>
      <c r="FE50" s="35"/>
      <c r="FF50" s="35"/>
      <c r="FG50" s="35"/>
      <c r="FH50" s="35"/>
      <c r="FI50" s="35"/>
      <c r="FJ50" s="85"/>
      <c r="FK50" s="27"/>
      <c r="FL50" s="36"/>
      <c r="FM50" s="85"/>
      <c r="FN50" s="35"/>
      <c r="FO50" s="35">
        <v>272335100</v>
      </c>
      <c r="FP50" s="35">
        <v>258024700</v>
      </c>
      <c r="FQ50" s="35">
        <v>14310400</v>
      </c>
      <c r="FR50" s="35">
        <v>153293519.18000001</v>
      </c>
      <c r="FS50" s="35"/>
      <c r="FT50" s="36"/>
      <c r="FU50" s="35">
        <v>161795386.21000001</v>
      </c>
      <c r="FV50" s="35">
        <v>153293519.18000001</v>
      </c>
      <c r="FW50" s="35"/>
      <c r="FX50" s="35">
        <v>8501867.0299999993</v>
      </c>
      <c r="FY50" s="35">
        <v>5.2546999999999997</v>
      </c>
      <c r="FZ50" s="35"/>
      <c r="GA50" s="35"/>
      <c r="GB50" s="85">
        <v>153293519.18000001</v>
      </c>
      <c r="GC50" s="27"/>
      <c r="GD50" s="36">
        <v>258024700</v>
      </c>
      <c r="GE50" s="85">
        <v>258024700</v>
      </c>
      <c r="GF50" s="35"/>
      <c r="GG50" s="35">
        <v>20515300</v>
      </c>
      <c r="GH50" s="35">
        <v>17304800</v>
      </c>
      <c r="GI50" s="35">
        <v>3210500</v>
      </c>
      <c r="GJ50" s="35">
        <v>17304800</v>
      </c>
      <c r="GK50" s="35">
        <v>5477189</v>
      </c>
      <c r="GL50" s="36"/>
      <c r="GM50" s="35">
        <v>20515300</v>
      </c>
      <c r="GN50" s="35">
        <v>17304800</v>
      </c>
      <c r="GO50" s="35"/>
      <c r="GP50" s="35">
        <v>3210500</v>
      </c>
      <c r="GQ50" s="35">
        <v>15.6493</v>
      </c>
      <c r="GR50" s="35">
        <v>5477189</v>
      </c>
      <c r="GS50" s="35"/>
      <c r="GT50" s="85">
        <v>17304800</v>
      </c>
      <c r="GU50" s="27"/>
      <c r="GV50" s="36">
        <v>17304800</v>
      </c>
      <c r="GW50" s="85">
        <v>17304800</v>
      </c>
      <c r="GX50" s="35"/>
      <c r="GY50" s="35"/>
      <c r="GZ50" s="35"/>
      <c r="HA50" s="35"/>
      <c r="HB50" s="35"/>
      <c r="HC50" s="35"/>
      <c r="HD50" s="36"/>
      <c r="HE50" s="35"/>
      <c r="HF50" s="35"/>
      <c r="HG50" s="35"/>
      <c r="HH50" s="35"/>
      <c r="HI50" s="35"/>
      <c r="HJ50" s="35"/>
      <c r="HK50" s="35"/>
      <c r="HL50" s="85"/>
      <c r="HM50" s="27"/>
      <c r="HN50" s="36"/>
      <c r="HO50" s="85"/>
      <c r="HP50" s="35"/>
      <c r="HQ50" s="35">
        <v>14669000</v>
      </c>
      <c r="HR50" s="35">
        <v>12581000</v>
      </c>
      <c r="HS50" s="35">
        <v>2088000</v>
      </c>
      <c r="HT50" s="35">
        <v>11909250.01</v>
      </c>
      <c r="HU50" s="35">
        <v>834774.16</v>
      </c>
      <c r="HV50" s="36"/>
      <c r="HW50" s="35">
        <v>13885763.32</v>
      </c>
      <c r="HX50" s="35">
        <v>11909250.01</v>
      </c>
      <c r="HY50" s="35"/>
      <c r="HZ50" s="35">
        <v>1976513.31</v>
      </c>
      <c r="IA50" s="35">
        <v>14.2341</v>
      </c>
      <c r="IB50" s="35">
        <v>834774.16</v>
      </c>
      <c r="IC50" s="35"/>
      <c r="ID50" s="85">
        <v>11909250.01</v>
      </c>
      <c r="IE50" s="27"/>
      <c r="IF50" s="36">
        <v>12581000</v>
      </c>
      <c r="IG50" s="85">
        <v>12581000</v>
      </c>
      <c r="IH50" s="35"/>
      <c r="II50" s="35"/>
      <c r="IJ50" s="35"/>
      <c r="IK50" s="35"/>
      <c r="IL50" s="35"/>
      <c r="IM50" s="35"/>
      <c r="IN50" s="36"/>
      <c r="IO50" s="35"/>
      <c r="IP50" s="35"/>
      <c r="IQ50" s="35"/>
      <c r="IR50" s="35"/>
      <c r="IS50" s="35"/>
      <c r="IT50" s="35"/>
      <c r="IU50" s="35"/>
      <c r="IV50" s="85"/>
      <c r="IW50" s="27"/>
      <c r="IX50" s="36"/>
      <c r="IY50" s="85"/>
      <c r="IZ50" s="35"/>
      <c r="JA50" s="35"/>
      <c r="JB50" s="35"/>
      <c r="JC50" s="35"/>
      <c r="JD50" s="35"/>
      <c r="JE50" s="35"/>
      <c r="JF50" s="36"/>
      <c r="JG50" s="35"/>
      <c r="JH50" s="35"/>
      <c r="JI50" s="35"/>
      <c r="JJ50" s="35"/>
      <c r="JK50" s="35"/>
      <c r="JL50" s="35"/>
      <c r="JM50" s="35"/>
      <c r="JN50" s="85"/>
      <c r="JO50" s="27"/>
      <c r="JP50" s="36"/>
      <c r="JQ50" s="85"/>
      <c r="JR50" s="35"/>
      <c r="JS50" s="35"/>
      <c r="JT50" s="35"/>
      <c r="JU50" s="35"/>
      <c r="JV50" s="35"/>
      <c r="JW50" s="35"/>
      <c r="JX50" s="36"/>
      <c r="JY50" s="35"/>
      <c r="JZ50" s="35"/>
      <c r="KA50" s="35"/>
      <c r="KB50" s="35"/>
      <c r="KC50" s="35"/>
      <c r="KD50" s="35"/>
      <c r="KE50" s="35"/>
      <c r="KF50" s="85"/>
      <c r="KG50" s="27"/>
      <c r="KH50" s="36"/>
      <c r="KI50" s="85"/>
      <c r="KJ50" s="35"/>
      <c r="KK50" s="35"/>
      <c r="KL50" s="35"/>
      <c r="KM50" s="35"/>
      <c r="KN50" s="35"/>
      <c r="KO50" s="35"/>
      <c r="KP50" s="36"/>
      <c r="KQ50" s="35"/>
      <c r="KR50" s="35"/>
      <c r="KS50" s="35"/>
      <c r="KT50" s="35"/>
      <c r="KU50" s="35"/>
      <c r="KV50" s="35"/>
      <c r="KW50" s="35"/>
      <c r="KX50" s="85"/>
      <c r="KY50" s="27"/>
      <c r="KZ50" s="36"/>
      <c r="LA50" s="85"/>
      <c r="LB50" s="35"/>
      <c r="LC50" s="35"/>
      <c r="LD50" s="35"/>
      <c r="LE50" s="35"/>
      <c r="LF50" s="35"/>
      <c r="LG50" s="35"/>
      <c r="LH50" s="36"/>
      <c r="LI50" s="35"/>
      <c r="LJ50" s="35"/>
      <c r="LK50" s="35"/>
      <c r="LL50" s="35"/>
      <c r="LM50" s="35"/>
      <c r="LN50" s="35"/>
      <c r="LO50" s="35"/>
      <c r="LP50" s="85"/>
      <c r="LQ50" s="27"/>
      <c r="LR50" s="36"/>
      <c r="LS50" s="85"/>
      <c r="LT50" s="35"/>
      <c r="LU50" s="35">
        <v>11730200</v>
      </c>
      <c r="LV50" s="35">
        <v>9706000</v>
      </c>
      <c r="LW50" s="35">
        <v>2024200</v>
      </c>
      <c r="LX50" s="35">
        <v>7440474.71</v>
      </c>
      <c r="LY50" s="35"/>
      <c r="LZ50" s="36"/>
      <c r="MA50" s="35">
        <v>8992196.2300000004</v>
      </c>
      <c r="MB50" s="35">
        <v>7440474.71</v>
      </c>
      <c r="MC50" s="35"/>
      <c r="MD50" s="35">
        <v>1551721.52</v>
      </c>
      <c r="ME50" s="35">
        <v>17.256309999999999</v>
      </c>
      <c r="MF50" s="35"/>
      <c r="MG50" s="35"/>
      <c r="MH50" s="85">
        <v>7440474.71</v>
      </c>
      <c r="MI50" s="27"/>
      <c r="MJ50" s="36">
        <v>9706000</v>
      </c>
      <c r="MK50" s="85">
        <v>9706000</v>
      </c>
      <c r="ML50" s="35"/>
      <c r="MM50" s="35"/>
      <c r="MN50" s="35"/>
      <c r="MO50" s="35"/>
      <c r="MP50" s="35"/>
      <c r="MQ50" s="35"/>
      <c r="MR50" s="36"/>
      <c r="MS50" s="35"/>
      <c r="MT50" s="35"/>
      <c r="MU50" s="35"/>
      <c r="MV50" s="35"/>
      <c r="MW50" s="35"/>
      <c r="MX50" s="35"/>
      <c r="MY50" s="35"/>
      <c r="MZ50" s="85"/>
      <c r="NA50" s="27"/>
      <c r="NB50" s="36"/>
      <c r="NC50" s="85"/>
      <c r="ND50" s="35"/>
      <c r="NE50" s="35"/>
      <c r="NF50" s="35"/>
      <c r="NG50" s="35"/>
      <c r="NH50" s="35"/>
      <c r="NI50" s="35"/>
      <c r="NJ50" s="36"/>
      <c r="NK50" s="35"/>
      <c r="NL50" s="35"/>
      <c r="NM50" s="35"/>
      <c r="NN50" s="35"/>
      <c r="NO50" s="35"/>
      <c r="NP50" s="35"/>
      <c r="NQ50" s="35"/>
      <c r="NR50" s="85"/>
      <c r="NS50" s="27"/>
      <c r="NT50" s="36"/>
      <c r="NU50" s="85"/>
      <c r="NV50" s="35"/>
      <c r="NW50" s="35"/>
      <c r="NX50" s="35"/>
      <c r="NY50" s="35"/>
      <c r="NZ50" s="35"/>
      <c r="OA50" s="35"/>
      <c r="OB50" s="36"/>
      <c r="OC50" s="35"/>
      <c r="OD50" s="35"/>
      <c r="OE50" s="35"/>
      <c r="OF50" s="35"/>
      <c r="OG50" s="35"/>
      <c r="OH50" s="35"/>
      <c r="OI50" s="35"/>
      <c r="OJ50" s="85"/>
      <c r="OK50" s="27"/>
      <c r="OL50" s="36"/>
      <c r="OM50" s="85"/>
      <c r="ON50" s="35"/>
      <c r="OO50" s="35">
        <v>7364100</v>
      </c>
      <c r="OP50" s="35">
        <v>4828600</v>
      </c>
      <c r="OQ50" s="35">
        <v>2535500</v>
      </c>
      <c r="OR50" s="35">
        <v>4828600</v>
      </c>
      <c r="OS50" s="35"/>
      <c r="OT50" s="36"/>
      <c r="OU50" s="35">
        <v>7363066.9500000002</v>
      </c>
      <c r="OV50" s="35">
        <v>4827922.58</v>
      </c>
      <c r="OW50" s="35"/>
      <c r="OX50" s="35">
        <v>2535144.37</v>
      </c>
      <c r="OY50" s="35">
        <v>34.430549999999997</v>
      </c>
      <c r="OZ50" s="35"/>
      <c r="PA50" s="35">
        <v>677.42</v>
      </c>
      <c r="PB50" s="85">
        <v>4827922.58</v>
      </c>
      <c r="PC50" s="27"/>
      <c r="PD50" s="36">
        <v>4828600</v>
      </c>
      <c r="PE50" s="85">
        <v>4828600</v>
      </c>
      <c r="PF50" s="35"/>
      <c r="PG50" s="35"/>
      <c r="PH50" s="35"/>
      <c r="PI50" s="35"/>
      <c r="PJ50" s="35"/>
      <c r="PK50" s="35"/>
      <c r="PL50" s="36"/>
      <c r="PM50" s="35"/>
      <c r="PN50" s="35"/>
      <c r="PO50" s="35"/>
      <c r="PP50" s="35"/>
      <c r="PQ50" s="35"/>
      <c r="PR50" s="35"/>
      <c r="PS50" s="35"/>
      <c r="PT50" s="85"/>
      <c r="PU50" s="27"/>
      <c r="PV50" s="36"/>
      <c r="PW50" s="85"/>
      <c r="PX50" s="35"/>
      <c r="PY50" s="35"/>
      <c r="PZ50" s="35"/>
      <c r="QA50" s="35"/>
      <c r="QB50" s="35"/>
      <c r="QC50" s="35">
        <v>37255451.289999999</v>
      </c>
      <c r="QD50" s="36"/>
      <c r="QE50" s="35"/>
      <c r="QF50" s="35"/>
      <c r="QG50" s="35"/>
      <c r="QH50" s="35"/>
      <c r="QI50" s="35"/>
      <c r="QJ50" s="35">
        <v>37255451.289999999</v>
      </c>
      <c r="QK50" s="35"/>
      <c r="QL50" s="85"/>
      <c r="QM50" s="27"/>
      <c r="QN50" s="36"/>
      <c r="QO50" s="85"/>
    </row>
    <row r="51" spans="1:457" x14ac:dyDescent="0.25">
      <c r="A51" s="14" t="s">
        <v>100</v>
      </c>
      <c r="B51" s="175">
        <v>37</v>
      </c>
      <c r="C51" s="16" t="s">
        <v>101</v>
      </c>
      <c r="F51" s="36">
        <v>4465127500</v>
      </c>
      <c r="G51" s="85"/>
      <c r="H51" s="35"/>
      <c r="I51" s="35">
        <v>1348040900</v>
      </c>
      <c r="J51" s="35">
        <v>1144040200</v>
      </c>
      <c r="K51" s="35">
        <v>204000700</v>
      </c>
      <c r="L51" s="35">
        <v>1144040200</v>
      </c>
      <c r="M51" s="35"/>
      <c r="N51" s="36"/>
      <c r="O51" s="35">
        <v>1348040900</v>
      </c>
      <c r="P51" s="35">
        <v>1144040200</v>
      </c>
      <c r="Q51" s="35"/>
      <c r="R51" s="35">
        <v>204000700</v>
      </c>
      <c r="S51" s="35">
        <v>15.13312</v>
      </c>
      <c r="T51" s="35"/>
      <c r="U51" s="35"/>
      <c r="V51" s="85">
        <v>1144040200</v>
      </c>
      <c r="W51" s="27"/>
      <c r="X51" s="36">
        <v>1144040200</v>
      </c>
      <c r="Y51" s="85">
        <v>1144040200</v>
      </c>
      <c r="Z51" s="35"/>
      <c r="AA51" s="35"/>
      <c r="AB51" s="35"/>
      <c r="AC51" s="35"/>
      <c r="AD51" s="35"/>
      <c r="AE51" s="35"/>
      <c r="AF51" s="36"/>
      <c r="AG51" s="35"/>
      <c r="AH51" s="35"/>
      <c r="AI51" s="35"/>
      <c r="AJ51" s="35"/>
      <c r="AK51" s="35"/>
      <c r="AL51" s="35"/>
      <c r="AM51" s="35"/>
      <c r="AN51" s="85"/>
      <c r="AO51" s="27"/>
      <c r="AP51" s="36"/>
      <c r="AQ51" s="85"/>
      <c r="AR51" s="35"/>
      <c r="AS51" s="35">
        <v>470112700</v>
      </c>
      <c r="AT51" s="35">
        <v>446607000</v>
      </c>
      <c r="AU51" s="35">
        <v>23505700</v>
      </c>
      <c r="AV51" s="35">
        <v>446607000</v>
      </c>
      <c r="AW51" s="35"/>
      <c r="AX51" s="36"/>
      <c r="AY51" s="35">
        <v>470112700</v>
      </c>
      <c r="AZ51" s="35">
        <v>446607000</v>
      </c>
      <c r="BA51" s="35"/>
      <c r="BB51" s="35">
        <v>23505700</v>
      </c>
      <c r="BC51" s="35">
        <v>5.0000099999999996</v>
      </c>
      <c r="BD51" s="35"/>
      <c r="BE51" s="35"/>
      <c r="BF51" s="85">
        <v>446607000</v>
      </c>
      <c r="BG51" s="27"/>
      <c r="BH51" s="36">
        <v>446607000</v>
      </c>
      <c r="BI51" s="85">
        <v>446607000</v>
      </c>
      <c r="BJ51" s="35"/>
      <c r="BK51" s="35"/>
      <c r="BL51" s="35"/>
      <c r="BM51" s="35"/>
      <c r="BN51" s="35"/>
      <c r="BO51" s="35"/>
      <c r="BP51" s="36"/>
      <c r="BQ51" s="35"/>
      <c r="BR51" s="35"/>
      <c r="BS51" s="35"/>
      <c r="BT51" s="35"/>
      <c r="BU51" s="35"/>
      <c r="BV51" s="35"/>
      <c r="BW51" s="35"/>
      <c r="BX51" s="85"/>
      <c r="BY51" s="27"/>
      <c r="BZ51" s="36"/>
      <c r="CA51" s="85"/>
      <c r="CB51" s="35"/>
      <c r="CC51" s="35">
        <v>155976900</v>
      </c>
      <c r="CD51" s="35">
        <v>148178000</v>
      </c>
      <c r="CE51" s="35">
        <v>7798900</v>
      </c>
      <c r="CF51" s="35">
        <v>148178000</v>
      </c>
      <c r="CG51" s="35"/>
      <c r="CH51" s="36"/>
      <c r="CI51" s="35">
        <v>155976900</v>
      </c>
      <c r="CJ51" s="35">
        <v>148178000</v>
      </c>
      <c r="CK51" s="35"/>
      <c r="CL51" s="35">
        <v>7798900</v>
      </c>
      <c r="CM51" s="35">
        <v>5.0000400000000003</v>
      </c>
      <c r="CN51" s="35"/>
      <c r="CO51" s="35"/>
      <c r="CP51" s="85">
        <v>148178000</v>
      </c>
      <c r="CQ51" s="27"/>
      <c r="CR51" s="36">
        <v>148178000</v>
      </c>
      <c r="CS51" s="85">
        <v>148178000</v>
      </c>
      <c r="CT51" s="35"/>
      <c r="CU51" s="35">
        <v>1748335900</v>
      </c>
      <c r="CV51" s="35">
        <v>1660918900</v>
      </c>
      <c r="CW51" s="35">
        <v>87417000</v>
      </c>
      <c r="CX51" s="35">
        <v>1659491552.05</v>
      </c>
      <c r="CY51" s="35"/>
      <c r="CZ51" s="36"/>
      <c r="DA51" s="35">
        <v>1746833433.3100002</v>
      </c>
      <c r="DB51" s="35">
        <v>1659491552.05</v>
      </c>
      <c r="DC51" s="35"/>
      <c r="DD51" s="35">
        <v>87341881.260000005</v>
      </c>
      <c r="DE51" s="35">
        <v>5.0000099999999996</v>
      </c>
      <c r="DF51" s="35"/>
      <c r="DG51" s="35"/>
      <c r="DH51" s="85">
        <v>1659491552.05</v>
      </c>
      <c r="DI51" s="27"/>
      <c r="DJ51" s="36">
        <v>1660918900</v>
      </c>
      <c r="DK51" s="85">
        <v>1660918900</v>
      </c>
      <c r="DL51" s="35"/>
      <c r="DM51" s="35"/>
      <c r="DN51" s="35"/>
      <c r="DO51" s="35"/>
      <c r="DP51" s="35"/>
      <c r="DQ51" s="35"/>
      <c r="DR51" s="36"/>
      <c r="DS51" s="35"/>
      <c r="DT51" s="35"/>
      <c r="DU51" s="35"/>
      <c r="DV51" s="35"/>
      <c r="DW51" s="35"/>
      <c r="DX51" s="35"/>
      <c r="DY51" s="35"/>
      <c r="DZ51" s="85"/>
      <c r="EA51" s="27"/>
      <c r="EB51" s="36"/>
      <c r="EC51" s="85"/>
      <c r="ED51" s="35"/>
      <c r="EE51" s="35">
        <v>869126900</v>
      </c>
      <c r="EF51" s="35">
        <v>825670500</v>
      </c>
      <c r="EG51" s="35">
        <v>43456400</v>
      </c>
      <c r="EH51" s="35">
        <v>793225124.34000003</v>
      </c>
      <c r="EI51" s="35"/>
      <c r="EJ51" s="36"/>
      <c r="EK51" s="35">
        <v>834973870.28999996</v>
      </c>
      <c r="EL51" s="35">
        <v>793213159.21000004</v>
      </c>
      <c r="EM51" s="35"/>
      <c r="EN51" s="35">
        <v>41760711.079999998</v>
      </c>
      <c r="EO51" s="35">
        <v>5.0014399999999997</v>
      </c>
      <c r="EP51" s="35"/>
      <c r="EQ51" s="35">
        <v>11965.13</v>
      </c>
      <c r="ER51" s="85">
        <v>793213159.21000004</v>
      </c>
      <c r="ES51" s="27"/>
      <c r="ET51" s="36">
        <v>825670500</v>
      </c>
      <c r="EU51" s="85">
        <v>825670500</v>
      </c>
      <c r="EV51" s="35"/>
      <c r="EW51" s="35"/>
      <c r="EX51" s="35"/>
      <c r="EY51" s="35"/>
      <c r="EZ51" s="35"/>
      <c r="FA51" s="35"/>
      <c r="FB51" s="36"/>
      <c r="FC51" s="35"/>
      <c r="FD51" s="35"/>
      <c r="FE51" s="35"/>
      <c r="FF51" s="35"/>
      <c r="FG51" s="35"/>
      <c r="FH51" s="35"/>
      <c r="FI51" s="35"/>
      <c r="FJ51" s="85"/>
      <c r="FK51" s="27"/>
      <c r="FL51" s="36"/>
      <c r="FM51" s="85"/>
      <c r="FN51" s="35"/>
      <c r="FO51" s="35">
        <v>184152100</v>
      </c>
      <c r="FP51" s="35">
        <v>141272100</v>
      </c>
      <c r="FQ51" s="35">
        <v>42880000</v>
      </c>
      <c r="FR51" s="35">
        <v>141272099.37</v>
      </c>
      <c r="FS51" s="35"/>
      <c r="FT51" s="36"/>
      <c r="FU51" s="35">
        <v>184152099.37</v>
      </c>
      <c r="FV51" s="35">
        <v>141272099.37</v>
      </c>
      <c r="FW51" s="35"/>
      <c r="FX51" s="35">
        <v>42880000</v>
      </c>
      <c r="FY51" s="35">
        <v>23.2851</v>
      </c>
      <c r="FZ51" s="35"/>
      <c r="GA51" s="35">
        <v>0</v>
      </c>
      <c r="GB51" s="85">
        <v>141272099.37</v>
      </c>
      <c r="GC51" s="27"/>
      <c r="GD51" s="36">
        <v>141272100</v>
      </c>
      <c r="GE51" s="85">
        <v>141272100</v>
      </c>
      <c r="GF51" s="35"/>
      <c r="GG51" s="35">
        <v>54765700</v>
      </c>
      <c r="GH51" s="35">
        <v>34595800</v>
      </c>
      <c r="GI51" s="35">
        <v>20169900</v>
      </c>
      <c r="GJ51" s="35">
        <v>34595800</v>
      </c>
      <c r="GK51" s="35">
        <v>1954259.25</v>
      </c>
      <c r="GL51" s="36"/>
      <c r="GM51" s="35">
        <v>54765700</v>
      </c>
      <c r="GN51" s="35">
        <v>34595800</v>
      </c>
      <c r="GO51" s="35"/>
      <c r="GP51" s="35">
        <v>20169900</v>
      </c>
      <c r="GQ51" s="35">
        <v>36.829439999999998</v>
      </c>
      <c r="GR51" s="35">
        <v>1954259.25</v>
      </c>
      <c r="GS51" s="35"/>
      <c r="GT51" s="85">
        <v>34595800</v>
      </c>
      <c r="GU51" s="27"/>
      <c r="GV51" s="36">
        <v>34595800</v>
      </c>
      <c r="GW51" s="85">
        <v>34595800</v>
      </c>
      <c r="GX51" s="35"/>
      <c r="GY51" s="35"/>
      <c r="GZ51" s="35"/>
      <c r="HA51" s="35"/>
      <c r="HB51" s="35"/>
      <c r="HC51" s="35">
        <v>614852.53</v>
      </c>
      <c r="HD51" s="36"/>
      <c r="HE51" s="35"/>
      <c r="HF51" s="35"/>
      <c r="HG51" s="35"/>
      <c r="HH51" s="35"/>
      <c r="HI51" s="35"/>
      <c r="HJ51" s="35">
        <v>610963.53</v>
      </c>
      <c r="HK51" s="35">
        <v>3889</v>
      </c>
      <c r="HL51" s="85"/>
      <c r="HM51" s="27"/>
      <c r="HN51" s="36"/>
      <c r="HO51" s="85"/>
      <c r="HP51" s="35"/>
      <c r="HQ51" s="35">
        <v>43679800</v>
      </c>
      <c r="HR51" s="35">
        <v>26106000</v>
      </c>
      <c r="HS51" s="35">
        <v>17573800</v>
      </c>
      <c r="HT51" s="35">
        <v>26106000</v>
      </c>
      <c r="HU51" s="35">
        <v>16718.88</v>
      </c>
      <c r="HV51" s="36"/>
      <c r="HW51" s="35">
        <v>43679800</v>
      </c>
      <c r="HX51" s="35">
        <v>26106000</v>
      </c>
      <c r="HY51" s="35"/>
      <c r="HZ51" s="35">
        <v>17573800</v>
      </c>
      <c r="IA51" s="35">
        <v>40.233240000000002</v>
      </c>
      <c r="IB51" s="35">
        <v>16718.88</v>
      </c>
      <c r="IC51" s="35"/>
      <c r="ID51" s="85">
        <v>26106000</v>
      </c>
      <c r="IE51" s="27"/>
      <c r="IF51" s="36">
        <v>26106000</v>
      </c>
      <c r="IG51" s="85">
        <v>26106000</v>
      </c>
      <c r="IH51" s="35"/>
      <c r="II51" s="35"/>
      <c r="IJ51" s="35"/>
      <c r="IK51" s="35"/>
      <c r="IL51" s="35"/>
      <c r="IM51" s="35">
        <v>0</v>
      </c>
      <c r="IN51" s="36"/>
      <c r="IO51" s="35"/>
      <c r="IP51" s="35"/>
      <c r="IQ51" s="35"/>
      <c r="IR51" s="35"/>
      <c r="IS51" s="35"/>
      <c r="IT51" s="35">
        <v>0</v>
      </c>
      <c r="IU51" s="35"/>
      <c r="IV51" s="85"/>
      <c r="IW51" s="27"/>
      <c r="IX51" s="36"/>
      <c r="IY51" s="85"/>
      <c r="IZ51" s="35"/>
      <c r="JA51" s="35"/>
      <c r="JB51" s="35"/>
      <c r="JC51" s="35"/>
      <c r="JD51" s="35"/>
      <c r="JE51" s="35"/>
      <c r="JF51" s="36"/>
      <c r="JG51" s="35"/>
      <c r="JH51" s="35"/>
      <c r="JI51" s="35"/>
      <c r="JJ51" s="35"/>
      <c r="JK51" s="35"/>
      <c r="JL51" s="35"/>
      <c r="JM51" s="35"/>
      <c r="JN51" s="85"/>
      <c r="JO51" s="27"/>
      <c r="JP51" s="36"/>
      <c r="JQ51" s="85"/>
      <c r="JR51" s="35"/>
      <c r="JS51" s="35"/>
      <c r="JT51" s="35"/>
      <c r="JU51" s="35"/>
      <c r="JV51" s="35"/>
      <c r="JW51" s="35"/>
      <c r="JX51" s="36"/>
      <c r="JY51" s="35"/>
      <c r="JZ51" s="35"/>
      <c r="KA51" s="35"/>
      <c r="KB51" s="35"/>
      <c r="KC51" s="35"/>
      <c r="KD51" s="35"/>
      <c r="KE51" s="35"/>
      <c r="KF51" s="85"/>
      <c r="KG51" s="27"/>
      <c r="KH51" s="36"/>
      <c r="KI51" s="85"/>
      <c r="KJ51" s="35"/>
      <c r="KK51" s="35">
        <v>29207300</v>
      </c>
      <c r="KL51" s="35">
        <v>20445000</v>
      </c>
      <c r="KM51" s="35">
        <v>8762300</v>
      </c>
      <c r="KN51" s="35">
        <v>20444999.879999999</v>
      </c>
      <c r="KO51" s="35">
        <v>76059</v>
      </c>
      <c r="KP51" s="36"/>
      <c r="KQ51" s="35">
        <v>29207299.879999999</v>
      </c>
      <c r="KR51" s="35">
        <v>20444999.879999999</v>
      </c>
      <c r="KS51" s="35"/>
      <c r="KT51" s="35">
        <v>8762300</v>
      </c>
      <c r="KU51" s="35">
        <v>30.00038</v>
      </c>
      <c r="KV51" s="35">
        <v>76059</v>
      </c>
      <c r="KW51" s="35">
        <v>0</v>
      </c>
      <c r="KX51" s="85">
        <v>20444999.879999999</v>
      </c>
      <c r="KY51" s="27"/>
      <c r="KZ51" s="36">
        <v>20445000</v>
      </c>
      <c r="LA51" s="85">
        <v>20445000</v>
      </c>
      <c r="LB51" s="35"/>
      <c r="LC51" s="35"/>
      <c r="LD51" s="35"/>
      <c r="LE51" s="35"/>
      <c r="LF51" s="35"/>
      <c r="LG51" s="35">
        <v>0</v>
      </c>
      <c r="LH51" s="36"/>
      <c r="LI51" s="35"/>
      <c r="LJ51" s="35"/>
      <c r="LK51" s="35"/>
      <c r="LL51" s="35"/>
      <c r="LM51" s="35"/>
      <c r="LN51" s="35">
        <v>0</v>
      </c>
      <c r="LO51" s="35"/>
      <c r="LP51" s="85"/>
      <c r="LQ51" s="27"/>
      <c r="LR51" s="36"/>
      <c r="LS51" s="85"/>
      <c r="LT51" s="35"/>
      <c r="LU51" s="35">
        <v>24705800</v>
      </c>
      <c r="LV51" s="35">
        <v>17294000</v>
      </c>
      <c r="LW51" s="35">
        <v>7411800</v>
      </c>
      <c r="LX51" s="35">
        <v>17293999.940000001</v>
      </c>
      <c r="LY51" s="35"/>
      <c r="LZ51" s="36"/>
      <c r="MA51" s="35">
        <v>24705799.940000001</v>
      </c>
      <c r="MB51" s="35">
        <v>17293999.940000001</v>
      </c>
      <c r="MC51" s="35"/>
      <c r="MD51" s="35">
        <v>7411800</v>
      </c>
      <c r="ME51" s="35">
        <v>30.000240000000002</v>
      </c>
      <c r="MF51" s="35"/>
      <c r="MG51" s="35">
        <v>0</v>
      </c>
      <c r="MH51" s="85">
        <v>17293999.940000001</v>
      </c>
      <c r="MI51" s="27"/>
      <c r="MJ51" s="36">
        <v>17294000</v>
      </c>
      <c r="MK51" s="85">
        <v>17294000</v>
      </c>
      <c r="ML51" s="35"/>
      <c r="MM51" s="35"/>
      <c r="MN51" s="35"/>
      <c r="MO51" s="35"/>
      <c r="MP51" s="35"/>
      <c r="MQ51" s="35"/>
      <c r="MR51" s="36"/>
      <c r="MS51" s="35"/>
      <c r="MT51" s="35"/>
      <c r="MU51" s="35"/>
      <c r="MV51" s="35"/>
      <c r="MW51" s="35"/>
      <c r="MX51" s="35"/>
      <c r="MY51" s="35"/>
      <c r="MZ51" s="85"/>
      <c r="NA51" s="27"/>
      <c r="NB51" s="36"/>
      <c r="NC51" s="85"/>
      <c r="ND51" s="35"/>
      <c r="NE51" s="35"/>
      <c r="NF51" s="35"/>
      <c r="NG51" s="35"/>
      <c r="NH51" s="35"/>
      <c r="NI51" s="35"/>
      <c r="NJ51" s="36"/>
      <c r="NK51" s="35"/>
      <c r="NL51" s="35"/>
      <c r="NM51" s="35"/>
      <c r="NN51" s="35"/>
      <c r="NO51" s="35"/>
      <c r="NP51" s="35"/>
      <c r="NQ51" s="35"/>
      <c r="NR51" s="85"/>
      <c r="NS51" s="27"/>
      <c r="NT51" s="36"/>
      <c r="NU51" s="85"/>
      <c r="NV51" s="35"/>
      <c r="NW51" s="35"/>
      <c r="NX51" s="35"/>
      <c r="NY51" s="35"/>
      <c r="NZ51" s="35"/>
      <c r="OA51" s="35"/>
      <c r="OB51" s="36"/>
      <c r="OC51" s="35"/>
      <c r="OD51" s="35"/>
      <c r="OE51" s="35"/>
      <c r="OF51" s="35"/>
      <c r="OG51" s="35"/>
      <c r="OH51" s="35"/>
      <c r="OI51" s="35"/>
      <c r="OJ51" s="85"/>
      <c r="OK51" s="27"/>
      <c r="OL51" s="36"/>
      <c r="OM51" s="85"/>
      <c r="ON51" s="35"/>
      <c r="OO51" s="35"/>
      <c r="OP51" s="35"/>
      <c r="OQ51" s="35"/>
      <c r="OR51" s="35"/>
      <c r="OS51" s="35"/>
      <c r="OT51" s="36"/>
      <c r="OU51" s="35"/>
      <c r="OV51" s="35"/>
      <c r="OW51" s="35"/>
      <c r="OX51" s="35"/>
      <c r="OY51" s="35"/>
      <c r="OZ51" s="35"/>
      <c r="PA51" s="35"/>
      <c r="PB51" s="85"/>
      <c r="PC51" s="27"/>
      <c r="PD51" s="36"/>
      <c r="PE51" s="85"/>
      <c r="PF51" s="35"/>
      <c r="PG51" s="35"/>
      <c r="PH51" s="35"/>
      <c r="PI51" s="35"/>
      <c r="PJ51" s="35"/>
      <c r="PK51" s="35"/>
      <c r="PL51" s="36"/>
      <c r="PM51" s="35"/>
      <c r="PN51" s="35"/>
      <c r="PO51" s="35"/>
      <c r="PP51" s="35"/>
      <c r="PQ51" s="35"/>
      <c r="PR51" s="35"/>
      <c r="PS51" s="35"/>
      <c r="PT51" s="85"/>
      <c r="PU51" s="27"/>
      <c r="PV51" s="36"/>
      <c r="PW51" s="85"/>
      <c r="PX51" s="35"/>
      <c r="PY51" s="35"/>
      <c r="PZ51" s="35"/>
      <c r="QA51" s="35"/>
      <c r="QB51" s="35"/>
      <c r="QC51" s="35">
        <v>39094085.75</v>
      </c>
      <c r="QD51" s="36"/>
      <c r="QE51" s="35"/>
      <c r="QF51" s="35"/>
      <c r="QG51" s="35"/>
      <c r="QH51" s="35"/>
      <c r="QI51" s="35"/>
      <c r="QJ51" s="35">
        <v>38024097.869999997</v>
      </c>
      <c r="QK51" s="35">
        <v>1069987.8799999999</v>
      </c>
      <c r="QL51" s="85"/>
      <c r="QM51" s="27"/>
      <c r="QN51" s="36"/>
      <c r="QO51" s="85"/>
    </row>
    <row r="52" spans="1:457" x14ac:dyDescent="0.25">
      <c r="A52" s="14" t="s">
        <v>102</v>
      </c>
      <c r="B52" s="175">
        <v>38</v>
      </c>
      <c r="C52" s="16" t="s">
        <v>103</v>
      </c>
      <c r="F52" s="36">
        <v>582568900</v>
      </c>
      <c r="G52" s="85"/>
      <c r="H52" s="35"/>
      <c r="I52" s="35">
        <v>91073352.620000005</v>
      </c>
      <c r="J52" s="35">
        <v>62712900</v>
      </c>
      <c r="K52" s="35">
        <v>28360452.620000001</v>
      </c>
      <c r="L52" s="35">
        <v>62710350.259999998</v>
      </c>
      <c r="M52" s="35"/>
      <c r="N52" s="36"/>
      <c r="O52" s="35">
        <v>91066894.930000007</v>
      </c>
      <c r="P52" s="35">
        <v>62708200.159999996</v>
      </c>
      <c r="Q52" s="35"/>
      <c r="R52" s="35">
        <v>28358694.77</v>
      </c>
      <c r="S52" s="35">
        <v>31.140509999999999</v>
      </c>
      <c r="T52" s="35"/>
      <c r="U52" s="35">
        <v>2150.1</v>
      </c>
      <c r="V52" s="85">
        <v>62708200.159999996</v>
      </c>
      <c r="W52" s="27"/>
      <c r="X52" s="36">
        <v>62712900</v>
      </c>
      <c r="Y52" s="85">
        <v>62712900</v>
      </c>
      <c r="Z52" s="35"/>
      <c r="AA52" s="35"/>
      <c r="AB52" s="35"/>
      <c r="AC52" s="35"/>
      <c r="AD52" s="35"/>
      <c r="AE52" s="35"/>
      <c r="AF52" s="36"/>
      <c r="AG52" s="35"/>
      <c r="AH52" s="35"/>
      <c r="AI52" s="35"/>
      <c r="AJ52" s="35"/>
      <c r="AK52" s="35"/>
      <c r="AL52" s="35"/>
      <c r="AM52" s="35"/>
      <c r="AN52" s="85"/>
      <c r="AO52" s="27"/>
      <c r="AP52" s="36"/>
      <c r="AQ52" s="85"/>
      <c r="AR52" s="35"/>
      <c r="AS52" s="35">
        <v>1886200</v>
      </c>
      <c r="AT52" s="35">
        <v>1791200</v>
      </c>
      <c r="AU52" s="35">
        <v>95000</v>
      </c>
      <c r="AV52" s="35">
        <v>1791200</v>
      </c>
      <c r="AW52" s="35"/>
      <c r="AX52" s="36"/>
      <c r="AY52" s="35">
        <v>1886200</v>
      </c>
      <c r="AZ52" s="35">
        <v>1791200</v>
      </c>
      <c r="BA52" s="35"/>
      <c r="BB52" s="35">
        <v>95000</v>
      </c>
      <c r="BC52" s="35">
        <v>5.0365799999999998</v>
      </c>
      <c r="BD52" s="35"/>
      <c r="BE52" s="35"/>
      <c r="BF52" s="85">
        <v>1791200</v>
      </c>
      <c r="BG52" s="27"/>
      <c r="BH52" s="36">
        <v>1791200</v>
      </c>
      <c r="BI52" s="85">
        <v>1791200</v>
      </c>
      <c r="BJ52" s="35"/>
      <c r="BK52" s="35"/>
      <c r="BL52" s="35"/>
      <c r="BM52" s="35"/>
      <c r="BN52" s="35"/>
      <c r="BO52" s="35"/>
      <c r="BP52" s="36"/>
      <c r="BQ52" s="35"/>
      <c r="BR52" s="35"/>
      <c r="BS52" s="35"/>
      <c r="BT52" s="35"/>
      <c r="BU52" s="35"/>
      <c r="BV52" s="35"/>
      <c r="BW52" s="35"/>
      <c r="BX52" s="85"/>
      <c r="BY52" s="27"/>
      <c r="BZ52" s="36"/>
      <c r="CA52" s="85"/>
      <c r="CB52" s="35"/>
      <c r="CC52" s="35">
        <v>75339100</v>
      </c>
      <c r="CD52" s="35">
        <v>71572100</v>
      </c>
      <c r="CE52" s="35">
        <v>3767000</v>
      </c>
      <c r="CF52" s="35">
        <v>71572100</v>
      </c>
      <c r="CG52" s="35"/>
      <c r="CH52" s="36"/>
      <c r="CI52" s="35">
        <v>75339100</v>
      </c>
      <c r="CJ52" s="35">
        <v>71572100</v>
      </c>
      <c r="CK52" s="35"/>
      <c r="CL52" s="35">
        <v>3767000</v>
      </c>
      <c r="CM52" s="35">
        <v>5.0000600000000004</v>
      </c>
      <c r="CN52" s="35"/>
      <c r="CO52" s="35"/>
      <c r="CP52" s="85">
        <v>71572100</v>
      </c>
      <c r="CQ52" s="27"/>
      <c r="CR52" s="36">
        <v>71572100</v>
      </c>
      <c r="CS52" s="85">
        <v>71572100</v>
      </c>
      <c r="CT52" s="35"/>
      <c r="CU52" s="35">
        <v>316633684.20999998</v>
      </c>
      <c r="CV52" s="35">
        <v>300802000</v>
      </c>
      <c r="CW52" s="35">
        <v>15831684.210000001</v>
      </c>
      <c r="CX52" s="35">
        <v>300802000</v>
      </c>
      <c r="CY52" s="35">
        <v>151495.37</v>
      </c>
      <c r="CZ52" s="36"/>
      <c r="DA52" s="35">
        <v>316633684.20999998</v>
      </c>
      <c r="DB52" s="35">
        <v>300802000</v>
      </c>
      <c r="DC52" s="35"/>
      <c r="DD52" s="35">
        <v>15831684.210000001</v>
      </c>
      <c r="DE52" s="35">
        <v>5</v>
      </c>
      <c r="DF52" s="35">
        <v>151495.37</v>
      </c>
      <c r="DG52" s="35"/>
      <c r="DH52" s="85">
        <v>300802000</v>
      </c>
      <c r="DI52" s="27"/>
      <c r="DJ52" s="36">
        <v>300802000</v>
      </c>
      <c r="DK52" s="85">
        <v>300802000</v>
      </c>
      <c r="DL52" s="35"/>
      <c r="DM52" s="35"/>
      <c r="DN52" s="35"/>
      <c r="DO52" s="35"/>
      <c r="DP52" s="35"/>
      <c r="DQ52" s="35"/>
      <c r="DR52" s="36"/>
      <c r="DS52" s="35"/>
      <c r="DT52" s="35"/>
      <c r="DU52" s="35"/>
      <c r="DV52" s="35"/>
      <c r="DW52" s="35"/>
      <c r="DX52" s="35"/>
      <c r="DY52" s="35"/>
      <c r="DZ52" s="85"/>
      <c r="EA52" s="27"/>
      <c r="EB52" s="36"/>
      <c r="EC52" s="85"/>
      <c r="ED52" s="35"/>
      <c r="EE52" s="35"/>
      <c r="EF52" s="35"/>
      <c r="EG52" s="35"/>
      <c r="EH52" s="35"/>
      <c r="EI52" s="35"/>
      <c r="EJ52" s="36"/>
      <c r="EK52" s="35"/>
      <c r="EL52" s="35"/>
      <c r="EM52" s="35"/>
      <c r="EN52" s="35"/>
      <c r="EO52" s="35"/>
      <c r="EP52" s="35"/>
      <c r="EQ52" s="35"/>
      <c r="ER52" s="85"/>
      <c r="ES52" s="27"/>
      <c r="ET52" s="36"/>
      <c r="EU52" s="85"/>
      <c r="EV52" s="35"/>
      <c r="EW52" s="35"/>
      <c r="EX52" s="35"/>
      <c r="EY52" s="35"/>
      <c r="EZ52" s="35"/>
      <c r="FA52" s="35"/>
      <c r="FB52" s="36"/>
      <c r="FC52" s="35"/>
      <c r="FD52" s="35"/>
      <c r="FE52" s="35"/>
      <c r="FF52" s="35"/>
      <c r="FG52" s="35"/>
      <c r="FH52" s="35"/>
      <c r="FI52" s="35"/>
      <c r="FJ52" s="85"/>
      <c r="FK52" s="27"/>
      <c r="FL52" s="36"/>
      <c r="FM52" s="85"/>
      <c r="FN52" s="35"/>
      <c r="FO52" s="35">
        <v>143407904.30000001</v>
      </c>
      <c r="FP52" s="35">
        <v>118655700</v>
      </c>
      <c r="FQ52" s="35">
        <v>24752204.300000001</v>
      </c>
      <c r="FR52" s="35">
        <v>118655700</v>
      </c>
      <c r="FS52" s="35"/>
      <c r="FT52" s="36"/>
      <c r="FU52" s="35">
        <v>143407904.30000001</v>
      </c>
      <c r="FV52" s="35">
        <v>118655700</v>
      </c>
      <c r="FW52" s="35"/>
      <c r="FX52" s="35">
        <v>24752204.300000001</v>
      </c>
      <c r="FY52" s="35">
        <v>17.260000000000002</v>
      </c>
      <c r="FZ52" s="35"/>
      <c r="GA52" s="35"/>
      <c r="GB52" s="85">
        <v>118655700</v>
      </c>
      <c r="GC52" s="27"/>
      <c r="GD52" s="36">
        <v>118655700</v>
      </c>
      <c r="GE52" s="85">
        <v>118655700</v>
      </c>
      <c r="GF52" s="35"/>
      <c r="GG52" s="35"/>
      <c r="GH52" s="35"/>
      <c r="GI52" s="35"/>
      <c r="GJ52" s="35"/>
      <c r="GK52" s="35"/>
      <c r="GL52" s="36"/>
      <c r="GM52" s="35"/>
      <c r="GN52" s="35"/>
      <c r="GO52" s="35"/>
      <c r="GP52" s="35"/>
      <c r="GQ52" s="35"/>
      <c r="GR52" s="35"/>
      <c r="GS52" s="35"/>
      <c r="GT52" s="85"/>
      <c r="GU52" s="27"/>
      <c r="GV52" s="36"/>
      <c r="GW52" s="85"/>
      <c r="GX52" s="35"/>
      <c r="GY52" s="35"/>
      <c r="GZ52" s="35"/>
      <c r="HA52" s="35"/>
      <c r="HB52" s="35"/>
      <c r="HC52" s="35"/>
      <c r="HD52" s="36"/>
      <c r="HE52" s="35"/>
      <c r="HF52" s="35"/>
      <c r="HG52" s="35"/>
      <c r="HH52" s="35"/>
      <c r="HI52" s="35"/>
      <c r="HJ52" s="35"/>
      <c r="HK52" s="35"/>
      <c r="HL52" s="85"/>
      <c r="HM52" s="27"/>
      <c r="HN52" s="36"/>
      <c r="HO52" s="85"/>
      <c r="HP52" s="35"/>
      <c r="HQ52" s="35">
        <v>42427200</v>
      </c>
      <c r="HR52" s="35">
        <v>23981000</v>
      </c>
      <c r="HS52" s="35">
        <v>18446200</v>
      </c>
      <c r="HT52" s="35">
        <v>17546531.800000001</v>
      </c>
      <c r="HU52" s="35"/>
      <c r="HV52" s="36"/>
      <c r="HW52" s="35">
        <v>31878989.559999999</v>
      </c>
      <c r="HX52" s="35">
        <v>17546531.800000001</v>
      </c>
      <c r="HY52" s="35"/>
      <c r="HZ52" s="35">
        <v>14332457.76</v>
      </c>
      <c r="IA52" s="35">
        <v>44.958950000000002</v>
      </c>
      <c r="IB52" s="35"/>
      <c r="IC52" s="35"/>
      <c r="ID52" s="85">
        <v>17546531.800000001</v>
      </c>
      <c r="IE52" s="27"/>
      <c r="IF52" s="36">
        <v>23981000</v>
      </c>
      <c r="IG52" s="85">
        <v>23981000</v>
      </c>
      <c r="IH52" s="35"/>
      <c r="II52" s="35"/>
      <c r="IJ52" s="35"/>
      <c r="IK52" s="35"/>
      <c r="IL52" s="35"/>
      <c r="IM52" s="35"/>
      <c r="IN52" s="36"/>
      <c r="IO52" s="35"/>
      <c r="IP52" s="35"/>
      <c r="IQ52" s="35"/>
      <c r="IR52" s="35"/>
      <c r="IS52" s="35"/>
      <c r="IT52" s="35"/>
      <c r="IU52" s="35"/>
      <c r="IV52" s="85"/>
      <c r="IW52" s="27"/>
      <c r="IX52" s="36"/>
      <c r="IY52" s="85"/>
      <c r="IZ52" s="35"/>
      <c r="JA52" s="35"/>
      <c r="JB52" s="35"/>
      <c r="JC52" s="35"/>
      <c r="JD52" s="35"/>
      <c r="JE52" s="35"/>
      <c r="JF52" s="36"/>
      <c r="JG52" s="35"/>
      <c r="JH52" s="35"/>
      <c r="JI52" s="35"/>
      <c r="JJ52" s="35"/>
      <c r="JK52" s="35"/>
      <c r="JL52" s="35"/>
      <c r="JM52" s="35"/>
      <c r="JN52" s="85"/>
      <c r="JO52" s="27"/>
      <c r="JP52" s="36"/>
      <c r="JQ52" s="85"/>
      <c r="JR52" s="35"/>
      <c r="JS52" s="35"/>
      <c r="JT52" s="35"/>
      <c r="JU52" s="35"/>
      <c r="JV52" s="35"/>
      <c r="JW52" s="35"/>
      <c r="JX52" s="36"/>
      <c r="JY52" s="35"/>
      <c r="JZ52" s="35"/>
      <c r="KA52" s="35"/>
      <c r="KB52" s="35"/>
      <c r="KC52" s="35"/>
      <c r="KD52" s="35"/>
      <c r="KE52" s="35"/>
      <c r="KF52" s="85"/>
      <c r="KG52" s="27"/>
      <c r="KH52" s="36"/>
      <c r="KI52" s="85"/>
      <c r="KJ52" s="35"/>
      <c r="KK52" s="35">
        <v>9294000</v>
      </c>
      <c r="KL52" s="35">
        <v>3054000</v>
      </c>
      <c r="KM52" s="35">
        <v>6240000</v>
      </c>
      <c r="KN52" s="35">
        <v>3053988.25</v>
      </c>
      <c r="KO52" s="35"/>
      <c r="KP52" s="36"/>
      <c r="KQ52" s="35">
        <v>9293964.4399999995</v>
      </c>
      <c r="KR52" s="35">
        <v>3053988.25</v>
      </c>
      <c r="KS52" s="35"/>
      <c r="KT52" s="35">
        <v>6239976.1900000004</v>
      </c>
      <c r="KU52" s="35">
        <v>67.140090000000001</v>
      </c>
      <c r="KV52" s="35"/>
      <c r="KW52" s="35"/>
      <c r="KX52" s="85">
        <v>3053988.25</v>
      </c>
      <c r="KY52" s="27"/>
      <c r="KZ52" s="36">
        <v>3054000</v>
      </c>
      <c r="LA52" s="85">
        <v>3054000</v>
      </c>
      <c r="LB52" s="35"/>
      <c r="LC52" s="35"/>
      <c r="LD52" s="35"/>
      <c r="LE52" s="35"/>
      <c r="LF52" s="35"/>
      <c r="LG52" s="35"/>
      <c r="LH52" s="36"/>
      <c r="LI52" s="35"/>
      <c r="LJ52" s="35"/>
      <c r="LK52" s="35"/>
      <c r="LL52" s="35"/>
      <c r="LM52" s="35"/>
      <c r="LN52" s="35"/>
      <c r="LO52" s="35"/>
      <c r="LP52" s="85"/>
      <c r="LQ52" s="27"/>
      <c r="LR52" s="36"/>
      <c r="LS52" s="85"/>
      <c r="LT52" s="35"/>
      <c r="LU52" s="35"/>
      <c r="LV52" s="35"/>
      <c r="LW52" s="35"/>
      <c r="LX52" s="35"/>
      <c r="LY52" s="35"/>
      <c r="LZ52" s="36"/>
      <c r="MA52" s="35"/>
      <c r="MB52" s="35"/>
      <c r="MC52" s="35"/>
      <c r="MD52" s="35"/>
      <c r="ME52" s="35"/>
      <c r="MF52" s="35"/>
      <c r="MG52" s="35"/>
      <c r="MH52" s="85"/>
      <c r="MI52" s="27"/>
      <c r="MJ52" s="36"/>
      <c r="MK52" s="85"/>
      <c r="ML52" s="35"/>
      <c r="MM52" s="35"/>
      <c r="MN52" s="35"/>
      <c r="MO52" s="35"/>
      <c r="MP52" s="35"/>
      <c r="MQ52" s="35"/>
      <c r="MR52" s="36"/>
      <c r="MS52" s="35"/>
      <c r="MT52" s="35"/>
      <c r="MU52" s="35"/>
      <c r="MV52" s="35"/>
      <c r="MW52" s="35"/>
      <c r="MX52" s="35"/>
      <c r="MY52" s="35"/>
      <c r="MZ52" s="85"/>
      <c r="NA52" s="27"/>
      <c r="NB52" s="36"/>
      <c r="NC52" s="85"/>
      <c r="ND52" s="35"/>
      <c r="NE52" s="35"/>
      <c r="NF52" s="35"/>
      <c r="NG52" s="35"/>
      <c r="NH52" s="35"/>
      <c r="NI52" s="35"/>
      <c r="NJ52" s="36"/>
      <c r="NK52" s="35"/>
      <c r="NL52" s="35"/>
      <c r="NM52" s="35"/>
      <c r="NN52" s="35"/>
      <c r="NO52" s="35"/>
      <c r="NP52" s="35"/>
      <c r="NQ52" s="35"/>
      <c r="NR52" s="85"/>
      <c r="NS52" s="27"/>
      <c r="NT52" s="36"/>
      <c r="NU52" s="85"/>
      <c r="NV52" s="35"/>
      <c r="NW52" s="35"/>
      <c r="NX52" s="35"/>
      <c r="NY52" s="35"/>
      <c r="NZ52" s="35"/>
      <c r="OA52" s="35"/>
      <c r="OB52" s="36"/>
      <c r="OC52" s="35"/>
      <c r="OD52" s="35"/>
      <c r="OE52" s="35"/>
      <c r="OF52" s="35"/>
      <c r="OG52" s="35"/>
      <c r="OH52" s="35"/>
      <c r="OI52" s="35"/>
      <c r="OJ52" s="85"/>
      <c r="OK52" s="27"/>
      <c r="OL52" s="36"/>
      <c r="OM52" s="85"/>
      <c r="ON52" s="35"/>
      <c r="OO52" s="35"/>
      <c r="OP52" s="35"/>
      <c r="OQ52" s="35"/>
      <c r="OR52" s="35"/>
      <c r="OS52" s="35"/>
      <c r="OT52" s="36"/>
      <c r="OU52" s="35"/>
      <c r="OV52" s="35"/>
      <c r="OW52" s="35"/>
      <c r="OX52" s="35"/>
      <c r="OY52" s="35"/>
      <c r="OZ52" s="35"/>
      <c r="PA52" s="35"/>
      <c r="PB52" s="85"/>
      <c r="PC52" s="27"/>
      <c r="PD52" s="36"/>
      <c r="PE52" s="85"/>
      <c r="PF52" s="35"/>
      <c r="PG52" s="35"/>
      <c r="PH52" s="35"/>
      <c r="PI52" s="35"/>
      <c r="PJ52" s="35"/>
      <c r="PK52" s="35"/>
      <c r="PL52" s="36"/>
      <c r="PM52" s="35"/>
      <c r="PN52" s="35"/>
      <c r="PO52" s="35"/>
      <c r="PP52" s="35"/>
      <c r="PQ52" s="35"/>
      <c r="PR52" s="35"/>
      <c r="PS52" s="35"/>
      <c r="PT52" s="85"/>
      <c r="PU52" s="27"/>
      <c r="PV52" s="36"/>
      <c r="PW52" s="85"/>
      <c r="PX52" s="35"/>
      <c r="PY52" s="35"/>
      <c r="PZ52" s="35"/>
      <c r="QA52" s="35"/>
      <c r="QB52" s="35"/>
      <c r="QC52" s="35"/>
      <c r="QD52" s="36"/>
      <c r="QE52" s="35"/>
      <c r="QF52" s="35"/>
      <c r="QG52" s="35"/>
      <c r="QH52" s="35"/>
      <c r="QI52" s="35"/>
      <c r="QJ52" s="35"/>
      <c r="QK52" s="35"/>
      <c r="QL52" s="85"/>
      <c r="QM52" s="27"/>
      <c r="QN52" s="36"/>
      <c r="QO52" s="85"/>
    </row>
    <row r="53" spans="1:457" x14ac:dyDescent="0.25">
      <c r="A53" s="14" t="s">
        <v>104</v>
      </c>
      <c r="B53" s="173">
        <v>39</v>
      </c>
      <c r="C53" s="16" t="s">
        <v>105</v>
      </c>
      <c r="F53" s="36">
        <v>2603658200</v>
      </c>
      <c r="G53" s="85"/>
      <c r="H53" s="35"/>
      <c r="I53" s="35">
        <v>707995610</v>
      </c>
      <c r="J53" s="35">
        <v>622680000</v>
      </c>
      <c r="K53" s="35">
        <v>85315610</v>
      </c>
      <c r="L53" s="35">
        <v>622680000</v>
      </c>
      <c r="M53" s="35"/>
      <c r="N53" s="36"/>
      <c r="O53" s="35">
        <v>707995610</v>
      </c>
      <c r="P53" s="35">
        <v>622680000</v>
      </c>
      <c r="Q53" s="35"/>
      <c r="R53" s="35">
        <v>85315610</v>
      </c>
      <c r="S53" s="35">
        <v>12.0503</v>
      </c>
      <c r="T53" s="35"/>
      <c r="U53" s="35"/>
      <c r="V53" s="85">
        <v>622680000</v>
      </c>
      <c r="W53" s="27"/>
      <c r="X53" s="36">
        <v>622680000</v>
      </c>
      <c r="Y53" s="85">
        <v>622680000</v>
      </c>
      <c r="Z53" s="35"/>
      <c r="AA53" s="35"/>
      <c r="AB53" s="35"/>
      <c r="AC53" s="35"/>
      <c r="AD53" s="35"/>
      <c r="AE53" s="35"/>
      <c r="AF53" s="36"/>
      <c r="AG53" s="35"/>
      <c r="AH53" s="35"/>
      <c r="AI53" s="35"/>
      <c r="AJ53" s="35"/>
      <c r="AK53" s="35"/>
      <c r="AL53" s="35"/>
      <c r="AM53" s="35"/>
      <c r="AN53" s="85"/>
      <c r="AO53" s="27"/>
      <c r="AP53" s="36"/>
      <c r="AQ53" s="85"/>
      <c r="AR53" s="35"/>
      <c r="AS53" s="35">
        <v>17031300</v>
      </c>
      <c r="AT53" s="35">
        <v>16179300</v>
      </c>
      <c r="AU53" s="35">
        <v>852000</v>
      </c>
      <c r="AV53" s="35">
        <v>16179300</v>
      </c>
      <c r="AW53" s="35"/>
      <c r="AX53" s="36"/>
      <c r="AY53" s="35">
        <v>17031300</v>
      </c>
      <c r="AZ53" s="35">
        <v>16179300</v>
      </c>
      <c r="BA53" s="35"/>
      <c r="BB53" s="35">
        <v>852000</v>
      </c>
      <c r="BC53" s="35">
        <v>5.0025500000000003</v>
      </c>
      <c r="BD53" s="35"/>
      <c r="BE53" s="35"/>
      <c r="BF53" s="85">
        <v>16179300</v>
      </c>
      <c r="BG53" s="27"/>
      <c r="BH53" s="36">
        <v>16179300</v>
      </c>
      <c r="BI53" s="85">
        <v>16179300</v>
      </c>
      <c r="BJ53" s="35"/>
      <c r="BK53" s="35"/>
      <c r="BL53" s="35"/>
      <c r="BM53" s="35"/>
      <c r="BN53" s="35"/>
      <c r="BO53" s="35"/>
      <c r="BP53" s="36"/>
      <c r="BQ53" s="35"/>
      <c r="BR53" s="35"/>
      <c r="BS53" s="35"/>
      <c r="BT53" s="35"/>
      <c r="BU53" s="35"/>
      <c r="BV53" s="35"/>
      <c r="BW53" s="35"/>
      <c r="BX53" s="85"/>
      <c r="BY53" s="27"/>
      <c r="BZ53" s="36"/>
      <c r="CA53" s="85"/>
      <c r="CB53" s="35"/>
      <c r="CC53" s="35">
        <v>554101700</v>
      </c>
      <c r="CD53" s="35">
        <v>526395700</v>
      </c>
      <c r="CE53" s="35">
        <v>27706000</v>
      </c>
      <c r="CF53" s="35">
        <v>526395700</v>
      </c>
      <c r="CG53" s="35"/>
      <c r="CH53" s="36"/>
      <c r="CI53" s="35">
        <v>554101700</v>
      </c>
      <c r="CJ53" s="35">
        <v>526395700</v>
      </c>
      <c r="CK53" s="35"/>
      <c r="CL53" s="35">
        <v>27706000</v>
      </c>
      <c r="CM53" s="35">
        <v>5.0001699999999998</v>
      </c>
      <c r="CN53" s="35"/>
      <c r="CO53" s="35"/>
      <c r="CP53" s="85">
        <v>526395700</v>
      </c>
      <c r="CQ53" s="27"/>
      <c r="CR53" s="36">
        <v>526395700</v>
      </c>
      <c r="CS53" s="85">
        <v>526395700</v>
      </c>
      <c r="CT53" s="35"/>
      <c r="CU53" s="35">
        <v>743831473</v>
      </c>
      <c r="CV53" s="35">
        <v>706630600</v>
      </c>
      <c r="CW53" s="35">
        <v>37200873</v>
      </c>
      <c r="CX53" s="35">
        <v>706630600</v>
      </c>
      <c r="CY53" s="35"/>
      <c r="CZ53" s="36"/>
      <c r="DA53" s="35">
        <v>743810917</v>
      </c>
      <c r="DB53" s="35">
        <v>706611072</v>
      </c>
      <c r="DC53" s="35"/>
      <c r="DD53" s="35">
        <v>37199845</v>
      </c>
      <c r="DE53" s="35">
        <v>5.0012499999999998</v>
      </c>
      <c r="DF53" s="35"/>
      <c r="DG53" s="35">
        <v>19528</v>
      </c>
      <c r="DH53" s="85">
        <v>706611072</v>
      </c>
      <c r="DI53" s="27"/>
      <c r="DJ53" s="36">
        <v>706630600</v>
      </c>
      <c r="DK53" s="85">
        <v>706630600</v>
      </c>
      <c r="DL53" s="35"/>
      <c r="DM53" s="35"/>
      <c r="DN53" s="35"/>
      <c r="DO53" s="35"/>
      <c r="DP53" s="35"/>
      <c r="DQ53" s="35"/>
      <c r="DR53" s="36"/>
      <c r="DS53" s="35"/>
      <c r="DT53" s="35"/>
      <c r="DU53" s="35"/>
      <c r="DV53" s="35"/>
      <c r="DW53" s="35"/>
      <c r="DX53" s="35"/>
      <c r="DY53" s="35"/>
      <c r="DZ53" s="85"/>
      <c r="EA53" s="27"/>
      <c r="EB53" s="36"/>
      <c r="EC53" s="85"/>
      <c r="ED53" s="35"/>
      <c r="EE53" s="35">
        <v>155590912</v>
      </c>
      <c r="EF53" s="35">
        <v>147754100</v>
      </c>
      <c r="EG53" s="35">
        <v>7836812</v>
      </c>
      <c r="EH53" s="35">
        <v>147754071</v>
      </c>
      <c r="EI53" s="35"/>
      <c r="EJ53" s="36"/>
      <c r="EK53" s="35">
        <v>155590883</v>
      </c>
      <c r="EL53" s="35">
        <v>147754071</v>
      </c>
      <c r="EM53" s="35"/>
      <c r="EN53" s="35">
        <v>7836812</v>
      </c>
      <c r="EO53" s="35">
        <v>5.03681</v>
      </c>
      <c r="EP53" s="35"/>
      <c r="EQ53" s="35"/>
      <c r="ER53" s="85">
        <v>147754071</v>
      </c>
      <c r="ES53" s="27"/>
      <c r="ET53" s="36">
        <v>147754100</v>
      </c>
      <c r="EU53" s="85">
        <v>147754100</v>
      </c>
      <c r="EV53" s="35"/>
      <c r="EW53" s="35"/>
      <c r="EX53" s="35"/>
      <c r="EY53" s="35"/>
      <c r="EZ53" s="35"/>
      <c r="FA53" s="35"/>
      <c r="FB53" s="36"/>
      <c r="FC53" s="35"/>
      <c r="FD53" s="35"/>
      <c r="FE53" s="35"/>
      <c r="FF53" s="35"/>
      <c r="FG53" s="35"/>
      <c r="FH53" s="35"/>
      <c r="FI53" s="35"/>
      <c r="FJ53" s="85"/>
      <c r="FK53" s="27"/>
      <c r="FL53" s="36"/>
      <c r="FM53" s="85"/>
      <c r="FN53" s="35"/>
      <c r="FO53" s="35">
        <v>639745566.10000002</v>
      </c>
      <c r="FP53" s="35">
        <v>479745200</v>
      </c>
      <c r="FQ53" s="35">
        <v>160000366.09999999</v>
      </c>
      <c r="FR53" s="35">
        <v>464153414.81</v>
      </c>
      <c r="FS53" s="35"/>
      <c r="FT53" s="36"/>
      <c r="FU53" s="35">
        <v>618953391.97000003</v>
      </c>
      <c r="FV53" s="35">
        <v>464153414.81</v>
      </c>
      <c r="FW53" s="35"/>
      <c r="FX53" s="35">
        <v>154799977.16</v>
      </c>
      <c r="FY53" s="35">
        <v>25.00996</v>
      </c>
      <c r="FZ53" s="35"/>
      <c r="GA53" s="35"/>
      <c r="GB53" s="85">
        <v>464153414.81</v>
      </c>
      <c r="GC53" s="27"/>
      <c r="GD53" s="36">
        <v>479745200</v>
      </c>
      <c r="GE53" s="85">
        <v>479745200</v>
      </c>
      <c r="GF53" s="35"/>
      <c r="GG53" s="35">
        <v>83974291</v>
      </c>
      <c r="GH53" s="35">
        <v>47575900</v>
      </c>
      <c r="GI53" s="35">
        <v>36398391</v>
      </c>
      <c r="GJ53" s="35">
        <v>47575900</v>
      </c>
      <c r="GK53" s="35">
        <v>6270450.6399999997</v>
      </c>
      <c r="GL53" s="36"/>
      <c r="GM53" s="35">
        <v>83974291</v>
      </c>
      <c r="GN53" s="35">
        <v>47575900</v>
      </c>
      <c r="GO53" s="35"/>
      <c r="GP53" s="35">
        <v>36398391</v>
      </c>
      <c r="GQ53" s="35">
        <v>43.344679999999997</v>
      </c>
      <c r="GR53" s="35">
        <v>6270450.6399999997</v>
      </c>
      <c r="GS53" s="35"/>
      <c r="GT53" s="85">
        <v>47575900</v>
      </c>
      <c r="GU53" s="27"/>
      <c r="GV53" s="36">
        <v>47575900</v>
      </c>
      <c r="GW53" s="85">
        <v>47575900</v>
      </c>
      <c r="GX53" s="35"/>
      <c r="GY53" s="35"/>
      <c r="GZ53" s="35"/>
      <c r="HA53" s="35"/>
      <c r="HB53" s="35"/>
      <c r="HC53" s="35"/>
      <c r="HD53" s="36"/>
      <c r="HE53" s="35"/>
      <c r="HF53" s="35"/>
      <c r="HG53" s="35"/>
      <c r="HH53" s="35"/>
      <c r="HI53" s="35"/>
      <c r="HJ53" s="35"/>
      <c r="HK53" s="35"/>
      <c r="HL53" s="85"/>
      <c r="HM53" s="27"/>
      <c r="HN53" s="36"/>
      <c r="HO53" s="85"/>
      <c r="HP53" s="35"/>
      <c r="HQ53" s="35">
        <v>48652400</v>
      </c>
      <c r="HR53" s="35">
        <v>25993500</v>
      </c>
      <c r="HS53" s="35">
        <v>22658900</v>
      </c>
      <c r="HT53" s="35">
        <v>25993500</v>
      </c>
      <c r="HU53" s="35"/>
      <c r="HV53" s="36"/>
      <c r="HW53" s="35">
        <v>48652400</v>
      </c>
      <c r="HX53" s="35">
        <v>25993500</v>
      </c>
      <c r="HY53" s="35"/>
      <c r="HZ53" s="35">
        <v>22658900</v>
      </c>
      <c r="IA53" s="35">
        <v>46.573039999999999</v>
      </c>
      <c r="IB53" s="35"/>
      <c r="IC53" s="35"/>
      <c r="ID53" s="85">
        <v>25993500</v>
      </c>
      <c r="IE53" s="27"/>
      <c r="IF53" s="36">
        <v>25993500</v>
      </c>
      <c r="IG53" s="85">
        <v>25993500</v>
      </c>
      <c r="IH53" s="35"/>
      <c r="II53" s="35"/>
      <c r="IJ53" s="35"/>
      <c r="IK53" s="35"/>
      <c r="IL53" s="35"/>
      <c r="IM53" s="35"/>
      <c r="IN53" s="36"/>
      <c r="IO53" s="35"/>
      <c r="IP53" s="35"/>
      <c r="IQ53" s="35"/>
      <c r="IR53" s="35"/>
      <c r="IS53" s="35"/>
      <c r="IT53" s="35"/>
      <c r="IU53" s="35"/>
      <c r="IV53" s="85"/>
      <c r="IW53" s="27"/>
      <c r="IX53" s="36"/>
      <c r="IY53" s="85"/>
      <c r="IZ53" s="35"/>
      <c r="JA53" s="35">
        <v>75750100</v>
      </c>
      <c r="JB53" s="35">
        <v>16875000</v>
      </c>
      <c r="JC53" s="35">
        <v>58875100</v>
      </c>
      <c r="JD53" s="35">
        <v>16875000</v>
      </c>
      <c r="JE53" s="35"/>
      <c r="JF53" s="36"/>
      <c r="JG53" s="35">
        <v>75750100</v>
      </c>
      <c r="JH53" s="35">
        <v>16875000</v>
      </c>
      <c r="JI53" s="35"/>
      <c r="JJ53" s="35">
        <v>58875100</v>
      </c>
      <c r="JK53" s="35">
        <v>77.722800000000007</v>
      </c>
      <c r="JL53" s="35"/>
      <c r="JM53" s="35"/>
      <c r="JN53" s="85">
        <v>16875000</v>
      </c>
      <c r="JO53" s="27"/>
      <c r="JP53" s="36">
        <v>16875000</v>
      </c>
      <c r="JQ53" s="85">
        <v>16875000</v>
      </c>
      <c r="JR53" s="35"/>
      <c r="JS53" s="35"/>
      <c r="JT53" s="35"/>
      <c r="JU53" s="35"/>
      <c r="JV53" s="35"/>
      <c r="JW53" s="35"/>
      <c r="JX53" s="36"/>
      <c r="JY53" s="35"/>
      <c r="JZ53" s="35"/>
      <c r="KA53" s="35"/>
      <c r="KB53" s="35"/>
      <c r="KC53" s="35"/>
      <c r="KD53" s="35"/>
      <c r="KE53" s="35"/>
      <c r="KF53" s="85"/>
      <c r="KG53" s="27"/>
      <c r="KH53" s="36"/>
      <c r="KI53" s="85"/>
      <c r="KJ53" s="35"/>
      <c r="KK53" s="35">
        <v>11165792.439999999</v>
      </c>
      <c r="KL53" s="35">
        <v>3526000</v>
      </c>
      <c r="KM53" s="35">
        <v>7639792.4400000004</v>
      </c>
      <c r="KN53" s="35">
        <v>3526000</v>
      </c>
      <c r="KO53" s="35"/>
      <c r="KP53" s="36"/>
      <c r="KQ53" s="35">
        <v>11165792.439999999</v>
      </c>
      <c r="KR53" s="35">
        <v>3526000</v>
      </c>
      <c r="KS53" s="35"/>
      <c r="KT53" s="35">
        <v>7639792.4400000004</v>
      </c>
      <c r="KU53" s="35">
        <v>68.421409999999995</v>
      </c>
      <c r="KV53" s="35"/>
      <c r="KW53" s="35"/>
      <c r="KX53" s="85">
        <v>3526000</v>
      </c>
      <c r="KY53" s="27"/>
      <c r="KZ53" s="36">
        <v>3526000</v>
      </c>
      <c r="LA53" s="85">
        <v>3526000</v>
      </c>
      <c r="LB53" s="35"/>
      <c r="LC53" s="35"/>
      <c r="LD53" s="35"/>
      <c r="LE53" s="35"/>
      <c r="LF53" s="35"/>
      <c r="LG53" s="35"/>
      <c r="LH53" s="36"/>
      <c r="LI53" s="35"/>
      <c r="LJ53" s="35"/>
      <c r="LK53" s="35"/>
      <c r="LL53" s="35"/>
      <c r="LM53" s="35"/>
      <c r="LN53" s="35"/>
      <c r="LO53" s="35"/>
      <c r="LP53" s="85"/>
      <c r="LQ53" s="27"/>
      <c r="LR53" s="36"/>
      <c r="LS53" s="85"/>
      <c r="LT53" s="35"/>
      <c r="LU53" s="35">
        <v>7667957.6500000004</v>
      </c>
      <c r="LV53" s="35">
        <v>3491000</v>
      </c>
      <c r="LW53" s="35">
        <v>4176957.65</v>
      </c>
      <c r="LX53" s="35">
        <v>3491000</v>
      </c>
      <c r="LY53" s="35"/>
      <c r="LZ53" s="36"/>
      <c r="MA53" s="35">
        <v>7667957.6500000004</v>
      </c>
      <c r="MB53" s="35">
        <v>3491000</v>
      </c>
      <c r="MC53" s="35"/>
      <c r="MD53" s="35">
        <v>4176957.65</v>
      </c>
      <c r="ME53" s="35">
        <v>54.472880000000004</v>
      </c>
      <c r="MF53" s="35"/>
      <c r="MG53" s="35"/>
      <c r="MH53" s="85">
        <v>3491000</v>
      </c>
      <c r="MI53" s="27"/>
      <c r="MJ53" s="36">
        <v>3491000</v>
      </c>
      <c r="MK53" s="85">
        <v>3491000</v>
      </c>
      <c r="ML53" s="35"/>
      <c r="MM53" s="35"/>
      <c r="MN53" s="35"/>
      <c r="MO53" s="35"/>
      <c r="MP53" s="35"/>
      <c r="MQ53" s="35"/>
      <c r="MR53" s="36"/>
      <c r="MS53" s="35"/>
      <c r="MT53" s="35"/>
      <c r="MU53" s="35"/>
      <c r="MV53" s="35"/>
      <c r="MW53" s="35"/>
      <c r="MX53" s="35"/>
      <c r="MY53" s="35"/>
      <c r="MZ53" s="85"/>
      <c r="NA53" s="27"/>
      <c r="NB53" s="36"/>
      <c r="NC53" s="85"/>
      <c r="ND53" s="35"/>
      <c r="NE53" s="35"/>
      <c r="NF53" s="35"/>
      <c r="NG53" s="35"/>
      <c r="NH53" s="35"/>
      <c r="NI53" s="35"/>
      <c r="NJ53" s="36"/>
      <c r="NK53" s="35"/>
      <c r="NL53" s="35"/>
      <c r="NM53" s="35"/>
      <c r="NN53" s="35"/>
      <c r="NO53" s="35"/>
      <c r="NP53" s="35"/>
      <c r="NQ53" s="35"/>
      <c r="NR53" s="85"/>
      <c r="NS53" s="27"/>
      <c r="NT53" s="36"/>
      <c r="NU53" s="85"/>
      <c r="NV53" s="35"/>
      <c r="NW53" s="35"/>
      <c r="NX53" s="35"/>
      <c r="NY53" s="35"/>
      <c r="NZ53" s="35"/>
      <c r="OA53" s="35"/>
      <c r="OB53" s="36"/>
      <c r="OC53" s="35"/>
      <c r="OD53" s="35"/>
      <c r="OE53" s="35"/>
      <c r="OF53" s="35"/>
      <c r="OG53" s="35"/>
      <c r="OH53" s="35"/>
      <c r="OI53" s="35"/>
      <c r="OJ53" s="85"/>
      <c r="OK53" s="27"/>
      <c r="OL53" s="36"/>
      <c r="OM53" s="85"/>
      <c r="ON53" s="35"/>
      <c r="OO53" s="35">
        <v>16811900</v>
      </c>
      <c r="OP53" s="35">
        <v>6811900</v>
      </c>
      <c r="OQ53" s="35">
        <v>10000000</v>
      </c>
      <c r="OR53" s="35">
        <v>6811900</v>
      </c>
      <c r="OS53" s="35">
        <v>7280</v>
      </c>
      <c r="OT53" s="36"/>
      <c r="OU53" s="35">
        <v>16811900</v>
      </c>
      <c r="OV53" s="35">
        <v>6811900</v>
      </c>
      <c r="OW53" s="35"/>
      <c r="OX53" s="35">
        <v>10000000</v>
      </c>
      <c r="OY53" s="35">
        <v>59.481679999999997</v>
      </c>
      <c r="OZ53" s="35">
        <v>7280</v>
      </c>
      <c r="PA53" s="35"/>
      <c r="PB53" s="85">
        <v>6811900</v>
      </c>
      <c r="PC53" s="27"/>
      <c r="PD53" s="36">
        <v>6811900</v>
      </c>
      <c r="PE53" s="85">
        <v>6811900</v>
      </c>
      <c r="PF53" s="35"/>
      <c r="PG53" s="35"/>
      <c r="PH53" s="35"/>
      <c r="PI53" s="35"/>
      <c r="PJ53" s="35"/>
      <c r="PK53" s="35"/>
      <c r="PL53" s="36"/>
      <c r="PM53" s="35"/>
      <c r="PN53" s="35"/>
      <c r="PO53" s="35"/>
      <c r="PP53" s="35"/>
      <c r="PQ53" s="35"/>
      <c r="PR53" s="35"/>
      <c r="PS53" s="35"/>
      <c r="PT53" s="85"/>
      <c r="PU53" s="27"/>
      <c r="PV53" s="36"/>
      <c r="PW53" s="85"/>
      <c r="PX53" s="35"/>
      <c r="PY53" s="35"/>
      <c r="PZ53" s="35"/>
      <c r="QA53" s="35"/>
      <c r="QB53" s="35"/>
      <c r="QC53" s="35">
        <v>7040404.6799999997</v>
      </c>
      <c r="QD53" s="36"/>
      <c r="QE53" s="35"/>
      <c r="QF53" s="35"/>
      <c r="QG53" s="35"/>
      <c r="QH53" s="35"/>
      <c r="QI53" s="35"/>
      <c r="QJ53" s="35">
        <v>7040404.6799999997</v>
      </c>
      <c r="QK53" s="35">
        <v>0</v>
      </c>
      <c r="QL53" s="85"/>
      <c r="QM53" s="27"/>
      <c r="QN53" s="36"/>
      <c r="QO53" s="85"/>
    </row>
    <row r="54" spans="1:457" x14ac:dyDescent="0.25">
      <c r="A54" s="14" t="s">
        <v>106</v>
      </c>
      <c r="B54" s="175">
        <v>40</v>
      </c>
      <c r="C54" s="16" t="s">
        <v>107</v>
      </c>
      <c r="F54" s="36">
        <v>3560324200</v>
      </c>
      <c r="G54" s="85"/>
      <c r="H54" s="35"/>
      <c r="I54" s="35">
        <v>1774755400</v>
      </c>
      <c r="J54" s="35">
        <v>1419804300</v>
      </c>
      <c r="K54" s="35">
        <v>354951100</v>
      </c>
      <c r="L54" s="35">
        <v>1419804300</v>
      </c>
      <c r="M54" s="35"/>
      <c r="N54" s="36"/>
      <c r="O54" s="35">
        <v>1774755397.3500001</v>
      </c>
      <c r="P54" s="35">
        <v>1419804300</v>
      </c>
      <c r="Q54" s="35"/>
      <c r="R54" s="35">
        <v>354951097.35000002</v>
      </c>
      <c r="S54" s="35">
        <v>20</v>
      </c>
      <c r="T54" s="35"/>
      <c r="U54" s="35"/>
      <c r="V54" s="85">
        <v>1419804300</v>
      </c>
      <c r="W54" s="27"/>
      <c r="X54" s="36">
        <v>1419804300</v>
      </c>
      <c r="Y54" s="85">
        <v>1419804300</v>
      </c>
      <c r="Z54" s="35"/>
      <c r="AA54" s="35"/>
      <c r="AB54" s="35"/>
      <c r="AC54" s="35"/>
      <c r="AD54" s="35"/>
      <c r="AE54" s="35"/>
      <c r="AF54" s="36"/>
      <c r="AG54" s="35"/>
      <c r="AH54" s="35"/>
      <c r="AI54" s="35"/>
      <c r="AJ54" s="35"/>
      <c r="AK54" s="35"/>
      <c r="AL54" s="35"/>
      <c r="AM54" s="35"/>
      <c r="AN54" s="85"/>
      <c r="AO54" s="27"/>
      <c r="AP54" s="36"/>
      <c r="AQ54" s="85"/>
      <c r="AR54" s="35"/>
      <c r="AS54" s="35">
        <v>31030700</v>
      </c>
      <c r="AT54" s="35">
        <v>29479100</v>
      </c>
      <c r="AU54" s="35">
        <v>1551600</v>
      </c>
      <c r="AV54" s="35">
        <v>29479100</v>
      </c>
      <c r="AW54" s="35"/>
      <c r="AX54" s="36"/>
      <c r="AY54" s="35">
        <v>31030699.84</v>
      </c>
      <c r="AZ54" s="35">
        <v>29479100</v>
      </c>
      <c r="BA54" s="35"/>
      <c r="BB54" s="35">
        <v>1551599.84</v>
      </c>
      <c r="BC54" s="35">
        <v>5.00021</v>
      </c>
      <c r="BD54" s="35"/>
      <c r="BE54" s="35"/>
      <c r="BF54" s="85">
        <v>29479100</v>
      </c>
      <c r="BG54" s="27"/>
      <c r="BH54" s="36">
        <v>29479100</v>
      </c>
      <c r="BI54" s="85">
        <v>29479100</v>
      </c>
      <c r="BJ54" s="35"/>
      <c r="BK54" s="35"/>
      <c r="BL54" s="35"/>
      <c r="BM54" s="35"/>
      <c r="BN54" s="35"/>
      <c r="BO54" s="35"/>
      <c r="BP54" s="36"/>
      <c r="BQ54" s="35"/>
      <c r="BR54" s="35"/>
      <c r="BS54" s="35"/>
      <c r="BT54" s="35"/>
      <c r="BU54" s="35"/>
      <c r="BV54" s="35"/>
      <c r="BW54" s="35"/>
      <c r="BX54" s="85"/>
      <c r="BY54" s="27"/>
      <c r="BZ54" s="36"/>
      <c r="CA54" s="85"/>
      <c r="CB54" s="35"/>
      <c r="CC54" s="35">
        <v>90873400</v>
      </c>
      <c r="CD54" s="35">
        <v>86329700</v>
      </c>
      <c r="CE54" s="35">
        <v>4543700</v>
      </c>
      <c r="CF54" s="35">
        <v>86329632.099999994</v>
      </c>
      <c r="CG54" s="35"/>
      <c r="CH54" s="36"/>
      <c r="CI54" s="35">
        <v>90873328.510000005</v>
      </c>
      <c r="CJ54" s="35">
        <v>86329632.099999994</v>
      </c>
      <c r="CK54" s="35"/>
      <c r="CL54" s="35">
        <v>4543696.41</v>
      </c>
      <c r="CM54" s="35">
        <v>5.0000299999999998</v>
      </c>
      <c r="CN54" s="35"/>
      <c r="CO54" s="35"/>
      <c r="CP54" s="85">
        <v>86329632.099999994</v>
      </c>
      <c r="CQ54" s="27"/>
      <c r="CR54" s="36">
        <v>86329700</v>
      </c>
      <c r="CS54" s="85">
        <v>86329700</v>
      </c>
      <c r="CT54" s="35"/>
      <c r="CU54" s="35">
        <v>1744510400</v>
      </c>
      <c r="CV54" s="35">
        <v>1657284700</v>
      </c>
      <c r="CW54" s="35">
        <v>87225700</v>
      </c>
      <c r="CX54" s="35">
        <v>1657279915.1100001</v>
      </c>
      <c r="CY54" s="35"/>
      <c r="CZ54" s="36"/>
      <c r="DA54" s="35">
        <v>1744505357.3</v>
      </c>
      <c r="DB54" s="35">
        <v>1657279915.1100001</v>
      </c>
      <c r="DC54" s="35"/>
      <c r="DD54" s="35">
        <v>87225442.189999998</v>
      </c>
      <c r="DE54" s="35">
        <v>5.0000099999999996</v>
      </c>
      <c r="DF54" s="35"/>
      <c r="DG54" s="35"/>
      <c r="DH54" s="85">
        <v>1657279915.1100001</v>
      </c>
      <c r="DI54" s="27"/>
      <c r="DJ54" s="36">
        <v>1657284700</v>
      </c>
      <c r="DK54" s="85">
        <v>1657284700</v>
      </c>
      <c r="DL54" s="35"/>
      <c r="DM54" s="35"/>
      <c r="DN54" s="35"/>
      <c r="DO54" s="35"/>
      <c r="DP54" s="35"/>
      <c r="DQ54" s="35"/>
      <c r="DR54" s="36"/>
      <c r="DS54" s="35"/>
      <c r="DT54" s="35"/>
      <c r="DU54" s="35"/>
      <c r="DV54" s="35"/>
      <c r="DW54" s="35"/>
      <c r="DX54" s="35"/>
      <c r="DY54" s="35"/>
      <c r="DZ54" s="85"/>
      <c r="EA54" s="27"/>
      <c r="EB54" s="36"/>
      <c r="EC54" s="85"/>
      <c r="ED54" s="35"/>
      <c r="EE54" s="35"/>
      <c r="EF54" s="35"/>
      <c r="EG54" s="35"/>
      <c r="EH54" s="35"/>
      <c r="EI54" s="35"/>
      <c r="EJ54" s="36"/>
      <c r="EK54" s="35"/>
      <c r="EL54" s="35"/>
      <c r="EM54" s="35"/>
      <c r="EN54" s="35"/>
      <c r="EO54" s="35"/>
      <c r="EP54" s="35"/>
      <c r="EQ54" s="35"/>
      <c r="ER54" s="85"/>
      <c r="ES54" s="27"/>
      <c r="ET54" s="36"/>
      <c r="EU54" s="85"/>
      <c r="EV54" s="35"/>
      <c r="EW54" s="35"/>
      <c r="EX54" s="35"/>
      <c r="EY54" s="35"/>
      <c r="EZ54" s="35"/>
      <c r="FA54" s="35"/>
      <c r="FB54" s="36"/>
      <c r="FC54" s="35"/>
      <c r="FD54" s="35"/>
      <c r="FE54" s="35"/>
      <c r="FF54" s="35"/>
      <c r="FG54" s="35"/>
      <c r="FH54" s="35"/>
      <c r="FI54" s="35"/>
      <c r="FJ54" s="85"/>
      <c r="FK54" s="27"/>
      <c r="FL54" s="36"/>
      <c r="FM54" s="85"/>
      <c r="FN54" s="35"/>
      <c r="FO54" s="35">
        <v>282298000</v>
      </c>
      <c r="FP54" s="35">
        <v>230863300</v>
      </c>
      <c r="FQ54" s="35">
        <v>51434700</v>
      </c>
      <c r="FR54" s="35">
        <v>230863293.08000001</v>
      </c>
      <c r="FS54" s="35"/>
      <c r="FT54" s="36"/>
      <c r="FU54" s="35">
        <v>282297993.05000001</v>
      </c>
      <c r="FV54" s="35">
        <v>230863293.08000001</v>
      </c>
      <c r="FW54" s="35"/>
      <c r="FX54" s="35">
        <v>51434699.969999999</v>
      </c>
      <c r="FY54" s="35">
        <v>18.22</v>
      </c>
      <c r="FZ54" s="35"/>
      <c r="GA54" s="35"/>
      <c r="GB54" s="85">
        <v>230863293.08000001</v>
      </c>
      <c r="GC54" s="27"/>
      <c r="GD54" s="36">
        <v>230863300</v>
      </c>
      <c r="GE54" s="85">
        <v>230863300</v>
      </c>
      <c r="GF54" s="35"/>
      <c r="GG54" s="35">
        <v>287927200</v>
      </c>
      <c r="GH54" s="35">
        <v>76037000</v>
      </c>
      <c r="GI54" s="35">
        <v>211890200</v>
      </c>
      <c r="GJ54" s="35">
        <v>75983744.859999999</v>
      </c>
      <c r="GK54" s="35">
        <v>2970480</v>
      </c>
      <c r="GL54" s="36"/>
      <c r="GM54" s="35">
        <v>287725535.58999997</v>
      </c>
      <c r="GN54" s="35">
        <v>75983744.859999999</v>
      </c>
      <c r="GO54" s="35"/>
      <c r="GP54" s="35">
        <v>211741790.72999999</v>
      </c>
      <c r="GQ54" s="35">
        <v>73.591589999999997</v>
      </c>
      <c r="GR54" s="35">
        <v>2970480</v>
      </c>
      <c r="GS54" s="35"/>
      <c r="GT54" s="85">
        <v>75983744.859999999</v>
      </c>
      <c r="GU54" s="27"/>
      <c r="GV54" s="36">
        <v>76037000</v>
      </c>
      <c r="GW54" s="85">
        <v>76037000</v>
      </c>
      <c r="GX54" s="35"/>
      <c r="GY54" s="35"/>
      <c r="GZ54" s="35"/>
      <c r="HA54" s="35"/>
      <c r="HB54" s="35"/>
      <c r="HC54" s="35">
        <v>1559284.25</v>
      </c>
      <c r="HD54" s="36"/>
      <c r="HE54" s="35"/>
      <c r="HF54" s="35"/>
      <c r="HG54" s="35"/>
      <c r="HH54" s="35"/>
      <c r="HI54" s="35"/>
      <c r="HJ54" s="35">
        <v>1559284.25</v>
      </c>
      <c r="HK54" s="35"/>
      <c r="HL54" s="85"/>
      <c r="HM54" s="27"/>
      <c r="HN54" s="36"/>
      <c r="HO54" s="85"/>
      <c r="HP54" s="35"/>
      <c r="HQ54" s="35">
        <v>182832000</v>
      </c>
      <c r="HR54" s="35">
        <v>37980500</v>
      </c>
      <c r="HS54" s="35">
        <v>144851500</v>
      </c>
      <c r="HT54" s="35">
        <v>37977979</v>
      </c>
      <c r="HU54" s="35"/>
      <c r="HV54" s="36"/>
      <c r="HW54" s="35">
        <v>182818309.37</v>
      </c>
      <c r="HX54" s="35">
        <v>37977979</v>
      </c>
      <c r="HY54" s="35"/>
      <c r="HZ54" s="35">
        <v>144840330.37</v>
      </c>
      <c r="IA54" s="35">
        <v>79.226380000000006</v>
      </c>
      <c r="IB54" s="35"/>
      <c r="IC54" s="35"/>
      <c r="ID54" s="85">
        <v>37977979</v>
      </c>
      <c r="IE54" s="27"/>
      <c r="IF54" s="36">
        <v>37980500</v>
      </c>
      <c r="IG54" s="85">
        <v>37980500</v>
      </c>
      <c r="IH54" s="35"/>
      <c r="II54" s="35"/>
      <c r="IJ54" s="35"/>
      <c r="IK54" s="35"/>
      <c r="IL54" s="35"/>
      <c r="IM54" s="35"/>
      <c r="IN54" s="36"/>
      <c r="IO54" s="35"/>
      <c r="IP54" s="35"/>
      <c r="IQ54" s="35"/>
      <c r="IR54" s="35"/>
      <c r="IS54" s="35"/>
      <c r="IT54" s="35"/>
      <c r="IU54" s="35"/>
      <c r="IV54" s="85"/>
      <c r="IW54" s="27"/>
      <c r="IX54" s="36"/>
      <c r="IY54" s="85"/>
      <c r="IZ54" s="35"/>
      <c r="JA54" s="35"/>
      <c r="JB54" s="35"/>
      <c r="JC54" s="35"/>
      <c r="JD54" s="35"/>
      <c r="JE54" s="35"/>
      <c r="JF54" s="36"/>
      <c r="JG54" s="35"/>
      <c r="JH54" s="35"/>
      <c r="JI54" s="35"/>
      <c r="JJ54" s="35"/>
      <c r="JK54" s="35"/>
      <c r="JL54" s="35"/>
      <c r="JM54" s="35"/>
      <c r="JN54" s="85"/>
      <c r="JO54" s="27"/>
      <c r="JP54" s="36"/>
      <c r="JQ54" s="85"/>
      <c r="JR54" s="35"/>
      <c r="JS54" s="35"/>
      <c r="JT54" s="35"/>
      <c r="JU54" s="35"/>
      <c r="JV54" s="35"/>
      <c r="JW54" s="35"/>
      <c r="JX54" s="36"/>
      <c r="JY54" s="35"/>
      <c r="JZ54" s="35"/>
      <c r="KA54" s="35"/>
      <c r="KB54" s="35"/>
      <c r="KC54" s="35"/>
      <c r="KD54" s="35"/>
      <c r="KE54" s="35"/>
      <c r="KF54" s="85"/>
      <c r="KG54" s="27"/>
      <c r="KH54" s="36"/>
      <c r="KI54" s="85"/>
      <c r="KJ54" s="35"/>
      <c r="KK54" s="35"/>
      <c r="KL54" s="35"/>
      <c r="KM54" s="35"/>
      <c r="KN54" s="35"/>
      <c r="KO54" s="35"/>
      <c r="KP54" s="36"/>
      <c r="KQ54" s="35"/>
      <c r="KR54" s="35"/>
      <c r="KS54" s="35"/>
      <c r="KT54" s="35"/>
      <c r="KU54" s="35"/>
      <c r="KV54" s="35"/>
      <c r="KW54" s="35"/>
      <c r="KX54" s="85"/>
      <c r="KY54" s="27"/>
      <c r="KZ54" s="36"/>
      <c r="LA54" s="85"/>
      <c r="LB54" s="35"/>
      <c r="LC54" s="35"/>
      <c r="LD54" s="35"/>
      <c r="LE54" s="35"/>
      <c r="LF54" s="35"/>
      <c r="LG54" s="35"/>
      <c r="LH54" s="36"/>
      <c r="LI54" s="35"/>
      <c r="LJ54" s="35"/>
      <c r="LK54" s="35"/>
      <c r="LL54" s="35"/>
      <c r="LM54" s="35"/>
      <c r="LN54" s="35"/>
      <c r="LO54" s="35"/>
      <c r="LP54" s="85"/>
      <c r="LQ54" s="27"/>
      <c r="LR54" s="36"/>
      <c r="LS54" s="85"/>
      <c r="LT54" s="35"/>
      <c r="LU54" s="35"/>
      <c r="LV54" s="35"/>
      <c r="LW54" s="35"/>
      <c r="LX54" s="35"/>
      <c r="LY54" s="35"/>
      <c r="LZ54" s="36"/>
      <c r="MA54" s="35"/>
      <c r="MB54" s="35"/>
      <c r="MC54" s="35"/>
      <c r="MD54" s="35"/>
      <c r="ME54" s="35"/>
      <c r="MF54" s="35"/>
      <c r="MG54" s="35"/>
      <c r="MH54" s="85"/>
      <c r="MI54" s="27"/>
      <c r="MJ54" s="36"/>
      <c r="MK54" s="85"/>
      <c r="ML54" s="35"/>
      <c r="MM54" s="35"/>
      <c r="MN54" s="35"/>
      <c r="MO54" s="35"/>
      <c r="MP54" s="35"/>
      <c r="MQ54" s="35"/>
      <c r="MR54" s="36"/>
      <c r="MS54" s="35"/>
      <c r="MT54" s="35"/>
      <c r="MU54" s="35"/>
      <c r="MV54" s="35"/>
      <c r="MW54" s="35"/>
      <c r="MX54" s="35"/>
      <c r="MY54" s="35"/>
      <c r="MZ54" s="85"/>
      <c r="NA54" s="27"/>
      <c r="NB54" s="36"/>
      <c r="NC54" s="85"/>
      <c r="ND54" s="35"/>
      <c r="NE54" s="35">
        <v>52545600</v>
      </c>
      <c r="NF54" s="35">
        <v>22545600</v>
      </c>
      <c r="NG54" s="35">
        <v>30000000</v>
      </c>
      <c r="NH54" s="35">
        <v>20100883.510000002</v>
      </c>
      <c r="NI54" s="35"/>
      <c r="NJ54" s="36"/>
      <c r="NK54" s="35">
        <v>46847854.799999997</v>
      </c>
      <c r="NL54" s="35">
        <v>20100883.510000002</v>
      </c>
      <c r="NM54" s="35"/>
      <c r="NN54" s="35">
        <v>26746971.289999999</v>
      </c>
      <c r="NO54" s="35">
        <v>57.093269999999997</v>
      </c>
      <c r="NP54" s="35"/>
      <c r="NQ54" s="35"/>
      <c r="NR54" s="85">
        <v>20100883.510000002</v>
      </c>
      <c r="NS54" s="27"/>
      <c r="NT54" s="36">
        <v>22545600</v>
      </c>
      <c r="NU54" s="85">
        <v>22545600</v>
      </c>
      <c r="NV54" s="35"/>
      <c r="NW54" s="35"/>
      <c r="NX54" s="35"/>
      <c r="NY54" s="35"/>
      <c r="NZ54" s="35"/>
      <c r="OA54" s="35"/>
      <c r="OB54" s="36"/>
      <c r="OC54" s="35"/>
      <c r="OD54" s="35"/>
      <c r="OE54" s="35"/>
      <c r="OF54" s="35"/>
      <c r="OG54" s="35"/>
      <c r="OH54" s="35"/>
      <c r="OI54" s="35"/>
      <c r="OJ54" s="85"/>
      <c r="OK54" s="27"/>
      <c r="OL54" s="36"/>
      <c r="OM54" s="85"/>
      <c r="ON54" s="35"/>
      <c r="OO54" s="35"/>
      <c r="OP54" s="35"/>
      <c r="OQ54" s="35"/>
      <c r="OR54" s="35"/>
      <c r="OS54" s="35"/>
      <c r="OT54" s="36"/>
      <c r="OU54" s="35"/>
      <c r="OV54" s="35"/>
      <c r="OW54" s="35"/>
      <c r="OX54" s="35"/>
      <c r="OY54" s="35"/>
      <c r="OZ54" s="35"/>
      <c r="PA54" s="35"/>
      <c r="PB54" s="85"/>
      <c r="PC54" s="27"/>
      <c r="PD54" s="36"/>
      <c r="PE54" s="85"/>
      <c r="PF54" s="35"/>
      <c r="PG54" s="35"/>
      <c r="PH54" s="35"/>
      <c r="PI54" s="35"/>
      <c r="PJ54" s="35"/>
      <c r="PK54" s="35"/>
      <c r="PL54" s="36"/>
      <c r="PM54" s="35"/>
      <c r="PN54" s="35"/>
      <c r="PO54" s="35"/>
      <c r="PP54" s="35"/>
      <c r="PQ54" s="35"/>
      <c r="PR54" s="35"/>
      <c r="PS54" s="35"/>
      <c r="PT54" s="85"/>
      <c r="PU54" s="27"/>
      <c r="PV54" s="36"/>
      <c r="PW54" s="85"/>
      <c r="PX54" s="35"/>
      <c r="PY54" s="35"/>
      <c r="PZ54" s="35"/>
      <c r="QA54" s="35"/>
      <c r="QB54" s="35"/>
      <c r="QC54" s="35">
        <v>24827188.73</v>
      </c>
      <c r="QD54" s="36"/>
      <c r="QE54" s="35"/>
      <c r="QF54" s="35"/>
      <c r="QG54" s="35"/>
      <c r="QH54" s="35"/>
      <c r="QI54" s="35"/>
      <c r="QJ54" s="35">
        <v>23591000.93</v>
      </c>
      <c r="QK54" s="35">
        <v>1236187.8</v>
      </c>
      <c r="QL54" s="85"/>
      <c r="QM54" s="27"/>
      <c r="QN54" s="36"/>
      <c r="QO54" s="85"/>
    </row>
    <row r="55" spans="1:457" x14ac:dyDescent="0.25">
      <c r="A55" s="133">
        <v>67000000000</v>
      </c>
      <c r="B55" s="175">
        <v>41</v>
      </c>
      <c r="C55" s="63" t="s">
        <v>319</v>
      </c>
      <c r="F55" s="36">
        <v>192148300</v>
      </c>
      <c r="G55" s="85"/>
      <c r="H55" s="35"/>
      <c r="I55" s="35"/>
      <c r="J55" s="35"/>
      <c r="K55" s="35"/>
      <c r="L55" s="35"/>
      <c r="M55" s="35"/>
      <c r="N55" s="36"/>
      <c r="O55" s="35"/>
      <c r="P55" s="35"/>
      <c r="Q55" s="35"/>
      <c r="R55" s="35"/>
      <c r="S55" s="35"/>
      <c r="T55" s="35"/>
      <c r="U55" s="35"/>
      <c r="V55" s="85"/>
      <c r="W55" s="27"/>
      <c r="X55" s="36"/>
      <c r="Y55" s="85"/>
      <c r="Z55" s="35"/>
      <c r="AA55" s="35"/>
      <c r="AB55" s="35"/>
      <c r="AC55" s="35"/>
      <c r="AD55" s="35"/>
      <c r="AE55" s="35"/>
      <c r="AF55" s="36"/>
      <c r="AG55" s="35"/>
      <c r="AH55" s="35"/>
      <c r="AI55" s="35"/>
      <c r="AJ55" s="35"/>
      <c r="AK55" s="35"/>
      <c r="AL55" s="35"/>
      <c r="AM55" s="35"/>
      <c r="AN55" s="85"/>
      <c r="AO55" s="27"/>
      <c r="AP55" s="36"/>
      <c r="AQ55" s="85"/>
      <c r="AR55" s="35"/>
      <c r="AS55" s="35"/>
      <c r="AT55" s="35"/>
      <c r="AU55" s="35"/>
      <c r="AV55" s="35"/>
      <c r="AW55" s="35"/>
      <c r="AX55" s="36"/>
      <c r="AY55" s="35"/>
      <c r="AZ55" s="35"/>
      <c r="BA55" s="35"/>
      <c r="BB55" s="35"/>
      <c r="BC55" s="35"/>
      <c r="BD55" s="35"/>
      <c r="BE55" s="35"/>
      <c r="BF55" s="85"/>
      <c r="BG55" s="27"/>
      <c r="BH55" s="36"/>
      <c r="BI55" s="85"/>
      <c r="BJ55" s="35"/>
      <c r="BK55" s="35"/>
      <c r="BL55" s="35"/>
      <c r="BM55" s="35"/>
      <c r="BN55" s="35"/>
      <c r="BO55" s="35"/>
      <c r="BP55" s="36"/>
      <c r="BQ55" s="35"/>
      <c r="BR55" s="35"/>
      <c r="BS55" s="35"/>
      <c r="BT55" s="35"/>
      <c r="BU55" s="35"/>
      <c r="BV55" s="35"/>
      <c r="BW55" s="35"/>
      <c r="BX55" s="85"/>
      <c r="BY55" s="27"/>
      <c r="BZ55" s="36"/>
      <c r="CA55" s="85"/>
      <c r="CB55" s="35"/>
      <c r="CC55" s="35">
        <v>232700</v>
      </c>
      <c r="CD55" s="35">
        <v>170700</v>
      </c>
      <c r="CE55" s="35">
        <v>62000</v>
      </c>
      <c r="CF55" s="35">
        <v>170700</v>
      </c>
      <c r="CG55" s="35"/>
      <c r="CH55" s="36"/>
      <c r="CI55" s="35">
        <v>232700</v>
      </c>
      <c r="CJ55" s="35">
        <v>170700</v>
      </c>
      <c r="CK55" s="35"/>
      <c r="CL55" s="35">
        <v>62000</v>
      </c>
      <c r="CM55" s="35">
        <v>26.643750000000001</v>
      </c>
      <c r="CN55" s="35"/>
      <c r="CO55" s="35"/>
      <c r="CP55" s="85">
        <v>170700</v>
      </c>
      <c r="CQ55" s="27"/>
      <c r="CR55" s="36">
        <v>170700</v>
      </c>
      <c r="CS55" s="85">
        <v>170700</v>
      </c>
      <c r="CT55" s="35"/>
      <c r="CU55" s="35">
        <v>160808100</v>
      </c>
      <c r="CV55" s="35">
        <v>141163100</v>
      </c>
      <c r="CW55" s="35">
        <v>19645000</v>
      </c>
      <c r="CX55" s="35">
        <v>141115169.69</v>
      </c>
      <c r="CY55" s="35"/>
      <c r="CZ55" s="36"/>
      <c r="DA55" s="35">
        <v>160760047.47999999</v>
      </c>
      <c r="DB55" s="35">
        <v>141115169.69</v>
      </c>
      <c r="DC55" s="35"/>
      <c r="DD55" s="35">
        <v>19644877.789999999</v>
      </c>
      <c r="DE55" s="35">
        <v>12.22</v>
      </c>
      <c r="DF55" s="35"/>
      <c r="DG55" s="35"/>
      <c r="DH55" s="85">
        <v>141115169.69</v>
      </c>
      <c r="DI55" s="27"/>
      <c r="DJ55" s="36">
        <v>141163100</v>
      </c>
      <c r="DK55" s="85">
        <v>141163100</v>
      </c>
      <c r="DL55" s="35"/>
      <c r="DM55" s="35"/>
      <c r="DN55" s="35"/>
      <c r="DO55" s="35"/>
      <c r="DP55" s="35"/>
      <c r="DQ55" s="35"/>
      <c r="DR55" s="36"/>
      <c r="DS55" s="35"/>
      <c r="DT55" s="35"/>
      <c r="DU55" s="35"/>
      <c r="DV55" s="35"/>
      <c r="DW55" s="35"/>
      <c r="DX55" s="35"/>
      <c r="DY55" s="35"/>
      <c r="DZ55" s="85"/>
      <c r="EA55" s="27"/>
      <c r="EB55" s="36"/>
      <c r="EC55" s="85"/>
      <c r="ED55" s="35"/>
      <c r="EE55" s="35"/>
      <c r="EF55" s="35"/>
      <c r="EG55" s="35"/>
      <c r="EH55" s="35"/>
      <c r="EI55" s="35"/>
      <c r="EJ55" s="36"/>
      <c r="EK55" s="35"/>
      <c r="EL55" s="35"/>
      <c r="EM55" s="35"/>
      <c r="EN55" s="35"/>
      <c r="EO55" s="35"/>
      <c r="EP55" s="35"/>
      <c r="EQ55" s="35"/>
      <c r="ER55" s="85"/>
      <c r="ES55" s="27"/>
      <c r="ET55" s="36"/>
      <c r="EU55" s="85"/>
      <c r="EV55" s="35"/>
      <c r="EW55" s="35"/>
      <c r="EX55" s="35"/>
      <c r="EY55" s="35"/>
      <c r="EZ55" s="35"/>
      <c r="FA55" s="35"/>
      <c r="FB55" s="36"/>
      <c r="FC55" s="35"/>
      <c r="FD55" s="35"/>
      <c r="FE55" s="35"/>
      <c r="FF55" s="35"/>
      <c r="FG55" s="35"/>
      <c r="FH55" s="35"/>
      <c r="FI55" s="35"/>
      <c r="FJ55" s="85"/>
      <c r="FK55" s="27"/>
      <c r="FL55" s="36"/>
      <c r="FM55" s="85"/>
      <c r="FN55" s="35"/>
      <c r="FO55" s="35">
        <v>56000200</v>
      </c>
      <c r="FP55" s="35">
        <v>50814500</v>
      </c>
      <c r="FQ55" s="35">
        <v>5185700</v>
      </c>
      <c r="FR55" s="35">
        <v>24050796.780000001</v>
      </c>
      <c r="FS55" s="35"/>
      <c r="FT55" s="36"/>
      <c r="FU55" s="35">
        <v>26505176.079999998</v>
      </c>
      <c r="FV55" s="35">
        <v>24050796.780000001</v>
      </c>
      <c r="FW55" s="35"/>
      <c r="FX55" s="35">
        <v>2454379.2999999998</v>
      </c>
      <c r="FY55" s="35">
        <v>9.26</v>
      </c>
      <c r="FZ55" s="35"/>
      <c r="GA55" s="35"/>
      <c r="GB55" s="85">
        <v>24050796.780000001</v>
      </c>
      <c r="GC55" s="27"/>
      <c r="GD55" s="36">
        <v>50814500</v>
      </c>
      <c r="GE55" s="85">
        <v>50814500</v>
      </c>
      <c r="GF55" s="35"/>
      <c r="GG55" s="35"/>
      <c r="GH55" s="35"/>
      <c r="GI55" s="35"/>
      <c r="GJ55" s="35"/>
      <c r="GK55" s="35"/>
      <c r="GL55" s="36"/>
      <c r="GM55" s="35"/>
      <c r="GN55" s="35"/>
      <c r="GO55" s="35"/>
      <c r="GP55" s="35"/>
      <c r="GQ55" s="35"/>
      <c r="GR55" s="35"/>
      <c r="GS55" s="35"/>
      <c r="GT55" s="85"/>
      <c r="GU55" s="27"/>
      <c r="GV55" s="36"/>
      <c r="GW55" s="85"/>
      <c r="GX55" s="35"/>
      <c r="GY55" s="35"/>
      <c r="GZ55" s="35"/>
      <c r="HA55" s="35"/>
      <c r="HB55" s="35"/>
      <c r="HC55" s="35"/>
      <c r="HD55" s="36"/>
      <c r="HE55" s="35"/>
      <c r="HF55" s="35"/>
      <c r="HG55" s="35"/>
      <c r="HH55" s="35"/>
      <c r="HI55" s="35"/>
      <c r="HJ55" s="35"/>
      <c r="HK55" s="35"/>
      <c r="HL55" s="85"/>
      <c r="HM55" s="27"/>
      <c r="HN55" s="36"/>
      <c r="HO55" s="85"/>
      <c r="HP55" s="35"/>
      <c r="HQ55" s="35"/>
      <c r="HR55" s="35"/>
      <c r="HS55" s="35"/>
      <c r="HT55" s="35"/>
      <c r="HU55" s="35"/>
      <c r="HV55" s="36"/>
      <c r="HW55" s="35"/>
      <c r="HX55" s="35"/>
      <c r="HY55" s="35"/>
      <c r="HZ55" s="35"/>
      <c r="IA55" s="35"/>
      <c r="IB55" s="35"/>
      <c r="IC55" s="35"/>
      <c r="ID55" s="85"/>
      <c r="IE55" s="27"/>
      <c r="IF55" s="36"/>
      <c r="IG55" s="85"/>
      <c r="IH55" s="35"/>
      <c r="II55" s="35"/>
      <c r="IJ55" s="35"/>
      <c r="IK55" s="35"/>
      <c r="IL55" s="35"/>
      <c r="IM55" s="35"/>
      <c r="IN55" s="36"/>
      <c r="IO55" s="35"/>
      <c r="IP55" s="35"/>
      <c r="IQ55" s="35"/>
      <c r="IR55" s="35"/>
      <c r="IS55" s="35"/>
      <c r="IT55" s="35"/>
      <c r="IU55" s="35"/>
      <c r="IV55" s="85"/>
      <c r="IW55" s="27"/>
      <c r="IX55" s="36"/>
      <c r="IY55" s="85"/>
      <c r="IZ55" s="35"/>
      <c r="JA55" s="35"/>
      <c r="JB55" s="35"/>
      <c r="JC55" s="35"/>
      <c r="JD55" s="35"/>
      <c r="JE55" s="35"/>
      <c r="JF55" s="36"/>
      <c r="JG55" s="35"/>
      <c r="JH55" s="35"/>
      <c r="JI55" s="35"/>
      <c r="JJ55" s="35"/>
      <c r="JK55" s="35"/>
      <c r="JL55" s="35"/>
      <c r="JM55" s="35"/>
      <c r="JN55" s="85"/>
      <c r="JO55" s="27"/>
      <c r="JP55" s="36"/>
      <c r="JQ55" s="85"/>
      <c r="JR55" s="35"/>
      <c r="JS55" s="35"/>
      <c r="JT55" s="35"/>
      <c r="JU55" s="35"/>
      <c r="JV55" s="35"/>
      <c r="JW55" s="35"/>
      <c r="JX55" s="36"/>
      <c r="JY55" s="35"/>
      <c r="JZ55" s="35"/>
      <c r="KA55" s="35"/>
      <c r="KB55" s="35"/>
      <c r="KC55" s="35"/>
      <c r="KD55" s="35"/>
      <c r="KE55" s="35"/>
      <c r="KF55" s="85"/>
      <c r="KG55" s="27"/>
      <c r="KH55" s="36"/>
      <c r="KI55" s="85"/>
      <c r="KJ55" s="35"/>
      <c r="KK55" s="35"/>
      <c r="KL55" s="35"/>
      <c r="KM55" s="35"/>
      <c r="KN55" s="35"/>
      <c r="KO55" s="35"/>
      <c r="KP55" s="36"/>
      <c r="KQ55" s="35"/>
      <c r="KR55" s="35"/>
      <c r="KS55" s="35"/>
      <c r="KT55" s="35"/>
      <c r="KU55" s="35"/>
      <c r="KV55" s="35"/>
      <c r="KW55" s="35"/>
      <c r="KX55" s="85"/>
      <c r="KY55" s="27"/>
      <c r="KZ55" s="36"/>
      <c r="LA55" s="85"/>
      <c r="LB55" s="35"/>
      <c r="LC55" s="35"/>
      <c r="LD55" s="35"/>
      <c r="LE55" s="35"/>
      <c r="LF55" s="35"/>
      <c r="LG55" s="35"/>
      <c r="LH55" s="36"/>
      <c r="LI55" s="35"/>
      <c r="LJ55" s="35"/>
      <c r="LK55" s="35"/>
      <c r="LL55" s="35"/>
      <c r="LM55" s="35"/>
      <c r="LN55" s="35"/>
      <c r="LO55" s="35"/>
      <c r="LP55" s="85"/>
      <c r="LQ55" s="27"/>
      <c r="LR55" s="36"/>
      <c r="LS55" s="85"/>
      <c r="LT55" s="35"/>
      <c r="LU55" s="35"/>
      <c r="LV55" s="35"/>
      <c r="LW55" s="35"/>
      <c r="LX55" s="35"/>
      <c r="LY55" s="35"/>
      <c r="LZ55" s="36"/>
      <c r="MA55" s="35"/>
      <c r="MB55" s="35"/>
      <c r="MC55" s="35"/>
      <c r="MD55" s="35"/>
      <c r="ME55" s="35"/>
      <c r="MF55" s="35"/>
      <c r="MG55" s="35"/>
      <c r="MH55" s="85"/>
      <c r="MI55" s="27"/>
      <c r="MJ55" s="36"/>
      <c r="MK55" s="85"/>
      <c r="ML55" s="35"/>
      <c r="MM55" s="35"/>
      <c r="MN55" s="35"/>
      <c r="MO55" s="35"/>
      <c r="MP55" s="35"/>
      <c r="MQ55" s="35"/>
      <c r="MR55" s="36"/>
      <c r="MS55" s="35"/>
      <c r="MT55" s="35"/>
      <c r="MU55" s="35"/>
      <c r="MV55" s="35"/>
      <c r="MW55" s="35"/>
      <c r="MX55" s="35"/>
      <c r="MY55" s="35"/>
      <c r="MZ55" s="85"/>
      <c r="NA55" s="27"/>
      <c r="NB55" s="36"/>
      <c r="NC55" s="85"/>
      <c r="ND55" s="35"/>
      <c r="NE55" s="35"/>
      <c r="NF55" s="35"/>
      <c r="NG55" s="35"/>
      <c r="NH55" s="35"/>
      <c r="NI55" s="35"/>
      <c r="NJ55" s="36"/>
      <c r="NK55" s="35"/>
      <c r="NL55" s="35"/>
      <c r="NM55" s="35"/>
      <c r="NN55" s="35"/>
      <c r="NO55" s="35"/>
      <c r="NP55" s="35"/>
      <c r="NQ55" s="35"/>
      <c r="NR55" s="85"/>
      <c r="NS55" s="27"/>
      <c r="NT55" s="36"/>
      <c r="NU55" s="85"/>
      <c r="NV55" s="35"/>
      <c r="NW55" s="35"/>
      <c r="NX55" s="35"/>
      <c r="NY55" s="35"/>
      <c r="NZ55" s="35"/>
      <c r="OA55" s="35"/>
      <c r="OB55" s="36"/>
      <c r="OC55" s="35"/>
      <c r="OD55" s="35"/>
      <c r="OE55" s="35"/>
      <c r="OF55" s="35"/>
      <c r="OG55" s="35"/>
      <c r="OH55" s="35"/>
      <c r="OI55" s="35"/>
      <c r="OJ55" s="85"/>
      <c r="OK55" s="27"/>
      <c r="OL55" s="36"/>
      <c r="OM55" s="85"/>
      <c r="ON55" s="35"/>
      <c r="OO55" s="35"/>
      <c r="OP55" s="35"/>
      <c r="OQ55" s="35"/>
      <c r="OR55" s="35"/>
      <c r="OS55" s="35"/>
      <c r="OT55" s="36"/>
      <c r="OU55" s="35"/>
      <c r="OV55" s="35"/>
      <c r="OW55" s="35"/>
      <c r="OX55" s="35"/>
      <c r="OY55" s="35"/>
      <c r="OZ55" s="35"/>
      <c r="PA55" s="35"/>
      <c r="PB55" s="85"/>
      <c r="PC55" s="27"/>
      <c r="PD55" s="36"/>
      <c r="PE55" s="85"/>
      <c r="PF55" s="35"/>
      <c r="PG55" s="35"/>
      <c r="PH55" s="35"/>
      <c r="PI55" s="35"/>
      <c r="PJ55" s="35"/>
      <c r="PK55" s="35"/>
      <c r="PL55" s="36"/>
      <c r="PM55" s="35"/>
      <c r="PN55" s="35"/>
      <c r="PO55" s="35"/>
      <c r="PP55" s="35"/>
      <c r="PQ55" s="35"/>
      <c r="PR55" s="35"/>
      <c r="PS55" s="35"/>
      <c r="PT55" s="85"/>
      <c r="PU55" s="27"/>
      <c r="PV55" s="36"/>
      <c r="PW55" s="85"/>
      <c r="PX55" s="35"/>
      <c r="PY55" s="35"/>
      <c r="PZ55" s="35"/>
      <c r="QA55" s="35"/>
      <c r="QB55" s="35"/>
      <c r="QC55" s="35"/>
      <c r="QD55" s="36"/>
      <c r="QE55" s="35"/>
      <c r="QF55" s="35"/>
      <c r="QG55" s="35"/>
      <c r="QH55" s="35"/>
      <c r="QI55" s="35"/>
      <c r="QJ55" s="35"/>
      <c r="QK55" s="35"/>
      <c r="QL55" s="85"/>
      <c r="QM55" s="27"/>
      <c r="QN55" s="36"/>
      <c r="QO55" s="85"/>
    </row>
    <row r="56" spans="1:457" x14ac:dyDescent="0.25">
      <c r="A56" s="14" t="s">
        <v>108</v>
      </c>
      <c r="B56" s="172">
        <v>42</v>
      </c>
      <c r="C56" s="17" t="s">
        <v>109</v>
      </c>
      <c r="F56" s="32"/>
      <c r="G56" s="33"/>
      <c r="H56" s="32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86"/>
      <c r="Z56" s="148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86"/>
      <c r="AR56" s="148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86"/>
      <c r="BJ56" s="148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86"/>
      <c r="CB56" s="148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86"/>
      <c r="CT56" s="148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86"/>
      <c r="DL56" s="148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86"/>
      <c r="ED56" s="148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86"/>
      <c r="EV56" s="148"/>
      <c r="EW56" s="33"/>
      <c r="EX56" s="33"/>
      <c r="EY56" s="33"/>
      <c r="EZ56" s="33"/>
      <c r="FA56" s="33"/>
      <c r="FB56" s="33"/>
      <c r="FC56" s="33"/>
      <c r="FD56" s="33"/>
      <c r="FE56" s="33"/>
      <c r="FF56" s="33"/>
      <c r="FG56" s="33"/>
      <c r="FH56" s="33"/>
      <c r="FI56" s="33"/>
      <c r="FJ56" s="33"/>
      <c r="FK56" s="33"/>
      <c r="FL56" s="33"/>
      <c r="FM56" s="86"/>
      <c r="FN56" s="148"/>
      <c r="FO56" s="33"/>
      <c r="FP56" s="33"/>
      <c r="FQ56" s="33"/>
      <c r="FR56" s="33"/>
      <c r="FS56" s="33"/>
      <c r="FT56" s="33"/>
      <c r="FU56" s="33"/>
      <c r="FV56" s="33"/>
      <c r="FW56" s="33"/>
      <c r="FX56" s="33"/>
      <c r="FY56" s="33"/>
      <c r="FZ56" s="33"/>
      <c r="GA56" s="33"/>
      <c r="GB56" s="33"/>
      <c r="GC56" s="33"/>
      <c r="GD56" s="33"/>
      <c r="GE56" s="86"/>
      <c r="GF56" s="148"/>
      <c r="GG56" s="33"/>
      <c r="GH56" s="33"/>
      <c r="GI56" s="33"/>
      <c r="GJ56" s="33"/>
      <c r="GK56" s="33"/>
      <c r="GL56" s="33"/>
      <c r="GM56" s="33"/>
      <c r="GN56" s="33"/>
      <c r="GO56" s="33"/>
      <c r="GP56" s="33"/>
      <c r="GQ56" s="33"/>
      <c r="GR56" s="33"/>
      <c r="GS56" s="33"/>
      <c r="GT56" s="33"/>
      <c r="GU56" s="33"/>
      <c r="GV56" s="33"/>
      <c r="GW56" s="86"/>
      <c r="GX56" s="148"/>
      <c r="GY56" s="33"/>
      <c r="GZ56" s="33"/>
      <c r="HA56" s="33"/>
      <c r="HB56" s="33"/>
      <c r="HC56" s="33"/>
      <c r="HD56" s="33"/>
      <c r="HE56" s="33"/>
      <c r="HF56" s="33"/>
      <c r="HG56" s="33"/>
      <c r="HH56" s="33"/>
      <c r="HI56" s="33"/>
      <c r="HJ56" s="33"/>
      <c r="HK56" s="33"/>
      <c r="HL56" s="33"/>
      <c r="HM56" s="33"/>
      <c r="HN56" s="33"/>
      <c r="HO56" s="86"/>
      <c r="HP56" s="148"/>
      <c r="HQ56" s="33"/>
      <c r="HR56" s="33"/>
      <c r="HS56" s="33"/>
      <c r="HT56" s="33"/>
      <c r="HU56" s="33"/>
      <c r="HV56" s="33"/>
      <c r="HW56" s="33"/>
      <c r="HX56" s="33"/>
      <c r="HY56" s="33"/>
      <c r="HZ56" s="33"/>
      <c r="IA56" s="33"/>
      <c r="IB56" s="33"/>
      <c r="IC56" s="33"/>
      <c r="ID56" s="33"/>
      <c r="IE56" s="33"/>
      <c r="IF56" s="33"/>
      <c r="IG56" s="86"/>
      <c r="IH56" s="148"/>
      <c r="II56" s="33"/>
      <c r="IJ56" s="33"/>
      <c r="IK56" s="33"/>
      <c r="IL56" s="33"/>
      <c r="IM56" s="33"/>
      <c r="IN56" s="33"/>
      <c r="IO56" s="33"/>
      <c r="IP56" s="33"/>
      <c r="IQ56" s="33"/>
      <c r="IR56" s="33"/>
      <c r="IS56" s="33"/>
      <c r="IT56" s="33"/>
      <c r="IU56" s="33"/>
      <c r="IV56" s="33"/>
      <c r="IW56" s="33"/>
      <c r="IX56" s="33"/>
      <c r="IY56" s="86"/>
      <c r="IZ56" s="148"/>
      <c r="JA56" s="33"/>
      <c r="JB56" s="33"/>
      <c r="JC56" s="33"/>
      <c r="JD56" s="33"/>
      <c r="JE56" s="33"/>
      <c r="JF56" s="33"/>
      <c r="JG56" s="33"/>
      <c r="JH56" s="33"/>
      <c r="JI56" s="33"/>
      <c r="JJ56" s="33"/>
      <c r="JK56" s="33"/>
      <c r="JL56" s="33"/>
      <c r="JM56" s="33"/>
      <c r="JN56" s="33"/>
      <c r="JO56" s="33"/>
      <c r="JP56" s="33"/>
      <c r="JQ56" s="86"/>
      <c r="JR56" s="148"/>
      <c r="JS56" s="33"/>
      <c r="JT56" s="33"/>
      <c r="JU56" s="33"/>
      <c r="JV56" s="33"/>
      <c r="JW56" s="33"/>
      <c r="JX56" s="33"/>
      <c r="JY56" s="33"/>
      <c r="JZ56" s="33"/>
      <c r="KA56" s="33"/>
      <c r="KB56" s="33"/>
      <c r="KC56" s="33"/>
      <c r="KD56" s="33"/>
      <c r="KE56" s="33"/>
      <c r="KF56" s="33"/>
      <c r="KG56" s="33"/>
      <c r="KH56" s="33"/>
      <c r="KI56" s="86"/>
      <c r="KJ56" s="148"/>
      <c r="KK56" s="33"/>
      <c r="KL56" s="33"/>
      <c r="KM56" s="33"/>
      <c r="KN56" s="33"/>
      <c r="KO56" s="33"/>
      <c r="KP56" s="33"/>
      <c r="KQ56" s="33"/>
      <c r="KR56" s="33"/>
      <c r="KS56" s="33"/>
      <c r="KT56" s="33"/>
      <c r="KU56" s="33"/>
      <c r="KV56" s="33"/>
      <c r="KW56" s="33"/>
      <c r="KX56" s="33"/>
      <c r="KY56" s="33"/>
      <c r="KZ56" s="33"/>
      <c r="LA56" s="86"/>
      <c r="LB56" s="148"/>
      <c r="LC56" s="33"/>
      <c r="LD56" s="33"/>
      <c r="LE56" s="33"/>
      <c r="LF56" s="33"/>
      <c r="LG56" s="33"/>
      <c r="LH56" s="33"/>
      <c r="LI56" s="33"/>
      <c r="LJ56" s="33"/>
      <c r="LK56" s="33"/>
      <c r="LL56" s="33"/>
      <c r="LM56" s="33"/>
      <c r="LN56" s="33"/>
      <c r="LO56" s="33"/>
      <c r="LP56" s="33"/>
      <c r="LQ56" s="33"/>
      <c r="LR56" s="33"/>
      <c r="LS56" s="86"/>
      <c r="LT56" s="148"/>
      <c r="LU56" s="33"/>
      <c r="LV56" s="33"/>
      <c r="LW56" s="33"/>
      <c r="LX56" s="33"/>
      <c r="LY56" s="33"/>
      <c r="LZ56" s="33"/>
      <c r="MA56" s="33"/>
      <c r="MB56" s="33"/>
      <c r="MC56" s="33"/>
      <c r="MD56" s="33"/>
      <c r="ME56" s="33"/>
      <c r="MF56" s="33"/>
      <c r="MG56" s="33"/>
      <c r="MH56" s="33"/>
      <c r="MI56" s="33"/>
      <c r="MJ56" s="33"/>
      <c r="MK56" s="86"/>
      <c r="ML56" s="148"/>
      <c r="MM56" s="33"/>
      <c r="MN56" s="33"/>
      <c r="MO56" s="33"/>
      <c r="MP56" s="33"/>
      <c r="MQ56" s="33"/>
      <c r="MR56" s="33"/>
      <c r="MS56" s="33"/>
      <c r="MT56" s="33"/>
      <c r="MU56" s="33"/>
      <c r="MV56" s="33"/>
      <c r="MW56" s="33"/>
      <c r="MX56" s="33"/>
      <c r="MY56" s="33"/>
      <c r="MZ56" s="33"/>
      <c r="NA56" s="33"/>
      <c r="NB56" s="33"/>
      <c r="NC56" s="86"/>
      <c r="ND56" s="148"/>
      <c r="NE56" s="33"/>
      <c r="NF56" s="33"/>
      <c r="NG56" s="33"/>
      <c r="NH56" s="33"/>
      <c r="NI56" s="33"/>
      <c r="NJ56" s="33"/>
      <c r="NK56" s="33"/>
      <c r="NL56" s="33"/>
      <c r="NM56" s="33"/>
      <c r="NN56" s="33"/>
      <c r="NO56" s="33"/>
      <c r="NP56" s="33"/>
      <c r="NQ56" s="33"/>
      <c r="NR56" s="33"/>
      <c r="NS56" s="33"/>
      <c r="NT56" s="33"/>
      <c r="NU56" s="86"/>
      <c r="NV56" s="148"/>
      <c r="NW56" s="33"/>
      <c r="NX56" s="33"/>
      <c r="NY56" s="33"/>
      <c r="NZ56" s="33"/>
      <c r="OA56" s="33"/>
      <c r="OB56" s="33"/>
      <c r="OC56" s="33"/>
      <c r="OD56" s="33"/>
      <c r="OE56" s="33"/>
      <c r="OF56" s="33"/>
      <c r="OG56" s="33"/>
      <c r="OH56" s="33"/>
      <c r="OI56" s="33"/>
      <c r="OJ56" s="33"/>
      <c r="OK56" s="33"/>
      <c r="OL56" s="33"/>
      <c r="OM56" s="86"/>
      <c r="ON56" s="148"/>
      <c r="OO56" s="33"/>
      <c r="OP56" s="33"/>
      <c r="OQ56" s="33"/>
      <c r="OR56" s="33"/>
      <c r="OS56" s="33"/>
      <c r="OT56" s="33"/>
      <c r="OU56" s="33"/>
      <c r="OV56" s="33"/>
      <c r="OW56" s="33"/>
      <c r="OX56" s="33"/>
      <c r="OY56" s="33"/>
      <c r="OZ56" s="33"/>
      <c r="PA56" s="33"/>
      <c r="PB56" s="33"/>
      <c r="PC56" s="33"/>
      <c r="PD56" s="33"/>
      <c r="PE56" s="86"/>
      <c r="PF56" s="148"/>
      <c r="PG56" s="33"/>
      <c r="PH56" s="33"/>
      <c r="PI56" s="33"/>
      <c r="PJ56" s="33"/>
      <c r="PK56" s="33"/>
      <c r="PL56" s="33"/>
      <c r="PM56" s="33"/>
      <c r="PN56" s="33"/>
      <c r="PO56" s="33"/>
      <c r="PP56" s="33"/>
      <c r="PQ56" s="33"/>
      <c r="PR56" s="33"/>
      <c r="PS56" s="33"/>
      <c r="PT56" s="33"/>
      <c r="PU56" s="33"/>
      <c r="PV56" s="33"/>
      <c r="PW56" s="86"/>
      <c r="PX56" s="148"/>
      <c r="PY56" s="33"/>
      <c r="PZ56" s="33"/>
      <c r="QA56" s="33"/>
      <c r="QB56" s="33"/>
      <c r="QC56" s="33"/>
      <c r="QD56" s="33"/>
      <c r="QE56" s="33"/>
      <c r="QF56" s="33"/>
      <c r="QG56" s="33"/>
      <c r="QH56" s="33"/>
      <c r="QI56" s="33"/>
      <c r="QJ56" s="33"/>
      <c r="QK56" s="33"/>
      <c r="QL56" s="33"/>
      <c r="QM56" s="33"/>
      <c r="QN56" s="33"/>
      <c r="QO56" s="86"/>
    </row>
    <row r="57" spans="1:457" x14ac:dyDescent="0.25">
      <c r="A57" s="14" t="s">
        <v>110</v>
      </c>
      <c r="B57" s="174">
        <v>43</v>
      </c>
      <c r="C57" s="16" t="s">
        <v>111</v>
      </c>
      <c r="F57" s="36">
        <v>2300647600</v>
      </c>
      <c r="G57" s="85"/>
      <c r="H57" s="35"/>
      <c r="I57" s="35">
        <v>52196550.57</v>
      </c>
      <c r="J57" s="35">
        <v>46606300</v>
      </c>
      <c r="K57" s="35">
        <v>5590250.5700000003</v>
      </c>
      <c r="L57" s="35">
        <v>46606300</v>
      </c>
      <c r="M57" s="35"/>
      <c r="N57" s="36"/>
      <c r="O57" s="35">
        <v>52196550.560000002</v>
      </c>
      <c r="P57" s="35">
        <v>46606300</v>
      </c>
      <c r="Q57" s="35"/>
      <c r="R57" s="35">
        <v>5590250.5599999996</v>
      </c>
      <c r="S57" s="35">
        <v>10.71</v>
      </c>
      <c r="T57" s="35"/>
      <c r="U57" s="35"/>
      <c r="V57" s="85">
        <v>46606300</v>
      </c>
      <c r="W57" s="27"/>
      <c r="X57" s="36">
        <v>46606300</v>
      </c>
      <c r="Y57" s="85">
        <v>46606300</v>
      </c>
      <c r="Z57" s="35"/>
      <c r="AA57" s="35"/>
      <c r="AB57" s="35"/>
      <c r="AC57" s="35"/>
      <c r="AD57" s="35"/>
      <c r="AE57" s="35"/>
      <c r="AF57" s="36"/>
      <c r="AG57" s="35"/>
      <c r="AH57" s="35"/>
      <c r="AI57" s="35"/>
      <c r="AJ57" s="35"/>
      <c r="AK57" s="35"/>
      <c r="AL57" s="35"/>
      <c r="AM57" s="35"/>
      <c r="AN57" s="85"/>
      <c r="AO57" s="27"/>
      <c r="AP57" s="36"/>
      <c r="AQ57" s="85"/>
      <c r="AR57" s="35"/>
      <c r="AS57" s="35">
        <v>144383600</v>
      </c>
      <c r="AT57" s="35">
        <v>137163600</v>
      </c>
      <c r="AU57" s="35">
        <v>7220000</v>
      </c>
      <c r="AV57" s="35">
        <v>137163600</v>
      </c>
      <c r="AW57" s="35"/>
      <c r="AX57" s="36"/>
      <c r="AY57" s="35">
        <v>144383600</v>
      </c>
      <c r="AZ57" s="35">
        <v>137163600</v>
      </c>
      <c r="BA57" s="35"/>
      <c r="BB57" s="35">
        <v>7220000</v>
      </c>
      <c r="BC57" s="35">
        <v>5.0005699999999997</v>
      </c>
      <c r="BD57" s="35"/>
      <c r="BE57" s="35"/>
      <c r="BF57" s="85">
        <v>137163600</v>
      </c>
      <c r="BG57" s="27"/>
      <c r="BH57" s="36">
        <v>137163600</v>
      </c>
      <c r="BI57" s="85">
        <v>137163600</v>
      </c>
      <c r="BJ57" s="35"/>
      <c r="BK57" s="35"/>
      <c r="BL57" s="35"/>
      <c r="BM57" s="35"/>
      <c r="BN57" s="35"/>
      <c r="BO57" s="35"/>
      <c r="BP57" s="36"/>
      <c r="BQ57" s="35"/>
      <c r="BR57" s="35"/>
      <c r="BS57" s="35"/>
      <c r="BT57" s="35"/>
      <c r="BU57" s="35"/>
      <c r="BV57" s="35"/>
      <c r="BW57" s="35"/>
      <c r="BX57" s="85"/>
      <c r="BY57" s="27"/>
      <c r="BZ57" s="36"/>
      <c r="CA57" s="85"/>
      <c r="CB57" s="35"/>
      <c r="CC57" s="35">
        <v>52423100</v>
      </c>
      <c r="CD57" s="35">
        <v>49798100</v>
      </c>
      <c r="CE57" s="35">
        <v>2625000</v>
      </c>
      <c r="CF57" s="35">
        <v>49798100</v>
      </c>
      <c r="CG57" s="35"/>
      <c r="CH57" s="36"/>
      <c r="CI57" s="35">
        <v>52423100</v>
      </c>
      <c r="CJ57" s="35">
        <v>49798100</v>
      </c>
      <c r="CK57" s="35"/>
      <c r="CL57" s="35">
        <v>2625000</v>
      </c>
      <c r="CM57" s="35">
        <v>5.0073299999999996</v>
      </c>
      <c r="CN57" s="35"/>
      <c r="CO57" s="35"/>
      <c r="CP57" s="85">
        <v>49798100</v>
      </c>
      <c r="CQ57" s="27"/>
      <c r="CR57" s="36">
        <v>49798100</v>
      </c>
      <c r="CS57" s="85">
        <v>49798100</v>
      </c>
      <c r="CT57" s="35"/>
      <c r="CU57" s="35">
        <v>1499379500</v>
      </c>
      <c r="CV57" s="35">
        <v>1423379500</v>
      </c>
      <c r="CW57" s="35">
        <v>76000000</v>
      </c>
      <c r="CX57" s="35">
        <v>1423379486.8499999</v>
      </c>
      <c r="CY57" s="35"/>
      <c r="CZ57" s="36"/>
      <c r="DA57" s="35">
        <v>1499379486.8499999</v>
      </c>
      <c r="DB57" s="35">
        <v>1423379486.8499999</v>
      </c>
      <c r="DC57" s="35"/>
      <c r="DD57" s="35">
        <v>76000000</v>
      </c>
      <c r="DE57" s="35">
        <v>5.0687600000000002</v>
      </c>
      <c r="DF57" s="35"/>
      <c r="DG57" s="35"/>
      <c r="DH57" s="85">
        <v>1423379486.8499999</v>
      </c>
      <c r="DI57" s="27"/>
      <c r="DJ57" s="36">
        <v>1423379500</v>
      </c>
      <c r="DK57" s="85">
        <v>1423379500</v>
      </c>
      <c r="DL57" s="35"/>
      <c r="DM57" s="35"/>
      <c r="DN57" s="35"/>
      <c r="DO57" s="35"/>
      <c r="DP57" s="35"/>
      <c r="DQ57" s="35"/>
      <c r="DR57" s="36"/>
      <c r="DS57" s="35"/>
      <c r="DT57" s="35"/>
      <c r="DU57" s="35"/>
      <c r="DV57" s="35"/>
      <c r="DW57" s="35"/>
      <c r="DX57" s="35"/>
      <c r="DY57" s="35"/>
      <c r="DZ57" s="85"/>
      <c r="EA57" s="27"/>
      <c r="EB57" s="36"/>
      <c r="EC57" s="85"/>
      <c r="ED57" s="35"/>
      <c r="EE57" s="35"/>
      <c r="EF57" s="35"/>
      <c r="EG57" s="35"/>
      <c r="EH57" s="35"/>
      <c r="EI57" s="35"/>
      <c r="EJ57" s="36"/>
      <c r="EK57" s="35"/>
      <c r="EL57" s="35"/>
      <c r="EM57" s="35"/>
      <c r="EN57" s="35"/>
      <c r="EO57" s="35"/>
      <c r="EP57" s="35"/>
      <c r="EQ57" s="35"/>
      <c r="ER57" s="85"/>
      <c r="ES57" s="27"/>
      <c r="ET57" s="36"/>
      <c r="EU57" s="85"/>
      <c r="EV57" s="35"/>
      <c r="EW57" s="35"/>
      <c r="EX57" s="35"/>
      <c r="EY57" s="35"/>
      <c r="EZ57" s="35"/>
      <c r="FA57" s="35"/>
      <c r="FB57" s="36"/>
      <c r="FC57" s="35"/>
      <c r="FD57" s="35"/>
      <c r="FE57" s="35"/>
      <c r="FF57" s="35"/>
      <c r="FG57" s="35"/>
      <c r="FH57" s="35"/>
      <c r="FI57" s="35"/>
      <c r="FJ57" s="85"/>
      <c r="FK57" s="27"/>
      <c r="FL57" s="36"/>
      <c r="FM57" s="85"/>
      <c r="FN57" s="35"/>
      <c r="FO57" s="35">
        <v>180115000</v>
      </c>
      <c r="FP57" s="35">
        <v>164115000</v>
      </c>
      <c r="FQ57" s="35">
        <v>16000000</v>
      </c>
      <c r="FR57" s="35">
        <v>164115000</v>
      </c>
      <c r="FS57" s="35"/>
      <c r="FT57" s="36"/>
      <c r="FU57" s="35">
        <v>180115000</v>
      </c>
      <c r="FV57" s="35">
        <v>164115000</v>
      </c>
      <c r="FW57" s="35"/>
      <c r="FX57" s="35">
        <v>16000000</v>
      </c>
      <c r="FY57" s="35">
        <v>8.8832100000000001</v>
      </c>
      <c r="FZ57" s="35"/>
      <c r="GA57" s="35"/>
      <c r="GB57" s="85">
        <v>164115000</v>
      </c>
      <c r="GC57" s="27"/>
      <c r="GD57" s="36">
        <v>164115000</v>
      </c>
      <c r="GE57" s="85">
        <v>164115000</v>
      </c>
      <c r="GF57" s="35"/>
      <c r="GG57" s="35">
        <v>251082500</v>
      </c>
      <c r="GH57" s="35">
        <v>238082500</v>
      </c>
      <c r="GI57" s="35">
        <v>13000000</v>
      </c>
      <c r="GJ57" s="35">
        <v>238082500</v>
      </c>
      <c r="GK57" s="35"/>
      <c r="GL57" s="36"/>
      <c r="GM57" s="35">
        <v>251082500</v>
      </c>
      <c r="GN57" s="35">
        <v>238082500</v>
      </c>
      <c r="GO57" s="35"/>
      <c r="GP57" s="35">
        <v>13000000</v>
      </c>
      <c r="GQ57" s="35">
        <v>5.1775799999999998</v>
      </c>
      <c r="GR57" s="35"/>
      <c r="GS57" s="35">
        <v>0</v>
      </c>
      <c r="GT57" s="85">
        <v>238082500</v>
      </c>
      <c r="GU57" s="27"/>
      <c r="GV57" s="36">
        <v>238082500</v>
      </c>
      <c r="GW57" s="85">
        <v>238082500</v>
      </c>
      <c r="GX57" s="35"/>
      <c r="GY57" s="35"/>
      <c r="GZ57" s="35"/>
      <c r="HA57" s="35"/>
      <c r="HB57" s="35"/>
      <c r="HC57" s="35"/>
      <c r="HD57" s="36"/>
      <c r="HE57" s="35"/>
      <c r="HF57" s="35"/>
      <c r="HG57" s="35"/>
      <c r="HH57" s="35"/>
      <c r="HI57" s="35"/>
      <c r="HJ57" s="35"/>
      <c r="HK57" s="35"/>
      <c r="HL57" s="85"/>
      <c r="HM57" s="27"/>
      <c r="HN57" s="36"/>
      <c r="HO57" s="85"/>
      <c r="HP57" s="35"/>
      <c r="HQ57" s="35">
        <v>221083800</v>
      </c>
      <c r="HR57" s="35">
        <v>47558000</v>
      </c>
      <c r="HS57" s="35">
        <v>173525800</v>
      </c>
      <c r="HT57" s="35">
        <v>47557971.090000004</v>
      </c>
      <c r="HU57" s="35">
        <v>14263906</v>
      </c>
      <c r="HV57" s="36"/>
      <c r="HW57" s="35">
        <v>221083729.78999999</v>
      </c>
      <c r="HX57" s="35">
        <v>47557971.090000004</v>
      </c>
      <c r="HY57" s="35"/>
      <c r="HZ57" s="35">
        <v>173525758.69999999</v>
      </c>
      <c r="IA57" s="35">
        <v>78.488709999999998</v>
      </c>
      <c r="IB57" s="35">
        <v>14263906</v>
      </c>
      <c r="IC57" s="35">
        <v>0</v>
      </c>
      <c r="ID57" s="85">
        <v>47557971.090000004</v>
      </c>
      <c r="IE57" s="27"/>
      <c r="IF57" s="36">
        <v>47558000</v>
      </c>
      <c r="IG57" s="85">
        <v>47558000</v>
      </c>
      <c r="IH57" s="35"/>
      <c r="II57" s="35"/>
      <c r="IJ57" s="35"/>
      <c r="IK57" s="35"/>
      <c r="IL57" s="35"/>
      <c r="IM57" s="35"/>
      <c r="IN57" s="36"/>
      <c r="IO57" s="35"/>
      <c r="IP57" s="35"/>
      <c r="IQ57" s="35"/>
      <c r="IR57" s="35"/>
      <c r="IS57" s="35"/>
      <c r="IT57" s="35"/>
      <c r="IU57" s="35"/>
      <c r="IV57" s="85"/>
      <c r="IW57" s="27"/>
      <c r="IX57" s="36"/>
      <c r="IY57" s="85"/>
      <c r="IZ57" s="35"/>
      <c r="JA57" s="35">
        <v>128592800</v>
      </c>
      <c r="JB57" s="35">
        <v>103536000</v>
      </c>
      <c r="JC57" s="35">
        <v>25056800</v>
      </c>
      <c r="JD57" s="35">
        <v>103535075.92</v>
      </c>
      <c r="JE57" s="35">
        <v>16221619</v>
      </c>
      <c r="JF57" s="36"/>
      <c r="JG57" s="35">
        <v>128591875.92</v>
      </c>
      <c r="JH57" s="35">
        <v>103535075.92</v>
      </c>
      <c r="JI57" s="35"/>
      <c r="JJ57" s="35">
        <v>25056800</v>
      </c>
      <c r="JK57" s="35">
        <v>19.485520000000001</v>
      </c>
      <c r="JL57" s="35">
        <v>16221619</v>
      </c>
      <c r="JM57" s="35">
        <v>0</v>
      </c>
      <c r="JN57" s="85">
        <v>103535075.92</v>
      </c>
      <c r="JO57" s="27"/>
      <c r="JP57" s="36">
        <v>103536000</v>
      </c>
      <c r="JQ57" s="85">
        <v>103536000</v>
      </c>
      <c r="JR57" s="35"/>
      <c r="JS57" s="35"/>
      <c r="JT57" s="35"/>
      <c r="JU57" s="35"/>
      <c r="JV57" s="35"/>
      <c r="JW57" s="35"/>
      <c r="JX57" s="36"/>
      <c r="JY57" s="35"/>
      <c r="JZ57" s="35"/>
      <c r="KA57" s="35"/>
      <c r="KB57" s="35"/>
      <c r="KC57" s="35"/>
      <c r="KD57" s="35"/>
      <c r="KE57" s="35"/>
      <c r="KF57" s="85"/>
      <c r="KG57" s="27"/>
      <c r="KH57" s="36"/>
      <c r="KI57" s="85"/>
      <c r="KJ57" s="35"/>
      <c r="KK57" s="35">
        <v>36327700</v>
      </c>
      <c r="KL57" s="35">
        <v>22767000</v>
      </c>
      <c r="KM57" s="35">
        <v>13560700</v>
      </c>
      <c r="KN57" s="35">
        <v>22766977.140000001</v>
      </c>
      <c r="KO57" s="35"/>
      <c r="KP57" s="36"/>
      <c r="KQ57" s="35">
        <v>36327677.140000001</v>
      </c>
      <c r="KR57" s="35">
        <v>22766977.140000001</v>
      </c>
      <c r="KS57" s="35"/>
      <c r="KT57" s="35">
        <v>13560700</v>
      </c>
      <c r="KU57" s="35">
        <v>37.32884</v>
      </c>
      <c r="KV57" s="35"/>
      <c r="KW57" s="35">
        <v>0</v>
      </c>
      <c r="KX57" s="85">
        <v>22766977.140000001</v>
      </c>
      <c r="KY57" s="27"/>
      <c r="KZ57" s="36">
        <v>22767000</v>
      </c>
      <c r="LA57" s="85">
        <v>22767000</v>
      </c>
      <c r="LB57" s="35"/>
      <c r="LC57" s="35"/>
      <c r="LD57" s="35"/>
      <c r="LE57" s="35"/>
      <c r="LF57" s="35"/>
      <c r="LG57" s="35"/>
      <c r="LH57" s="36"/>
      <c r="LI57" s="35"/>
      <c r="LJ57" s="35"/>
      <c r="LK57" s="35"/>
      <c r="LL57" s="35"/>
      <c r="LM57" s="35"/>
      <c r="LN57" s="35"/>
      <c r="LO57" s="35"/>
      <c r="LP57" s="85"/>
      <c r="LQ57" s="27"/>
      <c r="LR57" s="36"/>
      <c r="LS57" s="85"/>
      <c r="LT57" s="35"/>
      <c r="LU57" s="35">
        <v>52596000</v>
      </c>
      <c r="LV57" s="35">
        <v>17097000</v>
      </c>
      <c r="LW57" s="35">
        <v>35499000</v>
      </c>
      <c r="LX57" s="35">
        <v>17097000</v>
      </c>
      <c r="LY57" s="35">
        <v>22767360</v>
      </c>
      <c r="LZ57" s="36"/>
      <c r="MA57" s="35">
        <v>52596000</v>
      </c>
      <c r="MB57" s="35">
        <v>17097000</v>
      </c>
      <c r="MC57" s="35"/>
      <c r="MD57" s="35">
        <v>35499000</v>
      </c>
      <c r="ME57" s="35">
        <v>67.493729999999999</v>
      </c>
      <c r="MF57" s="35">
        <v>22767360</v>
      </c>
      <c r="MG57" s="35">
        <v>0</v>
      </c>
      <c r="MH57" s="85">
        <v>17097000</v>
      </c>
      <c r="MI57" s="27"/>
      <c r="MJ57" s="36">
        <v>17097000</v>
      </c>
      <c r="MK57" s="85">
        <v>17097000</v>
      </c>
      <c r="ML57" s="35"/>
      <c r="MM57" s="35"/>
      <c r="MN57" s="35"/>
      <c r="MO57" s="35"/>
      <c r="MP57" s="35"/>
      <c r="MQ57" s="35"/>
      <c r="MR57" s="36"/>
      <c r="MS57" s="35"/>
      <c r="MT57" s="35"/>
      <c r="MU57" s="35"/>
      <c r="MV57" s="35"/>
      <c r="MW57" s="35"/>
      <c r="MX57" s="35"/>
      <c r="MY57" s="35"/>
      <c r="MZ57" s="85"/>
      <c r="NA57" s="27"/>
      <c r="NB57" s="36"/>
      <c r="NC57" s="85"/>
      <c r="ND57" s="35"/>
      <c r="NE57" s="35">
        <v>60589300</v>
      </c>
      <c r="NF57" s="35">
        <v>50544600</v>
      </c>
      <c r="NG57" s="35">
        <v>10044700</v>
      </c>
      <c r="NH57" s="35">
        <v>50544600</v>
      </c>
      <c r="NI57" s="35">
        <v>10391920</v>
      </c>
      <c r="NJ57" s="36"/>
      <c r="NK57" s="35">
        <v>60589300</v>
      </c>
      <c r="NL57" s="35">
        <v>50544600</v>
      </c>
      <c r="NM57" s="35"/>
      <c r="NN57" s="35">
        <v>10044700</v>
      </c>
      <c r="NO57" s="35">
        <v>16.578340000000001</v>
      </c>
      <c r="NP57" s="35">
        <v>10391920</v>
      </c>
      <c r="NQ57" s="35">
        <v>0</v>
      </c>
      <c r="NR57" s="85">
        <v>50544600</v>
      </c>
      <c r="NS57" s="27"/>
      <c r="NT57" s="36">
        <v>50544600</v>
      </c>
      <c r="NU57" s="85">
        <v>50544600</v>
      </c>
      <c r="NV57" s="35"/>
      <c r="NW57" s="35"/>
      <c r="NX57" s="35"/>
      <c r="NY57" s="35"/>
      <c r="NZ57" s="35"/>
      <c r="OA57" s="35"/>
      <c r="OB57" s="36"/>
      <c r="OC57" s="35"/>
      <c r="OD57" s="35"/>
      <c r="OE57" s="35"/>
      <c r="OF57" s="35"/>
      <c r="OG57" s="35"/>
      <c r="OH57" s="35"/>
      <c r="OI57" s="35"/>
      <c r="OJ57" s="85"/>
      <c r="OK57" s="27"/>
      <c r="OL57" s="36"/>
      <c r="OM57" s="85"/>
      <c r="ON57" s="35"/>
      <c r="OO57" s="35"/>
      <c r="OP57" s="35"/>
      <c r="OQ57" s="35"/>
      <c r="OR57" s="35"/>
      <c r="OS57" s="35"/>
      <c r="OT57" s="36"/>
      <c r="OU57" s="35"/>
      <c r="OV57" s="35"/>
      <c r="OW57" s="35"/>
      <c r="OX57" s="35"/>
      <c r="OY57" s="35"/>
      <c r="OZ57" s="35"/>
      <c r="PA57" s="35"/>
      <c r="PB57" s="85"/>
      <c r="PC57" s="27"/>
      <c r="PD57" s="36"/>
      <c r="PE57" s="85"/>
      <c r="PF57" s="35"/>
      <c r="PG57" s="35"/>
      <c r="PH57" s="35"/>
      <c r="PI57" s="35"/>
      <c r="PJ57" s="35"/>
      <c r="PK57" s="35"/>
      <c r="PL57" s="36"/>
      <c r="PM57" s="35"/>
      <c r="PN57" s="35"/>
      <c r="PO57" s="35"/>
      <c r="PP57" s="35"/>
      <c r="PQ57" s="35"/>
      <c r="PR57" s="35"/>
      <c r="PS57" s="35"/>
      <c r="PT57" s="85"/>
      <c r="PU57" s="27"/>
      <c r="PV57" s="36"/>
      <c r="PW57" s="85"/>
      <c r="PX57" s="35"/>
      <c r="PY57" s="35"/>
      <c r="PZ57" s="35"/>
      <c r="QA57" s="35"/>
      <c r="QB57" s="35"/>
      <c r="QC57" s="35">
        <v>30163686.27</v>
      </c>
      <c r="QD57" s="36"/>
      <c r="QE57" s="35"/>
      <c r="QF57" s="35"/>
      <c r="QG57" s="35"/>
      <c r="QH57" s="35"/>
      <c r="QI57" s="35"/>
      <c r="QJ57" s="35">
        <v>30163686.27</v>
      </c>
      <c r="QK57" s="35"/>
      <c r="QL57" s="85"/>
      <c r="QM57" s="27"/>
      <c r="QN57" s="36"/>
      <c r="QO57" s="85"/>
    </row>
    <row r="58" spans="1:457" x14ac:dyDescent="0.25">
      <c r="A58" s="14" t="s">
        <v>112</v>
      </c>
      <c r="B58" s="174">
        <v>44</v>
      </c>
      <c r="C58" s="16" t="s">
        <v>113</v>
      </c>
      <c r="F58" s="36">
        <v>354070400</v>
      </c>
      <c r="G58" s="85"/>
      <c r="H58" s="35"/>
      <c r="I58" s="35">
        <v>631578.94999999995</v>
      </c>
      <c r="J58" s="35">
        <v>600000</v>
      </c>
      <c r="K58" s="35">
        <v>31578.95</v>
      </c>
      <c r="L58" s="35">
        <v>600000</v>
      </c>
      <c r="M58" s="35"/>
      <c r="N58" s="36"/>
      <c r="O58" s="35">
        <v>631578.94999999995</v>
      </c>
      <c r="P58" s="35">
        <v>600000</v>
      </c>
      <c r="Q58" s="35"/>
      <c r="R58" s="35">
        <v>31578.95</v>
      </c>
      <c r="S58" s="35">
        <v>5</v>
      </c>
      <c r="T58" s="35"/>
      <c r="U58" s="35"/>
      <c r="V58" s="85">
        <v>600000</v>
      </c>
      <c r="W58" s="27"/>
      <c r="X58" s="36">
        <v>600000</v>
      </c>
      <c r="Y58" s="85">
        <v>600000</v>
      </c>
      <c r="Z58" s="35"/>
      <c r="AA58" s="35"/>
      <c r="AB58" s="35"/>
      <c r="AC58" s="35"/>
      <c r="AD58" s="35"/>
      <c r="AE58" s="35"/>
      <c r="AF58" s="36"/>
      <c r="AG58" s="35"/>
      <c r="AH58" s="35"/>
      <c r="AI58" s="35"/>
      <c r="AJ58" s="35"/>
      <c r="AK58" s="35"/>
      <c r="AL58" s="35"/>
      <c r="AM58" s="35"/>
      <c r="AN58" s="85"/>
      <c r="AO58" s="27"/>
      <c r="AP58" s="36"/>
      <c r="AQ58" s="85"/>
      <c r="AR58" s="35"/>
      <c r="AS58" s="35">
        <v>15156200</v>
      </c>
      <c r="AT58" s="35">
        <v>14398200</v>
      </c>
      <c r="AU58" s="35">
        <v>758000</v>
      </c>
      <c r="AV58" s="35">
        <v>14398200</v>
      </c>
      <c r="AW58" s="35"/>
      <c r="AX58" s="36"/>
      <c r="AY58" s="35">
        <v>15156200</v>
      </c>
      <c r="AZ58" s="35">
        <v>14398200</v>
      </c>
      <c r="BA58" s="35"/>
      <c r="BB58" s="35">
        <v>758000</v>
      </c>
      <c r="BC58" s="35">
        <v>5.0012499999999998</v>
      </c>
      <c r="BD58" s="35"/>
      <c r="BE58" s="35"/>
      <c r="BF58" s="85">
        <v>14398200</v>
      </c>
      <c r="BG58" s="27"/>
      <c r="BH58" s="36">
        <v>14398200</v>
      </c>
      <c r="BI58" s="85">
        <v>14398200</v>
      </c>
      <c r="BJ58" s="35"/>
      <c r="BK58" s="35"/>
      <c r="BL58" s="35"/>
      <c r="BM58" s="35"/>
      <c r="BN58" s="35"/>
      <c r="BO58" s="35"/>
      <c r="BP58" s="36"/>
      <c r="BQ58" s="35"/>
      <c r="BR58" s="35"/>
      <c r="BS58" s="35"/>
      <c r="BT58" s="35"/>
      <c r="BU58" s="35"/>
      <c r="BV58" s="35"/>
      <c r="BW58" s="35"/>
      <c r="BX58" s="85"/>
      <c r="BY58" s="27"/>
      <c r="BZ58" s="36"/>
      <c r="CA58" s="85"/>
      <c r="CB58" s="35"/>
      <c r="CC58" s="35">
        <v>19398300</v>
      </c>
      <c r="CD58" s="35">
        <v>18428300</v>
      </c>
      <c r="CE58" s="35">
        <v>970000</v>
      </c>
      <c r="CF58" s="35">
        <v>18428300</v>
      </c>
      <c r="CG58" s="35"/>
      <c r="CH58" s="36"/>
      <c r="CI58" s="35">
        <v>19398300</v>
      </c>
      <c r="CJ58" s="35">
        <v>18428300</v>
      </c>
      <c r="CK58" s="35"/>
      <c r="CL58" s="35">
        <v>970000</v>
      </c>
      <c r="CM58" s="35">
        <v>5.0004400000000002</v>
      </c>
      <c r="CN58" s="35"/>
      <c r="CO58" s="35"/>
      <c r="CP58" s="85">
        <v>18428300</v>
      </c>
      <c r="CQ58" s="27"/>
      <c r="CR58" s="36">
        <v>18428300</v>
      </c>
      <c r="CS58" s="85">
        <v>18428300</v>
      </c>
      <c r="CT58" s="35"/>
      <c r="CU58" s="35">
        <v>187651000</v>
      </c>
      <c r="CV58" s="35">
        <v>178268400</v>
      </c>
      <c r="CW58" s="35">
        <v>9382600</v>
      </c>
      <c r="CX58" s="35">
        <v>178268400</v>
      </c>
      <c r="CY58" s="35"/>
      <c r="CZ58" s="36"/>
      <c r="DA58" s="35">
        <v>187651000</v>
      </c>
      <c r="DB58" s="35">
        <v>178268400</v>
      </c>
      <c r="DC58" s="35"/>
      <c r="DD58" s="35">
        <v>9382600</v>
      </c>
      <c r="DE58" s="35">
        <v>5.0000299999999998</v>
      </c>
      <c r="DF58" s="35"/>
      <c r="DG58" s="35"/>
      <c r="DH58" s="85">
        <v>178268400</v>
      </c>
      <c r="DI58" s="27"/>
      <c r="DJ58" s="36">
        <v>178268400</v>
      </c>
      <c r="DK58" s="85">
        <v>178268400</v>
      </c>
      <c r="DL58" s="35"/>
      <c r="DM58" s="35"/>
      <c r="DN58" s="35"/>
      <c r="DO58" s="35"/>
      <c r="DP58" s="35"/>
      <c r="DQ58" s="35"/>
      <c r="DR58" s="36"/>
      <c r="DS58" s="35"/>
      <c r="DT58" s="35"/>
      <c r="DU58" s="35"/>
      <c r="DV58" s="35"/>
      <c r="DW58" s="35"/>
      <c r="DX58" s="35"/>
      <c r="DY58" s="35"/>
      <c r="DZ58" s="85"/>
      <c r="EA58" s="27"/>
      <c r="EB58" s="36"/>
      <c r="EC58" s="85"/>
      <c r="ED58" s="35"/>
      <c r="EE58" s="35"/>
      <c r="EF58" s="35"/>
      <c r="EG58" s="35"/>
      <c r="EH58" s="35"/>
      <c r="EI58" s="35"/>
      <c r="EJ58" s="36"/>
      <c r="EK58" s="35"/>
      <c r="EL58" s="35"/>
      <c r="EM58" s="35"/>
      <c r="EN58" s="35"/>
      <c r="EO58" s="35"/>
      <c r="EP58" s="35"/>
      <c r="EQ58" s="35"/>
      <c r="ER58" s="85"/>
      <c r="ES58" s="27"/>
      <c r="ET58" s="36"/>
      <c r="EU58" s="85"/>
      <c r="EV58" s="35"/>
      <c r="EW58" s="35"/>
      <c r="EX58" s="35"/>
      <c r="EY58" s="35"/>
      <c r="EZ58" s="35"/>
      <c r="FA58" s="35"/>
      <c r="FB58" s="36"/>
      <c r="FC58" s="35"/>
      <c r="FD58" s="35"/>
      <c r="FE58" s="35"/>
      <c r="FF58" s="35"/>
      <c r="FG58" s="35"/>
      <c r="FH58" s="35"/>
      <c r="FI58" s="35"/>
      <c r="FJ58" s="85"/>
      <c r="FK58" s="27"/>
      <c r="FL58" s="36"/>
      <c r="FM58" s="85"/>
      <c r="FN58" s="35"/>
      <c r="FO58" s="35">
        <v>56641400</v>
      </c>
      <c r="FP58" s="35">
        <v>47171400</v>
      </c>
      <c r="FQ58" s="35">
        <v>9470000</v>
      </c>
      <c r="FR58" s="35">
        <v>47171400</v>
      </c>
      <c r="FS58" s="35"/>
      <c r="FT58" s="36"/>
      <c r="FU58" s="35">
        <v>56641400</v>
      </c>
      <c r="FV58" s="35">
        <v>47171400</v>
      </c>
      <c r="FW58" s="35"/>
      <c r="FX58" s="35">
        <v>9470000</v>
      </c>
      <c r="FY58" s="35">
        <v>16.71922</v>
      </c>
      <c r="FZ58" s="35"/>
      <c r="GA58" s="35"/>
      <c r="GB58" s="85">
        <v>47171400</v>
      </c>
      <c r="GC58" s="27"/>
      <c r="GD58" s="36">
        <v>47171400</v>
      </c>
      <c r="GE58" s="85">
        <v>47171400</v>
      </c>
      <c r="GF58" s="35"/>
      <c r="GG58" s="35">
        <v>38488300</v>
      </c>
      <c r="GH58" s="35">
        <v>36488300</v>
      </c>
      <c r="GI58" s="35">
        <v>2000000</v>
      </c>
      <c r="GJ58" s="35">
        <v>36488300</v>
      </c>
      <c r="GK58" s="35"/>
      <c r="GL58" s="36"/>
      <c r="GM58" s="35">
        <v>38488300</v>
      </c>
      <c r="GN58" s="35">
        <v>36488300</v>
      </c>
      <c r="GO58" s="35"/>
      <c r="GP58" s="35">
        <v>2000000</v>
      </c>
      <c r="GQ58" s="35">
        <v>5.1963800000000004</v>
      </c>
      <c r="GR58" s="35"/>
      <c r="GS58" s="35"/>
      <c r="GT58" s="85">
        <v>36488300</v>
      </c>
      <c r="GU58" s="27"/>
      <c r="GV58" s="36">
        <v>36488300</v>
      </c>
      <c r="GW58" s="85">
        <v>36488300</v>
      </c>
      <c r="GX58" s="35"/>
      <c r="GY58" s="35"/>
      <c r="GZ58" s="35"/>
      <c r="HA58" s="35"/>
      <c r="HB58" s="35"/>
      <c r="HC58" s="35"/>
      <c r="HD58" s="36"/>
      <c r="HE58" s="35"/>
      <c r="HF58" s="35"/>
      <c r="HG58" s="35"/>
      <c r="HH58" s="35"/>
      <c r="HI58" s="35"/>
      <c r="HJ58" s="35"/>
      <c r="HK58" s="35"/>
      <c r="HL58" s="85"/>
      <c r="HM58" s="27"/>
      <c r="HN58" s="36"/>
      <c r="HO58" s="85"/>
      <c r="HP58" s="35"/>
      <c r="HQ58" s="35">
        <v>28894400</v>
      </c>
      <c r="HR58" s="35">
        <v>27434400</v>
      </c>
      <c r="HS58" s="35">
        <v>1460000</v>
      </c>
      <c r="HT58" s="35">
        <v>27434400</v>
      </c>
      <c r="HU58" s="35"/>
      <c r="HV58" s="36"/>
      <c r="HW58" s="35">
        <v>28894400</v>
      </c>
      <c r="HX58" s="35">
        <v>27434400</v>
      </c>
      <c r="HY58" s="35"/>
      <c r="HZ58" s="35">
        <v>1460000</v>
      </c>
      <c r="IA58" s="35">
        <v>5.05288</v>
      </c>
      <c r="IB58" s="35"/>
      <c r="IC58" s="35"/>
      <c r="ID58" s="85">
        <v>27434400</v>
      </c>
      <c r="IE58" s="27"/>
      <c r="IF58" s="36">
        <v>27434400</v>
      </c>
      <c r="IG58" s="85">
        <v>27434400</v>
      </c>
      <c r="IH58" s="35"/>
      <c r="II58" s="35"/>
      <c r="IJ58" s="35"/>
      <c r="IK58" s="35"/>
      <c r="IL58" s="35"/>
      <c r="IM58" s="35"/>
      <c r="IN58" s="36"/>
      <c r="IO58" s="35"/>
      <c r="IP58" s="35"/>
      <c r="IQ58" s="35"/>
      <c r="IR58" s="35"/>
      <c r="IS58" s="35"/>
      <c r="IT58" s="35"/>
      <c r="IU58" s="35"/>
      <c r="IV58" s="85"/>
      <c r="IW58" s="27"/>
      <c r="IX58" s="36"/>
      <c r="IY58" s="85"/>
      <c r="IZ58" s="35"/>
      <c r="JA58" s="35">
        <v>24270000</v>
      </c>
      <c r="JB58" s="35">
        <v>23056000</v>
      </c>
      <c r="JC58" s="35">
        <v>1214000</v>
      </c>
      <c r="JD58" s="35">
        <v>23056000</v>
      </c>
      <c r="JE58" s="35"/>
      <c r="JF58" s="36"/>
      <c r="JG58" s="35">
        <v>24269474.129999999</v>
      </c>
      <c r="JH58" s="35">
        <v>23055499.170000002</v>
      </c>
      <c r="JI58" s="35"/>
      <c r="JJ58" s="35">
        <v>1213974.96</v>
      </c>
      <c r="JK58" s="35">
        <v>5.0020699999999998</v>
      </c>
      <c r="JL58" s="35"/>
      <c r="JM58" s="35">
        <v>500.83</v>
      </c>
      <c r="JN58" s="85">
        <v>23055499.170000002</v>
      </c>
      <c r="JO58" s="27"/>
      <c r="JP58" s="36">
        <v>23056000</v>
      </c>
      <c r="JQ58" s="85">
        <v>23056000</v>
      </c>
      <c r="JR58" s="35"/>
      <c r="JS58" s="35"/>
      <c r="JT58" s="35"/>
      <c r="JU58" s="35"/>
      <c r="JV58" s="35"/>
      <c r="JW58" s="35"/>
      <c r="JX58" s="36"/>
      <c r="JY58" s="35"/>
      <c r="JZ58" s="35"/>
      <c r="KA58" s="35"/>
      <c r="KB58" s="35"/>
      <c r="KC58" s="35"/>
      <c r="KD58" s="35"/>
      <c r="KE58" s="35"/>
      <c r="KF58" s="85"/>
      <c r="KG58" s="27"/>
      <c r="KH58" s="36"/>
      <c r="KI58" s="85"/>
      <c r="KJ58" s="35"/>
      <c r="KK58" s="35">
        <v>4475000</v>
      </c>
      <c r="KL58" s="35">
        <v>4135000</v>
      </c>
      <c r="KM58" s="35">
        <v>340000</v>
      </c>
      <c r="KN58" s="35">
        <v>4135000</v>
      </c>
      <c r="KO58" s="35"/>
      <c r="KP58" s="36"/>
      <c r="KQ58" s="35">
        <v>4475000</v>
      </c>
      <c r="KR58" s="35">
        <v>4135000</v>
      </c>
      <c r="KS58" s="35"/>
      <c r="KT58" s="35">
        <v>340000</v>
      </c>
      <c r="KU58" s="35">
        <v>7.5977699999999997</v>
      </c>
      <c r="KV58" s="35"/>
      <c r="KW58" s="35"/>
      <c r="KX58" s="85">
        <v>4135000</v>
      </c>
      <c r="KY58" s="27"/>
      <c r="KZ58" s="36">
        <v>4135000</v>
      </c>
      <c r="LA58" s="85">
        <v>4135000</v>
      </c>
      <c r="LB58" s="35"/>
      <c r="LC58" s="35"/>
      <c r="LD58" s="35"/>
      <c r="LE58" s="35"/>
      <c r="LF58" s="35"/>
      <c r="LG58" s="35"/>
      <c r="LH58" s="36"/>
      <c r="LI58" s="35"/>
      <c r="LJ58" s="35"/>
      <c r="LK58" s="35"/>
      <c r="LL58" s="35"/>
      <c r="LM58" s="35"/>
      <c r="LN58" s="35"/>
      <c r="LO58" s="35"/>
      <c r="LP58" s="85"/>
      <c r="LQ58" s="27"/>
      <c r="LR58" s="36"/>
      <c r="LS58" s="85"/>
      <c r="LT58" s="35"/>
      <c r="LU58" s="35">
        <v>3887000</v>
      </c>
      <c r="LV58" s="35">
        <v>3477000</v>
      </c>
      <c r="LW58" s="35">
        <v>410000</v>
      </c>
      <c r="LX58" s="35">
        <v>3477000</v>
      </c>
      <c r="LY58" s="35"/>
      <c r="LZ58" s="36"/>
      <c r="MA58" s="35">
        <v>3887000</v>
      </c>
      <c r="MB58" s="35">
        <v>3477000</v>
      </c>
      <c r="MC58" s="35"/>
      <c r="MD58" s="35">
        <v>410000</v>
      </c>
      <c r="ME58" s="35">
        <v>10.547980000000001</v>
      </c>
      <c r="MF58" s="35"/>
      <c r="MG58" s="35"/>
      <c r="MH58" s="85">
        <v>3477000</v>
      </c>
      <c r="MI58" s="27"/>
      <c r="MJ58" s="36">
        <v>3477000</v>
      </c>
      <c r="MK58" s="85">
        <v>3477000</v>
      </c>
      <c r="ML58" s="35"/>
      <c r="MM58" s="35"/>
      <c r="MN58" s="35"/>
      <c r="MO58" s="35"/>
      <c r="MP58" s="35"/>
      <c r="MQ58" s="35"/>
      <c r="MR58" s="36"/>
      <c r="MS58" s="35"/>
      <c r="MT58" s="35"/>
      <c r="MU58" s="35"/>
      <c r="MV58" s="35"/>
      <c r="MW58" s="35"/>
      <c r="MX58" s="35"/>
      <c r="MY58" s="35"/>
      <c r="MZ58" s="85"/>
      <c r="NA58" s="27"/>
      <c r="NB58" s="36"/>
      <c r="NC58" s="85"/>
      <c r="ND58" s="35"/>
      <c r="NE58" s="35"/>
      <c r="NF58" s="35"/>
      <c r="NG58" s="35"/>
      <c r="NH58" s="35"/>
      <c r="NI58" s="35"/>
      <c r="NJ58" s="36"/>
      <c r="NK58" s="35"/>
      <c r="NL58" s="35"/>
      <c r="NM58" s="35"/>
      <c r="NN58" s="35"/>
      <c r="NO58" s="35"/>
      <c r="NP58" s="35"/>
      <c r="NQ58" s="35"/>
      <c r="NR58" s="85"/>
      <c r="NS58" s="27"/>
      <c r="NT58" s="36"/>
      <c r="NU58" s="85"/>
      <c r="NV58" s="35"/>
      <c r="NW58" s="35"/>
      <c r="NX58" s="35"/>
      <c r="NY58" s="35"/>
      <c r="NZ58" s="35"/>
      <c r="OA58" s="35"/>
      <c r="OB58" s="36"/>
      <c r="OC58" s="35"/>
      <c r="OD58" s="35"/>
      <c r="OE58" s="35"/>
      <c r="OF58" s="35"/>
      <c r="OG58" s="35"/>
      <c r="OH58" s="35"/>
      <c r="OI58" s="35"/>
      <c r="OJ58" s="85"/>
      <c r="OK58" s="27"/>
      <c r="OL58" s="36"/>
      <c r="OM58" s="85"/>
      <c r="ON58" s="35"/>
      <c r="OO58" s="35">
        <v>743400</v>
      </c>
      <c r="OP58" s="35">
        <v>613400</v>
      </c>
      <c r="OQ58" s="35">
        <v>130000</v>
      </c>
      <c r="OR58" s="35">
        <v>613400</v>
      </c>
      <c r="OS58" s="35"/>
      <c r="OT58" s="36"/>
      <c r="OU58" s="35">
        <v>743400</v>
      </c>
      <c r="OV58" s="35">
        <v>613400</v>
      </c>
      <c r="OW58" s="35"/>
      <c r="OX58" s="35">
        <v>130000</v>
      </c>
      <c r="OY58" s="35">
        <v>17.487220000000001</v>
      </c>
      <c r="OZ58" s="35"/>
      <c r="PA58" s="35"/>
      <c r="PB58" s="85">
        <v>613400</v>
      </c>
      <c r="PC58" s="27"/>
      <c r="PD58" s="36">
        <v>613400</v>
      </c>
      <c r="PE58" s="85">
        <v>613400</v>
      </c>
      <c r="PF58" s="35"/>
      <c r="PG58" s="35"/>
      <c r="PH58" s="35"/>
      <c r="PI58" s="35"/>
      <c r="PJ58" s="35"/>
      <c r="PK58" s="35"/>
      <c r="PL58" s="36"/>
      <c r="PM58" s="35"/>
      <c r="PN58" s="35"/>
      <c r="PO58" s="35"/>
      <c r="PP58" s="35"/>
      <c r="PQ58" s="35"/>
      <c r="PR58" s="35"/>
      <c r="PS58" s="35"/>
      <c r="PT58" s="85"/>
      <c r="PU58" s="27"/>
      <c r="PV58" s="36"/>
      <c r="PW58" s="85"/>
      <c r="PX58" s="35"/>
      <c r="PY58" s="35"/>
      <c r="PZ58" s="35"/>
      <c r="QA58" s="35"/>
      <c r="QB58" s="35"/>
      <c r="QC58" s="35">
        <v>1787789.71</v>
      </c>
      <c r="QD58" s="36"/>
      <c r="QE58" s="35"/>
      <c r="QF58" s="35"/>
      <c r="QG58" s="35"/>
      <c r="QH58" s="35"/>
      <c r="QI58" s="35"/>
      <c r="QJ58" s="35">
        <v>1787789.71</v>
      </c>
      <c r="QK58" s="35">
        <v>0</v>
      </c>
      <c r="QL58" s="85"/>
      <c r="QM58" s="27"/>
      <c r="QN58" s="36"/>
      <c r="QO58" s="85"/>
    </row>
    <row r="59" spans="1:457" ht="25.5" x14ac:dyDescent="0.25">
      <c r="A59" s="14" t="s">
        <v>114</v>
      </c>
      <c r="B59" s="172">
        <v>45</v>
      </c>
      <c r="C59" s="16" t="s">
        <v>115</v>
      </c>
      <c r="F59" s="36">
        <v>1796940300</v>
      </c>
      <c r="G59" s="85"/>
      <c r="H59" s="35"/>
      <c r="I59" s="35">
        <v>237798500</v>
      </c>
      <c r="J59" s="35">
        <v>184345600</v>
      </c>
      <c r="K59" s="35">
        <v>53452900</v>
      </c>
      <c r="L59" s="35">
        <v>156934036.13999999</v>
      </c>
      <c r="M59" s="35"/>
      <c r="N59" s="36"/>
      <c r="O59" s="35">
        <v>198687476.12</v>
      </c>
      <c r="P59" s="35">
        <v>156934036.13999999</v>
      </c>
      <c r="Q59" s="35"/>
      <c r="R59" s="35">
        <v>41753439.979999997</v>
      </c>
      <c r="S59" s="35">
        <v>21.01463</v>
      </c>
      <c r="T59" s="35"/>
      <c r="U59" s="35"/>
      <c r="V59" s="85">
        <v>156934036.13999999</v>
      </c>
      <c r="W59" s="27"/>
      <c r="X59" s="36">
        <v>184345600</v>
      </c>
      <c r="Y59" s="85">
        <v>184345600</v>
      </c>
      <c r="Z59" s="35"/>
      <c r="AA59" s="35"/>
      <c r="AB59" s="35"/>
      <c r="AC59" s="35"/>
      <c r="AD59" s="35"/>
      <c r="AE59" s="35"/>
      <c r="AF59" s="36"/>
      <c r="AG59" s="35"/>
      <c r="AH59" s="35"/>
      <c r="AI59" s="35"/>
      <c r="AJ59" s="35"/>
      <c r="AK59" s="35"/>
      <c r="AL59" s="35"/>
      <c r="AM59" s="35"/>
      <c r="AN59" s="85"/>
      <c r="AO59" s="27"/>
      <c r="AP59" s="36"/>
      <c r="AQ59" s="85"/>
      <c r="AR59" s="35"/>
      <c r="AS59" s="35">
        <v>82658500</v>
      </c>
      <c r="AT59" s="35">
        <v>78525500</v>
      </c>
      <c r="AU59" s="35">
        <v>4133000</v>
      </c>
      <c r="AV59" s="35">
        <v>78525499.909999996</v>
      </c>
      <c r="AW59" s="35"/>
      <c r="AX59" s="36"/>
      <c r="AY59" s="35">
        <v>82658421.049999997</v>
      </c>
      <c r="AZ59" s="35">
        <v>78525499.909999996</v>
      </c>
      <c r="BA59" s="35"/>
      <c r="BB59" s="35">
        <v>4132921.14</v>
      </c>
      <c r="BC59" s="35">
        <v>5</v>
      </c>
      <c r="BD59" s="35"/>
      <c r="BE59" s="35"/>
      <c r="BF59" s="85">
        <v>78525499.909999996</v>
      </c>
      <c r="BG59" s="27"/>
      <c r="BH59" s="36">
        <v>78525500</v>
      </c>
      <c r="BI59" s="85">
        <v>78525500</v>
      </c>
      <c r="BJ59" s="35"/>
      <c r="BK59" s="35"/>
      <c r="BL59" s="35"/>
      <c r="BM59" s="35"/>
      <c r="BN59" s="35"/>
      <c r="BO59" s="35"/>
      <c r="BP59" s="36"/>
      <c r="BQ59" s="35"/>
      <c r="BR59" s="35"/>
      <c r="BS59" s="35"/>
      <c r="BT59" s="35"/>
      <c r="BU59" s="35"/>
      <c r="BV59" s="35"/>
      <c r="BW59" s="35"/>
      <c r="BX59" s="85"/>
      <c r="BY59" s="27"/>
      <c r="BZ59" s="36"/>
      <c r="CA59" s="85"/>
      <c r="CB59" s="35"/>
      <c r="CC59" s="35">
        <v>177059800</v>
      </c>
      <c r="CD59" s="35">
        <v>168206800</v>
      </c>
      <c r="CE59" s="35">
        <v>8853000</v>
      </c>
      <c r="CF59" s="35">
        <v>167834366.24000001</v>
      </c>
      <c r="CG59" s="35"/>
      <c r="CH59" s="36"/>
      <c r="CI59" s="35">
        <v>176667754.25999999</v>
      </c>
      <c r="CJ59" s="35">
        <v>167834366.24000001</v>
      </c>
      <c r="CK59" s="35"/>
      <c r="CL59" s="35">
        <v>8833388.0199999996</v>
      </c>
      <c r="CM59" s="35">
        <v>5</v>
      </c>
      <c r="CN59" s="35">
        <v>0</v>
      </c>
      <c r="CO59" s="35"/>
      <c r="CP59" s="85">
        <v>167834366.24000001</v>
      </c>
      <c r="CQ59" s="27"/>
      <c r="CR59" s="36">
        <v>168206800</v>
      </c>
      <c r="CS59" s="85">
        <v>168206800</v>
      </c>
      <c r="CT59" s="35"/>
      <c r="CU59" s="35">
        <v>821760900</v>
      </c>
      <c r="CV59" s="35">
        <v>780672700</v>
      </c>
      <c r="CW59" s="35">
        <v>41088200</v>
      </c>
      <c r="CX59" s="35">
        <v>780672700</v>
      </c>
      <c r="CY59" s="35"/>
      <c r="CZ59" s="36"/>
      <c r="DA59" s="35">
        <v>821760736.92999995</v>
      </c>
      <c r="DB59" s="35">
        <v>780672700</v>
      </c>
      <c r="DC59" s="35"/>
      <c r="DD59" s="35">
        <v>41088036.93</v>
      </c>
      <c r="DE59" s="35">
        <v>5</v>
      </c>
      <c r="DF59" s="35"/>
      <c r="DG59" s="35"/>
      <c r="DH59" s="85">
        <v>780672700</v>
      </c>
      <c r="DI59" s="27"/>
      <c r="DJ59" s="36">
        <v>780672700</v>
      </c>
      <c r="DK59" s="85">
        <v>780672700</v>
      </c>
      <c r="DL59" s="35"/>
      <c r="DM59" s="35"/>
      <c r="DN59" s="35"/>
      <c r="DO59" s="35"/>
      <c r="DP59" s="35"/>
      <c r="DQ59" s="35"/>
      <c r="DR59" s="36"/>
      <c r="DS59" s="35"/>
      <c r="DT59" s="35"/>
      <c r="DU59" s="35"/>
      <c r="DV59" s="35"/>
      <c r="DW59" s="35"/>
      <c r="DX59" s="35"/>
      <c r="DY59" s="35"/>
      <c r="DZ59" s="85"/>
      <c r="EA59" s="27"/>
      <c r="EB59" s="36"/>
      <c r="EC59" s="85"/>
      <c r="ED59" s="35"/>
      <c r="EE59" s="35">
        <v>299807000</v>
      </c>
      <c r="EF59" s="35">
        <v>284811300</v>
      </c>
      <c r="EG59" s="35">
        <v>14995700</v>
      </c>
      <c r="EH59" s="35">
        <v>284811270.89999998</v>
      </c>
      <c r="EI59" s="35"/>
      <c r="EJ59" s="36"/>
      <c r="EK59" s="35">
        <v>299806970.89999998</v>
      </c>
      <c r="EL59" s="35">
        <v>284811270.89999998</v>
      </c>
      <c r="EM59" s="35"/>
      <c r="EN59" s="35">
        <v>14995700</v>
      </c>
      <c r="EO59" s="35">
        <v>5.0017800000000001</v>
      </c>
      <c r="EP59" s="35"/>
      <c r="EQ59" s="35"/>
      <c r="ER59" s="85">
        <v>284811270.89999998</v>
      </c>
      <c r="ES59" s="27"/>
      <c r="ET59" s="36">
        <v>284811300</v>
      </c>
      <c r="EU59" s="85">
        <v>284811300</v>
      </c>
      <c r="EV59" s="35"/>
      <c r="EW59" s="35">
        <v>7461600</v>
      </c>
      <c r="EX59" s="35">
        <v>7088500</v>
      </c>
      <c r="EY59" s="35">
        <v>373100</v>
      </c>
      <c r="EZ59" s="35">
        <v>7088500</v>
      </c>
      <c r="FA59" s="35">
        <v>0</v>
      </c>
      <c r="FB59" s="36"/>
      <c r="FC59" s="35"/>
      <c r="FD59" s="35"/>
      <c r="FE59" s="35"/>
      <c r="FF59" s="35"/>
      <c r="FG59" s="35"/>
      <c r="FH59" s="35"/>
      <c r="FI59" s="35">
        <v>7088500</v>
      </c>
      <c r="FJ59" s="85"/>
      <c r="FK59" s="27"/>
      <c r="FL59" s="36">
        <v>7088500</v>
      </c>
      <c r="FM59" s="85">
        <v>7088500</v>
      </c>
      <c r="FN59" s="35"/>
      <c r="FO59" s="35">
        <v>256773000</v>
      </c>
      <c r="FP59" s="35">
        <v>231095700</v>
      </c>
      <c r="FQ59" s="35">
        <v>25677300</v>
      </c>
      <c r="FR59" s="35">
        <v>231095699.99000001</v>
      </c>
      <c r="FS59" s="35"/>
      <c r="FT59" s="36"/>
      <c r="FU59" s="35">
        <v>256772999.99000001</v>
      </c>
      <c r="FV59" s="35">
        <v>231095699.99000001</v>
      </c>
      <c r="FW59" s="35"/>
      <c r="FX59" s="35">
        <v>25677300</v>
      </c>
      <c r="FY59" s="35">
        <v>10</v>
      </c>
      <c r="FZ59" s="35"/>
      <c r="GA59" s="35"/>
      <c r="GB59" s="85">
        <v>231095699.99000001</v>
      </c>
      <c r="GC59" s="27"/>
      <c r="GD59" s="36">
        <v>231095700</v>
      </c>
      <c r="GE59" s="85">
        <v>231095700</v>
      </c>
      <c r="GF59" s="35"/>
      <c r="GG59" s="35">
        <v>46500300</v>
      </c>
      <c r="GH59" s="35">
        <v>32550200</v>
      </c>
      <c r="GI59" s="35">
        <v>13950100</v>
      </c>
      <c r="GJ59" s="35">
        <v>32550199.5</v>
      </c>
      <c r="GK59" s="35"/>
      <c r="GL59" s="36"/>
      <c r="GM59" s="35">
        <v>46500285</v>
      </c>
      <c r="GN59" s="35">
        <v>32550199.5</v>
      </c>
      <c r="GO59" s="35"/>
      <c r="GP59" s="35">
        <v>13950085.5</v>
      </c>
      <c r="GQ59" s="35">
        <v>30</v>
      </c>
      <c r="GR59" s="35"/>
      <c r="GS59" s="35"/>
      <c r="GT59" s="85">
        <v>32550199.5</v>
      </c>
      <c r="GU59" s="27"/>
      <c r="GV59" s="36">
        <v>32550200</v>
      </c>
      <c r="GW59" s="85">
        <v>32550200</v>
      </c>
      <c r="GX59" s="35"/>
      <c r="GY59" s="35"/>
      <c r="GZ59" s="35"/>
      <c r="HA59" s="35"/>
      <c r="HB59" s="35"/>
      <c r="HC59" s="35"/>
      <c r="HD59" s="36"/>
      <c r="HE59" s="35"/>
      <c r="HF59" s="35"/>
      <c r="HG59" s="35"/>
      <c r="HH59" s="35"/>
      <c r="HI59" s="35"/>
      <c r="HJ59" s="35"/>
      <c r="HK59" s="35"/>
      <c r="HL59" s="85"/>
      <c r="HM59" s="27"/>
      <c r="HN59" s="36"/>
      <c r="HO59" s="85"/>
      <c r="HP59" s="35"/>
      <c r="HQ59" s="35">
        <v>34580000</v>
      </c>
      <c r="HR59" s="35">
        <v>20295000</v>
      </c>
      <c r="HS59" s="35">
        <v>14285000</v>
      </c>
      <c r="HT59" s="35">
        <v>19679005.449999999</v>
      </c>
      <c r="HU59" s="35"/>
      <c r="HV59" s="36"/>
      <c r="HW59" s="35">
        <v>33553342.420000002</v>
      </c>
      <c r="HX59" s="35">
        <v>19679005.449999999</v>
      </c>
      <c r="HY59" s="35"/>
      <c r="HZ59" s="35">
        <v>13874336.970000001</v>
      </c>
      <c r="IA59" s="35">
        <v>41.350090000000002</v>
      </c>
      <c r="IB59" s="35"/>
      <c r="IC59" s="35"/>
      <c r="ID59" s="85">
        <v>19679005.449999999</v>
      </c>
      <c r="IE59" s="27"/>
      <c r="IF59" s="36">
        <v>20295000</v>
      </c>
      <c r="IG59" s="85">
        <v>20295000</v>
      </c>
      <c r="IH59" s="35"/>
      <c r="II59" s="35"/>
      <c r="IJ59" s="35"/>
      <c r="IK59" s="35"/>
      <c r="IL59" s="35"/>
      <c r="IM59" s="35"/>
      <c r="IN59" s="36"/>
      <c r="IO59" s="35"/>
      <c r="IP59" s="35"/>
      <c r="IQ59" s="35"/>
      <c r="IR59" s="35"/>
      <c r="IS59" s="35"/>
      <c r="IT59" s="35"/>
      <c r="IU59" s="35"/>
      <c r="IV59" s="85"/>
      <c r="IW59" s="27"/>
      <c r="IX59" s="36"/>
      <c r="IY59" s="85"/>
      <c r="IZ59" s="35"/>
      <c r="JA59" s="35"/>
      <c r="JB59" s="35"/>
      <c r="JC59" s="35"/>
      <c r="JD59" s="35"/>
      <c r="JE59" s="35"/>
      <c r="JF59" s="36"/>
      <c r="JG59" s="35"/>
      <c r="JH59" s="35"/>
      <c r="JI59" s="35"/>
      <c r="JJ59" s="35"/>
      <c r="JK59" s="35"/>
      <c r="JL59" s="35"/>
      <c r="JM59" s="35"/>
      <c r="JN59" s="85"/>
      <c r="JO59" s="27"/>
      <c r="JP59" s="36"/>
      <c r="JQ59" s="85"/>
      <c r="JR59" s="35"/>
      <c r="JS59" s="35"/>
      <c r="JT59" s="35"/>
      <c r="JU59" s="35"/>
      <c r="JV59" s="35"/>
      <c r="JW59" s="35"/>
      <c r="JX59" s="36"/>
      <c r="JY59" s="35"/>
      <c r="JZ59" s="35"/>
      <c r="KA59" s="35"/>
      <c r="KB59" s="35"/>
      <c r="KC59" s="35"/>
      <c r="KD59" s="35"/>
      <c r="KE59" s="35"/>
      <c r="KF59" s="85"/>
      <c r="KG59" s="27"/>
      <c r="KH59" s="36"/>
      <c r="KI59" s="85"/>
      <c r="KJ59" s="35"/>
      <c r="KK59" s="35">
        <v>9199500</v>
      </c>
      <c r="KL59" s="35">
        <v>5730000</v>
      </c>
      <c r="KM59" s="35">
        <v>3469500</v>
      </c>
      <c r="KN59" s="35">
        <v>5729999.9199999999</v>
      </c>
      <c r="KO59" s="35"/>
      <c r="KP59" s="36"/>
      <c r="KQ59" s="35">
        <v>9199499.9199999999</v>
      </c>
      <c r="KR59" s="35">
        <v>5729999.9199999999</v>
      </c>
      <c r="KS59" s="35"/>
      <c r="KT59" s="35">
        <v>3469500</v>
      </c>
      <c r="KU59" s="35">
        <v>37.714010000000002</v>
      </c>
      <c r="KV59" s="35"/>
      <c r="KW59" s="35"/>
      <c r="KX59" s="85">
        <v>5729999.9199999999</v>
      </c>
      <c r="KY59" s="27"/>
      <c r="KZ59" s="36">
        <v>5730000</v>
      </c>
      <c r="LA59" s="85">
        <v>5730000</v>
      </c>
      <c r="LB59" s="35"/>
      <c r="LC59" s="35"/>
      <c r="LD59" s="35"/>
      <c r="LE59" s="35"/>
      <c r="LF59" s="35"/>
      <c r="LG59" s="35"/>
      <c r="LH59" s="36"/>
      <c r="LI59" s="35"/>
      <c r="LJ59" s="35"/>
      <c r="LK59" s="35"/>
      <c r="LL59" s="35"/>
      <c r="LM59" s="35"/>
      <c r="LN59" s="35"/>
      <c r="LO59" s="35"/>
      <c r="LP59" s="85"/>
      <c r="LQ59" s="27"/>
      <c r="LR59" s="36"/>
      <c r="LS59" s="85"/>
      <c r="LT59" s="35"/>
      <c r="LU59" s="35">
        <v>6289300</v>
      </c>
      <c r="LV59" s="35">
        <v>3619000</v>
      </c>
      <c r="LW59" s="35">
        <v>2670300</v>
      </c>
      <c r="LX59" s="35">
        <v>3612529.86</v>
      </c>
      <c r="LY59" s="35"/>
      <c r="LZ59" s="36"/>
      <c r="MA59" s="35">
        <v>6278055.7999999998</v>
      </c>
      <c r="MB59" s="35">
        <v>3612529.86</v>
      </c>
      <c r="MC59" s="35"/>
      <c r="MD59" s="35">
        <v>2665525.94</v>
      </c>
      <c r="ME59" s="35">
        <v>42.457819999999998</v>
      </c>
      <c r="MF59" s="35"/>
      <c r="MG59" s="35"/>
      <c r="MH59" s="85">
        <v>3612529.86</v>
      </c>
      <c r="MI59" s="27"/>
      <c r="MJ59" s="36">
        <v>3619000</v>
      </c>
      <c r="MK59" s="85">
        <v>3619000</v>
      </c>
      <c r="ML59" s="35"/>
      <c r="MM59" s="35"/>
      <c r="MN59" s="35"/>
      <c r="MO59" s="35"/>
      <c r="MP59" s="35"/>
      <c r="MQ59" s="35"/>
      <c r="MR59" s="36"/>
      <c r="MS59" s="35"/>
      <c r="MT59" s="35"/>
      <c r="MU59" s="35"/>
      <c r="MV59" s="35"/>
      <c r="MW59" s="35"/>
      <c r="MX59" s="35"/>
      <c r="MY59" s="35"/>
      <c r="MZ59" s="85"/>
      <c r="NA59" s="27"/>
      <c r="NB59" s="36"/>
      <c r="NC59" s="85"/>
      <c r="ND59" s="35"/>
      <c r="NE59" s="35"/>
      <c r="NF59" s="35"/>
      <c r="NG59" s="35"/>
      <c r="NH59" s="35"/>
      <c r="NI59" s="35"/>
      <c r="NJ59" s="36"/>
      <c r="NK59" s="35"/>
      <c r="NL59" s="35"/>
      <c r="NM59" s="35"/>
      <c r="NN59" s="35"/>
      <c r="NO59" s="35"/>
      <c r="NP59" s="35"/>
      <c r="NQ59" s="35"/>
      <c r="NR59" s="85"/>
      <c r="NS59" s="27"/>
      <c r="NT59" s="36"/>
      <c r="NU59" s="85"/>
      <c r="NV59" s="35"/>
      <c r="NW59" s="35"/>
      <c r="NX59" s="35"/>
      <c r="NY59" s="35"/>
      <c r="NZ59" s="35"/>
      <c r="OA59" s="35"/>
      <c r="OB59" s="36"/>
      <c r="OC59" s="35"/>
      <c r="OD59" s="35"/>
      <c r="OE59" s="35"/>
      <c r="OF59" s="35"/>
      <c r="OG59" s="35"/>
      <c r="OH59" s="35"/>
      <c r="OI59" s="35"/>
      <c r="OJ59" s="85"/>
      <c r="OK59" s="27"/>
      <c r="OL59" s="36"/>
      <c r="OM59" s="85"/>
      <c r="ON59" s="35"/>
      <c r="OO59" s="35"/>
      <c r="OP59" s="35"/>
      <c r="OQ59" s="35"/>
      <c r="OR59" s="35"/>
      <c r="OS59" s="35"/>
      <c r="OT59" s="36"/>
      <c r="OU59" s="35"/>
      <c r="OV59" s="35"/>
      <c r="OW59" s="35"/>
      <c r="OX59" s="35"/>
      <c r="OY59" s="35"/>
      <c r="OZ59" s="35"/>
      <c r="PA59" s="35"/>
      <c r="PB59" s="85"/>
      <c r="PC59" s="27"/>
      <c r="PD59" s="36"/>
      <c r="PE59" s="85"/>
      <c r="PF59" s="35"/>
      <c r="PG59" s="35"/>
      <c r="PH59" s="35"/>
      <c r="PI59" s="35"/>
      <c r="PJ59" s="35"/>
      <c r="PK59" s="35"/>
      <c r="PL59" s="36"/>
      <c r="PM59" s="35"/>
      <c r="PN59" s="35"/>
      <c r="PO59" s="35"/>
      <c r="PP59" s="35"/>
      <c r="PQ59" s="35"/>
      <c r="PR59" s="35"/>
      <c r="PS59" s="35"/>
      <c r="PT59" s="85"/>
      <c r="PU59" s="27"/>
      <c r="PV59" s="36"/>
      <c r="PW59" s="85"/>
      <c r="PX59" s="35"/>
      <c r="PY59" s="35"/>
      <c r="PZ59" s="35"/>
      <c r="QA59" s="35"/>
      <c r="QB59" s="35"/>
      <c r="QC59" s="35">
        <v>3824320.67</v>
      </c>
      <c r="QD59" s="36"/>
      <c r="QE59" s="35"/>
      <c r="QF59" s="35"/>
      <c r="QG59" s="35"/>
      <c r="QH59" s="35"/>
      <c r="QI59" s="35"/>
      <c r="QJ59" s="35">
        <v>3824320.67</v>
      </c>
      <c r="QK59" s="35"/>
      <c r="QL59" s="85"/>
      <c r="QM59" s="27"/>
      <c r="QN59" s="36"/>
      <c r="QO59" s="85"/>
    </row>
    <row r="60" spans="1:457" ht="25.5" x14ac:dyDescent="0.25">
      <c r="A60" s="14" t="s">
        <v>116</v>
      </c>
      <c r="B60" s="174">
        <v>46</v>
      </c>
      <c r="C60" s="16" t="s">
        <v>117</v>
      </c>
      <c r="F60" s="36">
        <v>865815900</v>
      </c>
      <c r="G60" s="85"/>
      <c r="H60" s="35"/>
      <c r="I60" s="35">
        <v>10372526.32</v>
      </c>
      <c r="J60" s="35">
        <v>9853900</v>
      </c>
      <c r="K60" s="35">
        <v>518626.32</v>
      </c>
      <c r="L60" s="35">
        <v>9853900</v>
      </c>
      <c r="M60" s="35"/>
      <c r="N60" s="36"/>
      <c r="O60" s="35">
        <v>10372526.32</v>
      </c>
      <c r="P60" s="35">
        <v>9853900</v>
      </c>
      <c r="Q60" s="35"/>
      <c r="R60" s="35">
        <v>518626.32</v>
      </c>
      <c r="S60" s="35">
        <v>5</v>
      </c>
      <c r="T60" s="35"/>
      <c r="U60" s="35"/>
      <c r="V60" s="85">
        <v>9853900</v>
      </c>
      <c r="W60" s="27"/>
      <c r="X60" s="36">
        <v>9853900</v>
      </c>
      <c r="Y60" s="85">
        <v>9853900</v>
      </c>
      <c r="Z60" s="35"/>
      <c r="AA60" s="35"/>
      <c r="AB60" s="35"/>
      <c r="AC60" s="35"/>
      <c r="AD60" s="35"/>
      <c r="AE60" s="35"/>
      <c r="AF60" s="36"/>
      <c r="AG60" s="35"/>
      <c r="AH60" s="35"/>
      <c r="AI60" s="35"/>
      <c r="AJ60" s="35"/>
      <c r="AK60" s="35"/>
      <c r="AL60" s="35"/>
      <c r="AM60" s="35"/>
      <c r="AN60" s="85"/>
      <c r="AO60" s="27"/>
      <c r="AP60" s="36"/>
      <c r="AQ60" s="85"/>
      <c r="AR60" s="35"/>
      <c r="AS60" s="35">
        <v>7171300</v>
      </c>
      <c r="AT60" s="35">
        <v>6812700</v>
      </c>
      <c r="AU60" s="35">
        <v>358600</v>
      </c>
      <c r="AV60" s="35">
        <v>6812700</v>
      </c>
      <c r="AW60" s="35"/>
      <c r="AX60" s="36"/>
      <c r="AY60" s="35">
        <v>7171263.1600000001</v>
      </c>
      <c r="AZ60" s="35">
        <v>6812700</v>
      </c>
      <c r="BA60" s="35"/>
      <c r="BB60" s="35">
        <v>358563.16</v>
      </c>
      <c r="BC60" s="35">
        <v>5</v>
      </c>
      <c r="BD60" s="35"/>
      <c r="BE60" s="35"/>
      <c r="BF60" s="85">
        <v>6812700</v>
      </c>
      <c r="BG60" s="27"/>
      <c r="BH60" s="36">
        <v>6812700</v>
      </c>
      <c r="BI60" s="85">
        <v>6812700</v>
      </c>
      <c r="BJ60" s="35"/>
      <c r="BK60" s="35"/>
      <c r="BL60" s="35"/>
      <c r="BM60" s="35"/>
      <c r="BN60" s="35"/>
      <c r="BO60" s="35"/>
      <c r="BP60" s="36"/>
      <c r="BQ60" s="35"/>
      <c r="BR60" s="35"/>
      <c r="BS60" s="35"/>
      <c r="BT60" s="35"/>
      <c r="BU60" s="35"/>
      <c r="BV60" s="35"/>
      <c r="BW60" s="35"/>
      <c r="BX60" s="85"/>
      <c r="BY60" s="27"/>
      <c r="BZ60" s="36"/>
      <c r="CA60" s="85"/>
      <c r="CB60" s="35"/>
      <c r="CC60" s="35">
        <v>31249100</v>
      </c>
      <c r="CD60" s="35">
        <v>29686600</v>
      </c>
      <c r="CE60" s="35">
        <v>1562500</v>
      </c>
      <c r="CF60" s="35">
        <v>29686600</v>
      </c>
      <c r="CG60" s="35"/>
      <c r="CH60" s="36"/>
      <c r="CI60" s="35">
        <v>31249100</v>
      </c>
      <c r="CJ60" s="35">
        <v>29686600</v>
      </c>
      <c r="CK60" s="35"/>
      <c r="CL60" s="35">
        <v>1562500</v>
      </c>
      <c r="CM60" s="35">
        <v>5.00014</v>
      </c>
      <c r="CN60" s="35"/>
      <c r="CO60" s="35"/>
      <c r="CP60" s="85">
        <v>29686600</v>
      </c>
      <c r="CQ60" s="27"/>
      <c r="CR60" s="36">
        <v>29686600</v>
      </c>
      <c r="CS60" s="85">
        <v>29686600</v>
      </c>
      <c r="CT60" s="35"/>
      <c r="CU60" s="35">
        <v>705438842.16999996</v>
      </c>
      <c r="CV60" s="35">
        <v>670166900</v>
      </c>
      <c r="CW60" s="35">
        <v>35271942.170000002</v>
      </c>
      <c r="CX60" s="35">
        <v>670166900</v>
      </c>
      <c r="CY60" s="35"/>
      <c r="CZ60" s="36"/>
      <c r="DA60" s="35">
        <v>705438842.16999996</v>
      </c>
      <c r="DB60" s="35">
        <v>670166900</v>
      </c>
      <c r="DC60" s="35"/>
      <c r="DD60" s="35">
        <v>35271942.170000002</v>
      </c>
      <c r="DE60" s="35">
        <v>5</v>
      </c>
      <c r="DF60" s="35"/>
      <c r="DG60" s="35"/>
      <c r="DH60" s="85">
        <v>670166900</v>
      </c>
      <c r="DI60" s="27"/>
      <c r="DJ60" s="36">
        <v>670166900</v>
      </c>
      <c r="DK60" s="85">
        <v>670166900</v>
      </c>
      <c r="DL60" s="35"/>
      <c r="DM60" s="35"/>
      <c r="DN60" s="35"/>
      <c r="DO60" s="35"/>
      <c r="DP60" s="35"/>
      <c r="DQ60" s="35"/>
      <c r="DR60" s="36"/>
      <c r="DS60" s="35"/>
      <c r="DT60" s="35"/>
      <c r="DU60" s="35"/>
      <c r="DV60" s="35"/>
      <c r="DW60" s="35"/>
      <c r="DX60" s="35"/>
      <c r="DY60" s="35"/>
      <c r="DZ60" s="85"/>
      <c r="EA60" s="27"/>
      <c r="EB60" s="36"/>
      <c r="EC60" s="85"/>
      <c r="ED60" s="35"/>
      <c r="EE60" s="35">
        <v>88422105.269999996</v>
      </c>
      <c r="EF60" s="35">
        <v>84000000</v>
      </c>
      <c r="EG60" s="35">
        <v>4422105.2699999996</v>
      </c>
      <c r="EH60" s="35">
        <v>84000000</v>
      </c>
      <c r="EI60" s="35"/>
      <c r="EJ60" s="36"/>
      <c r="EK60" s="35">
        <v>88422105.269999996</v>
      </c>
      <c r="EL60" s="35">
        <v>84000000</v>
      </c>
      <c r="EM60" s="35"/>
      <c r="EN60" s="35">
        <v>4422105.2699999996</v>
      </c>
      <c r="EO60" s="35">
        <v>5.0011299999999999</v>
      </c>
      <c r="EP60" s="35"/>
      <c r="EQ60" s="35"/>
      <c r="ER60" s="85">
        <v>84000000</v>
      </c>
      <c r="ES60" s="27"/>
      <c r="ET60" s="36">
        <v>84000000</v>
      </c>
      <c r="EU60" s="85">
        <v>84000000</v>
      </c>
      <c r="EV60" s="35"/>
      <c r="EW60" s="35"/>
      <c r="EX60" s="35"/>
      <c r="EY60" s="35"/>
      <c r="EZ60" s="35"/>
      <c r="FA60" s="35"/>
      <c r="FB60" s="36"/>
      <c r="FC60" s="35"/>
      <c r="FD60" s="35"/>
      <c r="FE60" s="35"/>
      <c r="FF60" s="35"/>
      <c r="FG60" s="35"/>
      <c r="FH60" s="35"/>
      <c r="FI60" s="35"/>
      <c r="FJ60" s="85"/>
      <c r="FK60" s="27"/>
      <c r="FL60" s="36"/>
      <c r="FM60" s="85"/>
      <c r="FN60" s="35"/>
      <c r="FO60" s="35">
        <v>8607000</v>
      </c>
      <c r="FP60" s="35">
        <v>7746300</v>
      </c>
      <c r="FQ60" s="35">
        <v>860700</v>
      </c>
      <c r="FR60" s="35">
        <v>7746300</v>
      </c>
      <c r="FS60" s="35"/>
      <c r="FT60" s="36"/>
      <c r="FU60" s="35">
        <v>8607000</v>
      </c>
      <c r="FV60" s="35">
        <v>7746300</v>
      </c>
      <c r="FW60" s="35"/>
      <c r="FX60" s="35">
        <v>860700</v>
      </c>
      <c r="FY60" s="35">
        <v>10</v>
      </c>
      <c r="FZ60" s="35"/>
      <c r="GA60" s="35"/>
      <c r="GB60" s="85">
        <v>7746300</v>
      </c>
      <c r="GC60" s="27"/>
      <c r="GD60" s="36">
        <v>7746300</v>
      </c>
      <c r="GE60" s="85">
        <v>7746300</v>
      </c>
      <c r="GF60" s="35"/>
      <c r="GG60" s="35">
        <v>905673.86</v>
      </c>
      <c r="GH60" s="35">
        <v>633700</v>
      </c>
      <c r="GI60" s="35">
        <v>271973.86</v>
      </c>
      <c r="GJ60" s="35">
        <v>633700</v>
      </c>
      <c r="GK60" s="35"/>
      <c r="GL60" s="36"/>
      <c r="GM60" s="35">
        <v>905673.86</v>
      </c>
      <c r="GN60" s="35">
        <v>633700</v>
      </c>
      <c r="GO60" s="35"/>
      <c r="GP60" s="35">
        <v>271973.86</v>
      </c>
      <c r="GQ60" s="35">
        <v>30.03</v>
      </c>
      <c r="GR60" s="35"/>
      <c r="GS60" s="35"/>
      <c r="GT60" s="85">
        <v>633700</v>
      </c>
      <c r="GU60" s="27"/>
      <c r="GV60" s="36">
        <v>633700</v>
      </c>
      <c r="GW60" s="85">
        <v>633700</v>
      </c>
      <c r="GX60" s="35"/>
      <c r="GY60" s="35"/>
      <c r="GZ60" s="35"/>
      <c r="HA60" s="35"/>
      <c r="HB60" s="35"/>
      <c r="HC60" s="35"/>
      <c r="HD60" s="36"/>
      <c r="HE60" s="35"/>
      <c r="HF60" s="35"/>
      <c r="HG60" s="35"/>
      <c r="HH60" s="35"/>
      <c r="HI60" s="35"/>
      <c r="HJ60" s="35"/>
      <c r="HK60" s="35"/>
      <c r="HL60" s="85"/>
      <c r="HM60" s="27"/>
      <c r="HN60" s="36"/>
      <c r="HO60" s="85"/>
      <c r="HP60" s="35"/>
      <c r="HQ60" s="35">
        <v>55811428.549999997</v>
      </c>
      <c r="HR60" s="35">
        <v>39068000</v>
      </c>
      <c r="HS60" s="35">
        <v>16743428.550000001</v>
      </c>
      <c r="HT60" s="35">
        <v>39068000</v>
      </c>
      <c r="HU60" s="35"/>
      <c r="HV60" s="36"/>
      <c r="HW60" s="35">
        <v>55811428.549999997</v>
      </c>
      <c r="HX60" s="35">
        <v>39068000</v>
      </c>
      <c r="HY60" s="35"/>
      <c r="HZ60" s="35">
        <v>16743428.550000001</v>
      </c>
      <c r="IA60" s="35">
        <v>30</v>
      </c>
      <c r="IB60" s="35"/>
      <c r="IC60" s="35"/>
      <c r="ID60" s="85">
        <v>39068000</v>
      </c>
      <c r="IE60" s="27"/>
      <c r="IF60" s="36">
        <v>39068000</v>
      </c>
      <c r="IG60" s="85">
        <v>39068000</v>
      </c>
      <c r="IH60" s="35"/>
      <c r="II60" s="35"/>
      <c r="IJ60" s="35"/>
      <c r="IK60" s="35"/>
      <c r="IL60" s="35"/>
      <c r="IM60" s="35"/>
      <c r="IN60" s="36"/>
      <c r="IO60" s="35"/>
      <c r="IP60" s="35"/>
      <c r="IQ60" s="35"/>
      <c r="IR60" s="35"/>
      <c r="IS60" s="35"/>
      <c r="IT60" s="35"/>
      <c r="IU60" s="35"/>
      <c r="IV60" s="85"/>
      <c r="IW60" s="27"/>
      <c r="IX60" s="36"/>
      <c r="IY60" s="85"/>
      <c r="IZ60" s="35"/>
      <c r="JA60" s="35">
        <v>15907142.859999999</v>
      </c>
      <c r="JB60" s="35">
        <v>11135000</v>
      </c>
      <c r="JC60" s="35">
        <v>4772142.8600000003</v>
      </c>
      <c r="JD60" s="35">
        <v>11135000</v>
      </c>
      <c r="JE60" s="35"/>
      <c r="JF60" s="36"/>
      <c r="JG60" s="35">
        <v>15907142.859999999</v>
      </c>
      <c r="JH60" s="35">
        <v>11135000</v>
      </c>
      <c r="JI60" s="35"/>
      <c r="JJ60" s="35">
        <v>4772142.8600000003</v>
      </c>
      <c r="JK60" s="35">
        <v>30</v>
      </c>
      <c r="JL60" s="35"/>
      <c r="JM60" s="35"/>
      <c r="JN60" s="85">
        <v>11135000</v>
      </c>
      <c r="JO60" s="27"/>
      <c r="JP60" s="36">
        <v>11135000</v>
      </c>
      <c r="JQ60" s="85">
        <v>11135000</v>
      </c>
      <c r="JR60" s="35"/>
      <c r="JS60" s="35"/>
      <c r="JT60" s="35"/>
      <c r="JU60" s="35"/>
      <c r="JV60" s="35"/>
      <c r="JW60" s="35"/>
      <c r="JX60" s="36"/>
      <c r="JY60" s="35"/>
      <c r="JZ60" s="35"/>
      <c r="KA60" s="35"/>
      <c r="KB60" s="35"/>
      <c r="KC60" s="35"/>
      <c r="KD60" s="35"/>
      <c r="KE60" s="35"/>
      <c r="KF60" s="85"/>
      <c r="KG60" s="27"/>
      <c r="KH60" s="36"/>
      <c r="KI60" s="85"/>
      <c r="KJ60" s="35"/>
      <c r="KK60" s="35">
        <v>4862857.1399999997</v>
      </c>
      <c r="KL60" s="35">
        <v>3404000</v>
      </c>
      <c r="KM60" s="35">
        <v>1458857.14</v>
      </c>
      <c r="KN60" s="35">
        <v>3404000</v>
      </c>
      <c r="KO60" s="35"/>
      <c r="KP60" s="36"/>
      <c r="KQ60" s="35">
        <v>4862857.1399999997</v>
      </c>
      <c r="KR60" s="35">
        <v>3404000</v>
      </c>
      <c r="KS60" s="35"/>
      <c r="KT60" s="35">
        <v>1458857.14</v>
      </c>
      <c r="KU60" s="35">
        <v>30</v>
      </c>
      <c r="KV60" s="35"/>
      <c r="KW60" s="35"/>
      <c r="KX60" s="85">
        <v>3404000</v>
      </c>
      <c r="KY60" s="27"/>
      <c r="KZ60" s="36">
        <v>3404000</v>
      </c>
      <c r="LA60" s="85">
        <v>3404000</v>
      </c>
      <c r="LB60" s="35"/>
      <c r="LC60" s="35"/>
      <c r="LD60" s="35"/>
      <c r="LE60" s="35"/>
      <c r="LF60" s="35"/>
      <c r="LG60" s="35"/>
      <c r="LH60" s="36"/>
      <c r="LI60" s="35"/>
      <c r="LJ60" s="35"/>
      <c r="LK60" s="35"/>
      <c r="LL60" s="35"/>
      <c r="LM60" s="35"/>
      <c r="LN60" s="35"/>
      <c r="LO60" s="35"/>
      <c r="LP60" s="85"/>
      <c r="LQ60" s="27"/>
      <c r="LR60" s="36"/>
      <c r="LS60" s="85"/>
      <c r="LT60" s="35"/>
      <c r="LU60" s="35">
        <v>4064866.41</v>
      </c>
      <c r="LV60" s="35">
        <v>2845000</v>
      </c>
      <c r="LW60" s="35">
        <v>1219866.4099999999</v>
      </c>
      <c r="LX60" s="35">
        <v>2845000</v>
      </c>
      <c r="LY60" s="35"/>
      <c r="LZ60" s="36"/>
      <c r="MA60" s="35">
        <v>4064866.41</v>
      </c>
      <c r="MB60" s="35">
        <v>2845000</v>
      </c>
      <c r="MC60" s="35"/>
      <c r="MD60" s="35">
        <v>1219866.4099999999</v>
      </c>
      <c r="ME60" s="35">
        <v>30.01</v>
      </c>
      <c r="MF60" s="35"/>
      <c r="MG60" s="35"/>
      <c r="MH60" s="85">
        <v>2845000</v>
      </c>
      <c r="MI60" s="27"/>
      <c r="MJ60" s="36">
        <v>2845000</v>
      </c>
      <c r="MK60" s="85">
        <v>2845000</v>
      </c>
      <c r="ML60" s="35"/>
      <c r="MM60" s="35"/>
      <c r="MN60" s="35"/>
      <c r="MO60" s="35"/>
      <c r="MP60" s="35"/>
      <c r="MQ60" s="35"/>
      <c r="MR60" s="36"/>
      <c r="MS60" s="35"/>
      <c r="MT60" s="35"/>
      <c r="MU60" s="35"/>
      <c r="MV60" s="35"/>
      <c r="MW60" s="35"/>
      <c r="MX60" s="35"/>
      <c r="MY60" s="35"/>
      <c r="MZ60" s="85"/>
      <c r="NA60" s="27"/>
      <c r="NB60" s="36"/>
      <c r="NC60" s="85"/>
      <c r="ND60" s="35"/>
      <c r="NE60" s="35"/>
      <c r="NF60" s="35"/>
      <c r="NG60" s="35"/>
      <c r="NH60" s="35"/>
      <c r="NI60" s="35"/>
      <c r="NJ60" s="36"/>
      <c r="NK60" s="35"/>
      <c r="NL60" s="35"/>
      <c r="NM60" s="35"/>
      <c r="NN60" s="35"/>
      <c r="NO60" s="35"/>
      <c r="NP60" s="35"/>
      <c r="NQ60" s="35"/>
      <c r="NR60" s="85"/>
      <c r="NS60" s="27"/>
      <c r="NT60" s="36"/>
      <c r="NU60" s="85"/>
      <c r="NV60" s="35"/>
      <c r="NW60" s="35"/>
      <c r="NX60" s="35"/>
      <c r="NY60" s="35"/>
      <c r="NZ60" s="35"/>
      <c r="OA60" s="35"/>
      <c r="OB60" s="36"/>
      <c r="OC60" s="35"/>
      <c r="OD60" s="35"/>
      <c r="OE60" s="35"/>
      <c r="OF60" s="35"/>
      <c r="OG60" s="35"/>
      <c r="OH60" s="35"/>
      <c r="OI60" s="35"/>
      <c r="OJ60" s="85"/>
      <c r="OK60" s="27"/>
      <c r="OL60" s="36"/>
      <c r="OM60" s="85"/>
      <c r="ON60" s="35"/>
      <c r="OO60" s="35">
        <v>662760.79</v>
      </c>
      <c r="OP60" s="35">
        <v>463800</v>
      </c>
      <c r="OQ60" s="35">
        <v>198960.79</v>
      </c>
      <c r="OR60" s="35">
        <v>463800</v>
      </c>
      <c r="OS60" s="35"/>
      <c r="OT60" s="36"/>
      <c r="OU60" s="35">
        <v>662760.79</v>
      </c>
      <c r="OV60" s="35">
        <v>463800</v>
      </c>
      <c r="OW60" s="35"/>
      <c r="OX60" s="35">
        <v>198960.79</v>
      </c>
      <c r="OY60" s="35">
        <v>30.02</v>
      </c>
      <c r="OZ60" s="35"/>
      <c r="PA60" s="35"/>
      <c r="PB60" s="85">
        <v>463800</v>
      </c>
      <c r="PC60" s="27"/>
      <c r="PD60" s="36">
        <v>463800</v>
      </c>
      <c r="PE60" s="85">
        <v>463800</v>
      </c>
      <c r="PF60" s="35"/>
      <c r="PG60" s="35"/>
      <c r="PH60" s="35"/>
      <c r="PI60" s="35"/>
      <c r="PJ60" s="35"/>
      <c r="PK60" s="35"/>
      <c r="PL60" s="36"/>
      <c r="PM60" s="35"/>
      <c r="PN60" s="35"/>
      <c r="PO60" s="35"/>
      <c r="PP60" s="35"/>
      <c r="PQ60" s="35"/>
      <c r="PR60" s="35"/>
      <c r="PS60" s="35"/>
      <c r="PT60" s="85"/>
      <c r="PU60" s="27"/>
      <c r="PV60" s="36"/>
      <c r="PW60" s="85"/>
      <c r="PX60" s="35"/>
      <c r="PY60" s="35"/>
      <c r="PZ60" s="35"/>
      <c r="QA60" s="35"/>
      <c r="QB60" s="35"/>
      <c r="QC60" s="35">
        <v>3243754.11</v>
      </c>
      <c r="QD60" s="36"/>
      <c r="QE60" s="35"/>
      <c r="QF60" s="35"/>
      <c r="QG60" s="35"/>
      <c r="QH60" s="35"/>
      <c r="QI60" s="35"/>
      <c r="QJ60" s="35">
        <v>3243754.11</v>
      </c>
      <c r="QK60" s="35"/>
      <c r="QL60" s="85"/>
      <c r="QM60" s="27"/>
      <c r="QN60" s="36"/>
      <c r="QO60" s="85"/>
    </row>
    <row r="61" spans="1:457" ht="25.5" x14ac:dyDescent="0.25">
      <c r="A61" s="14" t="s">
        <v>118</v>
      </c>
      <c r="B61" s="174">
        <v>47</v>
      </c>
      <c r="C61" s="16" t="s">
        <v>119</v>
      </c>
      <c r="F61" s="36">
        <v>309067900</v>
      </c>
      <c r="G61" s="85"/>
      <c r="H61" s="35"/>
      <c r="I61" s="35">
        <v>30542120</v>
      </c>
      <c r="J61" s="35">
        <v>18719800</v>
      </c>
      <c r="K61" s="35">
        <v>11822320</v>
      </c>
      <c r="L61" s="35">
        <v>17553858.370000001</v>
      </c>
      <c r="M61" s="35"/>
      <c r="N61" s="36"/>
      <c r="O61" s="35">
        <v>28161280.579999998</v>
      </c>
      <c r="P61" s="35">
        <v>17260048.870000001</v>
      </c>
      <c r="Q61" s="35"/>
      <c r="R61" s="35">
        <v>10901231.710000001</v>
      </c>
      <c r="S61" s="35">
        <v>38.71</v>
      </c>
      <c r="T61" s="35"/>
      <c r="U61" s="35">
        <v>293809.5</v>
      </c>
      <c r="V61" s="85">
        <v>17260048.870000001</v>
      </c>
      <c r="W61" s="27"/>
      <c r="X61" s="36">
        <v>18719800</v>
      </c>
      <c r="Y61" s="85">
        <v>18719800</v>
      </c>
      <c r="Z61" s="35"/>
      <c r="AA61" s="35"/>
      <c r="AB61" s="35"/>
      <c r="AC61" s="35"/>
      <c r="AD61" s="35"/>
      <c r="AE61" s="35"/>
      <c r="AF61" s="36"/>
      <c r="AG61" s="35"/>
      <c r="AH61" s="35"/>
      <c r="AI61" s="35"/>
      <c r="AJ61" s="35"/>
      <c r="AK61" s="35"/>
      <c r="AL61" s="35"/>
      <c r="AM61" s="35"/>
      <c r="AN61" s="85"/>
      <c r="AO61" s="27"/>
      <c r="AP61" s="36"/>
      <c r="AQ61" s="85"/>
      <c r="AR61" s="35"/>
      <c r="AS61" s="35">
        <v>14517400</v>
      </c>
      <c r="AT61" s="35">
        <v>13791400</v>
      </c>
      <c r="AU61" s="35">
        <v>726000</v>
      </c>
      <c r="AV61" s="35">
        <v>13791400</v>
      </c>
      <c r="AW61" s="35"/>
      <c r="AX61" s="36"/>
      <c r="AY61" s="35">
        <v>14517400</v>
      </c>
      <c r="AZ61" s="35">
        <v>13791400</v>
      </c>
      <c r="BA61" s="35"/>
      <c r="BB61" s="35">
        <v>726000</v>
      </c>
      <c r="BC61" s="35">
        <v>5.0008999999999997</v>
      </c>
      <c r="BD61" s="35"/>
      <c r="BE61" s="35"/>
      <c r="BF61" s="85">
        <v>13791400</v>
      </c>
      <c r="BG61" s="27"/>
      <c r="BH61" s="36">
        <v>13791400</v>
      </c>
      <c r="BI61" s="85">
        <v>13791400</v>
      </c>
      <c r="BJ61" s="35"/>
      <c r="BK61" s="35"/>
      <c r="BL61" s="35"/>
      <c r="BM61" s="35"/>
      <c r="BN61" s="35"/>
      <c r="BO61" s="35"/>
      <c r="BP61" s="36"/>
      <c r="BQ61" s="35"/>
      <c r="BR61" s="35"/>
      <c r="BS61" s="35"/>
      <c r="BT61" s="35"/>
      <c r="BU61" s="35"/>
      <c r="BV61" s="35"/>
      <c r="BW61" s="35"/>
      <c r="BX61" s="85"/>
      <c r="BY61" s="27"/>
      <c r="BZ61" s="36"/>
      <c r="CA61" s="85"/>
      <c r="CB61" s="35"/>
      <c r="CC61" s="35">
        <v>79410100</v>
      </c>
      <c r="CD61" s="35">
        <v>75439100</v>
      </c>
      <c r="CE61" s="35">
        <v>3971000</v>
      </c>
      <c r="CF61" s="35">
        <v>75439100</v>
      </c>
      <c r="CG61" s="35"/>
      <c r="CH61" s="36"/>
      <c r="CI61" s="35">
        <v>79410100</v>
      </c>
      <c r="CJ61" s="35">
        <v>75439100</v>
      </c>
      <c r="CK61" s="35"/>
      <c r="CL61" s="35">
        <v>3971000</v>
      </c>
      <c r="CM61" s="35">
        <v>5.0006199999999996</v>
      </c>
      <c r="CN61" s="35"/>
      <c r="CO61" s="35"/>
      <c r="CP61" s="85">
        <v>75439100</v>
      </c>
      <c r="CQ61" s="27"/>
      <c r="CR61" s="36">
        <v>75439100</v>
      </c>
      <c r="CS61" s="85">
        <v>75439100</v>
      </c>
      <c r="CT61" s="35"/>
      <c r="CU61" s="35">
        <v>138422600</v>
      </c>
      <c r="CV61" s="35">
        <v>131501400</v>
      </c>
      <c r="CW61" s="35">
        <v>6921200</v>
      </c>
      <c r="CX61" s="35">
        <v>131501400</v>
      </c>
      <c r="CY61" s="35"/>
      <c r="CZ61" s="36"/>
      <c r="DA61" s="35">
        <v>138032193.97999999</v>
      </c>
      <c r="DB61" s="35">
        <v>131130584.28</v>
      </c>
      <c r="DC61" s="35"/>
      <c r="DD61" s="35">
        <v>6901609.7000000002</v>
      </c>
      <c r="DE61" s="35">
        <v>5</v>
      </c>
      <c r="DF61" s="35"/>
      <c r="DG61" s="35">
        <v>370815.72</v>
      </c>
      <c r="DH61" s="85">
        <v>131130584.28</v>
      </c>
      <c r="DI61" s="27"/>
      <c r="DJ61" s="36">
        <v>144074300</v>
      </c>
      <c r="DK61" s="85">
        <v>131501400</v>
      </c>
      <c r="DL61" s="35"/>
      <c r="DM61" s="35"/>
      <c r="DN61" s="35"/>
      <c r="DO61" s="35"/>
      <c r="DP61" s="35"/>
      <c r="DQ61" s="35"/>
      <c r="DR61" s="36"/>
      <c r="DS61" s="35"/>
      <c r="DT61" s="35"/>
      <c r="DU61" s="35"/>
      <c r="DV61" s="35"/>
      <c r="DW61" s="35"/>
      <c r="DX61" s="35"/>
      <c r="DY61" s="35"/>
      <c r="DZ61" s="85"/>
      <c r="EA61" s="27"/>
      <c r="EB61" s="36"/>
      <c r="EC61" s="85"/>
      <c r="ED61" s="35"/>
      <c r="EE61" s="35">
        <v>10125000</v>
      </c>
      <c r="EF61" s="35">
        <v>8100000</v>
      </c>
      <c r="EG61" s="35">
        <v>2025000</v>
      </c>
      <c r="EH61" s="35">
        <v>8100000</v>
      </c>
      <c r="EI61" s="35"/>
      <c r="EJ61" s="36"/>
      <c r="EK61" s="35">
        <v>10125000</v>
      </c>
      <c r="EL61" s="35">
        <v>8100000</v>
      </c>
      <c r="EM61" s="35"/>
      <c r="EN61" s="35">
        <v>2025000</v>
      </c>
      <c r="EO61" s="35">
        <v>20</v>
      </c>
      <c r="EP61" s="35"/>
      <c r="EQ61" s="35"/>
      <c r="ER61" s="85">
        <v>8100000</v>
      </c>
      <c r="ES61" s="27"/>
      <c r="ET61" s="36">
        <v>8100000</v>
      </c>
      <c r="EU61" s="85">
        <v>8100000</v>
      </c>
      <c r="EV61" s="35"/>
      <c r="EW61" s="35"/>
      <c r="EX61" s="35"/>
      <c r="EY61" s="35"/>
      <c r="EZ61" s="35"/>
      <c r="FA61" s="35"/>
      <c r="FB61" s="36"/>
      <c r="FC61" s="35"/>
      <c r="FD61" s="35"/>
      <c r="FE61" s="35"/>
      <c r="FF61" s="35"/>
      <c r="FG61" s="35"/>
      <c r="FH61" s="35"/>
      <c r="FI61" s="35"/>
      <c r="FJ61" s="85"/>
      <c r="FK61" s="27"/>
      <c r="FL61" s="36"/>
      <c r="FM61" s="85"/>
      <c r="FN61" s="35"/>
      <c r="FO61" s="35">
        <v>30402048.699999999</v>
      </c>
      <c r="FP61" s="35">
        <v>26118400</v>
      </c>
      <c r="FQ61" s="35">
        <v>4283648.7</v>
      </c>
      <c r="FR61" s="35">
        <v>26118400</v>
      </c>
      <c r="FS61" s="35"/>
      <c r="FT61" s="36"/>
      <c r="FU61" s="35">
        <v>30402048.699999999</v>
      </c>
      <c r="FV61" s="35">
        <v>26118400</v>
      </c>
      <c r="FW61" s="35"/>
      <c r="FX61" s="35">
        <v>4283648.7</v>
      </c>
      <c r="FY61" s="35">
        <v>14.09</v>
      </c>
      <c r="FZ61" s="35"/>
      <c r="GA61" s="35"/>
      <c r="GB61" s="85">
        <v>26118400</v>
      </c>
      <c r="GC61" s="27"/>
      <c r="GD61" s="36">
        <v>26118400</v>
      </c>
      <c r="GE61" s="85">
        <v>26118400</v>
      </c>
      <c r="GF61" s="35"/>
      <c r="GG61" s="35">
        <v>12590168.65</v>
      </c>
      <c r="GH61" s="35">
        <v>8733800</v>
      </c>
      <c r="GI61" s="35">
        <v>3856368.65</v>
      </c>
      <c r="GJ61" s="35">
        <v>8733800</v>
      </c>
      <c r="GK61" s="35"/>
      <c r="GL61" s="36"/>
      <c r="GM61" s="35">
        <v>12590168.65</v>
      </c>
      <c r="GN61" s="35">
        <v>8733800</v>
      </c>
      <c r="GO61" s="35"/>
      <c r="GP61" s="35">
        <v>3856368.65</v>
      </c>
      <c r="GQ61" s="35">
        <v>30.63</v>
      </c>
      <c r="GR61" s="35"/>
      <c r="GS61" s="35"/>
      <c r="GT61" s="85">
        <v>8733800</v>
      </c>
      <c r="GU61" s="27"/>
      <c r="GV61" s="36">
        <v>8733800</v>
      </c>
      <c r="GW61" s="85">
        <v>8733800</v>
      </c>
      <c r="GX61" s="35"/>
      <c r="GY61" s="35"/>
      <c r="GZ61" s="35"/>
      <c r="HA61" s="35"/>
      <c r="HB61" s="35"/>
      <c r="HC61" s="35"/>
      <c r="HD61" s="36"/>
      <c r="HE61" s="35"/>
      <c r="HF61" s="35"/>
      <c r="HG61" s="35"/>
      <c r="HH61" s="35"/>
      <c r="HI61" s="35"/>
      <c r="HJ61" s="35"/>
      <c r="HK61" s="35"/>
      <c r="HL61" s="85"/>
      <c r="HM61" s="27"/>
      <c r="HN61" s="36"/>
      <c r="HO61" s="85"/>
      <c r="HP61" s="35"/>
      <c r="HQ61" s="35">
        <v>41579256.43</v>
      </c>
      <c r="HR61" s="35">
        <v>23283000</v>
      </c>
      <c r="HS61" s="35">
        <v>18296256.43</v>
      </c>
      <c r="HT61" s="35">
        <v>23283000</v>
      </c>
      <c r="HU61" s="35">
        <v>6997097.6600000001</v>
      </c>
      <c r="HV61" s="36"/>
      <c r="HW61" s="35">
        <v>41579256.43</v>
      </c>
      <c r="HX61" s="35">
        <v>23283000</v>
      </c>
      <c r="HY61" s="35"/>
      <c r="HZ61" s="35">
        <v>18296256.43</v>
      </c>
      <c r="IA61" s="35">
        <v>44.003329999999998</v>
      </c>
      <c r="IB61" s="35">
        <v>6997097.6600000001</v>
      </c>
      <c r="IC61" s="35"/>
      <c r="ID61" s="85">
        <v>23283000</v>
      </c>
      <c r="IE61" s="27"/>
      <c r="IF61" s="36">
        <v>23283000</v>
      </c>
      <c r="IG61" s="85">
        <v>23283000</v>
      </c>
      <c r="IH61" s="35"/>
      <c r="II61" s="35"/>
      <c r="IJ61" s="35"/>
      <c r="IK61" s="35"/>
      <c r="IL61" s="35"/>
      <c r="IM61" s="35"/>
      <c r="IN61" s="36"/>
      <c r="IO61" s="35"/>
      <c r="IP61" s="35"/>
      <c r="IQ61" s="35"/>
      <c r="IR61" s="35"/>
      <c r="IS61" s="35"/>
      <c r="IT61" s="35"/>
      <c r="IU61" s="35"/>
      <c r="IV61" s="85"/>
      <c r="IW61" s="27"/>
      <c r="IX61" s="36"/>
      <c r="IY61" s="85"/>
      <c r="IZ61" s="35"/>
      <c r="JA61" s="35"/>
      <c r="JB61" s="35"/>
      <c r="JC61" s="35"/>
      <c r="JD61" s="35"/>
      <c r="JE61" s="35"/>
      <c r="JF61" s="36"/>
      <c r="JG61" s="35"/>
      <c r="JH61" s="35"/>
      <c r="JI61" s="35"/>
      <c r="JJ61" s="35"/>
      <c r="JK61" s="35"/>
      <c r="JL61" s="35"/>
      <c r="JM61" s="35"/>
      <c r="JN61" s="85"/>
      <c r="JO61" s="27"/>
      <c r="JP61" s="36"/>
      <c r="JQ61" s="85"/>
      <c r="JR61" s="35"/>
      <c r="JS61" s="35"/>
      <c r="JT61" s="35"/>
      <c r="JU61" s="35"/>
      <c r="JV61" s="35"/>
      <c r="JW61" s="35"/>
      <c r="JX61" s="36"/>
      <c r="JY61" s="35"/>
      <c r="JZ61" s="35"/>
      <c r="KA61" s="35"/>
      <c r="KB61" s="35"/>
      <c r="KC61" s="35"/>
      <c r="KD61" s="35"/>
      <c r="KE61" s="35"/>
      <c r="KF61" s="85"/>
      <c r="KG61" s="27"/>
      <c r="KH61" s="36"/>
      <c r="KI61" s="85"/>
      <c r="KJ61" s="35"/>
      <c r="KK61" s="35">
        <v>4969866.24</v>
      </c>
      <c r="KL61" s="35">
        <v>3381000</v>
      </c>
      <c r="KM61" s="35">
        <v>1588866.24</v>
      </c>
      <c r="KN61" s="35">
        <v>3381000</v>
      </c>
      <c r="KO61" s="35"/>
      <c r="KP61" s="36"/>
      <c r="KQ61" s="35">
        <v>4969866.24</v>
      </c>
      <c r="KR61" s="35">
        <v>3381000</v>
      </c>
      <c r="KS61" s="35"/>
      <c r="KT61" s="35">
        <v>1588866.24</v>
      </c>
      <c r="KU61" s="35">
        <v>31.97</v>
      </c>
      <c r="KV61" s="35"/>
      <c r="KW61" s="35"/>
      <c r="KX61" s="85">
        <v>3381000</v>
      </c>
      <c r="KY61" s="27"/>
      <c r="KZ61" s="36">
        <v>3381000</v>
      </c>
      <c r="LA61" s="85">
        <v>3381000</v>
      </c>
      <c r="LB61" s="35"/>
      <c r="LC61" s="35"/>
      <c r="LD61" s="35"/>
      <c r="LE61" s="35"/>
      <c r="LF61" s="35"/>
      <c r="LG61" s="35"/>
      <c r="LH61" s="36"/>
      <c r="LI61" s="35"/>
      <c r="LJ61" s="35"/>
      <c r="LK61" s="35"/>
      <c r="LL61" s="35"/>
      <c r="LM61" s="35"/>
      <c r="LN61" s="35"/>
      <c r="LO61" s="35"/>
      <c r="LP61" s="85"/>
      <c r="LQ61" s="27"/>
      <c r="LR61" s="36"/>
      <c r="LS61" s="85"/>
      <c r="LT61" s="35"/>
      <c r="LU61" s="35"/>
      <c r="LV61" s="35"/>
      <c r="LW61" s="35"/>
      <c r="LX61" s="35"/>
      <c r="LY61" s="35"/>
      <c r="LZ61" s="36"/>
      <c r="MA61" s="35"/>
      <c r="MB61" s="35"/>
      <c r="MC61" s="35"/>
      <c r="MD61" s="35"/>
      <c r="ME61" s="35"/>
      <c r="MF61" s="35"/>
      <c r="MG61" s="35"/>
      <c r="MH61" s="85"/>
      <c r="MI61" s="27"/>
      <c r="MJ61" s="36"/>
      <c r="MK61" s="85"/>
      <c r="ML61" s="35"/>
      <c r="MM61" s="35"/>
      <c r="MN61" s="35"/>
      <c r="MO61" s="35"/>
      <c r="MP61" s="35"/>
      <c r="MQ61" s="35"/>
      <c r="MR61" s="36"/>
      <c r="MS61" s="35"/>
      <c r="MT61" s="35"/>
      <c r="MU61" s="35"/>
      <c r="MV61" s="35"/>
      <c r="MW61" s="35"/>
      <c r="MX61" s="35"/>
      <c r="MY61" s="35"/>
      <c r="MZ61" s="85"/>
      <c r="NA61" s="27"/>
      <c r="NB61" s="36"/>
      <c r="NC61" s="85"/>
      <c r="ND61" s="35"/>
      <c r="NE61" s="35"/>
      <c r="NF61" s="35"/>
      <c r="NG61" s="35"/>
      <c r="NH61" s="35"/>
      <c r="NI61" s="35"/>
      <c r="NJ61" s="36"/>
      <c r="NK61" s="35"/>
      <c r="NL61" s="35"/>
      <c r="NM61" s="35"/>
      <c r="NN61" s="35"/>
      <c r="NO61" s="35"/>
      <c r="NP61" s="35"/>
      <c r="NQ61" s="35"/>
      <c r="NR61" s="85"/>
      <c r="NS61" s="27"/>
      <c r="NT61" s="36"/>
      <c r="NU61" s="85"/>
      <c r="NV61" s="35"/>
      <c r="NW61" s="35"/>
      <c r="NX61" s="35"/>
      <c r="NY61" s="35"/>
      <c r="NZ61" s="35"/>
      <c r="OA61" s="35"/>
      <c r="OB61" s="36"/>
      <c r="OC61" s="35"/>
      <c r="OD61" s="35"/>
      <c r="OE61" s="35"/>
      <c r="OF61" s="35"/>
      <c r="OG61" s="35"/>
      <c r="OH61" s="35"/>
      <c r="OI61" s="35"/>
      <c r="OJ61" s="85"/>
      <c r="OK61" s="27"/>
      <c r="OL61" s="36"/>
      <c r="OM61" s="85"/>
      <c r="ON61" s="35"/>
      <c r="OO61" s="35"/>
      <c r="OP61" s="35"/>
      <c r="OQ61" s="35"/>
      <c r="OR61" s="35"/>
      <c r="OS61" s="35"/>
      <c r="OT61" s="36"/>
      <c r="OU61" s="35"/>
      <c r="OV61" s="35"/>
      <c r="OW61" s="35"/>
      <c r="OX61" s="35"/>
      <c r="OY61" s="35"/>
      <c r="OZ61" s="35"/>
      <c r="PA61" s="35"/>
      <c r="PB61" s="85"/>
      <c r="PC61" s="27"/>
      <c r="PD61" s="36"/>
      <c r="PE61" s="85"/>
      <c r="PF61" s="35"/>
      <c r="PG61" s="35"/>
      <c r="PH61" s="35"/>
      <c r="PI61" s="35"/>
      <c r="PJ61" s="35"/>
      <c r="PK61" s="35"/>
      <c r="PL61" s="36"/>
      <c r="PM61" s="35"/>
      <c r="PN61" s="35"/>
      <c r="PO61" s="35"/>
      <c r="PP61" s="35"/>
      <c r="PQ61" s="35"/>
      <c r="PR61" s="35"/>
      <c r="PS61" s="35"/>
      <c r="PT61" s="85"/>
      <c r="PU61" s="27"/>
      <c r="PV61" s="36"/>
      <c r="PW61" s="85"/>
      <c r="PX61" s="35"/>
      <c r="PY61" s="35"/>
      <c r="PZ61" s="35"/>
      <c r="QA61" s="35"/>
      <c r="QB61" s="35"/>
      <c r="QC61" s="35">
        <v>6451317.8700000001</v>
      </c>
      <c r="QD61" s="36"/>
      <c r="QE61" s="35"/>
      <c r="QF61" s="35"/>
      <c r="QG61" s="35"/>
      <c r="QH61" s="35"/>
      <c r="QI61" s="35"/>
      <c r="QJ61" s="35">
        <v>6451317.8700000001</v>
      </c>
      <c r="QK61" s="35"/>
      <c r="QL61" s="85"/>
      <c r="QM61" s="27"/>
      <c r="QN61" s="36"/>
      <c r="QO61" s="85"/>
    </row>
    <row r="62" spans="1:457" x14ac:dyDescent="0.25">
      <c r="A62" s="14" t="s">
        <v>120</v>
      </c>
      <c r="B62" s="172">
        <v>48</v>
      </c>
      <c r="C62" s="16" t="s">
        <v>122</v>
      </c>
      <c r="F62" s="36">
        <v>3717090400</v>
      </c>
      <c r="G62" s="85"/>
      <c r="H62" s="35"/>
      <c r="I62" s="35">
        <v>723968220</v>
      </c>
      <c r="J62" s="35">
        <v>687769800</v>
      </c>
      <c r="K62" s="35">
        <v>36198420</v>
      </c>
      <c r="L62" s="35">
        <v>687769800</v>
      </c>
      <c r="M62" s="35"/>
      <c r="N62" s="36"/>
      <c r="O62" s="35">
        <v>723968210.52999997</v>
      </c>
      <c r="P62" s="35">
        <v>687769800</v>
      </c>
      <c r="Q62" s="35"/>
      <c r="R62" s="35">
        <v>36198410.530000001</v>
      </c>
      <c r="S62" s="35">
        <v>5</v>
      </c>
      <c r="T62" s="35"/>
      <c r="U62" s="35"/>
      <c r="V62" s="85">
        <v>687769800</v>
      </c>
      <c r="W62" s="27"/>
      <c r="X62" s="36">
        <v>687769800</v>
      </c>
      <c r="Y62" s="85">
        <v>687769800</v>
      </c>
      <c r="Z62" s="35"/>
      <c r="AA62" s="35"/>
      <c r="AB62" s="35"/>
      <c r="AC62" s="35"/>
      <c r="AD62" s="35"/>
      <c r="AE62" s="35"/>
      <c r="AF62" s="36"/>
      <c r="AG62" s="35"/>
      <c r="AH62" s="35"/>
      <c r="AI62" s="35"/>
      <c r="AJ62" s="35"/>
      <c r="AK62" s="35"/>
      <c r="AL62" s="35"/>
      <c r="AM62" s="35"/>
      <c r="AN62" s="85"/>
      <c r="AO62" s="27"/>
      <c r="AP62" s="36"/>
      <c r="AQ62" s="85"/>
      <c r="AR62" s="35"/>
      <c r="AS62" s="35">
        <v>5737580</v>
      </c>
      <c r="AT62" s="35">
        <v>5450700</v>
      </c>
      <c r="AU62" s="35">
        <v>286880</v>
      </c>
      <c r="AV62" s="35">
        <v>5450700</v>
      </c>
      <c r="AW62" s="35"/>
      <c r="AX62" s="36"/>
      <c r="AY62" s="35">
        <v>5737578.9500000002</v>
      </c>
      <c r="AZ62" s="35">
        <v>5450700</v>
      </c>
      <c r="BA62" s="35"/>
      <c r="BB62" s="35">
        <v>286878.95</v>
      </c>
      <c r="BC62" s="35">
        <v>5</v>
      </c>
      <c r="BD62" s="35"/>
      <c r="BE62" s="35"/>
      <c r="BF62" s="85">
        <v>5450700</v>
      </c>
      <c r="BG62" s="27"/>
      <c r="BH62" s="36">
        <v>5450700</v>
      </c>
      <c r="BI62" s="85">
        <v>5450700</v>
      </c>
      <c r="BJ62" s="35"/>
      <c r="BK62" s="35"/>
      <c r="BL62" s="35"/>
      <c r="BM62" s="35"/>
      <c r="BN62" s="35"/>
      <c r="BO62" s="35"/>
      <c r="BP62" s="36"/>
      <c r="BQ62" s="35"/>
      <c r="BR62" s="35"/>
      <c r="BS62" s="35"/>
      <c r="BT62" s="35"/>
      <c r="BU62" s="35"/>
      <c r="BV62" s="35"/>
      <c r="BW62" s="35"/>
      <c r="BX62" s="85"/>
      <c r="BY62" s="27"/>
      <c r="BZ62" s="36"/>
      <c r="CA62" s="85"/>
      <c r="CB62" s="35"/>
      <c r="CC62" s="35">
        <v>61735790</v>
      </c>
      <c r="CD62" s="35">
        <v>58649000</v>
      </c>
      <c r="CE62" s="35">
        <v>3086790</v>
      </c>
      <c r="CF62" s="35">
        <v>58649000</v>
      </c>
      <c r="CG62" s="35"/>
      <c r="CH62" s="36"/>
      <c r="CI62" s="35">
        <v>61735789.479999997</v>
      </c>
      <c r="CJ62" s="35">
        <v>58649000</v>
      </c>
      <c r="CK62" s="35"/>
      <c r="CL62" s="35">
        <v>3086789.48</v>
      </c>
      <c r="CM62" s="35">
        <v>5</v>
      </c>
      <c r="CN62" s="35"/>
      <c r="CO62" s="35"/>
      <c r="CP62" s="85">
        <v>58649000</v>
      </c>
      <c r="CQ62" s="27"/>
      <c r="CR62" s="36">
        <v>58649000</v>
      </c>
      <c r="CS62" s="85">
        <v>58649000</v>
      </c>
      <c r="CT62" s="35"/>
      <c r="CU62" s="35">
        <v>374526600</v>
      </c>
      <c r="CV62" s="35">
        <v>355800200</v>
      </c>
      <c r="CW62" s="35">
        <v>18726400</v>
      </c>
      <c r="CX62" s="35">
        <v>355800200</v>
      </c>
      <c r="CY62" s="35"/>
      <c r="CZ62" s="36"/>
      <c r="DA62" s="35">
        <v>374526526.31</v>
      </c>
      <c r="DB62" s="35">
        <v>355800200</v>
      </c>
      <c r="DC62" s="35"/>
      <c r="DD62" s="35">
        <v>18726326.309999999</v>
      </c>
      <c r="DE62" s="35">
        <v>5</v>
      </c>
      <c r="DF62" s="35"/>
      <c r="DG62" s="35"/>
      <c r="DH62" s="85">
        <v>355800200</v>
      </c>
      <c r="DI62" s="27"/>
      <c r="DJ62" s="36">
        <v>355800200</v>
      </c>
      <c r="DK62" s="85">
        <v>355800200</v>
      </c>
      <c r="DL62" s="35"/>
      <c r="DM62" s="35"/>
      <c r="DN62" s="35"/>
      <c r="DO62" s="35"/>
      <c r="DP62" s="35"/>
      <c r="DQ62" s="35"/>
      <c r="DR62" s="36"/>
      <c r="DS62" s="35"/>
      <c r="DT62" s="35"/>
      <c r="DU62" s="35"/>
      <c r="DV62" s="35"/>
      <c r="DW62" s="35"/>
      <c r="DX62" s="35"/>
      <c r="DY62" s="35"/>
      <c r="DZ62" s="85"/>
      <c r="EA62" s="27"/>
      <c r="EB62" s="36"/>
      <c r="EC62" s="85"/>
      <c r="ED62" s="35"/>
      <c r="EE62" s="35">
        <v>2463815496</v>
      </c>
      <c r="EF62" s="35">
        <v>2340624700</v>
      </c>
      <c r="EG62" s="35">
        <v>123190796</v>
      </c>
      <c r="EH62" s="35">
        <v>2340624700</v>
      </c>
      <c r="EI62" s="35"/>
      <c r="EJ62" s="36"/>
      <c r="EK62" s="35">
        <v>2463815473.6999998</v>
      </c>
      <c r="EL62" s="35">
        <v>2340624700</v>
      </c>
      <c r="EM62" s="35"/>
      <c r="EN62" s="35">
        <v>123190773.7</v>
      </c>
      <c r="EO62" s="35">
        <v>5</v>
      </c>
      <c r="EP62" s="35"/>
      <c r="EQ62" s="35"/>
      <c r="ER62" s="85">
        <v>2340624700</v>
      </c>
      <c r="ES62" s="27"/>
      <c r="ET62" s="36">
        <v>2340624700</v>
      </c>
      <c r="EU62" s="85">
        <v>2340624700</v>
      </c>
      <c r="EV62" s="35"/>
      <c r="EW62" s="35">
        <v>64357474</v>
      </c>
      <c r="EX62" s="35">
        <v>61139600</v>
      </c>
      <c r="EY62" s="35">
        <v>3217874</v>
      </c>
      <c r="EZ62" s="35">
        <v>61139600</v>
      </c>
      <c r="FA62" s="35"/>
      <c r="FB62" s="36"/>
      <c r="FC62" s="35">
        <v>64357473.68</v>
      </c>
      <c r="FD62" s="35">
        <v>61139600</v>
      </c>
      <c r="FE62" s="35"/>
      <c r="FF62" s="35">
        <v>3217873.68</v>
      </c>
      <c r="FG62" s="35">
        <v>5</v>
      </c>
      <c r="FH62" s="35"/>
      <c r="FI62" s="35"/>
      <c r="FJ62" s="85">
        <v>61139600</v>
      </c>
      <c r="FK62" s="27"/>
      <c r="FL62" s="36">
        <v>61139600</v>
      </c>
      <c r="FM62" s="85">
        <v>61139600</v>
      </c>
      <c r="FN62" s="35"/>
      <c r="FO62" s="35">
        <v>187692600</v>
      </c>
      <c r="FP62" s="35">
        <v>155556600</v>
      </c>
      <c r="FQ62" s="35">
        <v>32136000</v>
      </c>
      <c r="FR62" s="35">
        <v>155556598.34999999</v>
      </c>
      <c r="FS62" s="35"/>
      <c r="FT62" s="36"/>
      <c r="FU62" s="35">
        <v>187688945.87</v>
      </c>
      <c r="FV62" s="35">
        <v>155556598.34999999</v>
      </c>
      <c r="FW62" s="35"/>
      <c r="FX62" s="35">
        <v>32132347.52</v>
      </c>
      <c r="FY62" s="35">
        <v>17.12</v>
      </c>
      <c r="FZ62" s="35"/>
      <c r="GA62" s="35"/>
      <c r="GB62" s="85">
        <v>155556598.34999999</v>
      </c>
      <c r="GC62" s="27"/>
      <c r="GD62" s="36">
        <v>155556600</v>
      </c>
      <c r="GE62" s="85">
        <v>155556600</v>
      </c>
      <c r="GF62" s="35"/>
      <c r="GG62" s="35">
        <v>27932200</v>
      </c>
      <c r="GH62" s="35">
        <v>20075800</v>
      </c>
      <c r="GI62" s="35">
        <v>7856400</v>
      </c>
      <c r="GJ62" s="35">
        <v>20075799.780000001</v>
      </c>
      <c r="GK62" s="35"/>
      <c r="GL62" s="36"/>
      <c r="GM62" s="35">
        <v>27932199.780000001</v>
      </c>
      <c r="GN62" s="35">
        <v>20075799.780000001</v>
      </c>
      <c r="GO62" s="35"/>
      <c r="GP62" s="35">
        <v>7856400</v>
      </c>
      <c r="GQ62" s="35">
        <v>28.12668</v>
      </c>
      <c r="GR62" s="35"/>
      <c r="GS62" s="35"/>
      <c r="GT62" s="85">
        <v>20075799.780000001</v>
      </c>
      <c r="GU62" s="27"/>
      <c r="GV62" s="36">
        <v>20075800</v>
      </c>
      <c r="GW62" s="85">
        <v>20075800</v>
      </c>
      <c r="GX62" s="35"/>
      <c r="GY62" s="35"/>
      <c r="GZ62" s="35"/>
      <c r="HA62" s="35"/>
      <c r="HB62" s="35"/>
      <c r="HC62" s="35"/>
      <c r="HD62" s="36"/>
      <c r="HE62" s="35"/>
      <c r="HF62" s="35"/>
      <c r="HG62" s="35"/>
      <c r="HH62" s="35"/>
      <c r="HI62" s="35"/>
      <c r="HJ62" s="35"/>
      <c r="HK62" s="35"/>
      <c r="HL62" s="85"/>
      <c r="HM62" s="27"/>
      <c r="HN62" s="36"/>
      <c r="HO62" s="85"/>
      <c r="HP62" s="35"/>
      <c r="HQ62" s="35">
        <v>37024000</v>
      </c>
      <c r="HR62" s="35">
        <v>32024000</v>
      </c>
      <c r="HS62" s="35">
        <v>5000000</v>
      </c>
      <c r="HT62" s="35">
        <v>32023999.920000002</v>
      </c>
      <c r="HU62" s="35"/>
      <c r="HV62" s="36"/>
      <c r="HW62" s="35">
        <v>37023999.920000002</v>
      </c>
      <c r="HX62" s="35">
        <v>32023999.920000002</v>
      </c>
      <c r="HY62" s="35"/>
      <c r="HZ62" s="35">
        <v>5000000</v>
      </c>
      <c r="IA62" s="35">
        <v>13.50475</v>
      </c>
      <c r="IB62" s="35"/>
      <c r="IC62" s="35"/>
      <c r="ID62" s="85">
        <v>32023999.920000002</v>
      </c>
      <c r="IE62" s="27"/>
      <c r="IF62" s="36">
        <v>32024000</v>
      </c>
      <c r="IG62" s="85">
        <v>32024000</v>
      </c>
      <c r="IH62" s="35"/>
      <c r="II62" s="35"/>
      <c r="IJ62" s="35"/>
      <c r="IK62" s="35"/>
      <c r="IL62" s="35"/>
      <c r="IM62" s="35"/>
      <c r="IN62" s="36"/>
      <c r="IO62" s="35"/>
      <c r="IP62" s="35"/>
      <c r="IQ62" s="35"/>
      <c r="IR62" s="35"/>
      <c r="IS62" s="35"/>
      <c r="IT62" s="35"/>
      <c r="IU62" s="35"/>
      <c r="IV62" s="85"/>
      <c r="IW62" s="27"/>
      <c r="IX62" s="36"/>
      <c r="IY62" s="85"/>
      <c r="IZ62" s="35"/>
      <c r="JA62" s="35"/>
      <c r="JB62" s="35"/>
      <c r="JC62" s="35"/>
      <c r="JD62" s="35"/>
      <c r="JE62" s="35"/>
      <c r="JF62" s="36"/>
      <c r="JG62" s="35"/>
      <c r="JH62" s="35"/>
      <c r="JI62" s="35"/>
      <c r="JJ62" s="35"/>
      <c r="JK62" s="35"/>
      <c r="JL62" s="35"/>
      <c r="JM62" s="35"/>
      <c r="JN62" s="85"/>
      <c r="JO62" s="27"/>
      <c r="JP62" s="36"/>
      <c r="JQ62" s="85"/>
      <c r="JR62" s="35"/>
      <c r="JS62" s="35"/>
      <c r="JT62" s="35"/>
      <c r="JU62" s="35"/>
      <c r="JV62" s="35"/>
      <c r="JW62" s="35"/>
      <c r="JX62" s="36"/>
      <c r="JY62" s="35"/>
      <c r="JZ62" s="35"/>
      <c r="KA62" s="35"/>
      <c r="KB62" s="35"/>
      <c r="KC62" s="35"/>
      <c r="KD62" s="35"/>
      <c r="KE62" s="35"/>
      <c r="KF62" s="85"/>
      <c r="KG62" s="27"/>
      <c r="KH62" s="36"/>
      <c r="KI62" s="85"/>
      <c r="KJ62" s="35"/>
      <c r="KK62" s="35"/>
      <c r="KL62" s="35"/>
      <c r="KM62" s="35"/>
      <c r="KN62" s="35"/>
      <c r="KO62" s="35"/>
      <c r="KP62" s="36"/>
      <c r="KQ62" s="35"/>
      <c r="KR62" s="35"/>
      <c r="KS62" s="35"/>
      <c r="KT62" s="35"/>
      <c r="KU62" s="35"/>
      <c r="KV62" s="35"/>
      <c r="KW62" s="35"/>
      <c r="KX62" s="85"/>
      <c r="KY62" s="27"/>
      <c r="KZ62" s="36"/>
      <c r="LA62" s="85"/>
      <c r="LB62" s="35"/>
      <c r="LC62" s="35"/>
      <c r="LD62" s="35"/>
      <c r="LE62" s="35"/>
      <c r="LF62" s="35"/>
      <c r="LG62" s="35"/>
      <c r="LH62" s="36"/>
      <c r="LI62" s="35"/>
      <c r="LJ62" s="35"/>
      <c r="LK62" s="35"/>
      <c r="LL62" s="35"/>
      <c r="LM62" s="35"/>
      <c r="LN62" s="35"/>
      <c r="LO62" s="35"/>
      <c r="LP62" s="85"/>
      <c r="LQ62" s="27"/>
      <c r="LR62" s="36"/>
      <c r="LS62" s="85"/>
      <c r="LT62" s="35"/>
      <c r="LU62" s="35"/>
      <c r="LV62" s="35"/>
      <c r="LW62" s="35"/>
      <c r="LX62" s="35"/>
      <c r="LY62" s="35"/>
      <c r="LZ62" s="36"/>
      <c r="MA62" s="35"/>
      <c r="MB62" s="35"/>
      <c r="MC62" s="35"/>
      <c r="MD62" s="35"/>
      <c r="ME62" s="35"/>
      <c r="MF62" s="35"/>
      <c r="MG62" s="35"/>
      <c r="MH62" s="85"/>
      <c r="MI62" s="27"/>
      <c r="MJ62" s="36"/>
      <c r="MK62" s="85"/>
      <c r="ML62" s="35"/>
      <c r="MM62" s="35"/>
      <c r="MN62" s="35"/>
      <c r="MO62" s="35"/>
      <c r="MP62" s="35"/>
      <c r="MQ62" s="35"/>
      <c r="MR62" s="36"/>
      <c r="MS62" s="35"/>
      <c r="MT62" s="35"/>
      <c r="MU62" s="35"/>
      <c r="MV62" s="35"/>
      <c r="MW62" s="35"/>
      <c r="MX62" s="35"/>
      <c r="MY62" s="35"/>
      <c r="MZ62" s="85"/>
      <c r="NA62" s="27"/>
      <c r="NB62" s="36"/>
      <c r="NC62" s="85"/>
      <c r="ND62" s="35"/>
      <c r="NE62" s="35"/>
      <c r="NF62" s="35"/>
      <c r="NG62" s="35"/>
      <c r="NH62" s="35"/>
      <c r="NI62" s="35"/>
      <c r="NJ62" s="36"/>
      <c r="NK62" s="35"/>
      <c r="NL62" s="35"/>
      <c r="NM62" s="35"/>
      <c r="NN62" s="35"/>
      <c r="NO62" s="35"/>
      <c r="NP62" s="35"/>
      <c r="NQ62" s="35"/>
      <c r="NR62" s="85"/>
      <c r="NS62" s="27"/>
      <c r="NT62" s="36"/>
      <c r="NU62" s="85"/>
      <c r="NV62" s="35"/>
      <c r="NW62" s="35"/>
      <c r="NX62" s="35"/>
      <c r="NY62" s="35"/>
      <c r="NZ62" s="35"/>
      <c r="OA62" s="35"/>
      <c r="OB62" s="36"/>
      <c r="OC62" s="35"/>
      <c r="OD62" s="35"/>
      <c r="OE62" s="35"/>
      <c r="OF62" s="35"/>
      <c r="OG62" s="35"/>
      <c r="OH62" s="35"/>
      <c r="OI62" s="35"/>
      <c r="OJ62" s="85"/>
      <c r="OK62" s="27"/>
      <c r="OL62" s="36"/>
      <c r="OM62" s="85"/>
      <c r="ON62" s="35"/>
      <c r="OO62" s="35"/>
      <c r="OP62" s="35"/>
      <c r="OQ62" s="35"/>
      <c r="OR62" s="35"/>
      <c r="OS62" s="35"/>
      <c r="OT62" s="36"/>
      <c r="OU62" s="35"/>
      <c r="OV62" s="35"/>
      <c r="OW62" s="35"/>
      <c r="OX62" s="35"/>
      <c r="OY62" s="35"/>
      <c r="OZ62" s="35"/>
      <c r="PA62" s="35"/>
      <c r="PB62" s="85"/>
      <c r="PC62" s="27"/>
      <c r="PD62" s="36"/>
      <c r="PE62" s="85"/>
      <c r="PF62" s="35"/>
      <c r="PG62" s="35"/>
      <c r="PH62" s="35"/>
      <c r="PI62" s="35"/>
      <c r="PJ62" s="35"/>
      <c r="PK62" s="35"/>
      <c r="PL62" s="36"/>
      <c r="PM62" s="35"/>
      <c r="PN62" s="35"/>
      <c r="PO62" s="35"/>
      <c r="PP62" s="35"/>
      <c r="PQ62" s="35"/>
      <c r="PR62" s="35"/>
      <c r="PS62" s="35"/>
      <c r="PT62" s="85"/>
      <c r="PU62" s="27"/>
      <c r="PV62" s="36"/>
      <c r="PW62" s="85"/>
      <c r="PX62" s="35"/>
      <c r="PY62" s="35"/>
      <c r="PZ62" s="35"/>
      <c r="QA62" s="35"/>
      <c r="QB62" s="35"/>
      <c r="QC62" s="35"/>
      <c r="QD62" s="36"/>
      <c r="QE62" s="35"/>
      <c r="QF62" s="35"/>
      <c r="QG62" s="35"/>
      <c r="QH62" s="35"/>
      <c r="QI62" s="35"/>
      <c r="QJ62" s="35"/>
      <c r="QK62" s="35"/>
      <c r="QL62" s="85"/>
      <c r="QM62" s="27"/>
      <c r="QN62" s="36"/>
      <c r="QO62" s="85"/>
    </row>
    <row r="63" spans="1:457" x14ac:dyDescent="0.25">
      <c r="A63" s="14" t="s">
        <v>123</v>
      </c>
      <c r="B63" s="174">
        <v>49</v>
      </c>
      <c r="C63" s="16" t="s">
        <v>125</v>
      </c>
      <c r="F63" s="36">
        <v>5536643400</v>
      </c>
      <c r="G63" s="85"/>
      <c r="H63" s="35"/>
      <c r="I63" s="35">
        <v>2546036957</v>
      </c>
      <c r="J63" s="35">
        <v>1788794600</v>
      </c>
      <c r="K63" s="35">
        <v>757242357</v>
      </c>
      <c r="L63" s="35">
        <v>1747730318.8399999</v>
      </c>
      <c r="M63" s="35"/>
      <c r="N63" s="36"/>
      <c r="O63" s="35">
        <v>2488440731.2399998</v>
      </c>
      <c r="P63" s="35">
        <v>1747730318.8399999</v>
      </c>
      <c r="Q63" s="35"/>
      <c r="R63" s="35">
        <v>740710412.39999998</v>
      </c>
      <c r="S63" s="35">
        <v>29.76605</v>
      </c>
      <c r="T63" s="35"/>
      <c r="U63" s="35"/>
      <c r="V63" s="85">
        <v>1747730318.8399999</v>
      </c>
      <c r="W63" s="27"/>
      <c r="X63" s="36">
        <v>1788794600</v>
      </c>
      <c r="Y63" s="85">
        <v>1788794600</v>
      </c>
      <c r="Z63" s="35"/>
      <c r="AA63" s="35"/>
      <c r="AB63" s="35"/>
      <c r="AC63" s="35"/>
      <c r="AD63" s="35"/>
      <c r="AE63" s="35"/>
      <c r="AF63" s="36"/>
      <c r="AG63" s="35"/>
      <c r="AH63" s="35"/>
      <c r="AI63" s="35"/>
      <c r="AJ63" s="35"/>
      <c r="AK63" s="35"/>
      <c r="AL63" s="35"/>
      <c r="AM63" s="35"/>
      <c r="AN63" s="85"/>
      <c r="AO63" s="27"/>
      <c r="AP63" s="36"/>
      <c r="AQ63" s="85"/>
      <c r="AR63" s="35"/>
      <c r="AS63" s="35">
        <v>94006500</v>
      </c>
      <c r="AT63" s="35">
        <v>66939500</v>
      </c>
      <c r="AU63" s="35">
        <v>27067000</v>
      </c>
      <c r="AV63" s="35">
        <v>63383290.659999996</v>
      </c>
      <c r="AW63" s="35"/>
      <c r="AX63" s="36"/>
      <c r="AY63" s="35">
        <v>88990044.849999994</v>
      </c>
      <c r="AZ63" s="35">
        <v>63367417.090000004</v>
      </c>
      <c r="BA63" s="35"/>
      <c r="BB63" s="35">
        <v>25622627.760000002</v>
      </c>
      <c r="BC63" s="35">
        <v>28.79269</v>
      </c>
      <c r="BD63" s="35"/>
      <c r="BE63" s="35">
        <v>15873.57</v>
      </c>
      <c r="BF63" s="85">
        <v>63367417.090000004</v>
      </c>
      <c r="BG63" s="27"/>
      <c r="BH63" s="36">
        <v>66939500</v>
      </c>
      <c r="BI63" s="85">
        <v>66939500</v>
      </c>
      <c r="BJ63" s="35"/>
      <c r="BK63" s="35"/>
      <c r="BL63" s="35"/>
      <c r="BM63" s="35"/>
      <c r="BN63" s="35"/>
      <c r="BO63" s="35"/>
      <c r="BP63" s="36"/>
      <c r="BQ63" s="35"/>
      <c r="BR63" s="35"/>
      <c r="BS63" s="35"/>
      <c r="BT63" s="35"/>
      <c r="BU63" s="35"/>
      <c r="BV63" s="35"/>
      <c r="BW63" s="35"/>
      <c r="BX63" s="85"/>
      <c r="BY63" s="27"/>
      <c r="BZ63" s="36"/>
      <c r="CA63" s="85"/>
      <c r="CB63" s="35"/>
      <c r="CC63" s="35">
        <v>63372880</v>
      </c>
      <c r="CD63" s="35">
        <v>59570500</v>
      </c>
      <c r="CE63" s="35">
        <v>3802380</v>
      </c>
      <c r="CF63" s="35">
        <v>59570500</v>
      </c>
      <c r="CG63" s="35"/>
      <c r="CH63" s="36"/>
      <c r="CI63" s="35">
        <v>58423492.890000001</v>
      </c>
      <c r="CJ63" s="35">
        <v>54918076.710000001</v>
      </c>
      <c r="CK63" s="35"/>
      <c r="CL63" s="35">
        <v>3505416.18</v>
      </c>
      <c r="CM63" s="35">
        <v>6.0000099999999996</v>
      </c>
      <c r="CN63" s="35"/>
      <c r="CO63" s="35">
        <v>4652423.29</v>
      </c>
      <c r="CP63" s="85">
        <v>54918076.710000001</v>
      </c>
      <c r="CQ63" s="27"/>
      <c r="CR63" s="36">
        <v>59570500</v>
      </c>
      <c r="CS63" s="85">
        <v>59570500</v>
      </c>
      <c r="CT63" s="35"/>
      <c r="CU63" s="35">
        <v>1798566123.71</v>
      </c>
      <c r="CV63" s="35">
        <v>1708637800</v>
      </c>
      <c r="CW63" s="35">
        <v>89928323.709999993</v>
      </c>
      <c r="CX63" s="35">
        <v>1684350762.52</v>
      </c>
      <c r="CY63" s="35"/>
      <c r="CZ63" s="36"/>
      <c r="DA63" s="35">
        <v>1770509077.6099999</v>
      </c>
      <c r="DB63" s="35">
        <v>1681983606.1500001</v>
      </c>
      <c r="DC63" s="35"/>
      <c r="DD63" s="35">
        <v>88525471.459999993</v>
      </c>
      <c r="DE63" s="35">
        <v>5</v>
      </c>
      <c r="DF63" s="35"/>
      <c r="DG63" s="35">
        <v>2367156.37</v>
      </c>
      <c r="DH63" s="85">
        <v>1681983606.1500001</v>
      </c>
      <c r="DI63" s="27"/>
      <c r="DJ63" s="36">
        <v>1708637800</v>
      </c>
      <c r="DK63" s="85">
        <v>1708637800</v>
      </c>
      <c r="DL63" s="35"/>
      <c r="DM63" s="35"/>
      <c r="DN63" s="35"/>
      <c r="DO63" s="35"/>
      <c r="DP63" s="35"/>
      <c r="DQ63" s="35"/>
      <c r="DR63" s="36"/>
      <c r="DS63" s="35"/>
      <c r="DT63" s="35"/>
      <c r="DU63" s="35"/>
      <c r="DV63" s="35"/>
      <c r="DW63" s="35"/>
      <c r="DX63" s="35"/>
      <c r="DY63" s="35"/>
      <c r="DZ63" s="85"/>
      <c r="EA63" s="27"/>
      <c r="EB63" s="36"/>
      <c r="EC63" s="85"/>
      <c r="ED63" s="35"/>
      <c r="EE63" s="35">
        <v>1689019373.6899998</v>
      </c>
      <c r="EF63" s="35">
        <v>1604568400</v>
      </c>
      <c r="EG63" s="35">
        <v>84450973.689999998</v>
      </c>
      <c r="EH63" s="35">
        <v>1604568400</v>
      </c>
      <c r="EI63" s="35"/>
      <c r="EJ63" s="36"/>
      <c r="EK63" s="35">
        <v>1689019373.6899998</v>
      </c>
      <c r="EL63" s="35">
        <v>1604568400</v>
      </c>
      <c r="EM63" s="35"/>
      <c r="EN63" s="35">
        <v>84450973.689999998</v>
      </c>
      <c r="EO63" s="35">
        <v>5</v>
      </c>
      <c r="EP63" s="35"/>
      <c r="EQ63" s="35"/>
      <c r="ER63" s="85">
        <v>1604568400</v>
      </c>
      <c r="ES63" s="27"/>
      <c r="ET63" s="36">
        <v>1604568400</v>
      </c>
      <c r="EU63" s="85">
        <v>1604568400</v>
      </c>
      <c r="EV63" s="35"/>
      <c r="EW63" s="35"/>
      <c r="EX63" s="35"/>
      <c r="EY63" s="35"/>
      <c r="EZ63" s="35"/>
      <c r="FA63" s="35"/>
      <c r="FB63" s="36"/>
      <c r="FC63" s="35"/>
      <c r="FD63" s="35"/>
      <c r="FE63" s="35"/>
      <c r="FF63" s="35"/>
      <c r="FG63" s="35"/>
      <c r="FH63" s="35"/>
      <c r="FI63" s="35"/>
      <c r="FJ63" s="85"/>
      <c r="FK63" s="27"/>
      <c r="FL63" s="36"/>
      <c r="FM63" s="85"/>
      <c r="FN63" s="35"/>
      <c r="FO63" s="35">
        <v>205960100</v>
      </c>
      <c r="FP63" s="35">
        <v>180185100</v>
      </c>
      <c r="FQ63" s="35">
        <v>25775000</v>
      </c>
      <c r="FR63" s="35">
        <v>180185100</v>
      </c>
      <c r="FS63" s="35"/>
      <c r="FT63" s="36"/>
      <c r="FU63" s="35">
        <v>205960100</v>
      </c>
      <c r="FV63" s="35">
        <v>180185100</v>
      </c>
      <c r="FW63" s="35"/>
      <c r="FX63" s="35">
        <v>25775000</v>
      </c>
      <c r="FY63" s="35">
        <v>12.514559999999999</v>
      </c>
      <c r="FZ63" s="35"/>
      <c r="GA63" s="35"/>
      <c r="GB63" s="85">
        <v>180185100</v>
      </c>
      <c r="GC63" s="27"/>
      <c r="GD63" s="36">
        <v>180185100</v>
      </c>
      <c r="GE63" s="85">
        <v>180185100</v>
      </c>
      <c r="GF63" s="35"/>
      <c r="GG63" s="35">
        <v>116533500</v>
      </c>
      <c r="GH63" s="35">
        <v>73078500</v>
      </c>
      <c r="GI63" s="35">
        <v>43455000</v>
      </c>
      <c r="GJ63" s="35">
        <v>73078500</v>
      </c>
      <c r="GK63" s="35">
        <v>520857.19</v>
      </c>
      <c r="GL63" s="36"/>
      <c r="GM63" s="35">
        <v>116533500</v>
      </c>
      <c r="GN63" s="35">
        <v>73078500</v>
      </c>
      <c r="GO63" s="35"/>
      <c r="GP63" s="35">
        <v>43455000</v>
      </c>
      <c r="GQ63" s="35">
        <v>37.289709999999999</v>
      </c>
      <c r="GR63" s="35">
        <v>520857.19</v>
      </c>
      <c r="GS63" s="35"/>
      <c r="GT63" s="85">
        <v>73078500</v>
      </c>
      <c r="GU63" s="27"/>
      <c r="GV63" s="36">
        <v>73078500</v>
      </c>
      <c r="GW63" s="85">
        <v>73078500</v>
      </c>
      <c r="GX63" s="35"/>
      <c r="GY63" s="35"/>
      <c r="GZ63" s="35"/>
      <c r="HA63" s="35"/>
      <c r="HB63" s="35"/>
      <c r="HC63" s="35"/>
      <c r="HD63" s="36"/>
      <c r="HE63" s="35"/>
      <c r="HF63" s="35"/>
      <c r="HG63" s="35"/>
      <c r="HH63" s="35"/>
      <c r="HI63" s="35"/>
      <c r="HJ63" s="35"/>
      <c r="HK63" s="35"/>
      <c r="HL63" s="85"/>
      <c r="HM63" s="27"/>
      <c r="HN63" s="36"/>
      <c r="HO63" s="85"/>
      <c r="HP63" s="35"/>
      <c r="HQ63" s="35">
        <v>64065000</v>
      </c>
      <c r="HR63" s="35">
        <v>24065000</v>
      </c>
      <c r="HS63" s="35">
        <v>40000000</v>
      </c>
      <c r="HT63" s="35">
        <v>23793478.469999999</v>
      </c>
      <c r="HU63" s="35"/>
      <c r="HV63" s="36"/>
      <c r="HW63" s="35">
        <v>63139918.619999997</v>
      </c>
      <c r="HX63" s="35">
        <v>23531022.09</v>
      </c>
      <c r="HY63" s="35"/>
      <c r="HZ63" s="35">
        <v>39608896.530000001</v>
      </c>
      <c r="IA63" s="35">
        <v>62.731940000000002</v>
      </c>
      <c r="IB63" s="35"/>
      <c r="IC63" s="35">
        <v>262456.38</v>
      </c>
      <c r="ID63" s="85">
        <v>23531022.09</v>
      </c>
      <c r="IE63" s="27"/>
      <c r="IF63" s="36">
        <v>24065000</v>
      </c>
      <c r="IG63" s="85">
        <v>24065000</v>
      </c>
      <c r="IH63" s="35"/>
      <c r="II63" s="35"/>
      <c r="IJ63" s="35"/>
      <c r="IK63" s="35"/>
      <c r="IL63" s="35"/>
      <c r="IM63" s="35"/>
      <c r="IN63" s="36"/>
      <c r="IO63" s="35"/>
      <c r="IP63" s="35"/>
      <c r="IQ63" s="35"/>
      <c r="IR63" s="35"/>
      <c r="IS63" s="35"/>
      <c r="IT63" s="35"/>
      <c r="IU63" s="35"/>
      <c r="IV63" s="85"/>
      <c r="IW63" s="27"/>
      <c r="IX63" s="36"/>
      <c r="IY63" s="85"/>
      <c r="IZ63" s="35"/>
      <c r="JA63" s="35">
        <v>39000000</v>
      </c>
      <c r="JB63" s="35">
        <v>20000000</v>
      </c>
      <c r="JC63" s="35">
        <v>19000000</v>
      </c>
      <c r="JD63" s="35">
        <v>20000000</v>
      </c>
      <c r="JE63" s="35"/>
      <c r="JF63" s="36"/>
      <c r="JG63" s="35">
        <v>39000000</v>
      </c>
      <c r="JH63" s="35">
        <v>20000000</v>
      </c>
      <c r="JI63" s="35"/>
      <c r="JJ63" s="35">
        <v>19000000</v>
      </c>
      <c r="JK63" s="35">
        <v>48.717950000000002</v>
      </c>
      <c r="JL63" s="35"/>
      <c r="JM63" s="35"/>
      <c r="JN63" s="85">
        <v>20000000</v>
      </c>
      <c r="JO63" s="27"/>
      <c r="JP63" s="36">
        <v>20000000</v>
      </c>
      <c r="JQ63" s="85">
        <v>20000000</v>
      </c>
      <c r="JR63" s="35"/>
      <c r="JS63" s="35"/>
      <c r="JT63" s="35"/>
      <c r="JU63" s="35"/>
      <c r="JV63" s="35"/>
      <c r="JW63" s="35"/>
      <c r="JX63" s="36"/>
      <c r="JY63" s="35"/>
      <c r="JZ63" s="35"/>
      <c r="KA63" s="35"/>
      <c r="KB63" s="35"/>
      <c r="KC63" s="35"/>
      <c r="KD63" s="35"/>
      <c r="KE63" s="35"/>
      <c r="KF63" s="85"/>
      <c r="KG63" s="27"/>
      <c r="KH63" s="36"/>
      <c r="KI63" s="85"/>
      <c r="KJ63" s="35"/>
      <c r="KK63" s="35"/>
      <c r="KL63" s="35"/>
      <c r="KM63" s="35"/>
      <c r="KN63" s="35"/>
      <c r="KO63" s="35"/>
      <c r="KP63" s="36"/>
      <c r="KQ63" s="35"/>
      <c r="KR63" s="35"/>
      <c r="KS63" s="35"/>
      <c r="KT63" s="35"/>
      <c r="KU63" s="35"/>
      <c r="KV63" s="35"/>
      <c r="KW63" s="35"/>
      <c r="KX63" s="85"/>
      <c r="KY63" s="27"/>
      <c r="KZ63" s="36"/>
      <c r="LA63" s="85"/>
      <c r="LB63" s="35"/>
      <c r="LC63" s="35"/>
      <c r="LD63" s="35"/>
      <c r="LE63" s="35"/>
      <c r="LF63" s="35"/>
      <c r="LG63" s="35"/>
      <c r="LH63" s="36"/>
      <c r="LI63" s="35"/>
      <c r="LJ63" s="35"/>
      <c r="LK63" s="35"/>
      <c r="LL63" s="35"/>
      <c r="LM63" s="35"/>
      <c r="LN63" s="35"/>
      <c r="LO63" s="35"/>
      <c r="LP63" s="85"/>
      <c r="LQ63" s="27"/>
      <c r="LR63" s="36"/>
      <c r="LS63" s="85"/>
      <c r="LT63" s="35"/>
      <c r="LU63" s="35">
        <v>30804000</v>
      </c>
      <c r="LV63" s="35">
        <v>10804000</v>
      </c>
      <c r="LW63" s="35">
        <v>20000000</v>
      </c>
      <c r="LX63" s="35">
        <v>9934971.5399999991</v>
      </c>
      <c r="LY63" s="35"/>
      <c r="LZ63" s="36"/>
      <c r="MA63" s="35">
        <v>28326255.43</v>
      </c>
      <c r="MB63" s="35">
        <v>9934971.5399999991</v>
      </c>
      <c r="MC63" s="35"/>
      <c r="MD63" s="35">
        <v>18391283.890000001</v>
      </c>
      <c r="ME63" s="35">
        <v>64.926630000000003</v>
      </c>
      <c r="MF63" s="35"/>
      <c r="MG63" s="35">
        <v>0</v>
      </c>
      <c r="MH63" s="85">
        <v>9934971.5399999991</v>
      </c>
      <c r="MI63" s="27"/>
      <c r="MJ63" s="36">
        <v>10804000</v>
      </c>
      <c r="MK63" s="85">
        <v>10804000</v>
      </c>
      <c r="ML63" s="35"/>
      <c r="MM63" s="35"/>
      <c r="MN63" s="35"/>
      <c r="MO63" s="35"/>
      <c r="MP63" s="35"/>
      <c r="MQ63" s="35"/>
      <c r="MR63" s="36"/>
      <c r="MS63" s="35"/>
      <c r="MT63" s="35"/>
      <c r="MU63" s="35"/>
      <c r="MV63" s="35"/>
      <c r="MW63" s="35"/>
      <c r="MX63" s="35"/>
      <c r="MY63" s="35"/>
      <c r="MZ63" s="85"/>
      <c r="NA63" s="27"/>
      <c r="NB63" s="36"/>
      <c r="NC63" s="85"/>
      <c r="ND63" s="35"/>
      <c r="NE63" s="35"/>
      <c r="NF63" s="35"/>
      <c r="NG63" s="35"/>
      <c r="NH63" s="35"/>
      <c r="NI63" s="35"/>
      <c r="NJ63" s="36"/>
      <c r="NK63" s="35"/>
      <c r="NL63" s="35"/>
      <c r="NM63" s="35"/>
      <c r="NN63" s="35"/>
      <c r="NO63" s="35"/>
      <c r="NP63" s="35"/>
      <c r="NQ63" s="35"/>
      <c r="NR63" s="85"/>
      <c r="NS63" s="27"/>
      <c r="NT63" s="36"/>
      <c r="NU63" s="85"/>
      <c r="NV63" s="35"/>
      <c r="NW63" s="35"/>
      <c r="NX63" s="35"/>
      <c r="NY63" s="35"/>
      <c r="NZ63" s="35"/>
      <c r="OA63" s="35"/>
      <c r="OB63" s="36"/>
      <c r="OC63" s="35"/>
      <c r="OD63" s="35"/>
      <c r="OE63" s="35"/>
      <c r="OF63" s="35"/>
      <c r="OG63" s="35"/>
      <c r="OH63" s="35"/>
      <c r="OI63" s="35"/>
      <c r="OJ63" s="85"/>
      <c r="OK63" s="27"/>
      <c r="OL63" s="36"/>
      <c r="OM63" s="85"/>
      <c r="ON63" s="35"/>
      <c r="OO63" s="35"/>
      <c r="OP63" s="35"/>
      <c r="OQ63" s="35"/>
      <c r="OR63" s="35"/>
      <c r="OS63" s="35"/>
      <c r="OT63" s="36"/>
      <c r="OU63" s="35"/>
      <c r="OV63" s="35"/>
      <c r="OW63" s="35"/>
      <c r="OX63" s="35"/>
      <c r="OY63" s="35"/>
      <c r="OZ63" s="35"/>
      <c r="PA63" s="35"/>
      <c r="PB63" s="85"/>
      <c r="PC63" s="27"/>
      <c r="PD63" s="36"/>
      <c r="PE63" s="85"/>
      <c r="PF63" s="35"/>
      <c r="PG63" s="35"/>
      <c r="PH63" s="35"/>
      <c r="PI63" s="35"/>
      <c r="PJ63" s="35"/>
      <c r="PK63" s="35"/>
      <c r="PL63" s="36"/>
      <c r="PM63" s="35"/>
      <c r="PN63" s="35"/>
      <c r="PO63" s="35"/>
      <c r="PP63" s="35"/>
      <c r="PQ63" s="35"/>
      <c r="PR63" s="35"/>
      <c r="PS63" s="35"/>
      <c r="PT63" s="85"/>
      <c r="PU63" s="27"/>
      <c r="PV63" s="36"/>
      <c r="PW63" s="85"/>
      <c r="PX63" s="35"/>
      <c r="PY63" s="35"/>
      <c r="PZ63" s="35"/>
      <c r="QA63" s="35"/>
      <c r="QB63" s="35"/>
      <c r="QC63" s="35">
        <v>6416590.9000000004</v>
      </c>
      <c r="QD63" s="36"/>
      <c r="QE63" s="35"/>
      <c r="QF63" s="35"/>
      <c r="QG63" s="35"/>
      <c r="QH63" s="35"/>
      <c r="QI63" s="35"/>
      <c r="QJ63" s="35">
        <v>6416590.9000000004</v>
      </c>
      <c r="QK63" s="35"/>
      <c r="QL63" s="85"/>
      <c r="QM63" s="27"/>
      <c r="QN63" s="36"/>
      <c r="QO63" s="85"/>
    </row>
    <row r="64" spans="1:457" x14ac:dyDescent="0.25">
      <c r="A64" s="8" t="s">
        <v>126</v>
      </c>
      <c r="B64" s="174">
        <v>50</v>
      </c>
      <c r="C64" s="12" t="s">
        <v>128</v>
      </c>
      <c r="F64" s="32"/>
      <c r="G64" s="33"/>
      <c r="H64" s="32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86"/>
      <c r="Z64" s="148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86"/>
      <c r="AR64" s="148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86"/>
      <c r="BJ64" s="148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86"/>
      <c r="CB64" s="148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86"/>
      <c r="CT64" s="148"/>
      <c r="CU64" s="33"/>
      <c r="CV64" s="33"/>
      <c r="CW64" s="33"/>
      <c r="CX64" s="33"/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86"/>
      <c r="DL64" s="148"/>
      <c r="DM64" s="33"/>
      <c r="DN64" s="33"/>
      <c r="DO64" s="33"/>
      <c r="DP64" s="33"/>
      <c r="DQ64" s="33"/>
      <c r="DR64" s="33"/>
      <c r="DS64" s="33"/>
      <c r="DT64" s="33"/>
      <c r="DU64" s="33"/>
      <c r="DV64" s="33"/>
      <c r="DW64" s="33"/>
      <c r="DX64" s="33"/>
      <c r="DY64" s="33"/>
      <c r="DZ64" s="33"/>
      <c r="EA64" s="33"/>
      <c r="EB64" s="33"/>
      <c r="EC64" s="86"/>
      <c r="ED64" s="148"/>
      <c r="EE64" s="33"/>
      <c r="EF64" s="33"/>
      <c r="EG64" s="33"/>
      <c r="EH64" s="33"/>
      <c r="EI64" s="33"/>
      <c r="EJ64" s="33"/>
      <c r="EK64" s="33"/>
      <c r="EL64" s="33"/>
      <c r="EM64" s="33"/>
      <c r="EN64" s="33"/>
      <c r="EO64" s="33"/>
      <c r="EP64" s="33"/>
      <c r="EQ64" s="33"/>
      <c r="ER64" s="33"/>
      <c r="ES64" s="33"/>
      <c r="ET64" s="33"/>
      <c r="EU64" s="86"/>
      <c r="EV64" s="148"/>
      <c r="EW64" s="33"/>
      <c r="EX64" s="33"/>
      <c r="EY64" s="33"/>
      <c r="EZ64" s="33"/>
      <c r="FA64" s="33"/>
      <c r="FB64" s="33"/>
      <c r="FC64" s="33"/>
      <c r="FD64" s="33"/>
      <c r="FE64" s="33"/>
      <c r="FF64" s="33"/>
      <c r="FG64" s="33"/>
      <c r="FH64" s="33"/>
      <c r="FI64" s="33"/>
      <c r="FJ64" s="33"/>
      <c r="FK64" s="33"/>
      <c r="FL64" s="33"/>
      <c r="FM64" s="86"/>
      <c r="FN64" s="148"/>
      <c r="FO64" s="33"/>
      <c r="FP64" s="33"/>
      <c r="FQ64" s="33"/>
      <c r="FR64" s="33"/>
      <c r="FS64" s="33"/>
      <c r="FT64" s="33"/>
      <c r="FU64" s="33"/>
      <c r="FV64" s="33"/>
      <c r="FW64" s="33"/>
      <c r="FX64" s="33"/>
      <c r="FY64" s="33"/>
      <c r="FZ64" s="33"/>
      <c r="GA64" s="33"/>
      <c r="GB64" s="33"/>
      <c r="GC64" s="33"/>
      <c r="GD64" s="33"/>
      <c r="GE64" s="86"/>
      <c r="GF64" s="148"/>
      <c r="GG64" s="33"/>
      <c r="GH64" s="33"/>
      <c r="GI64" s="33"/>
      <c r="GJ64" s="33"/>
      <c r="GK64" s="33"/>
      <c r="GL64" s="33"/>
      <c r="GM64" s="33"/>
      <c r="GN64" s="33"/>
      <c r="GO64" s="33"/>
      <c r="GP64" s="33"/>
      <c r="GQ64" s="33"/>
      <c r="GR64" s="33"/>
      <c r="GS64" s="33"/>
      <c r="GT64" s="33"/>
      <c r="GU64" s="33"/>
      <c r="GV64" s="33"/>
      <c r="GW64" s="86"/>
      <c r="GX64" s="148"/>
      <c r="GY64" s="33"/>
      <c r="GZ64" s="33"/>
      <c r="HA64" s="33"/>
      <c r="HB64" s="33"/>
      <c r="HC64" s="33"/>
      <c r="HD64" s="33"/>
      <c r="HE64" s="33"/>
      <c r="HF64" s="33"/>
      <c r="HG64" s="33"/>
      <c r="HH64" s="33"/>
      <c r="HI64" s="33"/>
      <c r="HJ64" s="33"/>
      <c r="HK64" s="33"/>
      <c r="HL64" s="33"/>
      <c r="HM64" s="33"/>
      <c r="HN64" s="33"/>
      <c r="HO64" s="86"/>
      <c r="HP64" s="148"/>
      <c r="HQ64" s="33"/>
      <c r="HR64" s="33"/>
      <c r="HS64" s="33"/>
      <c r="HT64" s="33"/>
      <c r="HU64" s="33"/>
      <c r="HV64" s="33"/>
      <c r="HW64" s="33"/>
      <c r="HX64" s="33"/>
      <c r="HY64" s="33"/>
      <c r="HZ64" s="33"/>
      <c r="IA64" s="33"/>
      <c r="IB64" s="33"/>
      <c r="IC64" s="33"/>
      <c r="ID64" s="33"/>
      <c r="IE64" s="33"/>
      <c r="IF64" s="33"/>
      <c r="IG64" s="86"/>
      <c r="IH64" s="148"/>
      <c r="II64" s="33"/>
      <c r="IJ64" s="33"/>
      <c r="IK64" s="33"/>
      <c r="IL64" s="33"/>
      <c r="IM64" s="33"/>
      <c r="IN64" s="33"/>
      <c r="IO64" s="33"/>
      <c r="IP64" s="33"/>
      <c r="IQ64" s="33"/>
      <c r="IR64" s="33"/>
      <c r="IS64" s="33"/>
      <c r="IT64" s="33"/>
      <c r="IU64" s="33"/>
      <c r="IV64" s="33"/>
      <c r="IW64" s="33"/>
      <c r="IX64" s="33"/>
      <c r="IY64" s="86"/>
      <c r="IZ64" s="148"/>
      <c r="JA64" s="33"/>
      <c r="JB64" s="33"/>
      <c r="JC64" s="33"/>
      <c r="JD64" s="33"/>
      <c r="JE64" s="33"/>
      <c r="JF64" s="33"/>
      <c r="JG64" s="33"/>
      <c r="JH64" s="33"/>
      <c r="JI64" s="33"/>
      <c r="JJ64" s="33"/>
      <c r="JK64" s="33"/>
      <c r="JL64" s="33"/>
      <c r="JM64" s="33"/>
      <c r="JN64" s="33"/>
      <c r="JO64" s="33"/>
      <c r="JP64" s="33"/>
      <c r="JQ64" s="86"/>
      <c r="JR64" s="148"/>
      <c r="JS64" s="33"/>
      <c r="JT64" s="33"/>
      <c r="JU64" s="33"/>
      <c r="JV64" s="33"/>
      <c r="JW64" s="33"/>
      <c r="JX64" s="33"/>
      <c r="JY64" s="33"/>
      <c r="JZ64" s="33"/>
      <c r="KA64" s="33"/>
      <c r="KB64" s="33"/>
      <c r="KC64" s="33"/>
      <c r="KD64" s="33"/>
      <c r="KE64" s="33"/>
      <c r="KF64" s="33"/>
      <c r="KG64" s="33"/>
      <c r="KH64" s="33"/>
      <c r="KI64" s="86"/>
      <c r="KJ64" s="148"/>
      <c r="KK64" s="33"/>
      <c r="KL64" s="33"/>
      <c r="KM64" s="33"/>
      <c r="KN64" s="33"/>
      <c r="KO64" s="33"/>
      <c r="KP64" s="33"/>
      <c r="KQ64" s="33"/>
      <c r="KR64" s="33"/>
      <c r="KS64" s="33"/>
      <c r="KT64" s="33"/>
      <c r="KU64" s="33"/>
      <c r="KV64" s="33"/>
      <c r="KW64" s="33"/>
      <c r="KX64" s="33"/>
      <c r="KY64" s="33"/>
      <c r="KZ64" s="33"/>
      <c r="LA64" s="86"/>
      <c r="LB64" s="148"/>
      <c r="LC64" s="33"/>
      <c r="LD64" s="33"/>
      <c r="LE64" s="33"/>
      <c r="LF64" s="33"/>
      <c r="LG64" s="33"/>
      <c r="LH64" s="33"/>
      <c r="LI64" s="33"/>
      <c r="LJ64" s="33"/>
      <c r="LK64" s="33"/>
      <c r="LL64" s="33"/>
      <c r="LM64" s="33"/>
      <c r="LN64" s="33"/>
      <c r="LO64" s="33"/>
      <c r="LP64" s="33"/>
      <c r="LQ64" s="33"/>
      <c r="LR64" s="33"/>
      <c r="LS64" s="86"/>
      <c r="LT64" s="148"/>
      <c r="LU64" s="33"/>
      <c r="LV64" s="33"/>
      <c r="LW64" s="33"/>
      <c r="LX64" s="33"/>
      <c r="LY64" s="33"/>
      <c r="LZ64" s="33"/>
      <c r="MA64" s="33"/>
      <c r="MB64" s="33"/>
      <c r="MC64" s="33"/>
      <c r="MD64" s="33"/>
      <c r="ME64" s="33"/>
      <c r="MF64" s="33"/>
      <c r="MG64" s="33"/>
      <c r="MH64" s="33"/>
      <c r="MI64" s="33"/>
      <c r="MJ64" s="33"/>
      <c r="MK64" s="86"/>
      <c r="ML64" s="148"/>
      <c r="MM64" s="33"/>
      <c r="MN64" s="33"/>
      <c r="MO64" s="33"/>
      <c r="MP64" s="33"/>
      <c r="MQ64" s="33"/>
      <c r="MR64" s="33"/>
      <c r="MS64" s="33"/>
      <c r="MT64" s="33"/>
      <c r="MU64" s="33"/>
      <c r="MV64" s="33"/>
      <c r="MW64" s="33"/>
      <c r="MX64" s="33"/>
      <c r="MY64" s="33"/>
      <c r="MZ64" s="33"/>
      <c r="NA64" s="33"/>
      <c r="NB64" s="33"/>
      <c r="NC64" s="86"/>
      <c r="ND64" s="148"/>
      <c r="NE64" s="33"/>
      <c r="NF64" s="33"/>
      <c r="NG64" s="33"/>
      <c r="NH64" s="33"/>
      <c r="NI64" s="33"/>
      <c r="NJ64" s="33"/>
      <c r="NK64" s="33"/>
      <c r="NL64" s="33"/>
      <c r="NM64" s="33"/>
      <c r="NN64" s="33"/>
      <c r="NO64" s="33"/>
      <c r="NP64" s="33"/>
      <c r="NQ64" s="33"/>
      <c r="NR64" s="33"/>
      <c r="NS64" s="33"/>
      <c r="NT64" s="33"/>
      <c r="NU64" s="86"/>
      <c r="NV64" s="148"/>
      <c r="NW64" s="33"/>
      <c r="NX64" s="33"/>
      <c r="NY64" s="33"/>
      <c r="NZ64" s="33"/>
      <c r="OA64" s="33"/>
      <c r="OB64" s="33"/>
      <c r="OC64" s="33"/>
      <c r="OD64" s="33"/>
      <c r="OE64" s="33"/>
      <c r="OF64" s="33"/>
      <c r="OG64" s="33"/>
      <c r="OH64" s="33"/>
      <c r="OI64" s="33"/>
      <c r="OJ64" s="33"/>
      <c r="OK64" s="33"/>
      <c r="OL64" s="33"/>
      <c r="OM64" s="86"/>
      <c r="ON64" s="148"/>
      <c r="OO64" s="33"/>
      <c r="OP64" s="33"/>
      <c r="OQ64" s="33"/>
      <c r="OR64" s="33"/>
      <c r="OS64" s="33"/>
      <c r="OT64" s="33"/>
      <c r="OU64" s="33"/>
      <c r="OV64" s="33"/>
      <c r="OW64" s="33"/>
      <c r="OX64" s="33"/>
      <c r="OY64" s="33"/>
      <c r="OZ64" s="33"/>
      <c r="PA64" s="33"/>
      <c r="PB64" s="33"/>
      <c r="PC64" s="33"/>
      <c r="PD64" s="33"/>
      <c r="PE64" s="86"/>
      <c r="PF64" s="148"/>
      <c r="PG64" s="33"/>
      <c r="PH64" s="33"/>
      <c r="PI64" s="33"/>
      <c r="PJ64" s="33"/>
      <c r="PK64" s="33"/>
      <c r="PL64" s="33"/>
      <c r="PM64" s="33"/>
      <c r="PN64" s="33"/>
      <c r="PO64" s="33"/>
      <c r="PP64" s="33"/>
      <c r="PQ64" s="33"/>
      <c r="PR64" s="33"/>
      <c r="PS64" s="33"/>
      <c r="PT64" s="33"/>
      <c r="PU64" s="33"/>
      <c r="PV64" s="33"/>
      <c r="PW64" s="86"/>
      <c r="PX64" s="148"/>
      <c r="PY64" s="33"/>
      <c r="PZ64" s="33"/>
      <c r="QA64" s="33"/>
      <c r="QB64" s="33"/>
      <c r="QC64" s="33"/>
      <c r="QD64" s="33"/>
      <c r="QE64" s="33"/>
      <c r="QF64" s="33"/>
      <c r="QG64" s="33"/>
      <c r="QH64" s="33"/>
      <c r="QI64" s="33"/>
      <c r="QJ64" s="33"/>
      <c r="QK64" s="33"/>
      <c r="QL64" s="33"/>
      <c r="QM64" s="33"/>
      <c r="QN64" s="33"/>
      <c r="QO64" s="86"/>
    </row>
    <row r="65" spans="1:457" x14ac:dyDescent="0.25">
      <c r="A65" s="8" t="s">
        <v>129</v>
      </c>
      <c r="B65" s="172">
        <v>51</v>
      </c>
      <c r="C65" s="13" t="s">
        <v>131</v>
      </c>
      <c r="F65" s="36">
        <v>3436326500</v>
      </c>
      <c r="G65" s="85"/>
      <c r="H65" s="35"/>
      <c r="I65" s="35">
        <v>1670077235.2499998</v>
      </c>
      <c r="J65" s="35">
        <v>1334405100</v>
      </c>
      <c r="K65" s="35">
        <v>335672135.25</v>
      </c>
      <c r="L65" s="35">
        <v>1334405100</v>
      </c>
      <c r="M65" s="35"/>
      <c r="N65" s="36"/>
      <c r="O65" s="35">
        <v>1670077235.2499998</v>
      </c>
      <c r="P65" s="35">
        <v>1334405100</v>
      </c>
      <c r="Q65" s="35"/>
      <c r="R65" s="35">
        <v>335672135.25</v>
      </c>
      <c r="S65" s="35">
        <v>20.0992</v>
      </c>
      <c r="T65" s="35"/>
      <c r="U65" s="35"/>
      <c r="V65" s="85">
        <v>1334405100</v>
      </c>
      <c r="W65" s="27"/>
      <c r="X65" s="36">
        <v>1334405100</v>
      </c>
      <c r="Y65" s="85">
        <v>1334405100</v>
      </c>
      <c r="Z65" s="35"/>
      <c r="AA65" s="35"/>
      <c r="AB65" s="35"/>
      <c r="AC65" s="35"/>
      <c r="AD65" s="35"/>
      <c r="AE65" s="35"/>
      <c r="AF65" s="36"/>
      <c r="AG65" s="35"/>
      <c r="AH65" s="35"/>
      <c r="AI65" s="35"/>
      <c r="AJ65" s="35"/>
      <c r="AK65" s="35"/>
      <c r="AL65" s="35"/>
      <c r="AM65" s="35"/>
      <c r="AN65" s="85"/>
      <c r="AO65" s="27"/>
      <c r="AP65" s="36"/>
      <c r="AQ65" s="85"/>
      <c r="AR65" s="35"/>
      <c r="AS65" s="35">
        <v>299021932</v>
      </c>
      <c r="AT65" s="35">
        <v>284069300</v>
      </c>
      <c r="AU65" s="35">
        <v>14952632</v>
      </c>
      <c r="AV65" s="35">
        <v>284069300</v>
      </c>
      <c r="AW65" s="35"/>
      <c r="AX65" s="36"/>
      <c r="AY65" s="35">
        <v>299021932</v>
      </c>
      <c r="AZ65" s="35">
        <v>284069300</v>
      </c>
      <c r="BA65" s="35"/>
      <c r="BB65" s="35">
        <v>14952632</v>
      </c>
      <c r="BC65" s="35">
        <v>5.0005100000000002</v>
      </c>
      <c r="BD65" s="35"/>
      <c r="BE65" s="35"/>
      <c r="BF65" s="85">
        <v>284069300</v>
      </c>
      <c r="BG65" s="27"/>
      <c r="BH65" s="36">
        <v>284069300</v>
      </c>
      <c r="BI65" s="85">
        <v>284069300</v>
      </c>
      <c r="BJ65" s="35"/>
      <c r="BK65" s="35"/>
      <c r="BL65" s="35"/>
      <c r="BM65" s="35"/>
      <c r="BN65" s="35"/>
      <c r="BO65" s="35"/>
      <c r="BP65" s="36"/>
      <c r="BQ65" s="35"/>
      <c r="BR65" s="35"/>
      <c r="BS65" s="35"/>
      <c r="BT65" s="35"/>
      <c r="BU65" s="35"/>
      <c r="BV65" s="35"/>
      <c r="BW65" s="35"/>
      <c r="BX65" s="85"/>
      <c r="BY65" s="27"/>
      <c r="BZ65" s="36"/>
      <c r="CA65" s="85"/>
      <c r="CB65" s="35"/>
      <c r="CC65" s="35">
        <v>498298590</v>
      </c>
      <c r="CD65" s="35">
        <v>473382800</v>
      </c>
      <c r="CE65" s="35">
        <v>24915790</v>
      </c>
      <c r="CF65" s="35">
        <v>473382800</v>
      </c>
      <c r="CG65" s="35"/>
      <c r="CH65" s="36"/>
      <c r="CI65" s="35">
        <v>498298590</v>
      </c>
      <c r="CJ65" s="35">
        <v>473382800</v>
      </c>
      <c r="CK65" s="35"/>
      <c r="CL65" s="35">
        <v>24915790</v>
      </c>
      <c r="CM65" s="35">
        <v>5.0001699999999998</v>
      </c>
      <c r="CN65" s="35"/>
      <c r="CO65" s="35"/>
      <c r="CP65" s="85">
        <v>473382800</v>
      </c>
      <c r="CQ65" s="27"/>
      <c r="CR65" s="36">
        <v>473382800</v>
      </c>
      <c r="CS65" s="85">
        <v>473382800</v>
      </c>
      <c r="CT65" s="35"/>
      <c r="CU65" s="35">
        <v>951499268</v>
      </c>
      <c r="CV65" s="35">
        <v>903924300</v>
      </c>
      <c r="CW65" s="35">
        <v>47574968</v>
      </c>
      <c r="CX65" s="35">
        <v>903924300</v>
      </c>
      <c r="CY65" s="35"/>
      <c r="CZ65" s="36"/>
      <c r="DA65" s="35">
        <v>951499268</v>
      </c>
      <c r="DB65" s="35">
        <v>903924300</v>
      </c>
      <c r="DC65" s="35"/>
      <c r="DD65" s="35">
        <v>47574968</v>
      </c>
      <c r="DE65" s="35">
        <v>5</v>
      </c>
      <c r="DF65" s="35"/>
      <c r="DG65" s="35"/>
      <c r="DH65" s="85">
        <v>903924300</v>
      </c>
      <c r="DI65" s="27"/>
      <c r="DJ65" s="36">
        <v>903924300</v>
      </c>
      <c r="DK65" s="85">
        <v>903924300</v>
      </c>
      <c r="DL65" s="35"/>
      <c r="DM65" s="35"/>
      <c r="DN65" s="35"/>
      <c r="DO65" s="35"/>
      <c r="DP65" s="35"/>
      <c r="DQ65" s="35"/>
      <c r="DR65" s="36"/>
      <c r="DS65" s="35"/>
      <c r="DT65" s="35"/>
      <c r="DU65" s="35"/>
      <c r="DV65" s="35"/>
      <c r="DW65" s="35"/>
      <c r="DX65" s="35"/>
      <c r="DY65" s="35"/>
      <c r="DZ65" s="85"/>
      <c r="EA65" s="27"/>
      <c r="EB65" s="36"/>
      <c r="EC65" s="85"/>
      <c r="ED65" s="35"/>
      <c r="EE65" s="35">
        <v>62009795.630000003</v>
      </c>
      <c r="EF65" s="35">
        <v>58909300</v>
      </c>
      <c r="EG65" s="35">
        <v>3100495.63</v>
      </c>
      <c r="EH65" s="35">
        <v>58909273.549999997</v>
      </c>
      <c r="EI65" s="35"/>
      <c r="EJ65" s="36"/>
      <c r="EK65" s="35">
        <v>62009761.630000003</v>
      </c>
      <c r="EL65" s="35">
        <v>58909273.549999997</v>
      </c>
      <c r="EM65" s="35"/>
      <c r="EN65" s="35">
        <v>3100488.08</v>
      </c>
      <c r="EO65" s="35">
        <v>5</v>
      </c>
      <c r="EP65" s="35"/>
      <c r="EQ65" s="35"/>
      <c r="ER65" s="85">
        <v>58909273.549999997</v>
      </c>
      <c r="ES65" s="27"/>
      <c r="ET65" s="36">
        <v>58909300</v>
      </c>
      <c r="EU65" s="85">
        <v>58909300</v>
      </c>
      <c r="EV65" s="35"/>
      <c r="EW65" s="35">
        <v>1263158</v>
      </c>
      <c r="EX65" s="35">
        <v>1200000</v>
      </c>
      <c r="EY65" s="35">
        <v>63158</v>
      </c>
      <c r="EZ65" s="35">
        <v>1200000</v>
      </c>
      <c r="FA65" s="35"/>
      <c r="FB65" s="36"/>
      <c r="FC65" s="35">
        <v>1263158</v>
      </c>
      <c r="FD65" s="35">
        <v>1200000</v>
      </c>
      <c r="FE65" s="35"/>
      <c r="FF65" s="35">
        <v>63158</v>
      </c>
      <c r="FG65" s="35">
        <v>5.0000099999999996</v>
      </c>
      <c r="FH65" s="35"/>
      <c r="FI65" s="35"/>
      <c r="FJ65" s="85">
        <v>1200000</v>
      </c>
      <c r="FK65" s="27"/>
      <c r="FL65" s="36">
        <v>1200000</v>
      </c>
      <c r="FM65" s="85">
        <v>1200000</v>
      </c>
      <c r="FN65" s="35"/>
      <c r="FO65" s="35">
        <v>55268212.640000001</v>
      </c>
      <c r="FP65" s="35">
        <v>25263100</v>
      </c>
      <c r="FQ65" s="35">
        <v>30005112.640000001</v>
      </c>
      <c r="FR65" s="35">
        <v>25009271.449999999</v>
      </c>
      <c r="FS65" s="35"/>
      <c r="FT65" s="36"/>
      <c r="FU65" s="35">
        <v>54712910.640000001</v>
      </c>
      <c r="FV65" s="35">
        <v>25009271.449999999</v>
      </c>
      <c r="FW65" s="35"/>
      <c r="FX65" s="35">
        <v>29703639.190000001</v>
      </c>
      <c r="FY65" s="35">
        <v>54.29</v>
      </c>
      <c r="FZ65" s="35"/>
      <c r="GA65" s="35"/>
      <c r="GB65" s="85">
        <v>25009271.449999999</v>
      </c>
      <c r="GC65" s="27"/>
      <c r="GD65" s="36">
        <v>25263100</v>
      </c>
      <c r="GE65" s="85">
        <v>25263100</v>
      </c>
      <c r="GF65" s="35"/>
      <c r="GG65" s="35">
        <v>448381441.38999999</v>
      </c>
      <c r="GH65" s="35">
        <v>244502400</v>
      </c>
      <c r="GI65" s="35">
        <v>203879041.38999999</v>
      </c>
      <c r="GJ65" s="35">
        <v>244502400</v>
      </c>
      <c r="GK65" s="35">
        <v>0</v>
      </c>
      <c r="GL65" s="36"/>
      <c r="GM65" s="35">
        <v>448347643.79000002</v>
      </c>
      <c r="GN65" s="35">
        <v>244483970.16999999</v>
      </c>
      <c r="GO65" s="35"/>
      <c r="GP65" s="35">
        <v>203863673.62</v>
      </c>
      <c r="GQ65" s="35">
        <v>45.47</v>
      </c>
      <c r="GR65" s="35">
        <v>0</v>
      </c>
      <c r="GS65" s="35">
        <v>18429.830000000002</v>
      </c>
      <c r="GT65" s="85">
        <v>244483970.16999999</v>
      </c>
      <c r="GU65" s="27"/>
      <c r="GV65" s="36">
        <v>244502400</v>
      </c>
      <c r="GW65" s="85">
        <v>244502400</v>
      </c>
      <c r="GX65" s="35"/>
      <c r="GY65" s="35"/>
      <c r="GZ65" s="35"/>
      <c r="HA65" s="35"/>
      <c r="HB65" s="35"/>
      <c r="HC65" s="35">
        <v>737011.6</v>
      </c>
      <c r="HD65" s="36"/>
      <c r="HE65" s="35"/>
      <c r="HF65" s="35"/>
      <c r="HG65" s="35"/>
      <c r="HH65" s="35"/>
      <c r="HI65" s="35"/>
      <c r="HJ65" s="35">
        <v>511186.1</v>
      </c>
      <c r="HK65" s="35">
        <v>225825.5</v>
      </c>
      <c r="HL65" s="85"/>
      <c r="HM65" s="27"/>
      <c r="HN65" s="36"/>
      <c r="HO65" s="85"/>
      <c r="HP65" s="35"/>
      <c r="HQ65" s="35">
        <v>152995000</v>
      </c>
      <c r="HR65" s="35">
        <v>32995000</v>
      </c>
      <c r="HS65" s="35">
        <v>120000000</v>
      </c>
      <c r="HT65" s="35">
        <v>32995000</v>
      </c>
      <c r="HU65" s="35"/>
      <c r="HV65" s="36"/>
      <c r="HW65" s="35">
        <v>138926033.87</v>
      </c>
      <c r="HX65" s="35">
        <v>29942143.239999998</v>
      </c>
      <c r="HY65" s="35"/>
      <c r="HZ65" s="35">
        <v>108983890.63</v>
      </c>
      <c r="IA65" s="35">
        <v>78.447419999999994</v>
      </c>
      <c r="IB65" s="35"/>
      <c r="IC65" s="35">
        <v>3052856.76</v>
      </c>
      <c r="ID65" s="85">
        <v>29942143.239999998</v>
      </c>
      <c r="IE65" s="27"/>
      <c r="IF65" s="36">
        <v>32995000</v>
      </c>
      <c r="IG65" s="85">
        <v>32995000</v>
      </c>
      <c r="IH65" s="35"/>
      <c r="II65" s="35"/>
      <c r="IJ65" s="35"/>
      <c r="IK65" s="35"/>
      <c r="IL65" s="35"/>
      <c r="IM65" s="35">
        <v>86103</v>
      </c>
      <c r="IN65" s="36"/>
      <c r="IO65" s="35"/>
      <c r="IP65" s="35"/>
      <c r="IQ65" s="35"/>
      <c r="IR65" s="35"/>
      <c r="IS65" s="35"/>
      <c r="IT65" s="35">
        <v>86103</v>
      </c>
      <c r="IU65" s="35"/>
      <c r="IV65" s="85"/>
      <c r="IW65" s="27"/>
      <c r="IX65" s="36"/>
      <c r="IY65" s="85"/>
      <c r="IZ65" s="35"/>
      <c r="JA65" s="35"/>
      <c r="JB65" s="35"/>
      <c r="JC65" s="35"/>
      <c r="JD65" s="35"/>
      <c r="JE65" s="35"/>
      <c r="JF65" s="36"/>
      <c r="JG65" s="35"/>
      <c r="JH65" s="35"/>
      <c r="JI65" s="35"/>
      <c r="JJ65" s="35"/>
      <c r="JK65" s="35"/>
      <c r="JL65" s="35"/>
      <c r="JM65" s="35"/>
      <c r="JN65" s="85"/>
      <c r="JO65" s="27"/>
      <c r="JP65" s="36"/>
      <c r="JQ65" s="85"/>
      <c r="JR65" s="35"/>
      <c r="JS65" s="35"/>
      <c r="JT65" s="35"/>
      <c r="JU65" s="35"/>
      <c r="JV65" s="35"/>
      <c r="JW65" s="35"/>
      <c r="JX65" s="36"/>
      <c r="JY65" s="35"/>
      <c r="JZ65" s="35"/>
      <c r="KA65" s="35"/>
      <c r="KB65" s="35"/>
      <c r="KC65" s="35"/>
      <c r="KD65" s="35"/>
      <c r="KE65" s="35"/>
      <c r="KF65" s="85"/>
      <c r="KG65" s="27"/>
      <c r="KH65" s="36"/>
      <c r="KI65" s="85"/>
      <c r="KJ65" s="35"/>
      <c r="KK65" s="35">
        <v>17547000</v>
      </c>
      <c r="KL65" s="35">
        <v>7547000</v>
      </c>
      <c r="KM65" s="35">
        <v>10000000</v>
      </c>
      <c r="KN65" s="35">
        <v>7547000</v>
      </c>
      <c r="KO65" s="35"/>
      <c r="KP65" s="36"/>
      <c r="KQ65" s="35">
        <v>17547000</v>
      </c>
      <c r="KR65" s="35">
        <v>7547000</v>
      </c>
      <c r="KS65" s="35"/>
      <c r="KT65" s="35">
        <v>10000000</v>
      </c>
      <c r="KU65" s="35">
        <v>56.989800000000002</v>
      </c>
      <c r="KV65" s="35"/>
      <c r="KW65" s="35"/>
      <c r="KX65" s="85">
        <v>7547000</v>
      </c>
      <c r="KY65" s="27"/>
      <c r="KZ65" s="36">
        <v>7547000</v>
      </c>
      <c r="LA65" s="85">
        <v>7547000</v>
      </c>
      <c r="LB65" s="35"/>
      <c r="LC65" s="35"/>
      <c r="LD65" s="35"/>
      <c r="LE65" s="35"/>
      <c r="LF65" s="35"/>
      <c r="LG65" s="35"/>
      <c r="LH65" s="36"/>
      <c r="LI65" s="35"/>
      <c r="LJ65" s="35"/>
      <c r="LK65" s="35"/>
      <c r="LL65" s="35"/>
      <c r="LM65" s="35"/>
      <c r="LN65" s="35"/>
      <c r="LO65" s="35"/>
      <c r="LP65" s="85"/>
      <c r="LQ65" s="27"/>
      <c r="LR65" s="36"/>
      <c r="LS65" s="85"/>
      <c r="LT65" s="35"/>
      <c r="LU65" s="35"/>
      <c r="LV65" s="35"/>
      <c r="LW65" s="35"/>
      <c r="LX65" s="35"/>
      <c r="LY65" s="35"/>
      <c r="LZ65" s="36"/>
      <c r="MA65" s="35"/>
      <c r="MB65" s="35"/>
      <c r="MC65" s="35"/>
      <c r="MD65" s="35"/>
      <c r="ME65" s="35"/>
      <c r="MF65" s="35"/>
      <c r="MG65" s="35"/>
      <c r="MH65" s="85"/>
      <c r="MI65" s="27"/>
      <c r="MJ65" s="36"/>
      <c r="MK65" s="85"/>
      <c r="ML65" s="35"/>
      <c r="MM65" s="35"/>
      <c r="MN65" s="35"/>
      <c r="MO65" s="35"/>
      <c r="MP65" s="35"/>
      <c r="MQ65" s="35"/>
      <c r="MR65" s="36"/>
      <c r="MS65" s="35"/>
      <c r="MT65" s="35"/>
      <c r="MU65" s="35"/>
      <c r="MV65" s="35"/>
      <c r="MW65" s="35"/>
      <c r="MX65" s="35"/>
      <c r="MY65" s="35"/>
      <c r="MZ65" s="85"/>
      <c r="NA65" s="27"/>
      <c r="NB65" s="36"/>
      <c r="NC65" s="85"/>
      <c r="ND65" s="35"/>
      <c r="NE65" s="35">
        <v>128667800</v>
      </c>
      <c r="NF65" s="35">
        <v>68667800</v>
      </c>
      <c r="NG65" s="35">
        <v>60000000</v>
      </c>
      <c r="NH65" s="35">
        <v>68667800</v>
      </c>
      <c r="NI65" s="35"/>
      <c r="NJ65" s="36"/>
      <c r="NK65" s="35">
        <v>128667800</v>
      </c>
      <c r="NL65" s="35">
        <v>68667800</v>
      </c>
      <c r="NM65" s="35"/>
      <c r="NN65" s="35">
        <v>60000000</v>
      </c>
      <c r="NO65" s="35">
        <v>46.631709999999998</v>
      </c>
      <c r="NP65" s="35"/>
      <c r="NQ65" s="35"/>
      <c r="NR65" s="85">
        <v>68667800</v>
      </c>
      <c r="NS65" s="27"/>
      <c r="NT65" s="36">
        <v>68667800</v>
      </c>
      <c r="NU65" s="85">
        <v>68667800</v>
      </c>
      <c r="NV65" s="35"/>
      <c r="NW65" s="35"/>
      <c r="NX65" s="35"/>
      <c r="NY65" s="35"/>
      <c r="NZ65" s="35"/>
      <c r="OA65" s="35"/>
      <c r="OB65" s="36"/>
      <c r="OC65" s="35"/>
      <c r="OD65" s="35"/>
      <c r="OE65" s="35"/>
      <c r="OF65" s="35"/>
      <c r="OG65" s="35"/>
      <c r="OH65" s="35"/>
      <c r="OI65" s="35"/>
      <c r="OJ65" s="85"/>
      <c r="OK65" s="27"/>
      <c r="OL65" s="36"/>
      <c r="OM65" s="85"/>
      <c r="ON65" s="35"/>
      <c r="OO65" s="35">
        <v>3460663.51</v>
      </c>
      <c r="OP65" s="35">
        <v>1460400</v>
      </c>
      <c r="OQ65" s="35">
        <v>2000263.51</v>
      </c>
      <c r="OR65" s="35">
        <v>1460400</v>
      </c>
      <c r="OS65" s="35"/>
      <c r="OT65" s="36"/>
      <c r="OU65" s="35">
        <v>3460663.51</v>
      </c>
      <c r="OV65" s="35">
        <v>1460400</v>
      </c>
      <c r="OW65" s="35"/>
      <c r="OX65" s="35">
        <v>2000263.51</v>
      </c>
      <c r="OY65" s="35">
        <v>57.8</v>
      </c>
      <c r="OZ65" s="35"/>
      <c r="PA65" s="35"/>
      <c r="PB65" s="85">
        <v>1460400</v>
      </c>
      <c r="PC65" s="27"/>
      <c r="PD65" s="36">
        <v>1460400</v>
      </c>
      <c r="PE65" s="85">
        <v>1460400</v>
      </c>
      <c r="PF65" s="35"/>
      <c r="PG65" s="35"/>
      <c r="PH65" s="35"/>
      <c r="PI65" s="35"/>
      <c r="PJ65" s="35"/>
      <c r="PK65" s="35"/>
      <c r="PL65" s="36"/>
      <c r="PM65" s="35"/>
      <c r="PN65" s="35"/>
      <c r="PO65" s="35"/>
      <c r="PP65" s="35"/>
      <c r="PQ65" s="35"/>
      <c r="PR65" s="35"/>
      <c r="PS65" s="35"/>
      <c r="PT65" s="85"/>
      <c r="PU65" s="27"/>
      <c r="PV65" s="36"/>
      <c r="PW65" s="85"/>
      <c r="PX65" s="35"/>
      <c r="PY65" s="35"/>
      <c r="PZ65" s="35"/>
      <c r="QA65" s="35"/>
      <c r="QB65" s="35"/>
      <c r="QC65" s="35">
        <v>34809063.259999998</v>
      </c>
      <c r="QD65" s="36"/>
      <c r="QE65" s="35"/>
      <c r="QF65" s="35"/>
      <c r="QG65" s="35"/>
      <c r="QH65" s="35"/>
      <c r="QI65" s="35"/>
      <c r="QJ65" s="35">
        <v>34809063.259999998</v>
      </c>
      <c r="QK65" s="35"/>
      <c r="QL65" s="85"/>
      <c r="QM65" s="27"/>
      <c r="QN65" s="36"/>
      <c r="QO65" s="85"/>
    </row>
    <row r="66" spans="1:457" x14ac:dyDescent="0.25">
      <c r="A66" s="8" t="s">
        <v>132</v>
      </c>
      <c r="B66" s="174">
        <v>52</v>
      </c>
      <c r="C66" s="13" t="s">
        <v>134</v>
      </c>
      <c r="F66" s="36">
        <v>1510371600</v>
      </c>
      <c r="G66" s="85"/>
      <c r="H66" s="35"/>
      <c r="I66" s="35">
        <v>1142493999.96</v>
      </c>
      <c r="J66" s="35">
        <v>1085369300</v>
      </c>
      <c r="K66" s="35">
        <v>57124699.960000001</v>
      </c>
      <c r="L66" s="35">
        <v>1085369300</v>
      </c>
      <c r="M66" s="35">
        <v>308856025.01999998</v>
      </c>
      <c r="N66" s="36"/>
      <c r="O66" s="35">
        <v>1142493999.96</v>
      </c>
      <c r="P66" s="35">
        <v>1085369300</v>
      </c>
      <c r="Q66" s="35"/>
      <c r="R66" s="35">
        <v>57124699.960000001</v>
      </c>
      <c r="S66" s="35">
        <v>5</v>
      </c>
      <c r="T66" s="35">
        <v>308856025.01999998</v>
      </c>
      <c r="U66" s="35"/>
      <c r="V66" s="85">
        <v>1085369300</v>
      </c>
      <c r="W66" s="27"/>
      <c r="X66" s="36">
        <v>1085369300</v>
      </c>
      <c r="Y66" s="85">
        <v>1085369300</v>
      </c>
      <c r="Z66" s="35"/>
      <c r="AA66" s="35">
        <v>124728315.77</v>
      </c>
      <c r="AB66" s="35">
        <v>118491900</v>
      </c>
      <c r="AC66" s="35">
        <v>6236415.7699999996</v>
      </c>
      <c r="AD66" s="35">
        <v>118491900</v>
      </c>
      <c r="AE66" s="35"/>
      <c r="AF66" s="36"/>
      <c r="AG66" s="35">
        <v>82000000</v>
      </c>
      <c r="AH66" s="35">
        <v>77900000.019999996</v>
      </c>
      <c r="AI66" s="35"/>
      <c r="AJ66" s="35">
        <v>4099999.98</v>
      </c>
      <c r="AK66" s="35">
        <v>5</v>
      </c>
      <c r="AL66" s="35"/>
      <c r="AM66" s="35">
        <v>40591899.979999997</v>
      </c>
      <c r="AN66" s="85">
        <v>77900000.019999996</v>
      </c>
      <c r="AO66" s="27"/>
      <c r="AP66" s="36">
        <v>118491900</v>
      </c>
      <c r="AQ66" s="85">
        <v>118491900</v>
      </c>
      <c r="AR66" s="35"/>
      <c r="AS66" s="35">
        <v>76236210.510000005</v>
      </c>
      <c r="AT66" s="35">
        <v>72424400</v>
      </c>
      <c r="AU66" s="35">
        <v>3811810.51</v>
      </c>
      <c r="AV66" s="35">
        <v>72424400</v>
      </c>
      <c r="AW66" s="35"/>
      <c r="AX66" s="36"/>
      <c r="AY66" s="35">
        <v>76236210.510000005</v>
      </c>
      <c r="AZ66" s="35">
        <v>72424400</v>
      </c>
      <c r="BA66" s="35"/>
      <c r="BB66" s="35">
        <v>3811810.51</v>
      </c>
      <c r="BC66" s="35">
        <v>5</v>
      </c>
      <c r="BD66" s="35"/>
      <c r="BE66" s="35"/>
      <c r="BF66" s="85">
        <v>72424400</v>
      </c>
      <c r="BG66" s="27"/>
      <c r="BH66" s="36">
        <v>72424400</v>
      </c>
      <c r="BI66" s="85">
        <v>72424400</v>
      </c>
      <c r="BJ66" s="35"/>
      <c r="BK66" s="35"/>
      <c r="BL66" s="35"/>
      <c r="BM66" s="35"/>
      <c r="BN66" s="35"/>
      <c r="BO66" s="35"/>
      <c r="BP66" s="36"/>
      <c r="BQ66" s="35"/>
      <c r="BR66" s="35"/>
      <c r="BS66" s="35"/>
      <c r="BT66" s="35"/>
      <c r="BU66" s="35"/>
      <c r="BV66" s="35"/>
      <c r="BW66" s="35"/>
      <c r="BX66" s="85"/>
      <c r="BY66" s="27"/>
      <c r="BZ66" s="36"/>
      <c r="CA66" s="85"/>
      <c r="CB66" s="35"/>
      <c r="CC66" s="35">
        <v>68608000</v>
      </c>
      <c r="CD66" s="35">
        <v>65177600</v>
      </c>
      <c r="CE66" s="35">
        <v>3430400</v>
      </c>
      <c r="CF66" s="35">
        <v>65177600</v>
      </c>
      <c r="CG66" s="35"/>
      <c r="CH66" s="36"/>
      <c r="CI66" s="35">
        <v>68608000</v>
      </c>
      <c r="CJ66" s="35">
        <v>65177600</v>
      </c>
      <c r="CK66" s="35"/>
      <c r="CL66" s="35">
        <v>3430400</v>
      </c>
      <c r="CM66" s="35">
        <v>5</v>
      </c>
      <c r="CN66" s="35"/>
      <c r="CO66" s="35"/>
      <c r="CP66" s="85">
        <v>65177600</v>
      </c>
      <c r="CQ66" s="27"/>
      <c r="CR66" s="36">
        <v>65177600</v>
      </c>
      <c r="CS66" s="85">
        <v>65177600</v>
      </c>
      <c r="CT66" s="35"/>
      <c r="CU66" s="35">
        <v>162163157.93000001</v>
      </c>
      <c r="CV66" s="35">
        <v>154055000</v>
      </c>
      <c r="CW66" s="35">
        <v>8108157.9299999997</v>
      </c>
      <c r="CX66" s="35">
        <v>154055000</v>
      </c>
      <c r="CY66" s="35">
        <v>6085417.0599999996</v>
      </c>
      <c r="CZ66" s="36"/>
      <c r="DA66" s="35">
        <v>161769332.43000001</v>
      </c>
      <c r="DB66" s="35">
        <v>153680865.78</v>
      </c>
      <c r="DC66" s="35"/>
      <c r="DD66" s="35">
        <v>8088466.6500000004</v>
      </c>
      <c r="DE66" s="35">
        <v>5</v>
      </c>
      <c r="DF66" s="35">
        <v>6085417.0599999996</v>
      </c>
      <c r="DG66" s="35">
        <v>374134.22</v>
      </c>
      <c r="DH66" s="85">
        <v>153680865.78</v>
      </c>
      <c r="DI66" s="27"/>
      <c r="DJ66" s="36">
        <v>154055000</v>
      </c>
      <c r="DK66" s="85">
        <v>154055000</v>
      </c>
      <c r="DL66" s="35"/>
      <c r="DM66" s="35"/>
      <c r="DN66" s="35"/>
      <c r="DO66" s="35"/>
      <c r="DP66" s="35"/>
      <c r="DQ66" s="35"/>
      <c r="DR66" s="36"/>
      <c r="DS66" s="35"/>
      <c r="DT66" s="35"/>
      <c r="DU66" s="35"/>
      <c r="DV66" s="35"/>
      <c r="DW66" s="35"/>
      <c r="DX66" s="35"/>
      <c r="DY66" s="35"/>
      <c r="DZ66" s="85"/>
      <c r="EA66" s="27"/>
      <c r="EB66" s="36"/>
      <c r="EC66" s="85"/>
      <c r="ED66" s="35"/>
      <c r="EE66" s="35"/>
      <c r="EF66" s="35"/>
      <c r="EG66" s="35"/>
      <c r="EH66" s="35"/>
      <c r="EI66" s="35"/>
      <c r="EJ66" s="36"/>
      <c r="EK66" s="35"/>
      <c r="EL66" s="35"/>
      <c r="EM66" s="35"/>
      <c r="EN66" s="35"/>
      <c r="EO66" s="35"/>
      <c r="EP66" s="35"/>
      <c r="EQ66" s="35"/>
      <c r="ER66" s="85"/>
      <c r="ES66" s="27"/>
      <c r="ET66" s="36"/>
      <c r="EU66" s="85"/>
      <c r="EV66" s="35"/>
      <c r="EW66" s="35"/>
      <c r="EX66" s="35"/>
      <c r="EY66" s="35"/>
      <c r="EZ66" s="35"/>
      <c r="FA66" s="35"/>
      <c r="FB66" s="36"/>
      <c r="FC66" s="35"/>
      <c r="FD66" s="35"/>
      <c r="FE66" s="35"/>
      <c r="FF66" s="35"/>
      <c r="FG66" s="35"/>
      <c r="FH66" s="35"/>
      <c r="FI66" s="35"/>
      <c r="FJ66" s="85"/>
      <c r="FK66" s="27"/>
      <c r="FL66" s="36"/>
      <c r="FM66" s="85"/>
      <c r="FN66" s="35"/>
      <c r="FO66" s="35"/>
      <c r="FP66" s="35"/>
      <c r="FQ66" s="35"/>
      <c r="FR66" s="35"/>
      <c r="FS66" s="35"/>
      <c r="FT66" s="36"/>
      <c r="FU66" s="35"/>
      <c r="FV66" s="35"/>
      <c r="FW66" s="35"/>
      <c r="FX66" s="35"/>
      <c r="FY66" s="35"/>
      <c r="FZ66" s="35"/>
      <c r="GA66" s="35"/>
      <c r="GB66" s="85"/>
      <c r="GC66" s="27"/>
      <c r="GD66" s="36"/>
      <c r="GE66" s="85"/>
      <c r="GF66" s="35"/>
      <c r="GG66" s="35">
        <v>5353400</v>
      </c>
      <c r="GH66" s="35">
        <v>2606400</v>
      </c>
      <c r="GI66" s="35">
        <v>2747000</v>
      </c>
      <c r="GJ66" s="35">
        <v>2606400</v>
      </c>
      <c r="GK66" s="35"/>
      <c r="GL66" s="36"/>
      <c r="GM66" s="35">
        <v>5353400</v>
      </c>
      <c r="GN66" s="35">
        <v>2606400</v>
      </c>
      <c r="GO66" s="35"/>
      <c r="GP66" s="35">
        <v>2747000</v>
      </c>
      <c r="GQ66" s="35">
        <v>51.313180000000003</v>
      </c>
      <c r="GR66" s="35"/>
      <c r="GS66" s="35"/>
      <c r="GT66" s="85">
        <v>2606400</v>
      </c>
      <c r="GU66" s="27"/>
      <c r="GV66" s="36">
        <v>2606400</v>
      </c>
      <c r="GW66" s="85">
        <v>2606400</v>
      </c>
      <c r="GX66" s="35"/>
      <c r="GY66" s="35"/>
      <c r="GZ66" s="35"/>
      <c r="HA66" s="35"/>
      <c r="HB66" s="35"/>
      <c r="HC66" s="35"/>
      <c r="HD66" s="36"/>
      <c r="HE66" s="35"/>
      <c r="HF66" s="35"/>
      <c r="HG66" s="35"/>
      <c r="HH66" s="35"/>
      <c r="HI66" s="35"/>
      <c r="HJ66" s="35"/>
      <c r="HK66" s="35"/>
      <c r="HL66" s="85"/>
      <c r="HM66" s="27"/>
      <c r="HN66" s="36"/>
      <c r="HO66" s="85"/>
      <c r="HP66" s="35"/>
      <c r="HQ66" s="35">
        <v>17538307.32</v>
      </c>
      <c r="HR66" s="35">
        <v>12247000</v>
      </c>
      <c r="HS66" s="35">
        <v>5291307.32</v>
      </c>
      <c r="HT66" s="35">
        <v>12247000</v>
      </c>
      <c r="HU66" s="35"/>
      <c r="HV66" s="36"/>
      <c r="HW66" s="35">
        <v>17538307.32</v>
      </c>
      <c r="HX66" s="35">
        <v>12247000</v>
      </c>
      <c r="HY66" s="35"/>
      <c r="HZ66" s="35">
        <v>5291307.32</v>
      </c>
      <c r="IA66" s="35">
        <v>30.17</v>
      </c>
      <c r="IB66" s="35"/>
      <c r="IC66" s="35"/>
      <c r="ID66" s="85">
        <v>12247000</v>
      </c>
      <c r="IE66" s="27"/>
      <c r="IF66" s="36">
        <v>12247000</v>
      </c>
      <c r="IG66" s="85">
        <v>12247000</v>
      </c>
      <c r="IH66" s="35"/>
      <c r="II66" s="35"/>
      <c r="IJ66" s="35"/>
      <c r="IK66" s="35"/>
      <c r="IL66" s="35"/>
      <c r="IM66" s="35"/>
      <c r="IN66" s="36"/>
      <c r="IO66" s="35"/>
      <c r="IP66" s="35"/>
      <c r="IQ66" s="35"/>
      <c r="IR66" s="35"/>
      <c r="IS66" s="35"/>
      <c r="IT66" s="35"/>
      <c r="IU66" s="35"/>
      <c r="IV66" s="85"/>
      <c r="IW66" s="27"/>
      <c r="IX66" s="36"/>
      <c r="IY66" s="85"/>
      <c r="IZ66" s="35"/>
      <c r="JA66" s="35"/>
      <c r="JB66" s="35"/>
      <c r="JC66" s="35"/>
      <c r="JD66" s="35"/>
      <c r="JE66" s="35"/>
      <c r="JF66" s="36"/>
      <c r="JG66" s="35"/>
      <c r="JH66" s="35"/>
      <c r="JI66" s="35"/>
      <c r="JJ66" s="35"/>
      <c r="JK66" s="35"/>
      <c r="JL66" s="35"/>
      <c r="JM66" s="35"/>
      <c r="JN66" s="85"/>
      <c r="JO66" s="27"/>
      <c r="JP66" s="36"/>
      <c r="JQ66" s="85"/>
      <c r="JR66" s="35"/>
      <c r="JS66" s="35"/>
      <c r="JT66" s="35"/>
      <c r="JU66" s="35"/>
      <c r="JV66" s="35"/>
      <c r="JW66" s="35"/>
      <c r="JX66" s="36"/>
      <c r="JY66" s="35"/>
      <c r="JZ66" s="35"/>
      <c r="KA66" s="35"/>
      <c r="KB66" s="35"/>
      <c r="KC66" s="35"/>
      <c r="KD66" s="35"/>
      <c r="KE66" s="35"/>
      <c r="KF66" s="85"/>
      <c r="KG66" s="27"/>
      <c r="KH66" s="36"/>
      <c r="KI66" s="85"/>
      <c r="KJ66" s="35"/>
      <c r="KK66" s="35"/>
      <c r="KL66" s="35"/>
      <c r="KM66" s="35"/>
      <c r="KN66" s="35"/>
      <c r="KO66" s="35"/>
      <c r="KP66" s="36"/>
      <c r="KQ66" s="35"/>
      <c r="KR66" s="35"/>
      <c r="KS66" s="35"/>
      <c r="KT66" s="35"/>
      <c r="KU66" s="35"/>
      <c r="KV66" s="35"/>
      <c r="KW66" s="35"/>
      <c r="KX66" s="85"/>
      <c r="KY66" s="27"/>
      <c r="KZ66" s="36"/>
      <c r="LA66" s="85"/>
      <c r="LB66" s="35"/>
      <c r="LC66" s="35"/>
      <c r="LD66" s="35"/>
      <c r="LE66" s="35"/>
      <c r="LF66" s="35"/>
      <c r="LG66" s="35"/>
      <c r="LH66" s="36"/>
      <c r="LI66" s="35"/>
      <c r="LJ66" s="35"/>
      <c r="LK66" s="35"/>
      <c r="LL66" s="35"/>
      <c r="LM66" s="35"/>
      <c r="LN66" s="35"/>
      <c r="LO66" s="35"/>
      <c r="LP66" s="85"/>
      <c r="LQ66" s="27"/>
      <c r="LR66" s="36"/>
      <c r="LS66" s="85"/>
      <c r="LT66" s="35"/>
      <c r="LU66" s="35"/>
      <c r="LV66" s="35"/>
      <c r="LW66" s="35"/>
      <c r="LX66" s="35"/>
      <c r="LY66" s="35"/>
      <c r="LZ66" s="36"/>
      <c r="MA66" s="35"/>
      <c r="MB66" s="35"/>
      <c r="MC66" s="35"/>
      <c r="MD66" s="35"/>
      <c r="ME66" s="35"/>
      <c r="MF66" s="35"/>
      <c r="MG66" s="35"/>
      <c r="MH66" s="85"/>
      <c r="MI66" s="27"/>
      <c r="MJ66" s="36"/>
      <c r="MK66" s="85"/>
      <c r="ML66" s="35"/>
      <c r="MM66" s="35"/>
      <c r="MN66" s="35"/>
      <c r="MO66" s="35"/>
      <c r="MP66" s="35"/>
      <c r="MQ66" s="35"/>
      <c r="MR66" s="36"/>
      <c r="MS66" s="35"/>
      <c r="MT66" s="35"/>
      <c r="MU66" s="35"/>
      <c r="MV66" s="35"/>
      <c r="MW66" s="35"/>
      <c r="MX66" s="35"/>
      <c r="MY66" s="35"/>
      <c r="MZ66" s="85"/>
      <c r="NA66" s="27"/>
      <c r="NB66" s="36"/>
      <c r="NC66" s="85"/>
      <c r="ND66" s="35"/>
      <c r="NE66" s="35"/>
      <c r="NF66" s="35"/>
      <c r="NG66" s="35"/>
      <c r="NH66" s="35"/>
      <c r="NI66" s="35"/>
      <c r="NJ66" s="36"/>
      <c r="NK66" s="35"/>
      <c r="NL66" s="35"/>
      <c r="NM66" s="35"/>
      <c r="NN66" s="35"/>
      <c r="NO66" s="35"/>
      <c r="NP66" s="35"/>
      <c r="NQ66" s="35"/>
      <c r="NR66" s="85"/>
      <c r="NS66" s="27"/>
      <c r="NT66" s="36"/>
      <c r="NU66" s="85"/>
      <c r="NV66" s="35"/>
      <c r="NW66" s="35"/>
      <c r="NX66" s="35"/>
      <c r="NY66" s="35"/>
      <c r="NZ66" s="35"/>
      <c r="OA66" s="35"/>
      <c r="OB66" s="36"/>
      <c r="OC66" s="35"/>
      <c r="OD66" s="35"/>
      <c r="OE66" s="35"/>
      <c r="OF66" s="35"/>
      <c r="OG66" s="35"/>
      <c r="OH66" s="35"/>
      <c r="OI66" s="35"/>
      <c r="OJ66" s="85"/>
      <c r="OK66" s="27"/>
      <c r="OL66" s="36"/>
      <c r="OM66" s="85"/>
      <c r="ON66" s="35"/>
      <c r="OO66" s="35"/>
      <c r="OP66" s="35"/>
      <c r="OQ66" s="35"/>
      <c r="OR66" s="35"/>
      <c r="OS66" s="35"/>
      <c r="OT66" s="36"/>
      <c r="OU66" s="35"/>
      <c r="OV66" s="35"/>
      <c r="OW66" s="35"/>
      <c r="OX66" s="35"/>
      <c r="OY66" s="35"/>
      <c r="OZ66" s="35"/>
      <c r="PA66" s="35"/>
      <c r="PB66" s="85"/>
      <c r="PC66" s="27"/>
      <c r="PD66" s="36"/>
      <c r="PE66" s="85"/>
      <c r="PF66" s="35"/>
      <c r="PG66" s="35"/>
      <c r="PH66" s="35"/>
      <c r="PI66" s="35"/>
      <c r="PJ66" s="35"/>
      <c r="PK66" s="35"/>
      <c r="PL66" s="36"/>
      <c r="PM66" s="35"/>
      <c r="PN66" s="35"/>
      <c r="PO66" s="35"/>
      <c r="PP66" s="35"/>
      <c r="PQ66" s="35"/>
      <c r="PR66" s="35"/>
      <c r="PS66" s="35"/>
      <c r="PT66" s="85"/>
      <c r="PU66" s="27"/>
      <c r="PV66" s="36"/>
      <c r="PW66" s="85"/>
      <c r="PX66" s="35"/>
      <c r="PY66" s="35"/>
      <c r="PZ66" s="35"/>
      <c r="QA66" s="35"/>
      <c r="QB66" s="35"/>
      <c r="QC66" s="35"/>
      <c r="QD66" s="36"/>
      <c r="QE66" s="35"/>
      <c r="QF66" s="35"/>
      <c r="QG66" s="35"/>
      <c r="QH66" s="35"/>
      <c r="QI66" s="35"/>
      <c r="QJ66" s="35"/>
      <c r="QK66" s="35"/>
      <c r="QL66" s="85"/>
      <c r="QM66" s="27"/>
      <c r="QN66" s="36"/>
      <c r="QO66" s="85"/>
    </row>
    <row r="67" spans="1:457" x14ac:dyDescent="0.25">
      <c r="A67" s="8" t="s">
        <v>135</v>
      </c>
      <c r="B67" s="174">
        <v>53</v>
      </c>
      <c r="C67" s="13" t="s">
        <v>137</v>
      </c>
      <c r="F67" s="36">
        <v>1947185800</v>
      </c>
      <c r="G67" s="85"/>
      <c r="H67" s="35"/>
      <c r="I67" s="35">
        <v>831280888</v>
      </c>
      <c r="J67" s="35">
        <v>748152800</v>
      </c>
      <c r="K67" s="35">
        <v>83128088</v>
      </c>
      <c r="L67" s="35">
        <v>748152800</v>
      </c>
      <c r="M67" s="35"/>
      <c r="N67" s="36"/>
      <c r="O67" s="35">
        <v>831280888</v>
      </c>
      <c r="P67" s="35">
        <v>748152800</v>
      </c>
      <c r="Q67" s="35"/>
      <c r="R67" s="35">
        <v>83128088</v>
      </c>
      <c r="S67" s="35">
        <v>10</v>
      </c>
      <c r="T67" s="35"/>
      <c r="U67" s="35"/>
      <c r="V67" s="85">
        <v>748152800</v>
      </c>
      <c r="W67" s="27"/>
      <c r="X67" s="36">
        <v>748152800</v>
      </c>
      <c r="Y67" s="85">
        <v>748152800</v>
      </c>
      <c r="Z67" s="35"/>
      <c r="AA67" s="35"/>
      <c r="AB67" s="35"/>
      <c r="AC67" s="35"/>
      <c r="AD67" s="35"/>
      <c r="AE67" s="35"/>
      <c r="AF67" s="36"/>
      <c r="AG67" s="35"/>
      <c r="AH67" s="35"/>
      <c r="AI67" s="35"/>
      <c r="AJ67" s="35"/>
      <c r="AK67" s="35"/>
      <c r="AL67" s="35"/>
      <c r="AM67" s="35"/>
      <c r="AN67" s="85"/>
      <c r="AO67" s="27"/>
      <c r="AP67" s="36"/>
      <c r="AQ67" s="85"/>
      <c r="AR67" s="35"/>
      <c r="AS67" s="35">
        <v>209311000</v>
      </c>
      <c r="AT67" s="35">
        <v>198845400</v>
      </c>
      <c r="AU67" s="35">
        <v>10465600</v>
      </c>
      <c r="AV67" s="35">
        <v>198845400</v>
      </c>
      <c r="AW67" s="35"/>
      <c r="AX67" s="36"/>
      <c r="AY67" s="35">
        <v>209311000</v>
      </c>
      <c r="AZ67" s="35">
        <v>198845400</v>
      </c>
      <c r="BA67" s="35"/>
      <c r="BB67" s="35">
        <v>10465600</v>
      </c>
      <c r="BC67" s="35">
        <v>5.0000200000000001</v>
      </c>
      <c r="BD67" s="35"/>
      <c r="BE67" s="35"/>
      <c r="BF67" s="85">
        <v>198845400</v>
      </c>
      <c r="BG67" s="27"/>
      <c r="BH67" s="36">
        <v>198845400</v>
      </c>
      <c r="BI67" s="85">
        <v>198845400</v>
      </c>
      <c r="BJ67" s="35"/>
      <c r="BK67" s="35"/>
      <c r="BL67" s="35"/>
      <c r="BM67" s="35"/>
      <c r="BN67" s="35"/>
      <c r="BO67" s="35"/>
      <c r="BP67" s="36"/>
      <c r="BQ67" s="35"/>
      <c r="BR67" s="35"/>
      <c r="BS67" s="35"/>
      <c r="BT67" s="35"/>
      <c r="BU67" s="35"/>
      <c r="BV67" s="35"/>
      <c r="BW67" s="35"/>
      <c r="BX67" s="85"/>
      <c r="BY67" s="27"/>
      <c r="BZ67" s="36"/>
      <c r="CA67" s="85"/>
      <c r="CB67" s="35"/>
      <c r="CC67" s="35">
        <v>196366000</v>
      </c>
      <c r="CD67" s="35">
        <v>186547700</v>
      </c>
      <c r="CE67" s="35">
        <v>9818300</v>
      </c>
      <c r="CF67" s="35">
        <v>186547700</v>
      </c>
      <c r="CG67" s="35"/>
      <c r="CH67" s="36"/>
      <c r="CI67" s="35">
        <v>196366000</v>
      </c>
      <c r="CJ67" s="35">
        <v>186547700</v>
      </c>
      <c r="CK67" s="35"/>
      <c r="CL67" s="35">
        <v>9818300</v>
      </c>
      <c r="CM67" s="35">
        <v>5</v>
      </c>
      <c r="CN67" s="35"/>
      <c r="CO67" s="35"/>
      <c r="CP67" s="85">
        <v>186547700</v>
      </c>
      <c r="CQ67" s="27"/>
      <c r="CR67" s="36">
        <v>186547700</v>
      </c>
      <c r="CS67" s="85">
        <v>186547700</v>
      </c>
      <c r="CT67" s="35"/>
      <c r="CU67" s="35">
        <v>508589369</v>
      </c>
      <c r="CV67" s="35">
        <v>483159900</v>
      </c>
      <c r="CW67" s="35">
        <v>25429469</v>
      </c>
      <c r="CX67" s="35">
        <v>483159900</v>
      </c>
      <c r="CY67" s="35"/>
      <c r="CZ67" s="36"/>
      <c r="DA67" s="35">
        <v>508589369</v>
      </c>
      <c r="DB67" s="35">
        <v>483159900</v>
      </c>
      <c r="DC67" s="35"/>
      <c r="DD67" s="35">
        <v>25429469</v>
      </c>
      <c r="DE67" s="35">
        <v>5</v>
      </c>
      <c r="DF67" s="35"/>
      <c r="DG67" s="35"/>
      <c r="DH67" s="85">
        <v>483159900</v>
      </c>
      <c r="DI67" s="27"/>
      <c r="DJ67" s="36">
        <v>483159900</v>
      </c>
      <c r="DK67" s="85">
        <v>483159900</v>
      </c>
      <c r="DL67" s="35"/>
      <c r="DM67" s="35"/>
      <c r="DN67" s="35"/>
      <c r="DO67" s="35"/>
      <c r="DP67" s="35"/>
      <c r="DQ67" s="35"/>
      <c r="DR67" s="36"/>
      <c r="DS67" s="35"/>
      <c r="DT67" s="35"/>
      <c r="DU67" s="35"/>
      <c r="DV67" s="35"/>
      <c r="DW67" s="35"/>
      <c r="DX67" s="35"/>
      <c r="DY67" s="35"/>
      <c r="DZ67" s="85"/>
      <c r="EA67" s="27"/>
      <c r="EB67" s="36"/>
      <c r="EC67" s="85"/>
      <c r="ED67" s="35"/>
      <c r="EE67" s="35"/>
      <c r="EF67" s="35"/>
      <c r="EG67" s="35"/>
      <c r="EH67" s="35"/>
      <c r="EI67" s="35"/>
      <c r="EJ67" s="36"/>
      <c r="EK67" s="35"/>
      <c r="EL67" s="35"/>
      <c r="EM67" s="35"/>
      <c r="EN67" s="35"/>
      <c r="EO67" s="35"/>
      <c r="EP67" s="35"/>
      <c r="EQ67" s="35"/>
      <c r="ER67" s="85"/>
      <c r="ES67" s="27"/>
      <c r="ET67" s="36"/>
      <c r="EU67" s="85"/>
      <c r="EV67" s="35"/>
      <c r="EW67" s="35"/>
      <c r="EX67" s="35"/>
      <c r="EY67" s="35"/>
      <c r="EZ67" s="35"/>
      <c r="FA67" s="35"/>
      <c r="FB67" s="36"/>
      <c r="FC67" s="35"/>
      <c r="FD67" s="35"/>
      <c r="FE67" s="35"/>
      <c r="FF67" s="35"/>
      <c r="FG67" s="35"/>
      <c r="FH67" s="35"/>
      <c r="FI67" s="35"/>
      <c r="FJ67" s="85"/>
      <c r="FK67" s="27"/>
      <c r="FL67" s="36"/>
      <c r="FM67" s="85"/>
      <c r="FN67" s="35"/>
      <c r="FO67" s="35">
        <v>47420500</v>
      </c>
      <c r="FP67" s="35">
        <v>33875500</v>
      </c>
      <c r="FQ67" s="35">
        <v>13545000</v>
      </c>
      <c r="FR67" s="35">
        <v>33875500</v>
      </c>
      <c r="FS67" s="35"/>
      <c r="FT67" s="36"/>
      <c r="FU67" s="35">
        <v>47420500</v>
      </c>
      <c r="FV67" s="35">
        <v>33875500</v>
      </c>
      <c r="FW67" s="35"/>
      <c r="FX67" s="35">
        <v>13545000</v>
      </c>
      <c r="FY67" s="35">
        <v>28.563600000000001</v>
      </c>
      <c r="FZ67" s="35"/>
      <c r="GA67" s="35"/>
      <c r="GB67" s="85">
        <v>33875500</v>
      </c>
      <c r="GC67" s="27"/>
      <c r="GD67" s="36">
        <v>33875500</v>
      </c>
      <c r="GE67" s="85">
        <v>33875500</v>
      </c>
      <c r="GF67" s="35"/>
      <c r="GG67" s="35">
        <v>245907571.43000001</v>
      </c>
      <c r="GH67" s="35">
        <v>172135300</v>
      </c>
      <c r="GI67" s="35">
        <v>73772271.430000007</v>
      </c>
      <c r="GJ67" s="35">
        <v>172135300</v>
      </c>
      <c r="GK67" s="35"/>
      <c r="GL67" s="36"/>
      <c r="GM67" s="35">
        <v>245907571.43000001</v>
      </c>
      <c r="GN67" s="35">
        <v>172135300</v>
      </c>
      <c r="GO67" s="35"/>
      <c r="GP67" s="35">
        <v>73772271.430000007</v>
      </c>
      <c r="GQ67" s="35">
        <v>30</v>
      </c>
      <c r="GR67" s="35"/>
      <c r="GS67" s="35"/>
      <c r="GT67" s="85">
        <v>172135300</v>
      </c>
      <c r="GU67" s="27"/>
      <c r="GV67" s="36">
        <v>172135300</v>
      </c>
      <c r="GW67" s="85">
        <v>172135300</v>
      </c>
      <c r="GX67" s="35"/>
      <c r="GY67" s="35"/>
      <c r="GZ67" s="35"/>
      <c r="HA67" s="35"/>
      <c r="HB67" s="35"/>
      <c r="HC67" s="35"/>
      <c r="HD67" s="36"/>
      <c r="HE67" s="35"/>
      <c r="HF67" s="35"/>
      <c r="HG67" s="35"/>
      <c r="HH67" s="35"/>
      <c r="HI67" s="35"/>
      <c r="HJ67" s="35"/>
      <c r="HK67" s="35"/>
      <c r="HL67" s="85"/>
      <c r="HM67" s="27"/>
      <c r="HN67" s="36"/>
      <c r="HO67" s="85"/>
      <c r="HP67" s="35"/>
      <c r="HQ67" s="35">
        <v>41115700</v>
      </c>
      <c r="HR67" s="35">
        <v>28781000</v>
      </c>
      <c r="HS67" s="35">
        <v>12334700</v>
      </c>
      <c r="HT67" s="35">
        <v>28781000</v>
      </c>
      <c r="HU67" s="35"/>
      <c r="HV67" s="36"/>
      <c r="HW67" s="35">
        <v>41115700</v>
      </c>
      <c r="HX67" s="35">
        <v>28781000</v>
      </c>
      <c r="HY67" s="35"/>
      <c r="HZ67" s="35">
        <v>12334700</v>
      </c>
      <c r="IA67" s="35">
        <v>29.999980000000001</v>
      </c>
      <c r="IB67" s="35"/>
      <c r="IC67" s="35"/>
      <c r="ID67" s="85">
        <v>28781000</v>
      </c>
      <c r="IE67" s="27"/>
      <c r="IF67" s="36">
        <v>28781000</v>
      </c>
      <c r="IG67" s="85">
        <v>28781000</v>
      </c>
      <c r="IH67" s="35"/>
      <c r="II67" s="35"/>
      <c r="IJ67" s="35"/>
      <c r="IK67" s="35"/>
      <c r="IL67" s="35"/>
      <c r="IM67" s="35"/>
      <c r="IN67" s="36"/>
      <c r="IO67" s="35"/>
      <c r="IP67" s="35"/>
      <c r="IQ67" s="35"/>
      <c r="IR67" s="35"/>
      <c r="IS67" s="35"/>
      <c r="IT67" s="35"/>
      <c r="IU67" s="35"/>
      <c r="IV67" s="85"/>
      <c r="IW67" s="27"/>
      <c r="IX67" s="36"/>
      <c r="IY67" s="85"/>
      <c r="IZ67" s="35"/>
      <c r="JA67" s="35"/>
      <c r="JB67" s="35"/>
      <c r="JC67" s="35"/>
      <c r="JD67" s="35"/>
      <c r="JE67" s="35"/>
      <c r="JF67" s="36"/>
      <c r="JG67" s="35"/>
      <c r="JH67" s="35"/>
      <c r="JI67" s="35"/>
      <c r="JJ67" s="35"/>
      <c r="JK67" s="35"/>
      <c r="JL67" s="35"/>
      <c r="JM67" s="35"/>
      <c r="JN67" s="85"/>
      <c r="JO67" s="27"/>
      <c r="JP67" s="36"/>
      <c r="JQ67" s="85"/>
      <c r="JR67" s="35"/>
      <c r="JS67" s="35"/>
      <c r="JT67" s="35"/>
      <c r="JU67" s="35"/>
      <c r="JV67" s="35"/>
      <c r="JW67" s="35"/>
      <c r="JX67" s="36"/>
      <c r="JY67" s="35"/>
      <c r="JZ67" s="35"/>
      <c r="KA67" s="35"/>
      <c r="KB67" s="35"/>
      <c r="KC67" s="35"/>
      <c r="KD67" s="35"/>
      <c r="KE67" s="35"/>
      <c r="KF67" s="85"/>
      <c r="KG67" s="27"/>
      <c r="KH67" s="36"/>
      <c r="KI67" s="85"/>
      <c r="KJ67" s="35"/>
      <c r="KK67" s="35">
        <v>815714.29</v>
      </c>
      <c r="KL67" s="35">
        <v>571000</v>
      </c>
      <c r="KM67" s="35">
        <v>244714.29</v>
      </c>
      <c r="KN67" s="35">
        <v>571000</v>
      </c>
      <c r="KO67" s="35"/>
      <c r="KP67" s="36"/>
      <c r="KQ67" s="35">
        <v>815714.29</v>
      </c>
      <c r="KR67" s="35">
        <v>571000</v>
      </c>
      <c r="KS67" s="35"/>
      <c r="KT67" s="35">
        <v>244714.29</v>
      </c>
      <c r="KU67" s="35">
        <v>30</v>
      </c>
      <c r="KV67" s="35"/>
      <c r="KW67" s="35"/>
      <c r="KX67" s="85">
        <v>571000</v>
      </c>
      <c r="KY67" s="27"/>
      <c r="KZ67" s="36">
        <v>571000</v>
      </c>
      <c r="LA67" s="85">
        <v>571000</v>
      </c>
      <c r="LB67" s="35"/>
      <c r="LC67" s="35"/>
      <c r="LD67" s="35"/>
      <c r="LE67" s="35"/>
      <c r="LF67" s="35"/>
      <c r="LG67" s="35"/>
      <c r="LH67" s="36"/>
      <c r="LI67" s="35"/>
      <c r="LJ67" s="35"/>
      <c r="LK67" s="35"/>
      <c r="LL67" s="35"/>
      <c r="LM67" s="35"/>
      <c r="LN67" s="35"/>
      <c r="LO67" s="35"/>
      <c r="LP67" s="85"/>
      <c r="LQ67" s="27"/>
      <c r="LR67" s="36"/>
      <c r="LS67" s="85"/>
      <c r="LT67" s="35"/>
      <c r="LU67" s="35">
        <v>1529285.71</v>
      </c>
      <c r="LV67" s="35">
        <v>1070500</v>
      </c>
      <c r="LW67" s="35">
        <v>458785.71</v>
      </c>
      <c r="LX67" s="35">
        <v>1070500</v>
      </c>
      <c r="LY67" s="35"/>
      <c r="LZ67" s="36"/>
      <c r="MA67" s="35">
        <v>1529285.71</v>
      </c>
      <c r="MB67" s="35">
        <v>1070500</v>
      </c>
      <c r="MC67" s="35"/>
      <c r="MD67" s="35">
        <v>458785.71</v>
      </c>
      <c r="ME67" s="35">
        <v>30</v>
      </c>
      <c r="MF67" s="35"/>
      <c r="MG67" s="35"/>
      <c r="MH67" s="85">
        <v>1070500</v>
      </c>
      <c r="MI67" s="27"/>
      <c r="MJ67" s="36">
        <v>1070500</v>
      </c>
      <c r="MK67" s="85">
        <v>1070500</v>
      </c>
      <c r="ML67" s="35"/>
      <c r="MM67" s="35"/>
      <c r="MN67" s="35"/>
      <c r="MO67" s="35"/>
      <c r="MP67" s="35"/>
      <c r="MQ67" s="35"/>
      <c r="MR67" s="36"/>
      <c r="MS67" s="35"/>
      <c r="MT67" s="35"/>
      <c r="MU67" s="35"/>
      <c r="MV67" s="35"/>
      <c r="MW67" s="35"/>
      <c r="MX67" s="35"/>
      <c r="MY67" s="35"/>
      <c r="MZ67" s="85"/>
      <c r="NA67" s="27"/>
      <c r="NB67" s="36"/>
      <c r="NC67" s="85"/>
      <c r="ND67" s="35"/>
      <c r="NE67" s="35">
        <v>132676300</v>
      </c>
      <c r="NF67" s="35">
        <v>92873400</v>
      </c>
      <c r="NG67" s="35">
        <v>39802900</v>
      </c>
      <c r="NH67" s="35">
        <v>92873400</v>
      </c>
      <c r="NI67" s="35"/>
      <c r="NJ67" s="36"/>
      <c r="NK67" s="35">
        <v>132676300</v>
      </c>
      <c r="NL67" s="35">
        <v>92873400</v>
      </c>
      <c r="NM67" s="35"/>
      <c r="NN67" s="35">
        <v>39802900</v>
      </c>
      <c r="NO67" s="35">
        <v>30.00001</v>
      </c>
      <c r="NP67" s="35"/>
      <c r="NQ67" s="35"/>
      <c r="NR67" s="85">
        <v>92873400</v>
      </c>
      <c r="NS67" s="27"/>
      <c r="NT67" s="36">
        <v>92873400</v>
      </c>
      <c r="NU67" s="85">
        <v>92873400</v>
      </c>
      <c r="NV67" s="35"/>
      <c r="NW67" s="35"/>
      <c r="NX67" s="35"/>
      <c r="NY67" s="35"/>
      <c r="NZ67" s="35"/>
      <c r="OA67" s="35"/>
      <c r="OB67" s="36"/>
      <c r="OC67" s="35"/>
      <c r="OD67" s="35"/>
      <c r="OE67" s="35"/>
      <c r="OF67" s="35"/>
      <c r="OG67" s="35"/>
      <c r="OH67" s="35"/>
      <c r="OI67" s="35"/>
      <c r="OJ67" s="85"/>
      <c r="OK67" s="27"/>
      <c r="OL67" s="36"/>
      <c r="OM67" s="85"/>
      <c r="ON67" s="35"/>
      <c r="OO67" s="35">
        <v>1676100</v>
      </c>
      <c r="OP67" s="35">
        <v>1173300</v>
      </c>
      <c r="OQ67" s="35">
        <v>502800</v>
      </c>
      <c r="OR67" s="35">
        <v>1173300</v>
      </c>
      <c r="OS67" s="35"/>
      <c r="OT67" s="36"/>
      <c r="OU67" s="35">
        <v>1676100</v>
      </c>
      <c r="OV67" s="35">
        <v>1173300</v>
      </c>
      <c r="OW67" s="35"/>
      <c r="OX67" s="35">
        <v>502800</v>
      </c>
      <c r="OY67" s="35">
        <v>29.99821</v>
      </c>
      <c r="OZ67" s="35"/>
      <c r="PA67" s="35"/>
      <c r="PB67" s="85">
        <v>1173300</v>
      </c>
      <c r="PC67" s="27"/>
      <c r="PD67" s="36">
        <v>1173300</v>
      </c>
      <c r="PE67" s="85">
        <v>1173300</v>
      </c>
      <c r="PF67" s="35"/>
      <c r="PG67" s="35"/>
      <c r="PH67" s="35"/>
      <c r="PI67" s="35"/>
      <c r="PJ67" s="35"/>
      <c r="PK67" s="35"/>
      <c r="PL67" s="36"/>
      <c r="PM67" s="35"/>
      <c r="PN67" s="35"/>
      <c r="PO67" s="35"/>
      <c r="PP67" s="35"/>
      <c r="PQ67" s="35"/>
      <c r="PR67" s="35"/>
      <c r="PS67" s="35"/>
      <c r="PT67" s="85"/>
      <c r="PU67" s="27"/>
      <c r="PV67" s="36"/>
      <c r="PW67" s="85"/>
      <c r="PX67" s="35"/>
      <c r="PY67" s="35"/>
      <c r="PZ67" s="35"/>
      <c r="QA67" s="35"/>
      <c r="QB67" s="35"/>
      <c r="QC67" s="35"/>
      <c r="QD67" s="36"/>
      <c r="QE67" s="35"/>
      <c r="QF67" s="35"/>
      <c r="QG67" s="35"/>
      <c r="QH67" s="35"/>
      <c r="QI67" s="35"/>
      <c r="QJ67" s="35"/>
      <c r="QK67" s="35"/>
      <c r="QL67" s="85"/>
      <c r="QM67" s="27"/>
      <c r="QN67" s="36"/>
      <c r="QO67" s="85"/>
    </row>
    <row r="68" spans="1:457" x14ac:dyDescent="0.25">
      <c r="A68" s="8" t="s">
        <v>138</v>
      </c>
      <c r="B68" s="172">
        <v>54</v>
      </c>
      <c r="C68" s="13" t="s">
        <v>140</v>
      </c>
      <c r="F68" s="36">
        <v>7552861300</v>
      </c>
      <c r="G68" s="85"/>
      <c r="H68" s="35"/>
      <c r="I68" s="35">
        <v>4216935243.54</v>
      </c>
      <c r="J68" s="35">
        <v>4006048800</v>
      </c>
      <c r="K68" s="35">
        <v>210886443.53999999</v>
      </c>
      <c r="L68" s="35">
        <v>4006048800</v>
      </c>
      <c r="M68" s="35"/>
      <c r="N68" s="36"/>
      <c r="O68" s="35">
        <v>4216935243.54</v>
      </c>
      <c r="P68" s="35">
        <v>4006048800</v>
      </c>
      <c r="Q68" s="35"/>
      <c r="R68" s="35">
        <v>210886443.53999999</v>
      </c>
      <c r="S68" s="35">
        <v>5.0009399999999999</v>
      </c>
      <c r="T68" s="35"/>
      <c r="U68" s="35"/>
      <c r="V68" s="85">
        <v>4006048800</v>
      </c>
      <c r="W68" s="27"/>
      <c r="X68" s="36">
        <v>4006048800</v>
      </c>
      <c r="Y68" s="85">
        <v>4006048800</v>
      </c>
      <c r="Z68" s="35"/>
      <c r="AA68" s="35"/>
      <c r="AB68" s="35"/>
      <c r="AC68" s="35"/>
      <c r="AD68" s="35"/>
      <c r="AE68" s="35"/>
      <c r="AF68" s="36"/>
      <c r="AG68" s="35"/>
      <c r="AH68" s="35"/>
      <c r="AI68" s="35"/>
      <c r="AJ68" s="35"/>
      <c r="AK68" s="35"/>
      <c r="AL68" s="35"/>
      <c r="AM68" s="35"/>
      <c r="AN68" s="85"/>
      <c r="AO68" s="27"/>
      <c r="AP68" s="36"/>
      <c r="AQ68" s="85"/>
      <c r="AR68" s="35"/>
      <c r="AS68" s="35">
        <v>612419000</v>
      </c>
      <c r="AT68" s="35">
        <v>332419000</v>
      </c>
      <c r="AU68" s="35">
        <v>280000000</v>
      </c>
      <c r="AV68" s="35">
        <v>332419000</v>
      </c>
      <c r="AW68" s="35"/>
      <c r="AX68" s="36"/>
      <c r="AY68" s="35">
        <v>612419000</v>
      </c>
      <c r="AZ68" s="35">
        <v>332419000</v>
      </c>
      <c r="BA68" s="35"/>
      <c r="BB68" s="35">
        <v>280000000</v>
      </c>
      <c r="BC68" s="35">
        <v>45.720329999999997</v>
      </c>
      <c r="BD68" s="35"/>
      <c r="BE68" s="35"/>
      <c r="BF68" s="85">
        <v>332419000</v>
      </c>
      <c r="BG68" s="27"/>
      <c r="BH68" s="36">
        <v>332419000</v>
      </c>
      <c r="BI68" s="85">
        <v>332419000</v>
      </c>
      <c r="BJ68" s="35"/>
      <c r="BK68" s="35"/>
      <c r="BL68" s="35"/>
      <c r="BM68" s="35"/>
      <c r="BN68" s="35"/>
      <c r="BO68" s="35"/>
      <c r="BP68" s="36"/>
      <c r="BQ68" s="35"/>
      <c r="BR68" s="35"/>
      <c r="BS68" s="35"/>
      <c r="BT68" s="35"/>
      <c r="BU68" s="35"/>
      <c r="BV68" s="35"/>
      <c r="BW68" s="35"/>
      <c r="BX68" s="85"/>
      <c r="BY68" s="27"/>
      <c r="BZ68" s="36"/>
      <c r="CA68" s="85"/>
      <c r="CB68" s="35"/>
      <c r="CC68" s="35">
        <v>554161300</v>
      </c>
      <c r="CD68" s="35">
        <v>498745100</v>
      </c>
      <c r="CE68" s="35">
        <v>55416200</v>
      </c>
      <c r="CF68" s="35">
        <v>498745100</v>
      </c>
      <c r="CG68" s="35"/>
      <c r="CH68" s="36"/>
      <c r="CI68" s="35">
        <v>554161300</v>
      </c>
      <c r="CJ68" s="35">
        <v>498745100</v>
      </c>
      <c r="CK68" s="35"/>
      <c r="CL68" s="35">
        <v>55416200</v>
      </c>
      <c r="CM68" s="35">
        <v>10.00001</v>
      </c>
      <c r="CN68" s="35"/>
      <c r="CO68" s="35"/>
      <c r="CP68" s="85">
        <v>498745100</v>
      </c>
      <c r="CQ68" s="27"/>
      <c r="CR68" s="36">
        <v>498745100</v>
      </c>
      <c r="CS68" s="85">
        <v>498745100</v>
      </c>
      <c r="CT68" s="35"/>
      <c r="CU68" s="35">
        <v>2036915400</v>
      </c>
      <c r="CV68" s="35">
        <v>1791356200</v>
      </c>
      <c r="CW68" s="35">
        <v>245559200</v>
      </c>
      <c r="CX68" s="35">
        <v>1791356200</v>
      </c>
      <c r="CY68" s="35"/>
      <c r="CZ68" s="36"/>
      <c r="DA68" s="35">
        <v>2036915400</v>
      </c>
      <c r="DB68" s="35">
        <v>1791356200</v>
      </c>
      <c r="DC68" s="35"/>
      <c r="DD68" s="35">
        <v>245559200</v>
      </c>
      <c r="DE68" s="35">
        <v>12.055440000000001</v>
      </c>
      <c r="DF68" s="35"/>
      <c r="DG68" s="35"/>
      <c r="DH68" s="85">
        <v>1791356200</v>
      </c>
      <c r="DI68" s="27"/>
      <c r="DJ68" s="36">
        <v>1791356200</v>
      </c>
      <c r="DK68" s="85">
        <v>1791356200</v>
      </c>
      <c r="DL68" s="35"/>
      <c r="DM68" s="35"/>
      <c r="DN68" s="35"/>
      <c r="DO68" s="35"/>
      <c r="DP68" s="35"/>
      <c r="DQ68" s="35"/>
      <c r="DR68" s="36"/>
      <c r="DS68" s="35"/>
      <c r="DT68" s="35"/>
      <c r="DU68" s="35"/>
      <c r="DV68" s="35"/>
      <c r="DW68" s="35"/>
      <c r="DX68" s="35"/>
      <c r="DY68" s="35"/>
      <c r="DZ68" s="85"/>
      <c r="EA68" s="27"/>
      <c r="EB68" s="36"/>
      <c r="EC68" s="85"/>
      <c r="ED68" s="35"/>
      <c r="EE68" s="35">
        <v>604173208.76999998</v>
      </c>
      <c r="EF68" s="35">
        <v>573964500</v>
      </c>
      <c r="EG68" s="35">
        <v>30208708.77</v>
      </c>
      <c r="EH68" s="35">
        <v>559436601.51999998</v>
      </c>
      <c r="EI68" s="35"/>
      <c r="EJ68" s="36"/>
      <c r="EK68" s="35">
        <v>588880682.76999998</v>
      </c>
      <c r="EL68" s="35">
        <v>559436601.51999998</v>
      </c>
      <c r="EM68" s="35"/>
      <c r="EN68" s="35">
        <v>29444081.25</v>
      </c>
      <c r="EO68" s="35">
        <v>5.0000099999999996</v>
      </c>
      <c r="EP68" s="35"/>
      <c r="EQ68" s="35">
        <v>0</v>
      </c>
      <c r="ER68" s="85">
        <v>559436601.51999998</v>
      </c>
      <c r="ES68" s="27"/>
      <c r="ET68" s="36">
        <v>573964500</v>
      </c>
      <c r="EU68" s="85">
        <v>573964500</v>
      </c>
      <c r="EV68" s="35"/>
      <c r="EW68" s="35"/>
      <c r="EX68" s="35"/>
      <c r="EY68" s="35"/>
      <c r="EZ68" s="35"/>
      <c r="FA68" s="35"/>
      <c r="FB68" s="36"/>
      <c r="FC68" s="35"/>
      <c r="FD68" s="35"/>
      <c r="FE68" s="35"/>
      <c r="FF68" s="35"/>
      <c r="FG68" s="35"/>
      <c r="FH68" s="35"/>
      <c r="FI68" s="35"/>
      <c r="FJ68" s="85"/>
      <c r="FK68" s="27"/>
      <c r="FL68" s="36"/>
      <c r="FM68" s="85"/>
      <c r="FN68" s="35"/>
      <c r="FO68" s="35">
        <v>94622900</v>
      </c>
      <c r="FP68" s="35">
        <v>68222900</v>
      </c>
      <c r="FQ68" s="35">
        <v>26400000</v>
      </c>
      <c r="FR68" s="35">
        <v>68222900</v>
      </c>
      <c r="FS68" s="35"/>
      <c r="FT68" s="36"/>
      <c r="FU68" s="35">
        <v>94622900</v>
      </c>
      <c r="FV68" s="35">
        <v>68222900</v>
      </c>
      <c r="FW68" s="35"/>
      <c r="FX68" s="35">
        <v>26400000</v>
      </c>
      <c r="FY68" s="35">
        <v>27.900220000000001</v>
      </c>
      <c r="FZ68" s="35"/>
      <c r="GA68" s="35"/>
      <c r="GB68" s="85">
        <v>68222900</v>
      </c>
      <c r="GC68" s="27"/>
      <c r="GD68" s="36">
        <v>68222900</v>
      </c>
      <c r="GE68" s="85">
        <v>68222900</v>
      </c>
      <c r="GF68" s="35"/>
      <c r="GG68" s="35">
        <v>223195200</v>
      </c>
      <c r="GH68" s="35">
        <v>156214200</v>
      </c>
      <c r="GI68" s="35">
        <v>66981000</v>
      </c>
      <c r="GJ68" s="35">
        <v>156214200</v>
      </c>
      <c r="GK68" s="35"/>
      <c r="GL68" s="36"/>
      <c r="GM68" s="35">
        <v>223195200</v>
      </c>
      <c r="GN68" s="35">
        <v>156214200</v>
      </c>
      <c r="GO68" s="35"/>
      <c r="GP68" s="35">
        <v>66981000</v>
      </c>
      <c r="GQ68" s="35">
        <v>30.01005</v>
      </c>
      <c r="GR68" s="35"/>
      <c r="GS68" s="35"/>
      <c r="GT68" s="85">
        <v>156214200</v>
      </c>
      <c r="GU68" s="27"/>
      <c r="GV68" s="36">
        <v>156214200</v>
      </c>
      <c r="GW68" s="85">
        <v>156214200</v>
      </c>
      <c r="GX68" s="35"/>
      <c r="GY68" s="35"/>
      <c r="GZ68" s="35"/>
      <c r="HA68" s="35"/>
      <c r="HB68" s="35"/>
      <c r="HC68" s="35">
        <v>259319.63</v>
      </c>
      <c r="HD68" s="36"/>
      <c r="HE68" s="35"/>
      <c r="HF68" s="35"/>
      <c r="HG68" s="35"/>
      <c r="HH68" s="35"/>
      <c r="HI68" s="35"/>
      <c r="HJ68" s="35">
        <v>259319.63</v>
      </c>
      <c r="HK68" s="35"/>
      <c r="HL68" s="85"/>
      <c r="HM68" s="27"/>
      <c r="HN68" s="36"/>
      <c r="HO68" s="85"/>
      <c r="HP68" s="35"/>
      <c r="HQ68" s="35">
        <v>25245000</v>
      </c>
      <c r="HR68" s="35">
        <v>17090000</v>
      </c>
      <c r="HS68" s="35">
        <v>8155000</v>
      </c>
      <c r="HT68" s="35">
        <v>17074998.329999998</v>
      </c>
      <c r="HU68" s="35"/>
      <c r="HV68" s="36"/>
      <c r="HW68" s="35">
        <v>25222840</v>
      </c>
      <c r="HX68" s="35">
        <v>17074998.329999998</v>
      </c>
      <c r="HY68" s="35"/>
      <c r="HZ68" s="35">
        <v>8147841.6699999999</v>
      </c>
      <c r="IA68" s="35">
        <v>32.303429999999999</v>
      </c>
      <c r="IB68" s="35"/>
      <c r="IC68" s="35">
        <v>0</v>
      </c>
      <c r="ID68" s="85">
        <v>17074998.329999998</v>
      </c>
      <c r="IE68" s="27"/>
      <c r="IF68" s="36">
        <v>17090000</v>
      </c>
      <c r="IG68" s="85">
        <v>17090000</v>
      </c>
      <c r="IH68" s="35"/>
      <c r="II68" s="35"/>
      <c r="IJ68" s="35"/>
      <c r="IK68" s="35"/>
      <c r="IL68" s="35"/>
      <c r="IM68" s="35"/>
      <c r="IN68" s="36"/>
      <c r="IO68" s="35"/>
      <c r="IP68" s="35"/>
      <c r="IQ68" s="35"/>
      <c r="IR68" s="35"/>
      <c r="IS68" s="35"/>
      <c r="IT68" s="35"/>
      <c r="IU68" s="35"/>
      <c r="IV68" s="85"/>
      <c r="IW68" s="27"/>
      <c r="IX68" s="36"/>
      <c r="IY68" s="85"/>
      <c r="IZ68" s="35"/>
      <c r="JA68" s="35">
        <v>24720000</v>
      </c>
      <c r="JB68" s="35">
        <v>16735000</v>
      </c>
      <c r="JC68" s="35">
        <v>7985000</v>
      </c>
      <c r="JD68" s="35">
        <v>16651324.99</v>
      </c>
      <c r="JE68" s="35"/>
      <c r="JF68" s="36"/>
      <c r="JG68" s="35">
        <v>24596400</v>
      </c>
      <c r="JH68" s="35">
        <v>16651324.99</v>
      </c>
      <c r="JI68" s="35"/>
      <c r="JJ68" s="35">
        <v>7945075.0099999998</v>
      </c>
      <c r="JK68" s="35">
        <v>32.301780000000001</v>
      </c>
      <c r="JL68" s="35"/>
      <c r="JM68" s="35">
        <v>0</v>
      </c>
      <c r="JN68" s="85">
        <v>16651324.99</v>
      </c>
      <c r="JO68" s="27"/>
      <c r="JP68" s="36">
        <v>16735000</v>
      </c>
      <c r="JQ68" s="85">
        <v>16735000</v>
      </c>
      <c r="JR68" s="35"/>
      <c r="JS68" s="35"/>
      <c r="JT68" s="35"/>
      <c r="JU68" s="35"/>
      <c r="JV68" s="35"/>
      <c r="JW68" s="35"/>
      <c r="JX68" s="36"/>
      <c r="JY68" s="35"/>
      <c r="JZ68" s="35"/>
      <c r="KA68" s="35"/>
      <c r="KB68" s="35"/>
      <c r="KC68" s="35"/>
      <c r="KD68" s="35"/>
      <c r="KE68" s="35"/>
      <c r="KF68" s="85"/>
      <c r="KG68" s="27"/>
      <c r="KH68" s="36"/>
      <c r="KI68" s="85"/>
      <c r="KJ68" s="35"/>
      <c r="KK68" s="35">
        <v>1246000</v>
      </c>
      <c r="KL68" s="35">
        <v>858000</v>
      </c>
      <c r="KM68" s="35">
        <v>388000</v>
      </c>
      <c r="KN68" s="35">
        <v>858000</v>
      </c>
      <c r="KO68" s="35"/>
      <c r="KP68" s="36"/>
      <c r="KQ68" s="35">
        <v>1246000</v>
      </c>
      <c r="KR68" s="35">
        <v>858000</v>
      </c>
      <c r="KS68" s="35"/>
      <c r="KT68" s="35">
        <v>388000</v>
      </c>
      <c r="KU68" s="35">
        <v>31.13965</v>
      </c>
      <c r="KV68" s="35"/>
      <c r="KW68" s="35"/>
      <c r="KX68" s="85">
        <v>858000</v>
      </c>
      <c r="KY68" s="27"/>
      <c r="KZ68" s="36">
        <v>858000</v>
      </c>
      <c r="LA68" s="85">
        <v>858000</v>
      </c>
      <c r="LB68" s="35"/>
      <c r="LC68" s="35"/>
      <c r="LD68" s="35"/>
      <c r="LE68" s="35"/>
      <c r="LF68" s="35"/>
      <c r="LG68" s="35"/>
      <c r="LH68" s="36"/>
      <c r="LI68" s="35"/>
      <c r="LJ68" s="35"/>
      <c r="LK68" s="35"/>
      <c r="LL68" s="35"/>
      <c r="LM68" s="35"/>
      <c r="LN68" s="35"/>
      <c r="LO68" s="35"/>
      <c r="LP68" s="85"/>
      <c r="LQ68" s="27"/>
      <c r="LR68" s="36"/>
      <c r="LS68" s="85"/>
      <c r="LT68" s="35"/>
      <c r="LU68" s="35">
        <v>2958000</v>
      </c>
      <c r="LV68" s="35">
        <v>2038000</v>
      </c>
      <c r="LW68" s="35">
        <v>920000</v>
      </c>
      <c r="LX68" s="35">
        <v>1904321.03</v>
      </c>
      <c r="LY68" s="35"/>
      <c r="LZ68" s="36"/>
      <c r="MA68" s="35">
        <v>2763975.27</v>
      </c>
      <c r="MB68" s="35">
        <v>1904321.03</v>
      </c>
      <c r="MC68" s="35"/>
      <c r="MD68" s="35">
        <v>859654.24</v>
      </c>
      <c r="ME68" s="35">
        <v>31.1021</v>
      </c>
      <c r="MF68" s="35"/>
      <c r="MG68" s="35">
        <v>0</v>
      </c>
      <c r="MH68" s="85">
        <v>1904321.03</v>
      </c>
      <c r="MI68" s="27"/>
      <c r="MJ68" s="36">
        <v>2038000</v>
      </c>
      <c r="MK68" s="85">
        <v>2038000</v>
      </c>
      <c r="ML68" s="35"/>
      <c r="MM68" s="35"/>
      <c r="MN68" s="35"/>
      <c r="MO68" s="35"/>
      <c r="MP68" s="35"/>
      <c r="MQ68" s="35"/>
      <c r="MR68" s="36"/>
      <c r="MS68" s="35"/>
      <c r="MT68" s="35"/>
      <c r="MU68" s="35"/>
      <c r="MV68" s="35"/>
      <c r="MW68" s="35"/>
      <c r="MX68" s="35"/>
      <c r="MY68" s="35"/>
      <c r="MZ68" s="85"/>
      <c r="NA68" s="27"/>
      <c r="NB68" s="36"/>
      <c r="NC68" s="85"/>
      <c r="ND68" s="35"/>
      <c r="NE68" s="35">
        <v>128239400</v>
      </c>
      <c r="NF68" s="35">
        <v>88356400</v>
      </c>
      <c r="NG68" s="35">
        <v>39883000</v>
      </c>
      <c r="NH68" s="35">
        <v>88239918.689999998</v>
      </c>
      <c r="NI68" s="35"/>
      <c r="NJ68" s="36"/>
      <c r="NK68" s="35">
        <v>128070340</v>
      </c>
      <c r="NL68" s="35">
        <v>88239436.420000002</v>
      </c>
      <c r="NM68" s="35"/>
      <c r="NN68" s="35">
        <v>39830903.579999998</v>
      </c>
      <c r="NO68" s="35">
        <v>31.1008</v>
      </c>
      <c r="NP68" s="35"/>
      <c r="NQ68" s="35">
        <v>482.27</v>
      </c>
      <c r="NR68" s="85">
        <v>88239436.420000002</v>
      </c>
      <c r="NS68" s="27"/>
      <c r="NT68" s="36">
        <v>88356400</v>
      </c>
      <c r="NU68" s="85">
        <v>88356400</v>
      </c>
      <c r="NV68" s="35"/>
      <c r="NW68" s="35"/>
      <c r="NX68" s="35"/>
      <c r="NY68" s="35"/>
      <c r="NZ68" s="35"/>
      <c r="OA68" s="35"/>
      <c r="OB68" s="36"/>
      <c r="OC68" s="35"/>
      <c r="OD68" s="35"/>
      <c r="OE68" s="35"/>
      <c r="OF68" s="35"/>
      <c r="OG68" s="35"/>
      <c r="OH68" s="35"/>
      <c r="OI68" s="35"/>
      <c r="OJ68" s="85"/>
      <c r="OK68" s="27"/>
      <c r="OL68" s="36"/>
      <c r="OM68" s="85"/>
      <c r="ON68" s="35"/>
      <c r="OO68" s="35">
        <v>1181200</v>
      </c>
      <c r="OP68" s="35">
        <v>813200</v>
      </c>
      <c r="OQ68" s="35">
        <v>368000</v>
      </c>
      <c r="OR68" s="35">
        <v>813200</v>
      </c>
      <c r="OS68" s="35"/>
      <c r="OT68" s="36"/>
      <c r="OU68" s="35">
        <v>1181200</v>
      </c>
      <c r="OV68" s="35">
        <v>813200</v>
      </c>
      <c r="OW68" s="35"/>
      <c r="OX68" s="35">
        <v>368000</v>
      </c>
      <c r="OY68" s="35">
        <v>31.15476</v>
      </c>
      <c r="OZ68" s="35"/>
      <c r="PA68" s="35"/>
      <c r="PB68" s="85">
        <v>813200</v>
      </c>
      <c r="PC68" s="27"/>
      <c r="PD68" s="36">
        <v>813200</v>
      </c>
      <c r="PE68" s="85">
        <v>813200</v>
      </c>
      <c r="PF68" s="35"/>
      <c r="PG68" s="35"/>
      <c r="PH68" s="35"/>
      <c r="PI68" s="35"/>
      <c r="PJ68" s="35"/>
      <c r="PK68" s="35"/>
      <c r="PL68" s="36"/>
      <c r="PM68" s="35"/>
      <c r="PN68" s="35"/>
      <c r="PO68" s="35"/>
      <c r="PP68" s="35"/>
      <c r="PQ68" s="35"/>
      <c r="PR68" s="35"/>
      <c r="PS68" s="35"/>
      <c r="PT68" s="85"/>
      <c r="PU68" s="27"/>
      <c r="PV68" s="36"/>
      <c r="PW68" s="85"/>
      <c r="PX68" s="35"/>
      <c r="PY68" s="35"/>
      <c r="PZ68" s="35"/>
      <c r="QA68" s="35"/>
      <c r="QB68" s="35"/>
      <c r="QC68" s="35">
        <v>788335.77</v>
      </c>
      <c r="QD68" s="36"/>
      <c r="QE68" s="35"/>
      <c r="QF68" s="35"/>
      <c r="QG68" s="35"/>
      <c r="QH68" s="35"/>
      <c r="QI68" s="35"/>
      <c r="QJ68" s="35">
        <v>788335.77</v>
      </c>
      <c r="QK68" s="35"/>
      <c r="QL68" s="85"/>
      <c r="QM68" s="27"/>
      <c r="QN68" s="36"/>
      <c r="QO68" s="85"/>
    </row>
    <row r="69" spans="1:457" x14ac:dyDescent="0.25">
      <c r="A69" s="8" t="s">
        <v>141</v>
      </c>
      <c r="B69" s="174">
        <v>55</v>
      </c>
      <c r="C69" s="13" t="s">
        <v>143</v>
      </c>
      <c r="F69" s="36">
        <v>1167728800</v>
      </c>
      <c r="G69" s="85"/>
      <c r="H69" s="35"/>
      <c r="I69" s="35">
        <v>75955875</v>
      </c>
      <c r="J69" s="35">
        <v>60764700</v>
      </c>
      <c r="K69" s="35">
        <v>15191175</v>
      </c>
      <c r="L69" s="35">
        <v>53874105</v>
      </c>
      <c r="M69" s="35"/>
      <c r="N69" s="36"/>
      <c r="O69" s="35">
        <v>67342631.25</v>
      </c>
      <c r="P69" s="35">
        <v>53874105</v>
      </c>
      <c r="Q69" s="35"/>
      <c r="R69" s="35">
        <v>13468526.25</v>
      </c>
      <c r="S69" s="35">
        <v>20</v>
      </c>
      <c r="T69" s="35"/>
      <c r="U69" s="35"/>
      <c r="V69" s="85">
        <v>53874105</v>
      </c>
      <c r="W69" s="27"/>
      <c r="X69" s="36">
        <v>60764700</v>
      </c>
      <c r="Y69" s="85">
        <v>60764700</v>
      </c>
      <c r="Z69" s="35"/>
      <c r="AA69" s="35"/>
      <c r="AB69" s="35"/>
      <c r="AC69" s="35"/>
      <c r="AD69" s="35"/>
      <c r="AE69" s="35"/>
      <c r="AF69" s="36"/>
      <c r="AG69" s="35"/>
      <c r="AH69" s="35"/>
      <c r="AI69" s="35"/>
      <c r="AJ69" s="35"/>
      <c r="AK69" s="35"/>
      <c r="AL69" s="35"/>
      <c r="AM69" s="35"/>
      <c r="AN69" s="85"/>
      <c r="AO69" s="27"/>
      <c r="AP69" s="36"/>
      <c r="AQ69" s="85"/>
      <c r="AR69" s="35"/>
      <c r="AS69" s="35">
        <v>385106200</v>
      </c>
      <c r="AT69" s="35">
        <v>365850200</v>
      </c>
      <c r="AU69" s="35">
        <v>19256000</v>
      </c>
      <c r="AV69" s="35">
        <v>365850199.87</v>
      </c>
      <c r="AW69" s="35"/>
      <c r="AX69" s="36"/>
      <c r="AY69" s="35">
        <v>385105473.45999998</v>
      </c>
      <c r="AZ69" s="35">
        <v>365849506.58999997</v>
      </c>
      <c r="BA69" s="35"/>
      <c r="BB69" s="35">
        <v>19255966.870000001</v>
      </c>
      <c r="BC69" s="35">
        <v>5.0001800000000003</v>
      </c>
      <c r="BD69" s="35"/>
      <c r="BE69" s="35">
        <v>693.28</v>
      </c>
      <c r="BF69" s="85">
        <v>365849506.58999997</v>
      </c>
      <c r="BG69" s="27"/>
      <c r="BH69" s="36">
        <v>365850200</v>
      </c>
      <c r="BI69" s="85">
        <v>365850200</v>
      </c>
      <c r="BJ69" s="35"/>
      <c r="BK69" s="35"/>
      <c r="BL69" s="35"/>
      <c r="BM69" s="35"/>
      <c r="BN69" s="35"/>
      <c r="BO69" s="35"/>
      <c r="BP69" s="36"/>
      <c r="BQ69" s="35"/>
      <c r="BR69" s="35"/>
      <c r="BS69" s="35"/>
      <c r="BT69" s="35"/>
      <c r="BU69" s="35"/>
      <c r="BV69" s="35"/>
      <c r="BW69" s="35"/>
      <c r="BX69" s="85"/>
      <c r="BY69" s="27"/>
      <c r="BZ69" s="36"/>
      <c r="CA69" s="85"/>
      <c r="CB69" s="35"/>
      <c r="CC69" s="35">
        <v>210212900</v>
      </c>
      <c r="CD69" s="35">
        <v>199701900</v>
      </c>
      <c r="CE69" s="35">
        <v>10511000</v>
      </c>
      <c r="CF69" s="35">
        <v>199689313.41</v>
      </c>
      <c r="CG69" s="35">
        <v>580593</v>
      </c>
      <c r="CH69" s="36"/>
      <c r="CI69" s="35">
        <v>210199651.24000001</v>
      </c>
      <c r="CJ69" s="35">
        <v>199689313.41</v>
      </c>
      <c r="CK69" s="35"/>
      <c r="CL69" s="35">
        <v>10510337.83</v>
      </c>
      <c r="CM69" s="35">
        <v>5.0001699999999998</v>
      </c>
      <c r="CN69" s="35">
        <v>580593</v>
      </c>
      <c r="CO69" s="35"/>
      <c r="CP69" s="85">
        <v>199689313.41</v>
      </c>
      <c r="CQ69" s="27"/>
      <c r="CR69" s="36">
        <v>199701900</v>
      </c>
      <c r="CS69" s="85">
        <v>199701900</v>
      </c>
      <c r="CT69" s="35"/>
      <c r="CU69" s="35">
        <v>462530500</v>
      </c>
      <c r="CV69" s="35">
        <v>439403600</v>
      </c>
      <c r="CW69" s="35">
        <v>23126900</v>
      </c>
      <c r="CX69" s="35">
        <v>435834237.43000001</v>
      </c>
      <c r="CY69" s="35"/>
      <c r="CZ69" s="36"/>
      <c r="DA69" s="35">
        <v>458765100.63999999</v>
      </c>
      <c r="DB69" s="35">
        <v>435826469.44</v>
      </c>
      <c r="DC69" s="35"/>
      <c r="DD69" s="35">
        <v>22938631.199999999</v>
      </c>
      <c r="DE69" s="35">
        <v>5.0000799999999996</v>
      </c>
      <c r="DF69" s="35"/>
      <c r="DG69" s="35">
        <v>7767.99</v>
      </c>
      <c r="DH69" s="85">
        <v>435826469.44</v>
      </c>
      <c r="DI69" s="27"/>
      <c r="DJ69" s="36">
        <v>439403600</v>
      </c>
      <c r="DK69" s="85">
        <v>439403600</v>
      </c>
      <c r="DL69" s="35"/>
      <c r="DM69" s="35"/>
      <c r="DN69" s="35"/>
      <c r="DO69" s="35"/>
      <c r="DP69" s="35"/>
      <c r="DQ69" s="35"/>
      <c r="DR69" s="36"/>
      <c r="DS69" s="35"/>
      <c r="DT69" s="35"/>
      <c r="DU69" s="35"/>
      <c r="DV69" s="35"/>
      <c r="DW69" s="35"/>
      <c r="DX69" s="35"/>
      <c r="DY69" s="35"/>
      <c r="DZ69" s="85"/>
      <c r="EA69" s="27"/>
      <c r="EB69" s="36"/>
      <c r="EC69" s="85"/>
      <c r="ED69" s="35"/>
      <c r="EE69" s="35"/>
      <c r="EF69" s="35"/>
      <c r="EG69" s="35"/>
      <c r="EH69" s="35"/>
      <c r="EI69" s="35"/>
      <c r="EJ69" s="36"/>
      <c r="EK69" s="35"/>
      <c r="EL69" s="35"/>
      <c r="EM69" s="35"/>
      <c r="EN69" s="35"/>
      <c r="EO69" s="35"/>
      <c r="EP69" s="35"/>
      <c r="EQ69" s="35"/>
      <c r="ER69" s="85"/>
      <c r="ES69" s="27"/>
      <c r="ET69" s="36"/>
      <c r="EU69" s="85"/>
      <c r="EV69" s="35"/>
      <c r="EW69" s="35"/>
      <c r="EX69" s="35"/>
      <c r="EY69" s="35"/>
      <c r="EZ69" s="35"/>
      <c r="FA69" s="35"/>
      <c r="FB69" s="36"/>
      <c r="FC69" s="35"/>
      <c r="FD69" s="35"/>
      <c r="FE69" s="35"/>
      <c r="FF69" s="35"/>
      <c r="FG69" s="35"/>
      <c r="FH69" s="35"/>
      <c r="FI69" s="35"/>
      <c r="FJ69" s="85"/>
      <c r="FK69" s="27"/>
      <c r="FL69" s="36"/>
      <c r="FM69" s="85"/>
      <c r="FN69" s="35"/>
      <c r="FO69" s="35"/>
      <c r="FP69" s="35"/>
      <c r="FQ69" s="35"/>
      <c r="FR69" s="35"/>
      <c r="FS69" s="35"/>
      <c r="FT69" s="36"/>
      <c r="FU69" s="35"/>
      <c r="FV69" s="35"/>
      <c r="FW69" s="35"/>
      <c r="FX69" s="35"/>
      <c r="FY69" s="35"/>
      <c r="FZ69" s="35"/>
      <c r="GA69" s="35"/>
      <c r="GB69" s="85"/>
      <c r="GC69" s="27"/>
      <c r="GD69" s="36"/>
      <c r="GE69" s="85"/>
      <c r="GF69" s="35"/>
      <c r="GG69" s="35">
        <v>124745400</v>
      </c>
      <c r="GH69" s="35">
        <v>64745400</v>
      </c>
      <c r="GI69" s="35">
        <v>60000000</v>
      </c>
      <c r="GJ69" s="35">
        <v>64742661.990000002</v>
      </c>
      <c r="GK69" s="35"/>
      <c r="GL69" s="36"/>
      <c r="GM69" s="35">
        <v>124740124.78</v>
      </c>
      <c r="GN69" s="35">
        <v>64742661.979999997</v>
      </c>
      <c r="GO69" s="35"/>
      <c r="GP69" s="35">
        <v>59997462.799999997</v>
      </c>
      <c r="GQ69" s="35">
        <v>48.097969999999997</v>
      </c>
      <c r="GR69" s="35"/>
      <c r="GS69" s="35">
        <v>0.01</v>
      </c>
      <c r="GT69" s="85">
        <v>64742661.979999997</v>
      </c>
      <c r="GU69" s="27"/>
      <c r="GV69" s="36">
        <v>64745400</v>
      </c>
      <c r="GW69" s="85">
        <v>64745400</v>
      </c>
      <c r="GX69" s="35"/>
      <c r="GY69" s="35"/>
      <c r="GZ69" s="35"/>
      <c r="HA69" s="35"/>
      <c r="HB69" s="35"/>
      <c r="HC69" s="35">
        <v>104772.14</v>
      </c>
      <c r="HD69" s="36"/>
      <c r="HE69" s="35"/>
      <c r="HF69" s="35"/>
      <c r="HG69" s="35"/>
      <c r="HH69" s="35"/>
      <c r="HI69" s="35"/>
      <c r="HJ69" s="35">
        <v>104772.14</v>
      </c>
      <c r="HK69" s="35"/>
      <c r="HL69" s="85"/>
      <c r="HM69" s="27"/>
      <c r="HN69" s="36"/>
      <c r="HO69" s="85"/>
      <c r="HP69" s="35"/>
      <c r="HQ69" s="35">
        <v>56633000</v>
      </c>
      <c r="HR69" s="35">
        <v>27633000</v>
      </c>
      <c r="HS69" s="35">
        <v>29000000</v>
      </c>
      <c r="HT69" s="35">
        <v>27633000</v>
      </c>
      <c r="HU69" s="35"/>
      <c r="HV69" s="36"/>
      <c r="HW69" s="35">
        <v>56633000</v>
      </c>
      <c r="HX69" s="35">
        <v>27633000</v>
      </c>
      <c r="HY69" s="35"/>
      <c r="HZ69" s="35">
        <v>29000000</v>
      </c>
      <c r="IA69" s="35">
        <v>51.206890000000001</v>
      </c>
      <c r="IB69" s="35"/>
      <c r="IC69" s="35">
        <v>0</v>
      </c>
      <c r="ID69" s="85">
        <v>27633000</v>
      </c>
      <c r="IE69" s="27"/>
      <c r="IF69" s="36">
        <v>27633000</v>
      </c>
      <c r="IG69" s="85">
        <v>27633000</v>
      </c>
      <c r="IH69" s="35"/>
      <c r="II69" s="35"/>
      <c r="IJ69" s="35"/>
      <c r="IK69" s="35"/>
      <c r="IL69" s="35"/>
      <c r="IM69" s="35"/>
      <c r="IN69" s="36"/>
      <c r="IO69" s="35"/>
      <c r="IP69" s="35"/>
      <c r="IQ69" s="35"/>
      <c r="IR69" s="35"/>
      <c r="IS69" s="35"/>
      <c r="IT69" s="35"/>
      <c r="IU69" s="35"/>
      <c r="IV69" s="85"/>
      <c r="IW69" s="27"/>
      <c r="IX69" s="36"/>
      <c r="IY69" s="85"/>
      <c r="IZ69" s="35"/>
      <c r="JA69" s="35"/>
      <c r="JB69" s="35"/>
      <c r="JC69" s="35"/>
      <c r="JD69" s="35"/>
      <c r="JE69" s="35"/>
      <c r="JF69" s="36"/>
      <c r="JG69" s="35"/>
      <c r="JH69" s="35"/>
      <c r="JI69" s="35"/>
      <c r="JJ69" s="35"/>
      <c r="JK69" s="35"/>
      <c r="JL69" s="35"/>
      <c r="JM69" s="35"/>
      <c r="JN69" s="85"/>
      <c r="JO69" s="27"/>
      <c r="JP69" s="36"/>
      <c r="JQ69" s="85"/>
      <c r="JR69" s="35"/>
      <c r="JS69" s="35"/>
      <c r="JT69" s="35"/>
      <c r="JU69" s="35"/>
      <c r="JV69" s="35"/>
      <c r="JW69" s="35"/>
      <c r="JX69" s="36"/>
      <c r="JY69" s="35"/>
      <c r="JZ69" s="35"/>
      <c r="KA69" s="35"/>
      <c r="KB69" s="35"/>
      <c r="KC69" s="35"/>
      <c r="KD69" s="35"/>
      <c r="KE69" s="35"/>
      <c r="KF69" s="85"/>
      <c r="KG69" s="27"/>
      <c r="KH69" s="36"/>
      <c r="KI69" s="85"/>
      <c r="KJ69" s="35"/>
      <c r="KK69" s="35">
        <v>4782000</v>
      </c>
      <c r="KL69" s="35">
        <v>2782000</v>
      </c>
      <c r="KM69" s="35">
        <v>2000000</v>
      </c>
      <c r="KN69" s="35">
        <v>2522636.11</v>
      </c>
      <c r="KO69" s="35"/>
      <c r="KP69" s="36"/>
      <c r="KQ69" s="35">
        <v>4336177.54</v>
      </c>
      <c r="KR69" s="35">
        <v>2522636.11</v>
      </c>
      <c r="KS69" s="35"/>
      <c r="KT69" s="35">
        <v>1813541.43</v>
      </c>
      <c r="KU69" s="35">
        <v>41.823500000000003</v>
      </c>
      <c r="KV69" s="35"/>
      <c r="KW69" s="35"/>
      <c r="KX69" s="85">
        <v>2522636.11</v>
      </c>
      <c r="KY69" s="27"/>
      <c r="KZ69" s="36">
        <v>2782000</v>
      </c>
      <c r="LA69" s="85">
        <v>2782000</v>
      </c>
      <c r="LB69" s="35"/>
      <c r="LC69" s="35"/>
      <c r="LD69" s="35"/>
      <c r="LE69" s="35"/>
      <c r="LF69" s="35"/>
      <c r="LG69" s="35"/>
      <c r="LH69" s="36"/>
      <c r="LI69" s="35"/>
      <c r="LJ69" s="35"/>
      <c r="LK69" s="35"/>
      <c r="LL69" s="35"/>
      <c r="LM69" s="35"/>
      <c r="LN69" s="35"/>
      <c r="LO69" s="35"/>
      <c r="LP69" s="85"/>
      <c r="LQ69" s="27"/>
      <c r="LR69" s="36"/>
      <c r="LS69" s="85"/>
      <c r="LT69" s="35"/>
      <c r="LU69" s="35">
        <v>7387000</v>
      </c>
      <c r="LV69" s="35">
        <v>3387000</v>
      </c>
      <c r="LW69" s="35">
        <v>4000000</v>
      </c>
      <c r="LX69" s="35">
        <v>3387000</v>
      </c>
      <c r="LY69" s="35"/>
      <c r="LZ69" s="36"/>
      <c r="MA69" s="35">
        <v>7387000</v>
      </c>
      <c r="MB69" s="35">
        <v>3387000</v>
      </c>
      <c r="MC69" s="35"/>
      <c r="MD69" s="35">
        <v>4000000</v>
      </c>
      <c r="ME69" s="35">
        <v>54.149180000000001</v>
      </c>
      <c r="MF69" s="35"/>
      <c r="MG69" s="35"/>
      <c r="MH69" s="85">
        <v>3387000</v>
      </c>
      <c r="MI69" s="27"/>
      <c r="MJ69" s="36">
        <v>3387000</v>
      </c>
      <c r="MK69" s="85">
        <v>3387000</v>
      </c>
      <c r="ML69" s="35"/>
      <c r="MM69" s="35"/>
      <c r="MN69" s="35"/>
      <c r="MO69" s="35"/>
      <c r="MP69" s="35"/>
      <c r="MQ69" s="35"/>
      <c r="MR69" s="36"/>
      <c r="MS69" s="35"/>
      <c r="MT69" s="35"/>
      <c r="MU69" s="35"/>
      <c r="MV69" s="35"/>
      <c r="MW69" s="35"/>
      <c r="MX69" s="35"/>
      <c r="MY69" s="35"/>
      <c r="MZ69" s="85"/>
      <c r="NA69" s="27"/>
      <c r="NB69" s="36"/>
      <c r="NC69" s="85"/>
      <c r="ND69" s="35"/>
      <c r="NE69" s="35"/>
      <c r="NF69" s="35"/>
      <c r="NG69" s="35"/>
      <c r="NH69" s="35"/>
      <c r="NI69" s="35"/>
      <c r="NJ69" s="36"/>
      <c r="NK69" s="35"/>
      <c r="NL69" s="35"/>
      <c r="NM69" s="35"/>
      <c r="NN69" s="35"/>
      <c r="NO69" s="35"/>
      <c r="NP69" s="35"/>
      <c r="NQ69" s="35"/>
      <c r="NR69" s="85"/>
      <c r="NS69" s="27"/>
      <c r="NT69" s="36"/>
      <c r="NU69" s="85"/>
      <c r="NV69" s="35"/>
      <c r="NW69" s="35"/>
      <c r="NX69" s="35"/>
      <c r="NY69" s="35"/>
      <c r="NZ69" s="35"/>
      <c r="OA69" s="35"/>
      <c r="OB69" s="36"/>
      <c r="OC69" s="35"/>
      <c r="OD69" s="35"/>
      <c r="OE69" s="35"/>
      <c r="OF69" s="35"/>
      <c r="OG69" s="35"/>
      <c r="OH69" s="35"/>
      <c r="OI69" s="35"/>
      <c r="OJ69" s="85"/>
      <c r="OK69" s="27"/>
      <c r="OL69" s="36"/>
      <c r="OM69" s="85"/>
      <c r="ON69" s="35"/>
      <c r="OO69" s="35">
        <v>8461000</v>
      </c>
      <c r="OP69" s="35">
        <v>3461000</v>
      </c>
      <c r="OQ69" s="35">
        <v>5000000</v>
      </c>
      <c r="OR69" s="35">
        <v>3461000</v>
      </c>
      <c r="OS69" s="35"/>
      <c r="OT69" s="36"/>
      <c r="OU69" s="35">
        <v>8461000</v>
      </c>
      <c r="OV69" s="35">
        <v>3461000</v>
      </c>
      <c r="OW69" s="35"/>
      <c r="OX69" s="35">
        <v>5000000</v>
      </c>
      <c r="OY69" s="35">
        <v>59.094670000000001</v>
      </c>
      <c r="OZ69" s="35"/>
      <c r="PA69" s="35"/>
      <c r="PB69" s="85">
        <v>3461000</v>
      </c>
      <c r="PC69" s="27"/>
      <c r="PD69" s="36">
        <v>3461000</v>
      </c>
      <c r="PE69" s="85">
        <v>3461000</v>
      </c>
      <c r="PF69" s="35"/>
      <c r="PG69" s="35"/>
      <c r="PH69" s="35"/>
      <c r="PI69" s="35"/>
      <c r="PJ69" s="35"/>
      <c r="PK69" s="35"/>
      <c r="PL69" s="36"/>
      <c r="PM69" s="35"/>
      <c r="PN69" s="35"/>
      <c r="PO69" s="35"/>
      <c r="PP69" s="35"/>
      <c r="PQ69" s="35"/>
      <c r="PR69" s="35"/>
      <c r="PS69" s="35"/>
      <c r="PT69" s="85"/>
      <c r="PU69" s="27"/>
      <c r="PV69" s="36"/>
      <c r="PW69" s="85"/>
      <c r="PX69" s="35"/>
      <c r="PY69" s="35"/>
      <c r="PZ69" s="35"/>
      <c r="QA69" s="35"/>
      <c r="QB69" s="35"/>
      <c r="QC69" s="35">
        <v>2450454.42</v>
      </c>
      <c r="QD69" s="36"/>
      <c r="QE69" s="35"/>
      <c r="QF69" s="35"/>
      <c r="QG69" s="35"/>
      <c r="QH69" s="35"/>
      <c r="QI69" s="35"/>
      <c r="QJ69" s="35">
        <v>2450454.42</v>
      </c>
      <c r="QK69" s="35"/>
      <c r="QL69" s="85"/>
      <c r="QM69" s="27"/>
      <c r="QN69" s="36"/>
      <c r="QO69" s="85"/>
    </row>
    <row r="70" spans="1:457" x14ac:dyDescent="0.25">
      <c r="A70" s="8" t="s">
        <v>144</v>
      </c>
      <c r="B70" s="174">
        <v>56</v>
      </c>
      <c r="C70" s="13" t="s">
        <v>146</v>
      </c>
      <c r="F70" s="36">
        <v>1632351900</v>
      </c>
      <c r="G70" s="85"/>
      <c r="H70" s="35"/>
      <c r="I70" s="35">
        <v>448520526.31999999</v>
      </c>
      <c r="J70" s="35">
        <v>426094500</v>
      </c>
      <c r="K70" s="35">
        <v>22426026.32</v>
      </c>
      <c r="L70" s="35">
        <v>426094499.91000003</v>
      </c>
      <c r="M70" s="35"/>
      <c r="N70" s="36"/>
      <c r="O70" s="35">
        <v>448520526.23000002</v>
      </c>
      <c r="P70" s="35">
        <v>426094499.91000003</v>
      </c>
      <c r="Q70" s="35"/>
      <c r="R70" s="35">
        <v>22426026.32</v>
      </c>
      <c r="S70" s="35">
        <v>5</v>
      </c>
      <c r="T70" s="35"/>
      <c r="U70" s="35"/>
      <c r="V70" s="85">
        <v>426094499.91000003</v>
      </c>
      <c r="W70" s="27"/>
      <c r="X70" s="36">
        <v>426094500</v>
      </c>
      <c r="Y70" s="85">
        <v>426094500</v>
      </c>
      <c r="Z70" s="35"/>
      <c r="AA70" s="35">
        <v>64315789.479999997</v>
      </c>
      <c r="AB70" s="35">
        <v>61100000</v>
      </c>
      <c r="AC70" s="35">
        <v>3215789.48</v>
      </c>
      <c r="AD70" s="35">
        <v>61100000</v>
      </c>
      <c r="AE70" s="35"/>
      <c r="AF70" s="36"/>
      <c r="AG70" s="35">
        <v>64315789.479999997</v>
      </c>
      <c r="AH70" s="35">
        <v>61100000</v>
      </c>
      <c r="AI70" s="35"/>
      <c r="AJ70" s="35">
        <v>3215789.48</v>
      </c>
      <c r="AK70" s="35">
        <v>5</v>
      </c>
      <c r="AL70" s="35"/>
      <c r="AM70" s="35"/>
      <c r="AN70" s="85">
        <v>61100000</v>
      </c>
      <c r="AO70" s="27"/>
      <c r="AP70" s="36">
        <v>61100000</v>
      </c>
      <c r="AQ70" s="85">
        <v>61100000</v>
      </c>
      <c r="AR70" s="35"/>
      <c r="AS70" s="35">
        <v>95012700</v>
      </c>
      <c r="AT70" s="35">
        <v>90262000</v>
      </c>
      <c r="AU70" s="35">
        <v>4750700</v>
      </c>
      <c r="AV70" s="35">
        <v>90262000</v>
      </c>
      <c r="AW70" s="35"/>
      <c r="AX70" s="36"/>
      <c r="AY70" s="35">
        <v>95012631.530000001</v>
      </c>
      <c r="AZ70" s="35">
        <v>90262000</v>
      </c>
      <c r="BA70" s="35"/>
      <c r="BB70" s="35">
        <v>4750631.53</v>
      </c>
      <c r="BC70" s="35">
        <v>5</v>
      </c>
      <c r="BD70" s="35"/>
      <c r="BE70" s="35"/>
      <c r="BF70" s="85">
        <v>90262000</v>
      </c>
      <c r="BG70" s="27"/>
      <c r="BH70" s="36">
        <v>90262000</v>
      </c>
      <c r="BI70" s="85">
        <v>90262000</v>
      </c>
      <c r="BJ70" s="35"/>
      <c r="BK70" s="35"/>
      <c r="BL70" s="35"/>
      <c r="BM70" s="35"/>
      <c r="BN70" s="35"/>
      <c r="BO70" s="35"/>
      <c r="BP70" s="36"/>
      <c r="BQ70" s="35"/>
      <c r="BR70" s="35"/>
      <c r="BS70" s="35"/>
      <c r="BT70" s="35"/>
      <c r="BU70" s="35"/>
      <c r="BV70" s="35"/>
      <c r="BW70" s="35"/>
      <c r="BX70" s="85"/>
      <c r="BY70" s="27"/>
      <c r="BZ70" s="36"/>
      <c r="CA70" s="85"/>
      <c r="CB70" s="35"/>
      <c r="CC70" s="35">
        <v>123512000</v>
      </c>
      <c r="CD70" s="35">
        <v>117336400</v>
      </c>
      <c r="CE70" s="35">
        <v>6175600</v>
      </c>
      <c r="CF70" s="35">
        <v>117336400</v>
      </c>
      <c r="CG70" s="35">
        <v>146420</v>
      </c>
      <c r="CH70" s="36"/>
      <c r="CI70" s="35">
        <v>123511999.97</v>
      </c>
      <c r="CJ70" s="35">
        <v>117336400</v>
      </c>
      <c r="CK70" s="35"/>
      <c r="CL70" s="35">
        <v>6175599.9699999997</v>
      </c>
      <c r="CM70" s="35">
        <v>5</v>
      </c>
      <c r="CN70" s="35">
        <v>146420</v>
      </c>
      <c r="CO70" s="35"/>
      <c r="CP70" s="85">
        <v>117336400</v>
      </c>
      <c r="CQ70" s="27"/>
      <c r="CR70" s="36">
        <v>117336400</v>
      </c>
      <c r="CS70" s="85">
        <v>117336400</v>
      </c>
      <c r="CT70" s="35"/>
      <c r="CU70" s="35">
        <v>830932947.37</v>
      </c>
      <c r="CV70" s="35">
        <v>789386300</v>
      </c>
      <c r="CW70" s="35">
        <v>41546647.369999997</v>
      </c>
      <c r="CX70" s="35">
        <v>789385497.84000003</v>
      </c>
      <c r="CY70" s="35"/>
      <c r="CZ70" s="36"/>
      <c r="DA70" s="35">
        <v>830932102.90999997</v>
      </c>
      <c r="DB70" s="35">
        <v>789385497.84000003</v>
      </c>
      <c r="DC70" s="35"/>
      <c r="DD70" s="35">
        <v>41546605.07</v>
      </c>
      <c r="DE70" s="35">
        <v>5</v>
      </c>
      <c r="DF70" s="35"/>
      <c r="DG70" s="35"/>
      <c r="DH70" s="85">
        <v>789385497.84000003</v>
      </c>
      <c r="DI70" s="27"/>
      <c r="DJ70" s="36">
        <v>789386300</v>
      </c>
      <c r="DK70" s="85">
        <v>789386300</v>
      </c>
      <c r="DL70" s="35"/>
      <c r="DM70" s="35"/>
      <c r="DN70" s="35"/>
      <c r="DO70" s="35"/>
      <c r="DP70" s="35"/>
      <c r="DQ70" s="35"/>
      <c r="DR70" s="36"/>
      <c r="DS70" s="35"/>
      <c r="DT70" s="35"/>
      <c r="DU70" s="35"/>
      <c r="DV70" s="35"/>
      <c r="DW70" s="35"/>
      <c r="DX70" s="35"/>
      <c r="DY70" s="35"/>
      <c r="DZ70" s="85"/>
      <c r="EA70" s="27"/>
      <c r="EB70" s="36"/>
      <c r="EC70" s="85"/>
      <c r="ED70" s="35"/>
      <c r="EE70" s="35">
        <v>83017473.689999998</v>
      </c>
      <c r="EF70" s="35">
        <v>78866600</v>
      </c>
      <c r="EG70" s="35">
        <v>4150873.69</v>
      </c>
      <c r="EH70" s="35">
        <v>75168016.260000005</v>
      </c>
      <c r="EI70" s="35"/>
      <c r="EJ70" s="36"/>
      <c r="EK70" s="35">
        <v>79124227.640000001</v>
      </c>
      <c r="EL70" s="35">
        <v>75168016.260000005</v>
      </c>
      <c r="EM70" s="35"/>
      <c r="EN70" s="35">
        <v>3956211.38</v>
      </c>
      <c r="EO70" s="35">
        <v>5</v>
      </c>
      <c r="EP70" s="35"/>
      <c r="EQ70" s="35"/>
      <c r="ER70" s="85">
        <v>75168016.260000005</v>
      </c>
      <c r="ES70" s="27"/>
      <c r="ET70" s="36">
        <v>78866600</v>
      </c>
      <c r="EU70" s="85">
        <v>78866600</v>
      </c>
      <c r="EV70" s="35"/>
      <c r="EW70" s="35"/>
      <c r="EX70" s="35"/>
      <c r="EY70" s="35"/>
      <c r="EZ70" s="35"/>
      <c r="FA70" s="35"/>
      <c r="FB70" s="36"/>
      <c r="FC70" s="35"/>
      <c r="FD70" s="35"/>
      <c r="FE70" s="35"/>
      <c r="FF70" s="35"/>
      <c r="FG70" s="35"/>
      <c r="FH70" s="35"/>
      <c r="FI70" s="35"/>
      <c r="FJ70" s="85"/>
      <c r="FK70" s="27"/>
      <c r="FL70" s="36"/>
      <c r="FM70" s="85"/>
      <c r="FN70" s="35"/>
      <c r="FO70" s="35"/>
      <c r="FP70" s="35"/>
      <c r="FQ70" s="35"/>
      <c r="FR70" s="35"/>
      <c r="FS70" s="35">
        <v>845768.33</v>
      </c>
      <c r="FT70" s="36"/>
      <c r="FU70" s="35"/>
      <c r="FV70" s="35"/>
      <c r="FW70" s="35"/>
      <c r="FX70" s="35"/>
      <c r="FY70" s="35"/>
      <c r="FZ70" s="35">
        <v>845768.33</v>
      </c>
      <c r="GA70" s="35"/>
      <c r="GB70" s="85"/>
      <c r="GC70" s="27"/>
      <c r="GD70" s="36"/>
      <c r="GE70" s="85"/>
      <c r="GF70" s="35"/>
      <c r="GG70" s="35">
        <v>96995418.859999999</v>
      </c>
      <c r="GH70" s="35">
        <v>59283600</v>
      </c>
      <c r="GI70" s="35">
        <v>37711818.859999999</v>
      </c>
      <c r="GJ70" s="35">
        <v>59283600</v>
      </c>
      <c r="GK70" s="35">
        <v>237806</v>
      </c>
      <c r="GL70" s="36"/>
      <c r="GM70" s="35">
        <v>96995418.859999999</v>
      </c>
      <c r="GN70" s="35">
        <v>59283600</v>
      </c>
      <c r="GO70" s="35"/>
      <c r="GP70" s="35">
        <v>37711818.859999999</v>
      </c>
      <c r="GQ70" s="35">
        <v>38.880000000000003</v>
      </c>
      <c r="GR70" s="35">
        <v>237806</v>
      </c>
      <c r="GS70" s="35"/>
      <c r="GT70" s="85">
        <v>59283600</v>
      </c>
      <c r="GU70" s="27"/>
      <c r="GV70" s="36">
        <v>59283600</v>
      </c>
      <c r="GW70" s="85">
        <v>59283600</v>
      </c>
      <c r="GX70" s="35"/>
      <c r="GY70" s="35"/>
      <c r="GZ70" s="35"/>
      <c r="HA70" s="35"/>
      <c r="HB70" s="35"/>
      <c r="HC70" s="35"/>
      <c r="HD70" s="36"/>
      <c r="HE70" s="35"/>
      <c r="HF70" s="35"/>
      <c r="HG70" s="35"/>
      <c r="HH70" s="35"/>
      <c r="HI70" s="35"/>
      <c r="HJ70" s="35"/>
      <c r="HK70" s="35"/>
      <c r="HL70" s="85"/>
      <c r="HM70" s="27"/>
      <c r="HN70" s="36"/>
      <c r="HO70" s="85"/>
      <c r="HP70" s="35"/>
      <c r="HQ70" s="35"/>
      <c r="HR70" s="35"/>
      <c r="HS70" s="35"/>
      <c r="HT70" s="35"/>
      <c r="HU70" s="35"/>
      <c r="HV70" s="36"/>
      <c r="HW70" s="35"/>
      <c r="HX70" s="35"/>
      <c r="HY70" s="35"/>
      <c r="HZ70" s="35"/>
      <c r="IA70" s="35"/>
      <c r="IB70" s="35"/>
      <c r="IC70" s="35"/>
      <c r="ID70" s="85"/>
      <c r="IE70" s="27"/>
      <c r="IF70" s="36"/>
      <c r="IG70" s="85"/>
      <c r="IH70" s="35"/>
      <c r="II70" s="35"/>
      <c r="IJ70" s="35"/>
      <c r="IK70" s="35"/>
      <c r="IL70" s="35"/>
      <c r="IM70" s="35"/>
      <c r="IN70" s="36"/>
      <c r="IO70" s="35"/>
      <c r="IP70" s="35"/>
      <c r="IQ70" s="35"/>
      <c r="IR70" s="35"/>
      <c r="IS70" s="35"/>
      <c r="IT70" s="35"/>
      <c r="IU70" s="35"/>
      <c r="IV70" s="85"/>
      <c r="IW70" s="27"/>
      <c r="IX70" s="36"/>
      <c r="IY70" s="85"/>
      <c r="IZ70" s="35"/>
      <c r="JA70" s="35"/>
      <c r="JB70" s="35"/>
      <c r="JC70" s="35"/>
      <c r="JD70" s="35"/>
      <c r="JE70" s="35"/>
      <c r="JF70" s="36"/>
      <c r="JG70" s="35"/>
      <c r="JH70" s="35"/>
      <c r="JI70" s="35"/>
      <c r="JJ70" s="35"/>
      <c r="JK70" s="35"/>
      <c r="JL70" s="35"/>
      <c r="JM70" s="35"/>
      <c r="JN70" s="85"/>
      <c r="JO70" s="27"/>
      <c r="JP70" s="36"/>
      <c r="JQ70" s="85"/>
      <c r="JR70" s="35"/>
      <c r="JS70" s="35"/>
      <c r="JT70" s="35"/>
      <c r="JU70" s="35"/>
      <c r="JV70" s="35"/>
      <c r="JW70" s="35"/>
      <c r="JX70" s="36"/>
      <c r="JY70" s="35"/>
      <c r="JZ70" s="35"/>
      <c r="KA70" s="35"/>
      <c r="KB70" s="35"/>
      <c r="KC70" s="35"/>
      <c r="KD70" s="35"/>
      <c r="KE70" s="35"/>
      <c r="KF70" s="85"/>
      <c r="KG70" s="27"/>
      <c r="KH70" s="36"/>
      <c r="KI70" s="85"/>
      <c r="KJ70" s="35"/>
      <c r="KK70" s="35">
        <v>77150479.519999996</v>
      </c>
      <c r="KL70" s="35">
        <v>2532000</v>
      </c>
      <c r="KM70" s="35">
        <v>74618479.519999996</v>
      </c>
      <c r="KN70" s="35">
        <v>2532000</v>
      </c>
      <c r="KO70" s="35"/>
      <c r="KP70" s="36"/>
      <c r="KQ70" s="35">
        <v>77150479.519999996</v>
      </c>
      <c r="KR70" s="35">
        <v>2532000</v>
      </c>
      <c r="KS70" s="35"/>
      <c r="KT70" s="35">
        <v>74618479.519999996</v>
      </c>
      <c r="KU70" s="35">
        <v>96.718100000000007</v>
      </c>
      <c r="KV70" s="35"/>
      <c r="KW70" s="35"/>
      <c r="KX70" s="85">
        <v>2532000</v>
      </c>
      <c r="KY70" s="27"/>
      <c r="KZ70" s="36">
        <v>2532000</v>
      </c>
      <c r="LA70" s="85">
        <v>2532000</v>
      </c>
      <c r="LB70" s="35"/>
      <c r="LC70" s="35"/>
      <c r="LD70" s="35"/>
      <c r="LE70" s="35"/>
      <c r="LF70" s="35"/>
      <c r="LG70" s="35"/>
      <c r="LH70" s="36"/>
      <c r="LI70" s="35"/>
      <c r="LJ70" s="35"/>
      <c r="LK70" s="35"/>
      <c r="LL70" s="35"/>
      <c r="LM70" s="35"/>
      <c r="LN70" s="35"/>
      <c r="LO70" s="35"/>
      <c r="LP70" s="85"/>
      <c r="LQ70" s="27"/>
      <c r="LR70" s="36"/>
      <c r="LS70" s="85"/>
      <c r="LT70" s="35"/>
      <c r="LU70" s="35"/>
      <c r="LV70" s="35"/>
      <c r="LW70" s="35"/>
      <c r="LX70" s="35"/>
      <c r="LY70" s="35"/>
      <c r="LZ70" s="36"/>
      <c r="MA70" s="35"/>
      <c r="MB70" s="35"/>
      <c r="MC70" s="35"/>
      <c r="MD70" s="35"/>
      <c r="ME70" s="35"/>
      <c r="MF70" s="35"/>
      <c r="MG70" s="35"/>
      <c r="MH70" s="85"/>
      <c r="MI70" s="27"/>
      <c r="MJ70" s="36"/>
      <c r="MK70" s="85"/>
      <c r="ML70" s="35"/>
      <c r="MM70" s="35"/>
      <c r="MN70" s="35"/>
      <c r="MO70" s="35"/>
      <c r="MP70" s="35"/>
      <c r="MQ70" s="35"/>
      <c r="MR70" s="36"/>
      <c r="MS70" s="35"/>
      <c r="MT70" s="35"/>
      <c r="MU70" s="35"/>
      <c r="MV70" s="35"/>
      <c r="MW70" s="35"/>
      <c r="MX70" s="35"/>
      <c r="MY70" s="35"/>
      <c r="MZ70" s="85"/>
      <c r="NA70" s="27"/>
      <c r="NB70" s="36"/>
      <c r="NC70" s="85"/>
      <c r="ND70" s="35"/>
      <c r="NE70" s="35">
        <v>11362637.16</v>
      </c>
      <c r="NF70" s="35">
        <v>6707400</v>
      </c>
      <c r="NG70" s="35">
        <v>4655237.16</v>
      </c>
      <c r="NH70" s="35">
        <v>6707400</v>
      </c>
      <c r="NI70" s="35"/>
      <c r="NJ70" s="36"/>
      <c r="NK70" s="35">
        <v>11362637.16</v>
      </c>
      <c r="NL70" s="35">
        <v>6707400</v>
      </c>
      <c r="NM70" s="35"/>
      <c r="NN70" s="35">
        <v>4655237.16</v>
      </c>
      <c r="NO70" s="35">
        <v>40.96969</v>
      </c>
      <c r="NP70" s="35"/>
      <c r="NQ70" s="35"/>
      <c r="NR70" s="85">
        <v>6707400</v>
      </c>
      <c r="NS70" s="27"/>
      <c r="NT70" s="36">
        <v>6707400</v>
      </c>
      <c r="NU70" s="85">
        <v>6707400</v>
      </c>
      <c r="NV70" s="35"/>
      <c r="NW70" s="35"/>
      <c r="NX70" s="35"/>
      <c r="NY70" s="35"/>
      <c r="NZ70" s="35"/>
      <c r="OA70" s="35"/>
      <c r="OB70" s="36"/>
      <c r="OC70" s="35"/>
      <c r="OD70" s="35"/>
      <c r="OE70" s="35"/>
      <c r="OF70" s="35"/>
      <c r="OG70" s="35"/>
      <c r="OH70" s="35"/>
      <c r="OI70" s="35"/>
      <c r="OJ70" s="85"/>
      <c r="OK70" s="27"/>
      <c r="OL70" s="36"/>
      <c r="OM70" s="85"/>
      <c r="ON70" s="35"/>
      <c r="OO70" s="35">
        <v>1783014.58</v>
      </c>
      <c r="OP70" s="35">
        <v>783100</v>
      </c>
      <c r="OQ70" s="35">
        <v>999914.58</v>
      </c>
      <c r="OR70" s="35">
        <v>783100</v>
      </c>
      <c r="OS70" s="35"/>
      <c r="OT70" s="36"/>
      <c r="OU70" s="35">
        <v>1783014.58</v>
      </c>
      <c r="OV70" s="35">
        <v>783100</v>
      </c>
      <c r="OW70" s="35"/>
      <c r="OX70" s="35">
        <v>999914.58</v>
      </c>
      <c r="OY70" s="35">
        <v>56.08</v>
      </c>
      <c r="OZ70" s="35"/>
      <c r="PA70" s="35"/>
      <c r="PB70" s="85">
        <v>783100</v>
      </c>
      <c r="PC70" s="27"/>
      <c r="PD70" s="36">
        <v>783100</v>
      </c>
      <c r="PE70" s="85">
        <v>783100</v>
      </c>
      <c r="PF70" s="35"/>
      <c r="PG70" s="35"/>
      <c r="PH70" s="35"/>
      <c r="PI70" s="35"/>
      <c r="PJ70" s="35"/>
      <c r="PK70" s="35"/>
      <c r="PL70" s="36"/>
      <c r="PM70" s="35"/>
      <c r="PN70" s="35"/>
      <c r="PO70" s="35"/>
      <c r="PP70" s="35"/>
      <c r="PQ70" s="35"/>
      <c r="PR70" s="35"/>
      <c r="PS70" s="35"/>
      <c r="PT70" s="85"/>
      <c r="PU70" s="27"/>
      <c r="PV70" s="36"/>
      <c r="PW70" s="85"/>
      <c r="PX70" s="35"/>
      <c r="PY70" s="35"/>
      <c r="PZ70" s="35"/>
      <c r="QA70" s="35"/>
      <c r="QB70" s="35"/>
      <c r="QC70" s="35">
        <v>10514064.789999999</v>
      </c>
      <c r="QD70" s="36"/>
      <c r="QE70" s="35"/>
      <c r="QF70" s="35"/>
      <c r="QG70" s="35"/>
      <c r="QH70" s="35"/>
      <c r="QI70" s="35"/>
      <c r="QJ70" s="35">
        <v>10514064.789999999</v>
      </c>
      <c r="QK70" s="35"/>
      <c r="QL70" s="85"/>
      <c r="QM70" s="27"/>
      <c r="QN70" s="36"/>
      <c r="QO70" s="85"/>
    </row>
    <row r="71" spans="1:457" x14ac:dyDescent="0.25">
      <c r="A71" s="8" t="s">
        <v>147</v>
      </c>
      <c r="B71" s="172">
        <v>57</v>
      </c>
      <c r="C71" s="13" t="s">
        <v>149</v>
      </c>
      <c r="F71" s="36">
        <v>1216724800</v>
      </c>
      <c r="G71" s="85"/>
      <c r="H71" s="35"/>
      <c r="I71" s="35">
        <v>171192842.09999999</v>
      </c>
      <c r="J71" s="35">
        <v>162633200</v>
      </c>
      <c r="K71" s="35">
        <v>8559642.0999999996</v>
      </c>
      <c r="L71" s="35">
        <v>112251162.65000001</v>
      </c>
      <c r="M71" s="35"/>
      <c r="N71" s="36"/>
      <c r="O71" s="35">
        <v>118159118.41</v>
      </c>
      <c r="P71" s="35">
        <v>112251162.65000001</v>
      </c>
      <c r="Q71" s="35"/>
      <c r="R71" s="35">
        <v>5907955.7599999998</v>
      </c>
      <c r="S71" s="35">
        <v>5</v>
      </c>
      <c r="T71" s="35"/>
      <c r="U71" s="35"/>
      <c r="V71" s="85">
        <v>112251162.65000001</v>
      </c>
      <c r="W71" s="27"/>
      <c r="X71" s="36">
        <v>162633200</v>
      </c>
      <c r="Y71" s="85">
        <v>162633200</v>
      </c>
      <c r="Z71" s="35"/>
      <c r="AA71" s="35"/>
      <c r="AB71" s="35"/>
      <c r="AC71" s="35"/>
      <c r="AD71" s="35"/>
      <c r="AE71" s="35"/>
      <c r="AF71" s="36"/>
      <c r="AG71" s="35"/>
      <c r="AH71" s="35"/>
      <c r="AI71" s="35"/>
      <c r="AJ71" s="35"/>
      <c r="AK71" s="35"/>
      <c r="AL71" s="35"/>
      <c r="AM71" s="35"/>
      <c r="AN71" s="85"/>
      <c r="AO71" s="27"/>
      <c r="AP71" s="36"/>
      <c r="AQ71" s="85"/>
      <c r="AR71" s="35"/>
      <c r="AS71" s="35">
        <v>464633700</v>
      </c>
      <c r="AT71" s="35">
        <v>223333700</v>
      </c>
      <c r="AU71" s="35">
        <v>241300000</v>
      </c>
      <c r="AV71" s="35">
        <v>223333700</v>
      </c>
      <c r="AW71" s="35"/>
      <c r="AX71" s="36"/>
      <c r="AY71" s="35">
        <v>464600998.41000003</v>
      </c>
      <c r="AZ71" s="35">
        <v>223333700</v>
      </c>
      <c r="BA71" s="35"/>
      <c r="BB71" s="35">
        <v>241267298.41</v>
      </c>
      <c r="BC71" s="35">
        <v>51.93</v>
      </c>
      <c r="BD71" s="35"/>
      <c r="BE71" s="35"/>
      <c r="BF71" s="85">
        <v>223333700</v>
      </c>
      <c r="BG71" s="27"/>
      <c r="BH71" s="36">
        <v>223333700</v>
      </c>
      <c r="BI71" s="85">
        <v>223333700</v>
      </c>
      <c r="BJ71" s="35"/>
      <c r="BK71" s="35"/>
      <c r="BL71" s="35"/>
      <c r="BM71" s="35"/>
      <c r="BN71" s="35"/>
      <c r="BO71" s="35"/>
      <c r="BP71" s="36"/>
      <c r="BQ71" s="35"/>
      <c r="BR71" s="35"/>
      <c r="BS71" s="35"/>
      <c r="BT71" s="35"/>
      <c r="BU71" s="35"/>
      <c r="BV71" s="35"/>
      <c r="BW71" s="35"/>
      <c r="BX71" s="85"/>
      <c r="BY71" s="27"/>
      <c r="BZ71" s="36"/>
      <c r="CA71" s="85"/>
      <c r="CB71" s="35"/>
      <c r="CC71" s="35">
        <v>496050500</v>
      </c>
      <c r="CD71" s="35">
        <v>144750500</v>
      </c>
      <c r="CE71" s="35">
        <v>351300000</v>
      </c>
      <c r="CF71" s="35">
        <v>144746314.63999999</v>
      </c>
      <c r="CG71" s="35"/>
      <c r="CH71" s="36"/>
      <c r="CI71" s="35">
        <v>496046314.63</v>
      </c>
      <c r="CJ71" s="35">
        <v>144746314.63999999</v>
      </c>
      <c r="CK71" s="35"/>
      <c r="CL71" s="35">
        <v>351299999.99000001</v>
      </c>
      <c r="CM71" s="35">
        <v>70.819999999999993</v>
      </c>
      <c r="CN71" s="35"/>
      <c r="CO71" s="35"/>
      <c r="CP71" s="85">
        <v>144746314.63999999</v>
      </c>
      <c r="CQ71" s="27"/>
      <c r="CR71" s="36">
        <v>144750500</v>
      </c>
      <c r="CS71" s="85">
        <v>144750500</v>
      </c>
      <c r="CT71" s="35"/>
      <c r="CU71" s="35">
        <v>381882837</v>
      </c>
      <c r="CV71" s="35">
        <v>358206100</v>
      </c>
      <c r="CW71" s="35">
        <v>23676737</v>
      </c>
      <c r="CX71" s="35">
        <v>333410596.44999999</v>
      </c>
      <c r="CY71" s="35"/>
      <c r="CZ71" s="36"/>
      <c r="DA71" s="35">
        <v>354756151.62</v>
      </c>
      <c r="DB71" s="35">
        <v>332761270.25</v>
      </c>
      <c r="DC71" s="35"/>
      <c r="DD71" s="35">
        <v>21994881.370000001</v>
      </c>
      <c r="DE71" s="35">
        <v>6.2</v>
      </c>
      <c r="DF71" s="35"/>
      <c r="DG71" s="35">
        <v>649326.19999999995</v>
      </c>
      <c r="DH71" s="85">
        <v>332761270.25</v>
      </c>
      <c r="DI71" s="27"/>
      <c r="DJ71" s="36">
        <v>358206100</v>
      </c>
      <c r="DK71" s="85">
        <v>358206100</v>
      </c>
      <c r="DL71" s="35"/>
      <c r="DM71" s="35"/>
      <c r="DN71" s="35"/>
      <c r="DO71" s="35"/>
      <c r="DP71" s="35"/>
      <c r="DQ71" s="35"/>
      <c r="DR71" s="36"/>
      <c r="DS71" s="35"/>
      <c r="DT71" s="35"/>
      <c r="DU71" s="35"/>
      <c r="DV71" s="35"/>
      <c r="DW71" s="35"/>
      <c r="DX71" s="35"/>
      <c r="DY71" s="35"/>
      <c r="DZ71" s="85"/>
      <c r="EA71" s="27"/>
      <c r="EB71" s="36"/>
      <c r="EC71" s="85"/>
      <c r="ED71" s="35"/>
      <c r="EE71" s="35">
        <v>196487789.47999999</v>
      </c>
      <c r="EF71" s="35">
        <v>186663400</v>
      </c>
      <c r="EG71" s="35">
        <v>9824389.4800000004</v>
      </c>
      <c r="EH71" s="35">
        <v>186663322.41</v>
      </c>
      <c r="EI71" s="35"/>
      <c r="EJ71" s="36"/>
      <c r="EK71" s="35">
        <v>196487709.19</v>
      </c>
      <c r="EL71" s="35">
        <v>186663322.41</v>
      </c>
      <c r="EM71" s="35"/>
      <c r="EN71" s="35">
        <v>9824386.7799999993</v>
      </c>
      <c r="EO71" s="35">
        <v>5</v>
      </c>
      <c r="EP71" s="35"/>
      <c r="EQ71" s="35"/>
      <c r="ER71" s="85">
        <v>186663322.41</v>
      </c>
      <c r="ES71" s="27"/>
      <c r="ET71" s="36">
        <v>186663400</v>
      </c>
      <c r="EU71" s="85">
        <v>186663400</v>
      </c>
      <c r="EV71" s="35"/>
      <c r="EW71" s="35"/>
      <c r="EX71" s="35"/>
      <c r="EY71" s="35"/>
      <c r="EZ71" s="35"/>
      <c r="FA71" s="35"/>
      <c r="FB71" s="36"/>
      <c r="FC71" s="35"/>
      <c r="FD71" s="35"/>
      <c r="FE71" s="35"/>
      <c r="FF71" s="35"/>
      <c r="FG71" s="35"/>
      <c r="FH71" s="35"/>
      <c r="FI71" s="35"/>
      <c r="FJ71" s="85"/>
      <c r="FK71" s="27"/>
      <c r="FL71" s="36"/>
      <c r="FM71" s="85"/>
      <c r="FN71" s="35"/>
      <c r="FO71" s="35">
        <v>8115300</v>
      </c>
      <c r="FP71" s="35">
        <v>2715300</v>
      </c>
      <c r="FQ71" s="35">
        <v>5400000</v>
      </c>
      <c r="FR71" s="35">
        <v>176121.36</v>
      </c>
      <c r="FS71" s="35"/>
      <c r="FT71" s="36"/>
      <c r="FU71" s="35">
        <v>526379.30000000005</v>
      </c>
      <c r="FV71" s="35">
        <v>176121.36</v>
      </c>
      <c r="FW71" s="35"/>
      <c r="FX71" s="35">
        <v>350257.94</v>
      </c>
      <c r="FY71" s="35">
        <v>66.540980000000005</v>
      </c>
      <c r="FZ71" s="35"/>
      <c r="GA71" s="35"/>
      <c r="GB71" s="85">
        <v>176121.36</v>
      </c>
      <c r="GC71" s="27"/>
      <c r="GD71" s="36">
        <v>2715300</v>
      </c>
      <c r="GE71" s="85">
        <v>2715300</v>
      </c>
      <c r="GF71" s="35"/>
      <c r="GG71" s="35">
        <v>117839600</v>
      </c>
      <c r="GH71" s="35">
        <v>82487600</v>
      </c>
      <c r="GI71" s="35">
        <v>35352000</v>
      </c>
      <c r="GJ71" s="35">
        <v>81473323.790000007</v>
      </c>
      <c r="GK71" s="35">
        <v>4411230.91</v>
      </c>
      <c r="GL71" s="36"/>
      <c r="GM71" s="35">
        <v>115912464.81999999</v>
      </c>
      <c r="GN71" s="35">
        <v>81138725.370000005</v>
      </c>
      <c r="GO71" s="35"/>
      <c r="GP71" s="35">
        <v>34773739.450000003</v>
      </c>
      <c r="GQ71" s="35">
        <v>30</v>
      </c>
      <c r="GR71" s="35">
        <v>4410230.91</v>
      </c>
      <c r="GS71" s="35">
        <v>335598.42</v>
      </c>
      <c r="GT71" s="85">
        <v>81138725.370000005</v>
      </c>
      <c r="GU71" s="27"/>
      <c r="GV71" s="36">
        <v>82487600</v>
      </c>
      <c r="GW71" s="85">
        <v>82487600</v>
      </c>
      <c r="GX71" s="35"/>
      <c r="GY71" s="35"/>
      <c r="GZ71" s="35"/>
      <c r="HA71" s="35"/>
      <c r="HB71" s="35"/>
      <c r="HC71" s="35">
        <v>925881.54</v>
      </c>
      <c r="HD71" s="36"/>
      <c r="HE71" s="35"/>
      <c r="HF71" s="35"/>
      <c r="HG71" s="35"/>
      <c r="HH71" s="35"/>
      <c r="HI71" s="35"/>
      <c r="HJ71" s="35">
        <v>771177.35</v>
      </c>
      <c r="HK71" s="35">
        <v>154704.19</v>
      </c>
      <c r="HL71" s="85"/>
      <c r="HM71" s="27"/>
      <c r="HN71" s="36"/>
      <c r="HO71" s="85"/>
      <c r="HP71" s="35"/>
      <c r="HQ71" s="35">
        <v>48240000</v>
      </c>
      <c r="HR71" s="35">
        <v>31291000</v>
      </c>
      <c r="HS71" s="35">
        <v>16949000</v>
      </c>
      <c r="HT71" s="35">
        <v>29450979.059999999</v>
      </c>
      <c r="HU71" s="35">
        <v>0</v>
      </c>
      <c r="HV71" s="36"/>
      <c r="HW71" s="35">
        <v>42300993.579999998</v>
      </c>
      <c r="HX71" s="35">
        <v>27234460.780000001</v>
      </c>
      <c r="HY71" s="35"/>
      <c r="HZ71" s="35">
        <v>15066532.800000001</v>
      </c>
      <c r="IA71" s="35">
        <v>35.617440000000002</v>
      </c>
      <c r="IB71" s="35">
        <v>0</v>
      </c>
      <c r="IC71" s="35">
        <v>2216518.2799999998</v>
      </c>
      <c r="ID71" s="85">
        <v>27234460.780000001</v>
      </c>
      <c r="IE71" s="27"/>
      <c r="IF71" s="36">
        <v>31291000</v>
      </c>
      <c r="IG71" s="85">
        <v>31291000</v>
      </c>
      <c r="IH71" s="35"/>
      <c r="II71" s="35"/>
      <c r="IJ71" s="35"/>
      <c r="IK71" s="35"/>
      <c r="IL71" s="35"/>
      <c r="IM71" s="35"/>
      <c r="IN71" s="36"/>
      <c r="IO71" s="35"/>
      <c r="IP71" s="35"/>
      <c r="IQ71" s="35"/>
      <c r="IR71" s="35"/>
      <c r="IS71" s="35"/>
      <c r="IT71" s="35"/>
      <c r="IU71" s="35"/>
      <c r="IV71" s="85"/>
      <c r="IW71" s="27"/>
      <c r="IX71" s="36"/>
      <c r="IY71" s="85"/>
      <c r="IZ71" s="35"/>
      <c r="JA71" s="35">
        <v>27428000</v>
      </c>
      <c r="JB71" s="35">
        <v>19199000</v>
      </c>
      <c r="JC71" s="35">
        <v>8229000</v>
      </c>
      <c r="JD71" s="35">
        <v>19199000</v>
      </c>
      <c r="JE71" s="35"/>
      <c r="JF71" s="36"/>
      <c r="JG71" s="35">
        <v>27428000</v>
      </c>
      <c r="JH71" s="35">
        <v>19199000</v>
      </c>
      <c r="JI71" s="35"/>
      <c r="JJ71" s="35">
        <v>8229000</v>
      </c>
      <c r="JK71" s="35">
        <v>30.002189999999999</v>
      </c>
      <c r="JL71" s="35"/>
      <c r="JM71" s="35"/>
      <c r="JN71" s="85">
        <v>19199000</v>
      </c>
      <c r="JO71" s="27"/>
      <c r="JP71" s="36">
        <v>19199000</v>
      </c>
      <c r="JQ71" s="85">
        <v>19199000</v>
      </c>
      <c r="JR71" s="35"/>
      <c r="JS71" s="35"/>
      <c r="JT71" s="35"/>
      <c r="JU71" s="35"/>
      <c r="JV71" s="35"/>
      <c r="JW71" s="35"/>
      <c r="JX71" s="36"/>
      <c r="JY71" s="35"/>
      <c r="JZ71" s="35"/>
      <c r="KA71" s="35"/>
      <c r="KB71" s="35"/>
      <c r="KC71" s="35"/>
      <c r="KD71" s="35"/>
      <c r="KE71" s="35"/>
      <c r="KF71" s="85"/>
      <c r="KG71" s="27"/>
      <c r="KH71" s="36"/>
      <c r="KI71" s="85"/>
      <c r="KJ71" s="35"/>
      <c r="KK71" s="35"/>
      <c r="KL71" s="35"/>
      <c r="KM71" s="35"/>
      <c r="KN71" s="35"/>
      <c r="KO71" s="35"/>
      <c r="KP71" s="36"/>
      <c r="KQ71" s="35"/>
      <c r="KR71" s="35"/>
      <c r="KS71" s="35"/>
      <c r="KT71" s="35"/>
      <c r="KU71" s="35"/>
      <c r="KV71" s="35"/>
      <c r="KW71" s="35"/>
      <c r="KX71" s="85"/>
      <c r="KY71" s="27"/>
      <c r="KZ71" s="36"/>
      <c r="LA71" s="85"/>
      <c r="LB71" s="35"/>
      <c r="LC71" s="35"/>
      <c r="LD71" s="35"/>
      <c r="LE71" s="35"/>
      <c r="LF71" s="35"/>
      <c r="LG71" s="35"/>
      <c r="LH71" s="36"/>
      <c r="LI71" s="35"/>
      <c r="LJ71" s="35"/>
      <c r="LK71" s="35"/>
      <c r="LL71" s="35"/>
      <c r="LM71" s="35"/>
      <c r="LN71" s="35"/>
      <c r="LO71" s="35"/>
      <c r="LP71" s="85"/>
      <c r="LQ71" s="27"/>
      <c r="LR71" s="36"/>
      <c r="LS71" s="85"/>
      <c r="LT71" s="35"/>
      <c r="LU71" s="35">
        <v>5736000</v>
      </c>
      <c r="LV71" s="35">
        <v>4015000</v>
      </c>
      <c r="LW71" s="35">
        <v>1721000</v>
      </c>
      <c r="LX71" s="35">
        <v>4015000</v>
      </c>
      <c r="LY71" s="35"/>
      <c r="LZ71" s="36"/>
      <c r="MA71" s="35">
        <v>5735714.29</v>
      </c>
      <c r="MB71" s="35">
        <v>4015000</v>
      </c>
      <c r="MC71" s="35"/>
      <c r="MD71" s="35">
        <v>1720714.29</v>
      </c>
      <c r="ME71" s="35">
        <v>30</v>
      </c>
      <c r="MF71" s="35"/>
      <c r="MG71" s="35"/>
      <c r="MH71" s="85">
        <v>4015000</v>
      </c>
      <c r="MI71" s="27"/>
      <c r="MJ71" s="36">
        <v>4015000</v>
      </c>
      <c r="MK71" s="85">
        <v>4015000</v>
      </c>
      <c r="ML71" s="35"/>
      <c r="MM71" s="35"/>
      <c r="MN71" s="35"/>
      <c r="MO71" s="35"/>
      <c r="MP71" s="35"/>
      <c r="MQ71" s="35"/>
      <c r="MR71" s="36"/>
      <c r="MS71" s="35"/>
      <c r="MT71" s="35"/>
      <c r="MU71" s="35"/>
      <c r="MV71" s="35"/>
      <c r="MW71" s="35"/>
      <c r="MX71" s="35"/>
      <c r="MY71" s="35"/>
      <c r="MZ71" s="85"/>
      <c r="NA71" s="27"/>
      <c r="NB71" s="36"/>
      <c r="NC71" s="85"/>
      <c r="ND71" s="35"/>
      <c r="NE71" s="35"/>
      <c r="NF71" s="35"/>
      <c r="NG71" s="35"/>
      <c r="NH71" s="35"/>
      <c r="NI71" s="35"/>
      <c r="NJ71" s="36"/>
      <c r="NK71" s="35"/>
      <c r="NL71" s="35"/>
      <c r="NM71" s="35"/>
      <c r="NN71" s="35"/>
      <c r="NO71" s="35"/>
      <c r="NP71" s="35"/>
      <c r="NQ71" s="35"/>
      <c r="NR71" s="85"/>
      <c r="NS71" s="27"/>
      <c r="NT71" s="36"/>
      <c r="NU71" s="85"/>
      <c r="NV71" s="35"/>
      <c r="NW71" s="35"/>
      <c r="NX71" s="35"/>
      <c r="NY71" s="35"/>
      <c r="NZ71" s="35"/>
      <c r="OA71" s="35"/>
      <c r="OB71" s="36"/>
      <c r="OC71" s="35"/>
      <c r="OD71" s="35"/>
      <c r="OE71" s="35"/>
      <c r="OF71" s="35"/>
      <c r="OG71" s="35"/>
      <c r="OH71" s="35"/>
      <c r="OI71" s="35"/>
      <c r="OJ71" s="85"/>
      <c r="OK71" s="27"/>
      <c r="OL71" s="36"/>
      <c r="OM71" s="85"/>
      <c r="ON71" s="35"/>
      <c r="OO71" s="35">
        <v>2043000</v>
      </c>
      <c r="OP71" s="35">
        <v>1430000</v>
      </c>
      <c r="OQ71" s="35">
        <v>613000</v>
      </c>
      <c r="OR71" s="35">
        <v>1430000</v>
      </c>
      <c r="OS71" s="35"/>
      <c r="OT71" s="36"/>
      <c r="OU71" s="35">
        <v>2042853.24</v>
      </c>
      <c r="OV71" s="35">
        <v>1429997.27</v>
      </c>
      <c r="OW71" s="35"/>
      <c r="OX71" s="35">
        <v>612855.97</v>
      </c>
      <c r="OY71" s="35">
        <v>30</v>
      </c>
      <c r="OZ71" s="35"/>
      <c r="PA71" s="35">
        <v>2.73</v>
      </c>
      <c r="PB71" s="85">
        <v>1429997.27</v>
      </c>
      <c r="PC71" s="27"/>
      <c r="PD71" s="36">
        <v>1430000</v>
      </c>
      <c r="PE71" s="85">
        <v>1430000</v>
      </c>
      <c r="PF71" s="35"/>
      <c r="PG71" s="35"/>
      <c r="PH71" s="35"/>
      <c r="PI71" s="35"/>
      <c r="PJ71" s="35"/>
      <c r="PK71" s="35"/>
      <c r="PL71" s="36"/>
      <c r="PM71" s="35"/>
      <c r="PN71" s="35"/>
      <c r="PO71" s="35"/>
      <c r="PP71" s="35"/>
      <c r="PQ71" s="35"/>
      <c r="PR71" s="35"/>
      <c r="PS71" s="35"/>
      <c r="PT71" s="85"/>
      <c r="PU71" s="27"/>
      <c r="PV71" s="36"/>
      <c r="PW71" s="85"/>
      <c r="PX71" s="35"/>
      <c r="PY71" s="35"/>
      <c r="PZ71" s="35"/>
      <c r="QA71" s="35"/>
      <c r="QB71" s="35"/>
      <c r="QC71" s="35">
        <v>801917.43</v>
      </c>
      <c r="QD71" s="36"/>
      <c r="QE71" s="35"/>
      <c r="QF71" s="35"/>
      <c r="QG71" s="35"/>
      <c r="QH71" s="35"/>
      <c r="QI71" s="35"/>
      <c r="QJ71" s="35">
        <v>801917.43</v>
      </c>
      <c r="QK71" s="35"/>
      <c r="QL71" s="85"/>
      <c r="QM71" s="27"/>
      <c r="QN71" s="36"/>
      <c r="QO71" s="85"/>
    </row>
    <row r="72" spans="1:457" x14ac:dyDescent="0.25">
      <c r="A72" s="8" t="s">
        <v>150</v>
      </c>
      <c r="B72" s="174">
        <v>58</v>
      </c>
      <c r="C72" s="13" t="s">
        <v>152</v>
      </c>
      <c r="F72" s="36">
        <v>1595187400</v>
      </c>
      <c r="G72" s="85"/>
      <c r="H72" s="35"/>
      <c r="I72" s="35">
        <v>395598947.37</v>
      </c>
      <c r="J72" s="35">
        <v>375819000</v>
      </c>
      <c r="K72" s="35">
        <v>19779947.370000001</v>
      </c>
      <c r="L72" s="35">
        <v>375818999.95999998</v>
      </c>
      <c r="M72" s="35"/>
      <c r="N72" s="36"/>
      <c r="O72" s="35">
        <v>395598945</v>
      </c>
      <c r="P72" s="35">
        <v>375818997.75</v>
      </c>
      <c r="Q72" s="35"/>
      <c r="R72" s="35">
        <v>19779947.25</v>
      </c>
      <c r="S72" s="35">
        <v>5</v>
      </c>
      <c r="T72" s="35"/>
      <c r="U72" s="35">
        <v>2.21</v>
      </c>
      <c r="V72" s="85">
        <v>375818997.75</v>
      </c>
      <c r="W72" s="27"/>
      <c r="X72" s="36">
        <v>375819000</v>
      </c>
      <c r="Y72" s="85">
        <v>375819000</v>
      </c>
      <c r="Z72" s="35"/>
      <c r="AA72" s="35">
        <v>23252947.359999999</v>
      </c>
      <c r="AB72" s="35">
        <v>22090300</v>
      </c>
      <c r="AC72" s="35">
        <v>1162647.3600000001</v>
      </c>
      <c r="AD72" s="35">
        <v>22090300</v>
      </c>
      <c r="AE72" s="35"/>
      <c r="AF72" s="36"/>
      <c r="AG72" s="35">
        <v>23252947.359999999</v>
      </c>
      <c r="AH72" s="35">
        <v>22090300</v>
      </c>
      <c r="AI72" s="35"/>
      <c r="AJ72" s="35">
        <v>1162647.3600000001</v>
      </c>
      <c r="AK72" s="35">
        <v>5</v>
      </c>
      <c r="AL72" s="35"/>
      <c r="AM72" s="35"/>
      <c r="AN72" s="85">
        <v>22090300</v>
      </c>
      <c r="AO72" s="27"/>
      <c r="AP72" s="36">
        <v>22090300</v>
      </c>
      <c r="AQ72" s="85">
        <v>22090300</v>
      </c>
      <c r="AR72" s="35"/>
      <c r="AS72" s="35">
        <v>465808900</v>
      </c>
      <c r="AT72" s="35">
        <v>415808900</v>
      </c>
      <c r="AU72" s="35">
        <v>50000000</v>
      </c>
      <c r="AV72" s="35">
        <v>415808900</v>
      </c>
      <c r="AW72" s="35"/>
      <c r="AX72" s="36"/>
      <c r="AY72" s="35">
        <v>465808900</v>
      </c>
      <c r="AZ72" s="35">
        <v>415808900</v>
      </c>
      <c r="BA72" s="35"/>
      <c r="BB72" s="35">
        <v>50000000</v>
      </c>
      <c r="BC72" s="35">
        <v>10.734019999999999</v>
      </c>
      <c r="BD72" s="35"/>
      <c r="BE72" s="35"/>
      <c r="BF72" s="85">
        <v>415808900</v>
      </c>
      <c r="BG72" s="27"/>
      <c r="BH72" s="36">
        <v>415808900</v>
      </c>
      <c r="BI72" s="85">
        <v>415808900</v>
      </c>
      <c r="BJ72" s="35"/>
      <c r="BK72" s="35"/>
      <c r="BL72" s="35"/>
      <c r="BM72" s="35"/>
      <c r="BN72" s="35"/>
      <c r="BO72" s="35"/>
      <c r="BP72" s="36"/>
      <c r="BQ72" s="35"/>
      <c r="BR72" s="35"/>
      <c r="BS72" s="35"/>
      <c r="BT72" s="35"/>
      <c r="BU72" s="35"/>
      <c r="BV72" s="35"/>
      <c r="BW72" s="35"/>
      <c r="BX72" s="85"/>
      <c r="BY72" s="27"/>
      <c r="BZ72" s="36"/>
      <c r="CA72" s="85"/>
      <c r="CB72" s="35"/>
      <c r="CC72" s="35">
        <v>209620100</v>
      </c>
      <c r="CD72" s="35">
        <v>189620100</v>
      </c>
      <c r="CE72" s="35">
        <v>20000000</v>
      </c>
      <c r="CF72" s="35">
        <v>189620100</v>
      </c>
      <c r="CG72" s="35"/>
      <c r="CH72" s="36"/>
      <c r="CI72" s="35">
        <v>209620100</v>
      </c>
      <c r="CJ72" s="35">
        <v>189620100</v>
      </c>
      <c r="CK72" s="35"/>
      <c r="CL72" s="35">
        <v>20000000</v>
      </c>
      <c r="CM72" s="35">
        <v>9.5410699999999995</v>
      </c>
      <c r="CN72" s="35"/>
      <c r="CO72" s="35"/>
      <c r="CP72" s="85">
        <v>189620100</v>
      </c>
      <c r="CQ72" s="27"/>
      <c r="CR72" s="36">
        <v>189620100</v>
      </c>
      <c r="CS72" s="85">
        <v>189620100</v>
      </c>
      <c r="CT72" s="35"/>
      <c r="CU72" s="35">
        <v>355735810</v>
      </c>
      <c r="CV72" s="35">
        <v>337948800</v>
      </c>
      <c r="CW72" s="35">
        <v>17787010</v>
      </c>
      <c r="CX72" s="35">
        <v>337945707.81999999</v>
      </c>
      <c r="CY72" s="35"/>
      <c r="CZ72" s="36"/>
      <c r="DA72" s="35">
        <v>355732555.07999998</v>
      </c>
      <c r="DB72" s="35">
        <v>337945707.81999999</v>
      </c>
      <c r="DC72" s="35"/>
      <c r="DD72" s="35">
        <v>17786847.260000002</v>
      </c>
      <c r="DE72" s="35">
        <v>5.0000600000000004</v>
      </c>
      <c r="DF72" s="35"/>
      <c r="DG72" s="35"/>
      <c r="DH72" s="85">
        <v>337945707.81999999</v>
      </c>
      <c r="DI72" s="27"/>
      <c r="DJ72" s="36">
        <v>337948800</v>
      </c>
      <c r="DK72" s="85">
        <v>337948800</v>
      </c>
      <c r="DL72" s="35"/>
      <c r="DM72" s="35"/>
      <c r="DN72" s="35"/>
      <c r="DO72" s="35"/>
      <c r="DP72" s="35"/>
      <c r="DQ72" s="35"/>
      <c r="DR72" s="36"/>
      <c r="DS72" s="35"/>
      <c r="DT72" s="35"/>
      <c r="DU72" s="35"/>
      <c r="DV72" s="35"/>
      <c r="DW72" s="35"/>
      <c r="DX72" s="35"/>
      <c r="DY72" s="35"/>
      <c r="DZ72" s="85"/>
      <c r="EA72" s="27"/>
      <c r="EB72" s="36"/>
      <c r="EC72" s="85"/>
      <c r="ED72" s="35"/>
      <c r="EE72" s="35">
        <v>267441327.44</v>
      </c>
      <c r="EF72" s="35">
        <v>253900300</v>
      </c>
      <c r="EG72" s="35">
        <v>13541027.439999999</v>
      </c>
      <c r="EH72" s="35">
        <v>253900300</v>
      </c>
      <c r="EI72" s="35"/>
      <c r="EJ72" s="36"/>
      <c r="EK72" s="35">
        <v>267441327.44</v>
      </c>
      <c r="EL72" s="35">
        <v>253900300</v>
      </c>
      <c r="EM72" s="35"/>
      <c r="EN72" s="35">
        <v>13541027.439999999</v>
      </c>
      <c r="EO72" s="35">
        <v>5.06318</v>
      </c>
      <c r="EP72" s="35"/>
      <c r="EQ72" s="35"/>
      <c r="ER72" s="85">
        <v>253900300</v>
      </c>
      <c r="ES72" s="27"/>
      <c r="ET72" s="36">
        <v>253900300</v>
      </c>
      <c r="EU72" s="85">
        <v>253900300</v>
      </c>
      <c r="EV72" s="35"/>
      <c r="EW72" s="35"/>
      <c r="EX72" s="35"/>
      <c r="EY72" s="35"/>
      <c r="EZ72" s="35"/>
      <c r="FA72" s="35"/>
      <c r="FB72" s="36"/>
      <c r="FC72" s="35"/>
      <c r="FD72" s="35"/>
      <c r="FE72" s="35"/>
      <c r="FF72" s="35"/>
      <c r="FG72" s="35"/>
      <c r="FH72" s="35"/>
      <c r="FI72" s="35"/>
      <c r="FJ72" s="85"/>
      <c r="FK72" s="27"/>
      <c r="FL72" s="36"/>
      <c r="FM72" s="85"/>
      <c r="FN72" s="35"/>
      <c r="FO72" s="35"/>
      <c r="FP72" s="35"/>
      <c r="FQ72" s="35"/>
      <c r="FR72" s="35"/>
      <c r="FS72" s="35"/>
      <c r="FT72" s="36"/>
      <c r="FU72" s="35"/>
      <c r="FV72" s="35"/>
      <c r="FW72" s="35"/>
      <c r="FX72" s="35"/>
      <c r="FY72" s="35"/>
      <c r="FZ72" s="35"/>
      <c r="GA72" s="35"/>
      <c r="GB72" s="85"/>
      <c r="GC72" s="27"/>
      <c r="GD72" s="36"/>
      <c r="GE72" s="85"/>
      <c r="GF72" s="35"/>
      <c r="GG72" s="35"/>
      <c r="GH72" s="35"/>
      <c r="GI72" s="35"/>
      <c r="GJ72" s="35"/>
      <c r="GK72" s="35">
        <v>155038</v>
      </c>
      <c r="GL72" s="36"/>
      <c r="GM72" s="35"/>
      <c r="GN72" s="35"/>
      <c r="GO72" s="35"/>
      <c r="GP72" s="35"/>
      <c r="GQ72" s="35"/>
      <c r="GR72" s="35">
        <v>155038</v>
      </c>
      <c r="GS72" s="35"/>
      <c r="GT72" s="85"/>
      <c r="GU72" s="27"/>
      <c r="GV72" s="36"/>
      <c r="GW72" s="85"/>
      <c r="GX72" s="35"/>
      <c r="GY72" s="35"/>
      <c r="GZ72" s="35"/>
      <c r="HA72" s="35"/>
      <c r="HB72" s="35"/>
      <c r="HC72" s="35">
        <v>1314378.53</v>
      </c>
      <c r="HD72" s="36"/>
      <c r="HE72" s="35"/>
      <c r="HF72" s="35"/>
      <c r="HG72" s="35"/>
      <c r="HH72" s="35"/>
      <c r="HI72" s="35"/>
      <c r="HJ72" s="35">
        <v>1314378.53</v>
      </c>
      <c r="HK72" s="35"/>
      <c r="HL72" s="85"/>
      <c r="HM72" s="27"/>
      <c r="HN72" s="36"/>
      <c r="HO72" s="85"/>
      <c r="HP72" s="35"/>
      <c r="HQ72" s="35"/>
      <c r="HR72" s="35"/>
      <c r="HS72" s="35"/>
      <c r="HT72" s="35"/>
      <c r="HU72" s="35"/>
      <c r="HV72" s="36"/>
      <c r="HW72" s="35"/>
      <c r="HX72" s="35"/>
      <c r="HY72" s="35"/>
      <c r="HZ72" s="35"/>
      <c r="IA72" s="35"/>
      <c r="IB72" s="35"/>
      <c r="IC72" s="35"/>
      <c r="ID72" s="85"/>
      <c r="IE72" s="27"/>
      <c r="IF72" s="36"/>
      <c r="IG72" s="85"/>
      <c r="IH72" s="35"/>
      <c r="II72" s="35"/>
      <c r="IJ72" s="35"/>
      <c r="IK72" s="35"/>
      <c r="IL72" s="35"/>
      <c r="IM72" s="35"/>
      <c r="IN72" s="36"/>
      <c r="IO72" s="35"/>
      <c r="IP72" s="35"/>
      <c r="IQ72" s="35"/>
      <c r="IR72" s="35"/>
      <c r="IS72" s="35"/>
      <c r="IT72" s="35"/>
      <c r="IU72" s="35"/>
      <c r="IV72" s="85"/>
      <c r="IW72" s="27"/>
      <c r="IX72" s="36"/>
      <c r="IY72" s="85"/>
      <c r="IZ72" s="35"/>
      <c r="JA72" s="35"/>
      <c r="JB72" s="35"/>
      <c r="JC72" s="35"/>
      <c r="JD72" s="35"/>
      <c r="JE72" s="35"/>
      <c r="JF72" s="36"/>
      <c r="JG72" s="35"/>
      <c r="JH72" s="35"/>
      <c r="JI72" s="35"/>
      <c r="JJ72" s="35"/>
      <c r="JK72" s="35"/>
      <c r="JL72" s="35"/>
      <c r="JM72" s="35"/>
      <c r="JN72" s="85"/>
      <c r="JO72" s="27"/>
      <c r="JP72" s="36"/>
      <c r="JQ72" s="85"/>
      <c r="JR72" s="35"/>
      <c r="JS72" s="35"/>
      <c r="JT72" s="35"/>
      <c r="JU72" s="35"/>
      <c r="JV72" s="35"/>
      <c r="JW72" s="35"/>
      <c r="JX72" s="36"/>
      <c r="JY72" s="35"/>
      <c r="JZ72" s="35"/>
      <c r="KA72" s="35"/>
      <c r="KB72" s="35"/>
      <c r="KC72" s="35"/>
      <c r="KD72" s="35"/>
      <c r="KE72" s="35"/>
      <c r="KF72" s="85"/>
      <c r="KG72" s="27"/>
      <c r="KH72" s="36"/>
      <c r="KI72" s="85"/>
      <c r="KJ72" s="35"/>
      <c r="KK72" s="35"/>
      <c r="KL72" s="35"/>
      <c r="KM72" s="35"/>
      <c r="KN72" s="35"/>
      <c r="KO72" s="35"/>
      <c r="KP72" s="36"/>
      <c r="KQ72" s="35"/>
      <c r="KR72" s="35"/>
      <c r="KS72" s="35"/>
      <c r="KT72" s="35"/>
      <c r="KU72" s="35"/>
      <c r="KV72" s="35"/>
      <c r="KW72" s="35"/>
      <c r="KX72" s="85"/>
      <c r="KY72" s="27"/>
      <c r="KZ72" s="36"/>
      <c r="LA72" s="85"/>
      <c r="LB72" s="35"/>
      <c r="LC72" s="35"/>
      <c r="LD72" s="35"/>
      <c r="LE72" s="35"/>
      <c r="LF72" s="35"/>
      <c r="LG72" s="35"/>
      <c r="LH72" s="36"/>
      <c r="LI72" s="35"/>
      <c r="LJ72" s="35"/>
      <c r="LK72" s="35"/>
      <c r="LL72" s="35"/>
      <c r="LM72" s="35"/>
      <c r="LN72" s="35"/>
      <c r="LO72" s="35"/>
      <c r="LP72" s="85"/>
      <c r="LQ72" s="27"/>
      <c r="LR72" s="36"/>
      <c r="LS72" s="85"/>
      <c r="LT72" s="35"/>
      <c r="LU72" s="35"/>
      <c r="LV72" s="35"/>
      <c r="LW72" s="35"/>
      <c r="LX72" s="35"/>
      <c r="LY72" s="35"/>
      <c r="LZ72" s="36"/>
      <c r="MA72" s="35"/>
      <c r="MB72" s="35"/>
      <c r="MC72" s="35"/>
      <c r="MD72" s="35"/>
      <c r="ME72" s="35"/>
      <c r="MF72" s="35"/>
      <c r="MG72" s="35"/>
      <c r="MH72" s="85"/>
      <c r="MI72" s="27"/>
      <c r="MJ72" s="36"/>
      <c r="MK72" s="85"/>
      <c r="ML72" s="35"/>
      <c r="MM72" s="35"/>
      <c r="MN72" s="35"/>
      <c r="MO72" s="35"/>
      <c r="MP72" s="35"/>
      <c r="MQ72" s="35"/>
      <c r="MR72" s="36"/>
      <c r="MS72" s="35"/>
      <c r="MT72" s="35"/>
      <c r="MU72" s="35"/>
      <c r="MV72" s="35"/>
      <c r="MW72" s="35"/>
      <c r="MX72" s="35"/>
      <c r="MY72" s="35"/>
      <c r="MZ72" s="85"/>
      <c r="NA72" s="27"/>
      <c r="NB72" s="36"/>
      <c r="NC72" s="85"/>
      <c r="ND72" s="35"/>
      <c r="NE72" s="35"/>
      <c r="NF72" s="35"/>
      <c r="NG72" s="35"/>
      <c r="NH72" s="35"/>
      <c r="NI72" s="35"/>
      <c r="NJ72" s="36"/>
      <c r="NK72" s="35"/>
      <c r="NL72" s="35"/>
      <c r="NM72" s="35"/>
      <c r="NN72" s="35"/>
      <c r="NO72" s="35"/>
      <c r="NP72" s="35"/>
      <c r="NQ72" s="35"/>
      <c r="NR72" s="85"/>
      <c r="NS72" s="27"/>
      <c r="NT72" s="36"/>
      <c r="NU72" s="85"/>
      <c r="NV72" s="35"/>
      <c r="NW72" s="35"/>
      <c r="NX72" s="35"/>
      <c r="NY72" s="35"/>
      <c r="NZ72" s="35"/>
      <c r="OA72" s="35"/>
      <c r="OB72" s="36"/>
      <c r="OC72" s="35"/>
      <c r="OD72" s="35"/>
      <c r="OE72" s="35"/>
      <c r="OF72" s="35"/>
      <c r="OG72" s="35"/>
      <c r="OH72" s="35"/>
      <c r="OI72" s="35"/>
      <c r="OJ72" s="85"/>
      <c r="OK72" s="27"/>
      <c r="OL72" s="36"/>
      <c r="OM72" s="85"/>
      <c r="ON72" s="35"/>
      <c r="OO72" s="35"/>
      <c r="OP72" s="35"/>
      <c r="OQ72" s="35"/>
      <c r="OR72" s="35"/>
      <c r="OS72" s="35"/>
      <c r="OT72" s="36"/>
      <c r="OU72" s="35"/>
      <c r="OV72" s="35"/>
      <c r="OW72" s="35"/>
      <c r="OX72" s="35"/>
      <c r="OY72" s="35"/>
      <c r="OZ72" s="35"/>
      <c r="PA72" s="35"/>
      <c r="PB72" s="85"/>
      <c r="PC72" s="27"/>
      <c r="PD72" s="36"/>
      <c r="PE72" s="85"/>
      <c r="PF72" s="35"/>
      <c r="PG72" s="35"/>
      <c r="PH72" s="35"/>
      <c r="PI72" s="35"/>
      <c r="PJ72" s="35"/>
      <c r="PK72" s="35"/>
      <c r="PL72" s="36"/>
      <c r="PM72" s="35"/>
      <c r="PN72" s="35"/>
      <c r="PO72" s="35"/>
      <c r="PP72" s="35"/>
      <c r="PQ72" s="35"/>
      <c r="PR72" s="35"/>
      <c r="PS72" s="35"/>
      <c r="PT72" s="85"/>
      <c r="PU72" s="27"/>
      <c r="PV72" s="36"/>
      <c r="PW72" s="85"/>
      <c r="PX72" s="35"/>
      <c r="PY72" s="35"/>
      <c r="PZ72" s="35"/>
      <c r="QA72" s="35"/>
      <c r="QB72" s="35"/>
      <c r="QC72" s="35">
        <v>549838</v>
      </c>
      <c r="QD72" s="36"/>
      <c r="QE72" s="35"/>
      <c r="QF72" s="35"/>
      <c r="QG72" s="35"/>
      <c r="QH72" s="35"/>
      <c r="QI72" s="35"/>
      <c r="QJ72" s="35">
        <v>549838</v>
      </c>
      <c r="QK72" s="35"/>
      <c r="QL72" s="85"/>
      <c r="QM72" s="27"/>
      <c r="QN72" s="36"/>
      <c r="QO72" s="85"/>
    </row>
    <row r="73" spans="1:457" x14ac:dyDescent="0.25">
      <c r="A73" s="8" t="s">
        <v>153</v>
      </c>
      <c r="B73" s="174">
        <v>59</v>
      </c>
      <c r="C73" s="13" t="s">
        <v>155</v>
      </c>
      <c r="F73" s="36">
        <v>1486560800</v>
      </c>
      <c r="G73" s="85"/>
      <c r="H73" s="35"/>
      <c r="I73" s="35">
        <v>389800842</v>
      </c>
      <c r="J73" s="35">
        <v>370310800</v>
      </c>
      <c r="K73" s="35">
        <v>19490042</v>
      </c>
      <c r="L73" s="35">
        <v>370310800</v>
      </c>
      <c r="M73" s="35"/>
      <c r="N73" s="36"/>
      <c r="O73" s="35">
        <v>389800842</v>
      </c>
      <c r="P73" s="35">
        <v>370310800</v>
      </c>
      <c r="Q73" s="35"/>
      <c r="R73" s="35">
        <v>19490042</v>
      </c>
      <c r="S73" s="35">
        <v>5</v>
      </c>
      <c r="T73" s="35"/>
      <c r="U73" s="35"/>
      <c r="V73" s="85">
        <v>370310800</v>
      </c>
      <c r="W73" s="27"/>
      <c r="X73" s="36">
        <v>370310800</v>
      </c>
      <c r="Y73" s="85">
        <v>370310800</v>
      </c>
      <c r="Z73" s="35"/>
      <c r="AA73" s="35">
        <v>8909158</v>
      </c>
      <c r="AB73" s="35">
        <v>8463700</v>
      </c>
      <c r="AC73" s="35">
        <v>445458</v>
      </c>
      <c r="AD73" s="35">
        <v>8463700</v>
      </c>
      <c r="AE73" s="35"/>
      <c r="AF73" s="36"/>
      <c r="AG73" s="35">
        <v>8909158</v>
      </c>
      <c r="AH73" s="35">
        <v>8463700</v>
      </c>
      <c r="AI73" s="35"/>
      <c r="AJ73" s="35">
        <v>445458</v>
      </c>
      <c r="AK73" s="35">
        <v>5</v>
      </c>
      <c r="AL73" s="35"/>
      <c r="AM73" s="35"/>
      <c r="AN73" s="85">
        <v>8463700</v>
      </c>
      <c r="AO73" s="27"/>
      <c r="AP73" s="36">
        <v>8463700</v>
      </c>
      <c r="AQ73" s="85">
        <v>8463700</v>
      </c>
      <c r="AR73" s="35"/>
      <c r="AS73" s="35">
        <v>594447153</v>
      </c>
      <c r="AT73" s="35">
        <v>254071900</v>
      </c>
      <c r="AU73" s="35">
        <v>340375253</v>
      </c>
      <c r="AV73" s="35">
        <v>254071900</v>
      </c>
      <c r="AW73" s="35"/>
      <c r="AX73" s="36"/>
      <c r="AY73" s="35">
        <v>594447153</v>
      </c>
      <c r="AZ73" s="35">
        <v>254071900</v>
      </c>
      <c r="BA73" s="35"/>
      <c r="BB73" s="35">
        <v>340375253</v>
      </c>
      <c r="BC73" s="35">
        <v>57.259129999999999</v>
      </c>
      <c r="BD73" s="35"/>
      <c r="BE73" s="35"/>
      <c r="BF73" s="85">
        <v>254071900</v>
      </c>
      <c r="BG73" s="27"/>
      <c r="BH73" s="36">
        <v>254071900</v>
      </c>
      <c r="BI73" s="85">
        <v>254071900</v>
      </c>
      <c r="BJ73" s="35"/>
      <c r="BK73" s="35"/>
      <c r="BL73" s="35"/>
      <c r="BM73" s="35"/>
      <c r="BN73" s="35"/>
      <c r="BO73" s="35"/>
      <c r="BP73" s="36"/>
      <c r="BQ73" s="35"/>
      <c r="BR73" s="35"/>
      <c r="BS73" s="35"/>
      <c r="BT73" s="35"/>
      <c r="BU73" s="35"/>
      <c r="BV73" s="35"/>
      <c r="BW73" s="35"/>
      <c r="BX73" s="85"/>
      <c r="BY73" s="27"/>
      <c r="BZ73" s="36"/>
      <c r="CA73" s="85"/>
      <c r="CB73" s="35"/>
      <c r="CC73" s="35">
        <v>452665900</v>
      </c>
      <c r="CD73" s="35">
        <v>242665900</v>
      </c>
      <c r="CE73" s="35">
        <v>210000000</v>
      </c>
      <c r="CF73" s="35">
        <v>242665900</v>
      </c>
      <c r="CG73" s="35">
        <v>273730</v>
      </c>
      <c r="CH73" s="36"/>
      <c r="CI73" s="35">
        <v>452665900</v>
      </c>
      <c r="CJ73" s="35">
        <v>242665900</v>
      </c>
      <c r="CK73" s="35"/>
      <c r="CL73" s="35">
        <v>210000000</v>
      </c>
      <c r="CM73" s="35">
        <v>46.391829999999999</v>
      </c>
      <c r="CN73" s="35">
        <v>273730</v>
      </c>
      <c r="CO73" s="35"/>
      <c r="CP73" s="85">
        <v>242665900</v>
      </c>
      <c r="CQ73" s="27"/>
      <c r="CR73" s="36">
        <v>242665900</v>
      </c>
      <c r="CS73" s="85">
        <v>242665900</v>
      </c>
      <c r="CT73" s="35"/>
      <c r="CU73" s="35">
        <v>462268948</v>
      </c>
      <c r="CV73" s="35">
        <v>439155500</v>
      </c>
      <c r="CW73" s="35">
        <v>23113448</v>
      </c>
      <c r="CX73" s="35">
        <v>439155492.05000001</v>
      </c>
      <c r="CY73" s="35"/>
      <c r="CZ73" s="36"/>
      <c r="DA73" s="35">
        <v>462268939</v>
      </c>
      <c r="DB73" s="35">
        <v>439155492.05000001</v>
      </c>
      <c r="DC73" s="35"/>
      <c r="DD73" s="35">
        <v>23113446.949999999</v>
      </c>
      <c r="DE73" s="35">
        <v>5</v>
      </c>
      <c r="DF73" s="35"/>
      <c r="DG73" s="35"/>
      <c r="DH73" s="85">
        <v>439155492.05000001</v>
      </c>
      <c r="DI73" s="27"/>
      <c r="DJ73" s="36">
        <v>439155500</v>
      </c>
      <c r="DK73" s="85">
        <v>439155500</v>
      </c>
      <c r="DL73" s="35"/>
      <c r="DM73" s="35"/>
      <c r="DN73" s="35"/>
      <c r="DO73" s="35"/>
      <c r="DP73" s="35"/>
      <c r="DQ73" s="35"/>
      <c r="DR73" s="36"/>
      <c r="DS73" s="35"/>
      <c r="DT73" s="35"/>
      <c r="DU73" s="35"/>
      <c r="DV73" s="35"/>
      <c r="DW73" s="35"/>
      <c r="DX73" s="35"/>
      <c r="DY73" s="35"/>
      <c r="DZ73" s="85"/>
      <c r="EA73" s="27"/>
      <c r="EB73" s="36"/>
      <c r="EC73" s="85"/>
      <c r="ED73" s="35"/>
      <c r="EE73" s="35">
        <v>76914000</v>
      </c>
      <c r="EF73" s="35">
        <v>73068000</v>
      </c>
      <c r="EG73" s="35">
        <v>3846000</v>
      </c>
      <c r="EH73" s="35">
        <v>73068000</v>
      </c>
      <c r="EI73" s="35"/>
      <c r="EJ73" s="36"/>
      <c r="EK73" s="35">
        <v>76914000</v>
      </c>
      <c r="EL73" s="35">
        <v>73068000</v>
      </c>
      <c r="EM73" s="35"/>
      <c r="EN73" s="35">
        <v>3846000</v>
      </c>
      <c r="EO73" s="35">
        <v>5.0003900000000003</v>
      </c>
      <c r="EP73" s="35"/>
      <c r="EQ73" s="35"/>
      <c r="ER73" s="85">
        <v>73068000</v>
      </c>
      <c r="ES73" s="27"/>
      <c r="ET73" s="36">
        <v>73068000</v>
      </c>
      <c r="EU73" s="85">
        <v>73068000</v>
      </c>
      <c r="EV73" s="35"/>
      <c r="EW73" s="35"/>
      <c r="EX73" s="35"/>
      <c r="EY73" s="35"/>
      <c r="EZ73" s="35"/>
      <c r="FA73" s="35"/>
      <c r="FB73" s="36"/>
      <c r="FC73" s="35"/>
      <c r="FD73" s="35"/>
      <c r="FE73" s="35"/>
      <c r="FF73" s="35"/>
      <c r="FG73" s="35"/>
      <c r="FH73" s="35"/>
      <c r="FI73" s="35"/>
      <c r="FJ73" s="85"/>
      <c r="FK73" s="27"/>
      <c r="FL73" s="36"/>
      <c r="FM73" s="85"/>
      <c r="FN73" s="35"/>
      <c r="FO73" s="35">
        <v>40000000</v>
      </c>
      <c r="FP73" s="35">
        <v>36000000</v>
      </c>
      <c r="FQ73" s="35">
        <v>4000000</v>
      </c>
      <c r="FR73" s="35">
        <v>36000000</v>
      </c>
      <c r="FS73" s="35"/>
      <c r="FT73" s="36"/>
      <c r="FU73" s="35">
        <v>40000000</v>
      </c>
      <c r="FV73" s="35">
        <v>36000000</v>
      </c>
      <c r="FW73" s="35"/>
      <c r="FX73" s="35">
        <v>4000000</v>
      </c>
      <c r="FY73" s="35">
        <v>10</v>
      </c>
      <c r="FZ73" s="35"/>
      <c r="GA73" s="35"/>
      <c r="GB73" s="85">
        <v>36000000</v>
      </c>
      <c r="GC73" s="27"/>
      <c r="GD73" s="36">
        <v>36000000</v>
      </c>
      <c r="GE73" s="85">
        <v>36000000</v>
      </c>
      <c r="GF73" s="35"/>
      <c r="GG73" s="35">
        <v>81650000</v>
      </c>
      <c r="GH73" s="35">
        <v>45586000</v>
      </c>
      <c r="GI73" s="35">
        <v>36064000</v>
      </c>
      <c r="GJ73" s="35">
        <v>45586000</v>
      </c>
      <c r="GK73" s="35"/>
      <c r="GL73" s="36"/>
      <c r="GM73" s="35">
        <v>81650000</v>
      </c>
      <c r="GN73" s="35">
        <v>45586000</v>
      </c>
      <c r="GO73" s="35"/>
      <c r="GP73" s="35">
        <v>36064000</v>
      </c>
      <c r="GQ73" s="35">
        <v>44.16901</v>
      </c>
      <c r="GR73" s="35"/>
      <c r="GS73" s="35"/>
      <c r="GT73" s="85">
        <v>45586000</v>
      </c>
      <c r="GU73" s="27"/>
      <c r="GV73" s="36">
        <v>45586000</v>
      </c>
      <c r="GW73" s="85">
        <v>45586000</v>
      </c>
      <c r="GX73" s="35"/>
      <c r="GY73" s="35"/>
      <c r="GZ73" s="35"/>
      <c r="HA73" s="35"/>
      <c r="HB73" s="35"/>
      <c r="HC73" s="35">
        <v>50033.7</v>
      </c>
      <c r="HD73" s="36"/>
      <c r="HE73" s="35"/>
      <c r="HF73" s="35"/>
      <c r="HG73" s="35"/>
      <c r="HH73" s="35"/>
      <c r="HI73" s="35"/>
      <c r="HJ73" s="35">
        <v>50033.7</v>
      </c>
      <c r="HK73" s="35"/>
      <c r="HL73" s="85"/>
      <c r="HM73" s="27"/>
      <c r="HN73" s="36"/>
      <c r="HO73" s="85"/>
      <c r="HP73" s="35"/>
      <c r="HQ73" s="35">
        <v>50744000</v>
      </c>
      <c r="HR73" s="35">
        <v>17239000</v>
      </c>
      <c r="HS73" s="35">
        <v>33505000</v>
      </c>
      <c r="HT73" s="35">
        <v>17239000</v>
      </c>
      <c r="HU73" s="35"/>
      <c r="HV73" s="36"/>
      <c r="HW73" s="35">
        <v>50744000</v>
      </c>
      <c r="HX73" s="35">
        <v>17239000</v>
      </c>
      <c r="HY73" s="35"/>
      <c r="HZ73" s="35">
        <v>33505000</v>
      </c>
      <c r="IA73" s="35">
        <v>66.027510000000007</v>
      </c>
      <c r="IB73" s="35"/>
      <c r="IC73" s="35"/>
      <c r="ID73" s="85">
        <v>17239000</v>
      </c>
      <c r="IE73" s="27"/>
      <c r="IF73" s="36">
        <v>17239000</v>
      </c>
      <c r="IG73" s="85">
        <v>17239000</v>
      </c>
      <c r="IH73" s="35"/>
      <c r="II73" s="35"/>
      <c r="IJ73" s="35"/>
      <c r="IK73" s="35"/>
      <c r="IL73" s="35"/>
      <c r="IM73" s="35"/>
      <c r="IN73" s="36"/>
      <c r="IO73" s="35"/>
      <c r="IP73" s="35"/>
      <c r="IQ73" s="35"/>
      <c r="IR73" s="35"/>
      <c r="IS73" s="35"/>
      <c r="IT73" s="35"/>
      <c r="IU73" s="35"/>
      <c r="IV73" s="85"/>
      <c r="IW73" s="27"/>
      <c r="IX73" s="36"/>
      <c r="IY73" s="85"/>
      <c r="IZ73" s="35"/>
      <c r="JA73" s="35"/>
      <c r="JB73" s="35"/>
      <c r="JC73" s="35"/>
      <c r="JD73" s="35"/>
      <c r="JE73" s="35"/>
      <c r="JF73" s="36"/>
      <c r="JG73" s="35"/>
      <c r="JH73" s="35"/>
      <c r="JI73" s="35"/>
      <c r="JJ73" s="35"/>
      <c r="JK73" s="35"/>
      <c r="JL73" s="35"/>
      <c r="JM73" s="35"/>
      <c r="JN73" s="85"/>
      <c r="JO73" s="27"/>
      <c r="JP73" s="36"/>
      <c r="JQ73" s="85"/>
      <c r="JR73" s="35"/>
      <c r="JS73" s="35"/>
      <c r="JT73" s="35"/>
      <c r="JU73" s="35"/>
      <c r="JV73" s="35"/>
      <c r="JW73" s="35"/>
      <c r="JX73" s="36"/>
      <c r="JY73" s="35"/>
      <c r="JZ73" s="35"/>
      <c r="KA73" s="35"/>
      <c r="KB73" s="35"/>
      <c r="KC73" s="35"/>
      <c r="KD73" s="35"/>
      <c r="KE73" s="35"/>
      <c r="KF73" s="85"/>
      <c r="KG73" s="27"/>
      <c r="KH73" s="36"/>
      <c r="KI73" s="85"/>
      <c r="KJ73" s="35"/>
      <c r="KK73" s="35"/>
      <c r="KL73" s="35"/>
      <c r="KM73" s="35"/>
      <c r="KN73" s="35"/>
      <c r="KO73" s="35"/>
      <c r="KP73" s="36"/>
      <c r="KQ73" s="35"/>
      <c r="KR73" s="35"/>
      <c r="KS73" s="35"/>
      <c r="KT73" s="35"/>
      <c r="KU73" s="35"/>
      <c r="KV73" s="35"/>
      <c r="KW73" s="35"/>
      <c r="KX73" s="85"/>
      <c r="KY73" s="27"/>
      <c r="KZ73" s="36"/>
      <c r="LA73" s="85"/>
      <c r="LB73" s="35"/>
      <c r="LC73" s="35"/>
      <c r="LD73" s="35"/>
      <c r="LE73" s="35"/>
      <c r="LF73" s="35"/>
      <c r="LG73" s="35"/>
      <c r="LH73" s="36"/>
      <c r="LI73" s="35"/>
      <c r="LJ73" s="35"/>
      <c r="LK73" s="35"/>
      <c r="LL73" s="35"/>
      <c r="LM73" s="35"/>
      <c r="LN73" s="35"/>
      <c r="LO73" s="35"/>
      <c r="LP73" s="85"/>
      <c r="LQ73" s="27"/>
      <c r="LR73" s="36"/>
      <c r="LS73" s="85"/>
      <c r="LT73" s="35"/>
      <c r="LU73" s="35"/>
      <c r="LV73" s="35"/>
      <c r="LW73" s="35"/>
      <c r="LX73" s="35"/>
      <c r="LY73" s="35"/>
      <c r="LZ73" s="36"/>
      <c r="MA73" s="35"/>
      <c r="MB73" s="35"/>
      <c r="MC73" s="35"/>
      <c r="MD73" s="35"/>
      <c r="ME73" s="35"/>
      <c r="MF73" s="35"/>
      <c r="MG73" s="35"/>
      <c r="MH73" s="85"/>
      <c r="MI73" s="27"/>
      <c r="MJ73" s="36"/>
      <c r="MK73" s="85"/>
      <c r="ML73" s="35"/>
      <c r="MM73" s="35"/>
      <c r="MN73" s="35"/>
      <c r="MO73" s="35"/>
      <c r="MP73" s="35"/>
      <c r="MQ73" s="35"/>
      <c r="MR73" s="36"/>
      <c r="MS73" s="35"/>
      <c r="MT73" s="35"/>
      <c r="MU73" s="35"/>
      <c r="MV73" s="35"/>
      <c r="MW73" s="35"/>
      <c r="MX73" s="35"/>
      <c r="MY73" s="35"/>
      <c r="MZ73" s="85"/>
      <c r="NA73" s="27"/>
      <c r="NB73" s="36"/>
      <c r="NC73" s="85"/>
      <c r="ND73" s="35"/>
      <c r="NE73" s="35"/>
      <c r="NF73" s="35"/>
      <c r="NG73" s="35"/>
      <c r="NH73" s="35"/>
      <c r="NI73" s="35"/>
      <c r="NJ73" s="36"/>
      <c r="NK73" s="35"/>
      <c r="NL73" s="35"/>
      <c r="NM73" s="35"/>
      <c r="NN73" s="35"/>
      <c r="NO73" s="35"/>
      <c r="NP73" s="35"/>
      <c r="NQ73" s="35"/>
      <c r="NR73" s="85"/>
      <c r="NS73" s="27"/>
      <c r="NT73" s="36"/>
      <c r="NU73" s="85"/>
      <c r="NV73" s="35"/>
      <c r="NW73" s="35"/>
      <c r="NX73" s="35"/>
      <c r="NY73" s="35"/>
      <c r="NZ73" s="35"/>
      <c r="OA73" s="35"/>
      <c r="OB73" s="36"/>
      <c r="OC73" s="35"/>
      <c r="OD73" s="35"/>
      <c r="OE73" s="35"/>
      <c r="OF73" s="35"/>
      <c r="OG73" s="35"/>
      <c r="OH73" s="35"/>
      <c r="OI73" s="35"/>
      <c r="OJ73" s="85"/>
      <c r="OK73" s="27"/>
      <c r="OL73" s="36"/>
      <c r="OM73" s="85"/>
      <c r="ON73" s="35"/>
      <c r="OO73" s="35"/>
      <c r="OP73" s="35"/>
      <c r="OQ73" s="35"/>
      <c r="OR73" s="35"/>
      <c r="OS73" s="35"/>
      <c r="OT73" s="36"/>
      <c r="OU73" s="35"/>
      <c r="OV73" s="35"/>
      <c r="OW73" s="35"/>
      <c r="OX73" s="35"/>
      <c r="OY73" s="35"/>
      <c r="OZ73" s="35"/>
      <c r="PA73" s="35"/>
      <c r="PB73" s="85"/>
      <c r="PC73" s="27"/>
      <c r="PD73" s="36"/>
      <c r="PE73" s="85"/>
      <c r="PF73" s="35"/>
      <c r="PG73" s="35"/>
      <c r="PH73" s="35"/>
      <c r="PI73" s="35"/>
      <c r="PJ73" s="35"/>
      <c r="PK73" s="35"/>
      <c r="PL73" s="36"/>
      <c r="PM73" s="35"/>
      <c r="PN73" s="35"/>
      <c r="PO73" s="35"/>
      <c r="PP73" s="35"/>
      <c r="PQ73" s="35"/>
      <c r="PR73" s="35"/>
      <c r="PS73" s="35"/>
      <c r="PT73" s="85"/>
      <c r="PU73" s="27"/>
      <c r="PV73" s="36"/>
      <c r="PW73" s="85"/>
      <c r="PX73" s="35"/>
      <c r="PY73" s="35"/>
      <c r="PZ73" s="35"/>
      <c r="QA73" s="35"/>
      <c r="QB73" s="35"/>
      <c r="QC73" s="35">
        <v>804932.64</v>
      </c>
      <c r="QD73" s="36"/>
      <c r="QE73" s="35"/>
      <c r="QF73" s="35"/>
      <c r="QG73" s="35"/>
      <c r="QH73" s="35"/>
      <c r="QI73" s="35"/>
      <c r="QJ73" s="35">
        <v>788962.98</v>
      </c>
      <c r="QK73" s="35">
        <v>15969.66</v>
      </c>
      <c r="QL73" s="85"/>
      <c r="QM73" s="27"/>
      <c r="QN73" s="36"/>
      <c r="QO73" s="85"/>
    </row>
    <row r="74" spans="1:457" x14ac:dyDescent="0.25">
      <c r="A74" s="8" t="s">
        <v>156</v>
      </c>
      <c r="B74" s="172">
        <v>60</v>
      </c>
      <c r="C74" s="13" t="s">
        <v>158</v>
      </c>
      <c r="F74" s="36">
        <v>1987824700</v>
      </c>
      <c r="G74" s="85"/>
      <c r="H74" s="35"/>
      <c r="I74" s="35">
        <v>391594500</v>
      </c>
      <c r="J74" s="35">
        <v>372014700</v>
      </c>
      <c r="K74" s="35">
        <v>19579800</v>
      </c>
      <c r="L74" s="35">
        <v>372014700</v>
      </c>
      <c r="M74" s="35"/>
      <c r="N74" s="36"/>
      <c r="O74" s="35">
        <v>391594500</v>
      </c>
      <c r="P74" s="35">
        <v>372014700</v>
      </c>
      <c r="Q74" s="35"/>
      <c r="R74" s="35">
        <v>19579800</v>
      </c>
      <c r="S74" s="35">
        <v>5.0000200000000001</v>
      </c>
      <c r="T74" s="35"/>
      <c r="U74" s="35"/>
      <c r="V74" s="85">
        <v>372014700</v>
      </c>
      <c r="W74" s="27"/>
      <c r="X74" s="36">
        <v>372014700</v>
      </c>
      <c r="Y74" s="85">
        <v>372014700</v>
      </c>
      <c r="Z74" s="35"/>
      <c r="AA74" s="35"/>
      <c r="AB74" s="35"/>
      <c r="AC74" s="35"/>
      <c r="AD74" s="35"/>
      <c r="AE74" s="35"/>
      <c r="AF74" s="36"/>
      <c r="AG74" s="35"/>
      <c r="AH74" s="35"/>
      <c r="AI74" s="35"/>
      <c r="AJ74" s="35"/>
      <c r="AK74" s="35"/>
      <c r="AL74" s="35"/>
      <c r="AM74" s="35"/>
      <c r="AN74" s="85"/>
      <c r="AO74" s="27"/>
      <c r="AP74" s="36"/>
      <c r="AQ74" s="85"/>
      <c r="AR74" s="35"/>
      <c r="AS74" s="35">
        <v>122722800</v>
      </c>
      <c r="AT74" s="35">
        <v>75744100</v>
      </c>
      <c r="AU74" s="35">
        <v>46978700</v>
      </c>
      <c r="AV74" s="35">
        <v>75743837.079999998</v>
      </c>
      <c r="AW74" s="35"/>
      <c r="AX74" s="36"/>
      <c r="AY74" s="35">
        <v>122722374.31999999</v>
      </c>
      <c r="AZ74" s="35">
        <v>75743837.079999998</v>
      </c>
      <c r="BA74" s="35"/>
      <c r="BB74" s="35">
        <v>46978537.240000002</v>
      </c>
      <c r="BC74" s="35">
        <v>38.280340000000002</v>
      </c>
      <c r="BD74" s="35"/>
      <c r="BE74" s="35"/>
      <c r="BF74" s="85">
        <v>75743837.079999998</v>
      </c>
      <c r="BG74" s="27"/>
      <c r="BH74" s="36">
        <v>75744100</v>
      </c>
      <c r="BI74" s="85">
        <v>75744100</v>
      </c>
      <c r="BJ74" s="35"/>
      <c r="BK74" s="35"/>
      <c r="BL74" s="35"/>
      <c r="BM74" s="35"/>
      <c r="BN74" s="35"/>
      <c r="BO74" s="35"/>
      <c r="BP74" s="36"/>
      <c r="BQ74" s="35"/>
      <c r="BR74" s="35"/>
      <c r="BS74" s="35"/>
      <c r="BT74" s="35"/>
      <c r="BU74" s="35"/>
      <c r="BV74" s="35"/>
      <c r="BW74" s="35"/>
      <c r="BX74" s="85"/>
      <c r="BY74" s="27"/>
      <c r="BZ74" s="36"/>
      <c r="CA74" s="85"/>
      <c r="CB74" s="35"/>
      <c r="CC74" s="35">
        <v>901928800</v>
      </c>
      <c r="CD74" s="35">
        <v>627156000</v>
      </c>
      <c r="CE74" s="35">
        <v>274772800</v>
      </c>
      <c r="CF74" s="35">
        <v>626493935.75</v>
      </c>
      <c r="CG74" s="35"/>
      <c r="CH74" s="36"/>
      <c r="CI74" s="35">
        <v>900976679.32000005</v>
      </c>
      <c r="CJ74" s="35">
        <v>626493935.75</v>
      </c>
      <c r="CK74" s="35"/>
      <c r="CL74" s="35">
        <v>274482743.56999999</v>
      </c>
      <c r="CM74" s="35">
        <v>30.465019999999999</v>
      </c>
      <c r="CN74" s="35"/>
      <c r="CO74" s="35"/>
      <c r="CP74" s="85">
        <v>626493935.75</v>
      </c>
      <c r="CQ74" s="27"/>
      <c r="CR74" s="36">
        <v>627156000</v>
      </c>
      <c r="CS74" s="85">
        <v>627156000</v>
      </c>
      <c r="CT74" s="35"/>
      <c r="CU74" s="35">
        <v>825430000</v>
      </c>
      <c r="CV74" s="35">
        <v>679906700</v>
      </c>
      <c r="CW74" s="35">
        <v>145523300</v>
      </c>
      <c r="CX74" s="35">
        <v>679905047.03999996</v>
      </c>
      <c r="CY74" s="35"/>
      <c r="CZ74" s="36"/>
      <c r="DA74" s="35">
        <v>825427994.14999998</v>
      </c>
      <c r="DB74" s="35">
        <v>679905047.03999996</v>
      </c>
      <c r="DC74" s="35"/>
      <c r="DD74" s="35">
        <v>145522947.11000001</v>
      </c>
      <c r="DE74" s="35">
        <v>17.63</v>
      </c>
      <c r="DF74" s="35"/>
      <c r="DG74" s="35"/>
      <c r="DH74" s="85">
        <v>679905047.03999996</v>
      </c>
      <c r="DI74" s="27"/>
      <c r="DJ74" s="36">
        <v>679906700</v>
      </c>
      <c r="DK74" s="85">
        <v>679906700</v>
      </c>
      <c r="DL74" s="35"/>
      <c r="DM74" s="35"/>
      <c r="DN74" s="35"/>
      <c r="DO74" s="35"/>
      <c r="DP74" s="35"/>
      <c r="DQ74" s="35"/>
      <c r="DR74" s="36"/>
      <c r="DS74" s="35"/>
      <c r="DT74" s="35"/>
      <c r="DU74" s="35"/>
      <c r="DV74" s="35"/>
      <c r="DW74" s="35"/>
      <c r="DX74" s="35"/>
      <c r="DY74" s="35"/>
      <c r="DZ74" s="85"/>
      <c r="EA74" s="27"/>
      <c r="EB74" s="36"/>
      <c r="EC74" s="85"/>
      <c r="ED74" s="35"/>
      <c r="EE74" s="35"/>
      <c r="EF74" s="35"/>
      <c r="EG74" s="35"/>
      <c r="EH74" s="35"/>
      <c r="EI74" s="35"/>
      <c r="EJ74" s="36"/>
      <c r="EK74" s="35"/>
      <c r="EL74" s="35"/>
      <c r="EM74" s="35"/>
      <c r="EN74" s="35"/>
      <c r="EO74" s="35"/>
      <c r="EP74" s="35"/>
      <c r="EQ74" s="35"/>
      <c r="ER74" s="85"/>
      <c r="ES74" s="27"/>
      <c r="ET74" s="36"/>
      <c r="EU74" s="85"/>
      <c r="EV74" s="35"/>
      <c r="EW74" s="35"/>
      <c r="EX74" s="35"/>
      <c r="EY74" s="35"/>
      <c r="EZ74" s="35"/>
      <c r="FA74" s="35"/>
      <c r="FB74" s="36"/>
      <c r="FC74" s="35"/>
      <c r="FD74" s="35"/>
      <c r="FE74" s="35"/>
      <c r="FF74" s="35"/>
      <c r="FG74" s="35"/>
      <c r="FH74" s="35"/>
      <c r="FI74" s="35"/>
      <c r="FJ74" s="85"/>
      <c r="FK74" s="27"/>
      <c r="FL74" s="36"/>
      <c r="FM74" s="85"/>
      <c r="FN74" s="35"/>
      <c r="FO74" s="35">
        <v>110503900</v>
      </c>
      <c r="FP74" s="35">
        <v>74302800</v>
      </c>
      <c r="FQ74" s="35">
        <v>36201100</v>
      </c>
      <c r="FR74" s="35">
        <v>74302800</v>
      </c>
      <c r="FS74" s="35"/>
      <c r="FT74" s="36"/>
      <c r="FU74" s="35">
        <v>110503900</v>
      </c>
      <c r="FV74" s="35">
        <v>74302800</v>
      </c>
      <c r="FW74" s="35"/>
      <c r="FX74" s="35">
        <v>36201100</v>
      </c>
      <c r="FY74" s="35">
        <v>32.760019999999997</v>
      </c>
      <c r="FZ74" s="35"/>
      <c r="GA74" s="35"/>
      <c r="GB74" s="85">
        <v>74302800</v>
      </c>
      <c r="GC74" s="27"/>
      <c r="GD74" s="36">
        <v>74302800</v>
      </c>
      <c r="GE74" s="85">
        <v>74302800</v>
      </c>
      <c r="GF74" s="35"/>
      <c r="GG74" s="35">
        <v>201560000</v>
      </c>
      <c r="GH74" s="35">
        <v>135096400</v>
      </c>
      <c r="GI74" s="35">
        <v>66463600</v>
      </c>
      <c r="GJ74" s="35">
        <v>135096400</v>
      </c>
      <c r="GK74" s="35"/>
      <c r="GL74" s="36"/>
      <c r="GM74" s="35">
        <v>201560000</v>
      </c>
      <c r="GN74" s="35">
        <v>135096400</v>
      </c>
      <c r="GO74" s="35"/>
      <c r="GP74" s="35">
        <v>66463600</v>
      </c>
      <c r="GQ74" s="35">
        <v>32.974600000000002</v>
      </c>
      <c r="GR74" s="35"/>
      <c r="GS74" s="35"/>
      <c r="GT74" s="85">
        <v>135096400</v>
      </c>
      <c r="GU74" s="27"/>
      <c r="GV74" s="36">
        <v>135096400</v>
      </c>
      <c r="GW74" s="85">
        <v>135096400</v>
      </c>
      <c r="GX74" s="35"/>
      <c r="GY74" s="35"/>
      <c r="GZ74" s="35"/>
      <c r="HA74" s="35"/>
      <c r="HB74" s="35"/>
      <c r="HC74" s="35"/>
      <c r="HD74" s="36"/>
      <c r="HE74" s="35"/>
      <c r="HF74" s="35"/>
      <c r="HG74" s="35"/>
      <c r="HH74" s="35"/>
      <c r="HI74" s="35"/>
      <c r="HJ74" s="35"/>
      <c r="HK74" s="35"/>
      <c r="HL74" s="85"/>
      <c r="HM74" s="27"/>
      <c r="HN74" s="36"/>
      <c r="HO74" s="85"/>
      <c r="HP74" s="35"/>
      <c r="HQ74" s="35">
        <v>44806000</v>
      </c>
      <c r="HR74" s="35">
        <v>19806000</v>
      </c>
      <c r="HS74" s="35">
        <v>25000000</v>
      </c>
      <c r="HT74" s="35">
        <v>19381224.390000001</v>
      </c>
      <c r="HU74" s="35"/>
      <c r="HV74" s="36"/>
      <c r="HW74" s="35">
        <v>43058297.399999999</v>
      </c>
      <c r="HX74" s="35">
        <v>19381224.390000001</v>
      </c>
      <c r="HY74" s="35"/>
      <c r="HZ74" s="35">
        <v>23677073.010000002</v>
      </c>
      <c r="IA74" s="35">
        <v>54.988410000000002</v>
      </c>
      <c r="IB74" s="35"/>
      <c r="IC74" s="35"/>
      <c r="ID74" s="85">
        <v>19381224.390000001</v>
      </c>
      <c r="IE74" s="27"/>
      <c r="IF74" s="36">
        <v>19806000</v>
      </c>
      <c r="IG74" s="85">
        <v>19806000</v>
      </c>
      <c r="IH74" s="35"/>
      <c r="II74" s="35"/>
      <c r="IJ74" s="35"/>
      <c r="IK74" s="35"/>
      <c r="IL74" s="35"/>
      <c r="IM74" s="35"/>
      <c r="IN74" s="36"/>
      <c r="IO74" s="35"/>
      <c r="IP74" s="35"/>
      <c r="IQ74" s="35"/>
      <c r="IR74" s="35"/>
      <c r="IS74" s="35"/>
      <c r="IT74" s="35"/>
      <c r="IU74" s="35"/>
      <c r="IV74" s="85"/>
      <c r="IW74" s="27"/>
      <c r="IX74" s="36"/>
      <c r="IY74" s="85"/>
      <c r="IZ74" s="35"/>
      <c r="JA74" s="35"/>
      <c r="JB74" s="35"/>
      <c r="JC74" s="35"/>
      <c r="JD74" s="35"/>
      <c r="JE74" s="35"/>
      <c r="JF74" s="36"/>
      <c r="JG74" s="35"/>
      <c r="JH74" s="35"/>
      <c r="JI74" s="35"/>
      <c r="JJ74" s="35"/>
      <c r="JK74" s="35"/>
      <c r="JL74" s="35"/>
      <c r="JM74" s="35"/>
      <c r="JN74" s="85"/>
      <c r="JO74" s="27"/>
      <c r="JP74" s="36"/>
      <c r="JQ74" s="85"/>
      <c r="JR74" s="35"/>
      <c r="JS74" s="35"/>
      <c r="JT74" s="35"/>
      <c r="JU74" s="35"/>
      <c r="JV74" s="35"/>
      <c r="JW74" s="35"/>
      <c r="JX74" s="36"/>
      <c r="JY74" s="35"/>
      <c r="JZ74" s="35"/>
      <c r="KA74" s="35"/>
      <c r="KB74" s="35"/>
      <c r="KC74" s="35"/>
      <c r="KD74" s="35"/>
      <c r="KE74" s="35"/>
      <c r="KF74" s="85"/>
      <c r="KG74" s="27"/>
      <c r="KH74" s="36"/>
      <c r="KI74" s="85"/>
      <c r="KJ74" s="35"/>
      <c r="KK74" s="35">
        <v>21648000</v>
      </c>
      <c r="KL74" s="35">
        <v>3798000</v>
      </c>
      <c r="KM74" s="35">
        <v>17850000</v>
      </c>
      <c r="KN74" s="35">
        <v>3696641.37</v>
      </c>
      <c r="KO74" s="35"/>
      <c r="KP74" s="36"/>
      <c r="KQ74" s="35">
        <v>21070272.920000002</v>
      </c>
      <c r="KR74" s="35">
        <v>3696641.37</v>
      </c>
      <c r="KS74" s="35"/>
      <c r="KT74" s="35">
        <v>17373631.550000001</v>
      </c>
      <c r="KU74" s="35">
        <v>82.455659999999995</v>
      </c>
      <c r="KV74" s="35"/>
      <c r="KW74" s="35">
        <v>0</v>
      </c>
      <c r="KX74" s="85">
        <v>3696641.37</v>
      </c>
      <c r="KY74" s="27"/>
      <c r="KZ74" s="36">
        <v>3798000</v>
      </c>
      <c r="LA74" s="85">
        <v>3798000</v>
      </c>
      <c r="LB74" s="35"/>
      <c r="LC74" s="35"/>
      <c r="LD74" s="35"/>
      <c r="LE74" s="35"/>
      <c r="LF74" s="35"/>
      <c r="LG74" s="35"/>
      <c r="LH74" s="36"/>
      <c r="LI74" s="35"/>
      <c r="LJ74" s="35"/>
      <c r="LK74" s="35"/>
      <c r="LL74" s="35"/>
      <c r="LM74" s="35"/>
      <c r="LN74" s="35"/>
      <c r="LO74" s="35"/>
      <c r="LP74" s="85"/>
      <c r="LQ74" s="27"/>
      <c r="LR74" s="36"/>
      <c r="LS74" s="85"/>
      <c r="LT74" s="35"/>
      <c r="LU74" s="35"/>
      <c r="LV74" s="35"/>
      <c r="LW74" s="35"/>
      <c r="LX74" s="35"/>
      <c r="LY74" s="35"/>
      <c r="LZ74" s="36"/>
      <c r="MA74" s="35"/>
      <c r="MB74" s="35"/>
      <c r="MC74" s="35"/>
      <c r="MD74" s="35"/>
      <c r="ME74" s="35"/>
      <c r="MF74" s="35"/>
      <c r="MG74" s="35"/>
      <c r="MH74" s="85"/>
      <c r="MI74" s="27"/>
      <c r="MJ74" s="36"/>
      <c r="MK74" s="85"/>
      <c r="ML74" s="35"/>
      <c r="MM74" s="35"/>
      <c r="MN74" s="35"/>
      <c r="MO74" s="35"/>
      <c r="MP74" s="35"/>
      <c r="MQ74" s="35"/>
      <c r="MR74" s="36"/>
      <c r="MS74" s="35"/>
      <c r="MT74" s="35"/>
      <c r="MU74" s="35"/>
      <c r="MV74" s="35"/>
      <c r="MW74" s="35"/>
      <c r="MX74" s="35"/>
      <c r="MY74" s="35"/>
      <c r="MZ74" s="85"/>
      <c r="NA74" s="27"/>
      <c r="NB74" s="36"/>
      <c r="NC74" s="85"/>
      <c r="ND74" s="35"/>
      <c r="NE74" s="35"/>
      <c r="NF74" s="35"/>
      <c r="NG74" s="35"/>
      <c r="NH74" s="35"/>
      <c r="NI74" s="35"/>
      <c r="NJ74" s="36"/>
      <c r="NK74" s="35"/>
      <c r="NL74" s="35"/>
      <c r="NM74" s="35"/>
      <c r="NN74" s="35"/>
      <c r="NO74" s="35"/>
      <c r="NP74" s="35"/>
      <c r="NQ74" s="35"/>
      <c r="NR74" s="85"/>
      <c r="NS74" s="27"/>
      <c r="NT74" s="36"/>
      <c r="NU74" s="85"/>
      <c r="NV74" s="35"/>
      <c r="NW74" s="35"/>
      <c r="NX74" s="35"/>
      <c r="NY74" s="35"/>
      <c r="NZ74" s="35"/>
      <c r="OA74" s="35"/>
      <c r="OB74" s="36"/>
      <c r="OC74" s="35"/>
      <c r="OD74" s="35"/>
      <c r="OE74" s="35"/>
      <c r="OF74" s="35"/>
      <c r="OG74" s="35"/>
      <c r="OH74" s="35"/>
      <c r="OI74" s="35"/>
      <c r="OJ74" s="85"/>
      <c r="OK74" s="27"/>
      <c r="OL74" s="36"/>
      <c r="OM74" s="85"/>
      <c r="ON74" s="35"/>
      <c r="OO74" s="35"/>
      <c r="OP74" s="35"/>
      <c r="OQ74" s="35"/>
      <c r="OR74" s="35"/>
      <c r="OS74" s="35"/>
      <c r="OT74" s="36"/>
      <c r="OU74" s="35"/>
      <c r="OV74" s="35"/>
      <c r="OW74" s="35"/>
      <c r="OX74" s="35"/>
      <c r="OY74" s="35"/>
      <c r="OZ74" s="35"/>
      <c r="PA74" s="35"/>
      <c r="PB74" s="85"/>
      <c r="PC74" s="27"/>
      <c r="PD74" s="36"/>
      <c r="PE74" s="85"/>
      <c r="PF74" s="35"/>
      <c r="PG74" s="35"/>
      <c r="PH74" s="35"/>
      <c r="PI74" s="35"/>
      <c r="PJ74" s="35"/>
      <c r="PK74" s="35"/>
      <c r="PL74" s="36"/>
      <c r="PM74" s="35"/>
      <c r="PN74" s="35"/>
      <c r="PO74" s="35"/>
      <c r="PP74" s="35"/>
      <c r="PQ74" s="35"/>
      <c r="PR74" s="35"/>
      <c r="PS74" s="35"/>
      <c r="PT74" s="85"/>
      <c r="PU74" s="27"/>
      <c r="PV74" s="36"/>
      <c r="PW74" s="85"/>
      <c r="PX74" s="35"/>
      <c r="PY74" s="35"/>
      <c r="PZ74" s="35"/>
      <c r="QA74" s="35"/>
      <c r="QB74" s="35"/>
      <c r="QC74" s="35">
        <v>4001813.91</v>
      </c>
      <c r="QD74" s="36"/>
      <c r="QE74" s="35"/>
      <c r="QF74" s="35"/>
      <c r="QG74" s="35"/>
      <c r="QH74" s="35"/>
      <c r="QI74" s="35"/>
      <c r="QJ74" s="35">
        <v>3980793.51</v>
      </c>
      <c r="QK74" s="35">
        <v>21020.400000000001</v>
      </c>
      <c r="QL74" s="85"/>
      <c r="QM74" s="27"/>
      <c r="QN74" s="36"/>
      <c r="QO74" s="85"/>
    </row>
    <row r="75" spans="1:457" x14ac:dyDescent="0.25">
      <c r="A75" s="8" t="s">
        <v>159</v>
      </c>
      <c r="B75" s="174">
        <v>61</v>
      </c>
      <c r="C75" s="13" t="s">
        <v>161</v>
      </c>
      <c r="F75" s="36">
        <v>1906151100</v>
      </c>
      <c r="G75" s="85"/>
      <c r="H75" s="35"/>
      <c r="I75" s="35">
        <v>928694948</v>
      </c>
      <c r="J75" s="35">
        <v>882260200</v>
      </c>
      <c r="K75" s="35">
        <v>46434748</v>
      </c>
      <c r="L75" s="35">
        <v>882260200</v>
      </c>
      <c r="M75" s="35"/>
      <c r="N75" s="36"/>
      <c r="O75" s="35">
        <v>928694947.39999998</v>
      </c>
      <c r="P75" s="35">
        <v>882260200</v>
      </c>
      <c r="Q75" s="35"/>
      <c r="R75" s="35">
        <v>46434747.399999999</v>
      </c>
      <c r="S75" s="35">
        <v>5</v>
      </c>
      <c r="T75" s="35"/>
      <c r="U75" s="35"/>
      <c r="V75" s="85">
        <v>882260200</v>
      </c>
      <c r="W75" s="27"/>
      <c r="X75" s="36">
        <v>882260200</v>
      </c>
      <c r="Y75" s="85">
        <v>882260200</v>
      </c>
      <c r="Z75" s="35"/>
      <c r="AA75" s="35"/>
      <c r="AB75" s="35"/>
      <c r="AC75" s="35"/>
      <c r="AD75" s="35"/>
      <c r="AE75" s="35"/>
      <c r="AF75" s="36"/>
      <c r="AG75" s="35"/>
      <c r="AH75" s="35"/>
      <c r="AI75" s="35"/>
      <c r="AJ75" s="35"/>
      <c r="AK75" s="35"/>
      <c r="AL75" s="35"/>
      <c r="AM75" s="35"/>
      <c r="AN75" s="85"/>
      <c r="AO75" s="27"/>
      <c r="AP75" s="36"/>
      <c r="AQ75" s="85"/>
      <c r="AR75" s="35"/>
      <c r="AS75" s="35">
        <v>106069474</v>
      </c>
      <c r="AT75" s="35">
        <v>100766000</v>
      </c>
      <c r="AU75" s="35">
        <v>5303474</v>
      </c>
      <c r="AV75" s="35">
        <v>100766000</v>
      </c>
      <c r="AW75" s="35"/>
      <c r="AX75" s="36"/>
      <c r="AY75" s="35">
        <v>106069474</v>
      </c>
      <c r="AZ75" s="35">
        <v>100766000</v>
      </c>
      <c r="BA75" s="35"/>
      <c r="BB75" s="35">
        <v>5303474</v>
      </c>
      <c r="BC75" s="35">
        <v>5</v>
      </c>
      <c r="BD75" s="35"/>
      <c r="BE75" s="35"/>
      <c r="BF75" s="85">
        <v>100766000</v>
      </c>
      <c r="BG75" s="27"/>
      <c r="BH75" s="36">
        <v>100766000</v>
      </c>
      <c r="BI75" s="85">
        <v>100766000</v>
      </c>
      <c r="BJ75" s="35"/>
      <c r="BK75" s="35"/>
      <c r="BL75" s="35"/>
      <c r="BM75" s="35"/>
      <c r="BN75" s="35"/>
      <c r="BO75" s="35"/>
      <c r="BP75" s="36"/>
      <c r="BQ75" s="35"/>
      <c r="BR75" s="35"/>
      <c r="BS75" s="35"/>
      <c r="BT75" s="35"/>
      <c r="BU75" s="35"/>
      <c r="BV75" s="35"/>
      <c r="BW75" s="35"/>
      <c r="BX75" s="85"/>
      <c r="BY75" s="27"/>
      <c r="BZ75" s="36"/>
      <c r="CA75" s="85"/>
      <c r="CB75" s="35"/>
      <c r="CC75" s="35">
        <v>227336632</v>
      </c>
      <c r="CD75" s="35">
        <v>215969800</v>
      </c>
      <c r="CE75" s="35">
        <v>11366832</v>
      </c>
      <c r="CF75" s="35">
        <v>215969800</v>
      </c>
      <c r="CG75" s="35"/>
      <c r="CH75" s="36"/>
      <c r="CI75" s="35">
        <v>227336631.58000001</v>
      </c>
      <c r="CJ75" s="35">
        <v>215969800</v>
      </c>
      <c r="CK75" s="35"/>
      <c r="CL75" s="35">
        <v>11366831.58</v>
      </c>
      <c r="CM75" s="35">
        <v>5</v>
      </c>
      <c r="CN75" s="35"/>
      <c r="CO75" s="35"/>
      <c r="CP75" s="85">
        <v>215969800</v>
      </c>
      <c r="CQ75" s="27"/>
      <c r="CR75" s="36">
        <v>215969800</v>
      </c>
      <c r="CS75" s="85">
        <v>215969800</v>
      </c>
      <c r="CT75" s="35"/>
      <c r="CU75" s="35">
        <v>562711796</v>
      </c>
      <c r="CV75" s="35">
        <v>534576200</v>
      </c>
      <c r="CW75" s="35">
        <v>28135596</v>
      </c>
      <c r="CX75" s="35">
        <v>534576200</v>
      </c>
      <c r="CY75" s="35"/>
      <c r="CZ75" s="36"/>
      <c r="DA75" s="35">
        <v>562711789.40999997</v>
      </c>
      <c r="DB75" s="35">
        <v>534576200</v>
      </c>
      <c r="DC75" s="35"/>
      <c r="DD75" s="35">
        <v>28135589.41</v>
      </c>
      <c r="DE75" s="35">
        <v>5</v>
      </c>
      <c r="DF75" s="35"/>
      <c r="DG75" s="35"/>
      <c r="DH75" s="85">
        <v>534576200</v>
      </c>
      <c r="DI75" s="27"/>
      <c r="DJ75" s="36">
        <v>534576200</v>
      </c>
      <c r="DK75" s="85">
        <v>534576200</v>
      </c>
      <c r="DL75" s="35"/>
      <c r="DM75" s="35"/>
      <c r="DN75" s="35"/>
      <c r="DO75" s="35"/>
      <c r="DP75" s="35"/>
      <c r="DQ75" s="35"/>
      <c r="DR75" s="36"/>
      <c r="DS75" s="35"/>
      <c r="DT75" s="35"/>
      <c r="DU75" s="35"/>
      <c r="DV75" s="35"/>
      <c r="DW75" s="35"/>
      <c r="DX75" s="35"/>
      <c r="DY75" s="35"/>
      <c r="DZ75" s="85"/>
      <c r="EA75" s="27"/>
      <c r="EB75" s="36"/>
      <c r="EC75" s="85"/>
      <c r="ED75" s="35"/>
      <c r="EE75" s="35">
        <v>43224315.789999999</v>
      </c>
      <c r="EF75" s="35">
        <v>41063100</v>
      </c>
      <c r="EG75" s="35">
        <v>2161215.79</v>
      </c>
      <c r="EH75" s="35">
        <v>41059920</v>
      </c>
      <c r="EI75" s="35"/>
      <c r="EJ75" s="36"/>
      <c r="EK75" s="35">
        <v>43220968.420000002</v>
      </c>
      <c r="EL75" s="35">
        <v>41059920</v>
      </c>
      <c r="EM75" s="35"/>
      <c r="EN75" s="35">
        <v>2161048.42</v>
      </c>
      <c r="EO75" s="35">
        <v>5</v>
      </c>
      <c r="EP75" s="35"/>
      <c r="EQ75" s="35"/>
      <c r="ER75" s="85">
        <v>41059920</v>
      </c>
      <c r="ES75" s="27"/>
      <c r="ET75" s="36">
        <v>41063100</v>
      </c>
      <c r="EU75" s="85">
        <v>41063100</v>
      </c>
      <c r="EV75" s="35"/>
      <c r="EW75" s="35"/>
      <c r="EX75" s="35"/>
      <c r="EY75" s="35"/>
      <c r="EZ75" s="35"/>
      <c r="FA75" s="35"/>
      <c r="FB75" s="36"/>
      <c r="FC75" s="35"/>
      <c r="FD75" s="35"/>
      <c r="FE75" s="35"/>
      <c r="FF75" s="35"/>
      <c r="FG75" s="35"/>
      <c r="FH75" s="35"/>
      <c r="FI75" s="35"/>
      <c r="FJ75" s="85"/>
      <c r="FK75" s="27"/>
      <c r="FL75" s="36"/>
      <c r="FM75" s="85"/>
      <c r="FN75" s="35"/>
      <c r="FO75" s="35">
        <v>85734200</v>
      </c>
      <c r="FP75" s="35">
        <v>77032100</v>
      </c>
      <c r="FQ75" s="35">
        <v>8702100</v>
      </c>
      <c r="FR75" s="35">
        <v>77032100</v>
      </c>
      <c r="FS75" s="35"/>
      <c r="FT75" s="36"/>
      <c r="FU75" s="35">
        <v>85734112.420000002</v>
      </c>
      <c r="FV75" s="35">
        <v>77032100</v>
      </c>
      <c r="FW75" s="35"/>
      <c r="FX75" s="35">
        <v>8702012.4199999999</v>
      </c>
      <c r="FY75" s="35">
        <v>10.15</v>
      </c>
      <c r="FZ75" s="35"/>
      <c r="GA75" s="35"/>
      <c r="GB75" s="85">
        <v>77032100</v>
      </c>
      <c r="GC75" s="27"/>
      <c r="GD75" s="36">
        <v>77032100</v>
      </c>
      <c r="GE75" s="85">
        <v>77032100</v>
      </c>
      <c r="GF75" s="35"/>
      <c r="GG75" s="35">
        <v>41736700</v>
      </c>
      <c r="GH75" s="35">
        <v>22236700</v>
      </c>
      <c r="GI75" s="35">
        <v>19500000</v>
      </c>
      <c r="GJ75" s="35">
        <v>22236700</v>
      </c>
      <c r="GK75" s="35"/>
      <c r="GL75" s="36"/>
      <c r="GM75" s="35">
        <v>41736700</v>
      </c>
      <c r="GN75" s="35">
        <v>22236700</v>
      </c>
      <c r="GO75" s="35"/>
      <c r="GP75" s="35">
        <v>19500000</v>
      </c>
      <c r="GQ75" s="35">
        <v>46.721469999999997</v>
      </c>
      <c r="GR75" s="35"/>
      <c r="GS75" s="35"/>
      <c r="GT75" s="85">
        <v>22236700</v>
      </c>
      <c r="GU75" s="27"/>
      <c r="GV75" s="36">
        <v>22236700</v>
      </c>
      <c r="GW75" s="85">
        <v>22236700</v>
      </c>
      <c r="GX75" s="35"/>
      <c r="GY75" s="35"/>
      <c r="GZ75" s="35"/>
      <c r="HA75" s="35"/>
      <c r="HB75" s="35"/>
      <c r="HC75" s="35">
        <v>782411.75</v>
      </c>
      <c r="HD75" s="36"/>
      <c r="HE75" s="35"/>
      <c r="HF75" s="35"/>
      <c r="HG75" s="35"/>
      <c r="HH75" s="35"/>
      <c r="HI75" s="35"/>
      <c r="HJ75" s="35">
        <v>782411.75</v>
      </c>
      <c r="HK75" s="35"/>
      <c r="HL75" s="85"/>
      <c r="HM75" s="27"/>
      <c r="HN75" s="36"/>
      <c r="HO75" s="85"/>
      <c r="HP75" s="35"/>
      <c r="HQ75" s="35">
        <v>33173000</v>
      </c>
      <c r="HR75" s="35">
        <v>18600000</v>
      </c>
      <c r="HS75" s="35">
        <v>14573000</v>
      </c>
      <c r="HT75" s="35">
        <v>18600000</v>
      </c>
      <c r="HU75" s="35"/>
      <c r="HV75" s="36"/>
      <c r="HW75" s="35">
        <v>33173000</v>
      </c>
      <c r="HX75" s="35">
        <v>18600000</v>
      </c>
      <c r="HY75" s="35"/>
      <c r="HZ75" s="35">
        <v>14573000</v>
      </c>
      <c r="IA75" s="35">
        <v>43.930300000000003</v>
      </c>
      <c r="IB75" s="35"/>
      <c r="IC75" s="35"/>
      <c r="ID75" s="85">
        <v>18600000</v>
      </c>
      <c r="IE75" s="27"/>
      <c r="IF75" s="36">
        <v>18600000</v>
      </c>
      <c r="IG75" s="85">
        <v>18600000</v>
      </c>
      <c r="IH75" s="35"/>
      <c r="II75" s="35"/>
      <c r="IJ75" s="35"/>
      <c r="IK75" s="35"/>
      <c r="IL75" s="35"/>
      <c r="IM75" s="35"/>
      <c r="IN75" s="36"/>
      <c r="IO75" s="35"/>
      <c r="IP75" s="35"/>
      <c r="IQ75" s="35"/>
      <c r="IR75" s="35"/>
      <c r="IS75" s="35"/>
      <c r="IT75" s="35"/>
      <c r="IU75" s="35"/>
      <c r="IV75" s="85"/>
      <c r="IW75" s="27"/>
      <c r="IX75" s="36"/>
      <c r="IY75" s="85"/>
      <c r="IZ75" s="35"/>
      <c r="JA75" s="35">
        <v>25988000</v>
      </c>
      <c r="JB75" s="35">
        <v>10844000</v>
      </c>
      <c r="JC75" s="35">
        <v>15144000</v>
      </c>
      <c r="JD75" s="35">
        <v>10844000</v>
      </c>
      <c r="JE75" s="35"/>
      <c r="JF75" s="36"/>
      <c r="JG75" s="35">
        <v>25987999.940000001</v>
      </c>
      <c r="JH75" s="35">
        <v>10844000</v>
      </c>
      <c r="JI75" s="35"/>
      <c r="JJ75" s="35">
        <v>15143999.939999999</v>
      </c>
      <c r="JK75" s="35">
        <v>58.273049999999998</v>
      </c>
      <c r="JL75" s="35"/>
      <c r="JM75" s="35"/>
      <c r="JN75" s="85">
        <v>10844000</v>
      </c>
      <c r="JO75" s="27"/>
      <c r="JP75" s="36">
        <v>10844000</v>
      </c>
      <c r="JQ75" s="85">
        <v>10844000</v>
      </c>
      <c r="JR75" s="35"/>
      <c r="JS75" s="35"/>
      <c r="JT75" s="35"/>
      <c r="JU75" s="35"/>
      <c r="JV75" s="35"/>
      <c r="JW75" s="35"/>
      <c r="JX75" s="36"/>
      <c r="JY75" s="35"/>
      <c r="JZ75" s="35"/>
      <c r="KA75" s="35"/>
      <c r="KB75" s="35"/>
      <c r="KC75" s="35"/>
      <c r="KD75" s="35"/>
      <c r="KE75" s="35"/>
      <c r="KF75" s="85"/>
      <c r="KG75" s="27"/>
      <c r="KH75" s="36"/>
      <c r="KI75" s="85"/>
      <c r="KJ75" s="35"/>
      <c r="KK75" s="35">
        <v>5596000</v>
      </c>
      <c r="KL75" s="35">
        <v>2803000</v>
      </c>
      <c r="KM75" s="35">
        <v>2793000</v>
      </c>
      <c r="KN75" s="35">
        <v>2803000</v>
      </c>
      <c r="KO75" s="35"/>
      <c r="KP75" s="36"/>
      <c r="KQ75" s="35">
        <v>5596000</v>
      </c>
      <c r="KR75" s="35">
        <v>2803000</v>
      </c>
      <c r="KS75" s="35"/>
      <c r="KT75" s="35">
        <v>2793000</v>
      </c>
      <c r="KU75" s="35">
        <v>49.910649999999997</v>
      </c>
      <c r="KV75" s="35"/>
      <c r="KW75" s="35"/>
      <c r="KX75" s="85">
        <v>2803000</v>
      </c>
      <c r="KY75" s="27"/>
      <c r="KZ75" s="36">
        <v>2803000</v>
      </c>
      <c r="LA75" s="85">
        <v>2803000</v>
      </c>
      <c r="LB75" s="35"/>
      <c r="LC75" s="35"/>
      <c r="LD75" s="35"/>
      <c r="LE75" s="35"/>
      <c r="LF75" s="35"/>
      <c r="LG75" s="35"/>
      <c r="LH75" s="36"/>
      <c r="LI75" s="35"/>
      <c r="LJ75" s="35"/>
      <c r="LK75" s="35"/>
      <c r="LL75" s="35"/>
      <c r="LM75" s="35"/>
      <c r="LN75" s="35"/>
      <c r="LO75" s="35"/>
      <c r="LP75" s="85"/>
      <c r="LQ75" s="27"/>
      <c r="LR75" s="36"/>
      <c r="LS75" s="85"/>
      <c r="LT75" s="35"/>
      <c r="LU75" s="35"/>
      <c r="LV75" s="35"/>
      <c r="LW75" s="35"/>
      <c r="LX75" s="35"/>
      <c r="LY75" s="35"/>
      <c r="LZ75" s="36"/>
      <c r="MA75" s="35"/>
      <c r="MB75" s="35"/>
      <c r="MC75" s="35"/>
      <c r="MD75" s="35"/>
      <c r="ME75" s="35"/>
      <c r="MF75" s="35"/>
      <c r="MG75" s="35"/>
      <c r="MH75" s="85"/>
      <c r="MI75" s="27"/>
      <c r="MJ75" s="36"/>
      <c r="MK75" s="85"/>
      <c r="ML75" s="35"/>
      <c r="MM75" s="35"/>
      <c r="MN75" s="35"/>
      <c r="MO75" s="35"/>
      <c r="MP75" s="35"/>
      <c r="MQ75" s="35"/>
      <c r="MR75" s="36"/>
      <c r="MS75" s="35"/>
      <c r="MT75" s="35"/>
      <c r="MU75" s="35"/>
      <c r="MV75" s="35"/>
      <c r="MW75" s="35"/>
      <c r="MX75" s="35"/>
      <c r="MY75" s="35"/>
      <c r="MZ75" s="85"/>
      <c r="NA75" s="27"/>
      <c r="NB75" s="36"/>
      <c r="NC75" s="85"/>
      <c r="ND75" s="35"/>
      <c r="NE75" s="35"/>
      <c r="NF75" s="35"/>
      <c r="NG75" s="35"/>
      <c r="NH75" s="35"/>
      <c r="NI75" s="35"/>
      <c r="NJ75" s="36"/>
      <c r="NK75" s="35"/>
      <c r="NL75" s="35"/>
      <c r="NM75" s="35"/>
      <c r="NN75" s="35"/>
      <c r="NO75" s="35"/>
      <c r="NP75" s="35"/>
      <c r="NQ75" s="35"/>
      <c r="NR75" s="85"/>
      <c r="NS75" s="27"/>
      <c r="NT75" s="36"/>
      <c r="NU75" s="85"/>
      <c r="NV75" s="35"/>
      <c r="NW75" s="35"/>
      <c r="NX75" s="35"/>
      <c r="NY75" s="35"/>
      <c r="NZ75" s="35"/>
      <c r="OA75" s="35"/>
      <c r="OB75" s="36"/>
      <c r="OC75" s="35"/>
      <c r="OD75" s="35"/>
      <c r="OE75" s="35"/>
      <c r="OF75" s="35"/>
      <c r="OG75" s="35"/>
      <c r="OH75" s="35"/>
      <c r="OI75" s="35"/>
      <c r="OJ75" s="85"/>
      <c r="OK75" s="27"/>
      <c r="OL75" s="36"/>
      <c r="OM75" s="85"/>
      <c r="ON75" s="35"/>
      <c r="OO75" s="35"/>
      <c r="OP75" s="35"/>
      <c r="OQ75" s="35"/>
      <c r="OR75" s="35"/>
      <c r="OS75" s="35"/>
      <c r="OT75" s="36"/>
      <c r="OU75" s="35"/>
      <c r="OV75" s="35"/>
      <c r="OW75" s="35"/>
      <c r="OX75" s="35"/>
      <c r="OY75" s="35"/>
      <c r="OZ75" s="35"/>
      <c r="PA75" s="35"/>
      <c r="PB75" s="85"/>
      <c r="PC75" s="27"/>
      <c r="PD75" s="36"/>
      <c r="PE75" s="85"/>
      <c r="PF75" s="35"/>
      <c r="PG75" s="35"/>
      <c r="PH75" s="35"/>
      <c r="PI75" s="35"/>
      <c r="PJ75" s="35"/>
      <c r="PK75" s="35"/>
      <c r="PL75" s="36"/>
      <c r="PM75" s="35"/>
      <c r="PN75" s="35"/>
      <c r="PO75" s="35"/>
      <c r="PP75" s="35"/>
      <c r="PQ75" s="35"/>
      <c r="PR75" s="35"/>
      <c r="PS75" s="35"/>
      <c r="PT75" s="85"/>
      <c r="PU75" s="27"/>
      <c r="PV75" s="36"/>
      <c r="PW75" s="85"/>
      <c r="PX75" s="35"/>
      <c r="PY75" s="35"/>
      <c r="PZ75" s="35"/>
      <c r="QA75" s="35"/>
      <c r="QB75" s="35"/>
      <c r="QC75" s="35">
        <v>1617847.17</v>
      </c>
      <c r="QD75" s="36"/>
      <c r="QE75" s="35"/>
      <c r="QF75" s="35"/>
      <c r="QG75" s="35"/>
      <c r="QH75" s="35"/>
      <c r="QI75" s="35"/>
      <c r="QJ75" s="35">
        <v>1617847.17</v>
      </c>
      <c r="QK75" s="35"/>
      <c r="QL75" s="85"/>
      <c r="QM75" s="27"/>
      <c r="QN75" s="36"/>
      <c r="QO75" s="85"/>
    </row>
    <row r="76" spans="1:457" x14ac:dyDescent="0.25">
      <c r="A76" s="8" t="s">
        <v>162</v>
      </c>
      <c r="B76" s="174">
        <v>62</v>
      </c>
      <c r="C76" s="13" t="s">
        <v>164</v>
      </c>
      <c r="F76" s="36">
        <v>1199040300</v>
      </c>
      <c r="G76" s="85"/>
      <c r="H76" s="35"/>
      <c r="I76" s="35">
        <v>138421100</v>
      </c>
      <c r="J76" s="35">
        <v>131500000</v>
      </c>
      <c r="K76" s="35">
        <v>6921100</v>
      </c>
      <c r="L76" s="35">
        <v>131498436.40000001</v>
      </c>
      <c r="M76" s="35"/>
      <c r="N76" s="36"/>
      <c r="O76" s="35">
        <v>138419406.72999999</v>
      </c>
      <c r="P76" s="35">
        <v>131498436.40000001</v>
      </c>
      <c r="Q76" s="35"/>
      <c r="R76" s="35">
        <v>6920970.3300000001</v>
      </c>
      <c r="S76" s="35">
        <v>5</v>
      </c>
      <c r="T76" s="35"/>
      <c r="U76" s="35"/>
      <c r="V76" s="85">
        <v>131498436.40000001</v>
      </c>
      <c r="W76" s="27"/>
      <c r="X76" s="36">
        <v>131500000</v>
      </c>
      <c r="Y76" s="85">
        <v>131500000</v>
      </c>
      <c r="Z76" s="35"/>
      <c r="AA76" s="35"/>
      <c r="AB76" s="35"/>
      <c r="AC76" s="35"/>
      <c r="AD76" s="35"/>
      <c r="AE76" s="35"/>
      <c r="AF76" s="36"/>
      <c r="AG76" s="35"/>
      <c r="AH76" s="35"/>
      <c r="AI76" s="35"/>
      <c r="AJ76" s="35"/>
      <c r="AK76" s="35"/>
      <c r="AL76" s="35"/>
      <c r="AM76" s="35"/>
      <c r="AN76" s="85"/>
      <c r="AO76" s="27"/>
      <c r="AP76" s="36"/>
      <c r="AQ76" s="85"/>
      <c r="AR76" s="35"/>
      <c r="AS76" s="35">
        <v>210514800</v>
      </c>
      <c r="AT76" s="35">
        <v>63798200</v>
      </c>
      <c r="AU76" s="35">
        <v>146716600</v>
      </c>
      <c r="AV76" s="35">
        <v>63798200</v>
      </c>
      <c r="AW76" s="35"/>
      <c r="AX76" s="36"/>
      <c r="AY76" s="35">
        <v>210508697</v>
      </c>
      <c r="AZ76" s="35">
        <v>63798200</v>
      </c>
      <c r="BA76" s="35"/>
      <c r="BB76" s="35">
        <v>146710497</v>
      </c>
      <c r="BC76" s="35">
        <v>69.69332</v>
      </c>
      <c r="BD76" s="35"/>
      <c r="BE76" s="35"/>
      <c r="BF76" s="85">
        <v>63798200</v>
      </c>
      <c r="BG76" s="27"/>
      <c r="BH76" s="36">
        <v>63798200</v>
      </c>
      <c r="BI76" s="85">
        <v>63798200</v>
      </c>
      <c r="BJ76" s="35"/>
      <c r="BK76" s="35"/>
      <c r="BL76" s="35"/>
      <c r="BM76" s="35"/>
      <c r="BN76" s="35"/>
      <c r="BO76" s="35"/>
      <c r="BP76" s="36"/>
      <c r="BQ76" s="35"/>
      <c r="BR76" s="35"/>
      <c r="BS76" s="35"/>
      <c r="BT76" s="35"/>
      <c r="BU76" s="35"/>
      <c r="BV76" s="35"/>
      <c r="BW76" s="35"/>
      <c r="BX76" s="85"/>
      <c r="BY76" s="27"/>
      <c r="BZ76" s="36"/>
      <c r="CA76" s="85"/>
      <c r="CB76" s="35"/>
      <c r="CC76" s="35">
        <v>396974801.69999999</v>
      </c>
      <c r="CD76" s="35">
        <v>294595000</v>
      </c>
      <c r="CE76" s="35">
        <v>102379801.7</v>
      </c>
      <c r="CF76" s="35">
        <v>294594890.63</v>
      </c>
      <c r="CG76" s="35"/>
      <c r="CH76" s="36"/>
      <c r="CI76" s="35">
        <v>396974653.91000003</v>
      </c>
      <c r="CJ76" s="35">
        <v>294594890.63</v>
      </c>
      <c r="CK76" s="35"/>
      <c r="CL76" s="35">
        <v>102379763.28</v>
      </c>
      <c r="CM76" s="35">
        <v>25.79</v>
      </c>
      <c r="CN76" s="35"/>
      <c r="CO76" s="35">
        <v>0</v>
      </c>
      <c r="CP76" s="85">
        <v>294594890.63</v>
      </c>
      <c r="CQ76" s="27"/>
      <c r="CR76" s="36">
        <v>294595000</v>
      </c>
      <c r="CS76" s="85">
        <v>294595000</v>
      </c>
      <c r="CT76" s="35"/>
      <c r="CU76" s="35">
        <v>588116800.30999994</v>
      </c>
      <c r="CV76" s="35">
        <v>529304500</v>
      </c>
      <c r="CW76" s="35">
        <v>58812300.310000002</v>
      </c>
      <c r="CX76" s="35">
        <v>529297292.98000002</v>
      </c>
      <c r="CY76" s="35"/>
      <c r="CZ76" s="36"/>
      <c r="DA76" s="35">
        <v>588097147.94000006</v>
      </c>
      <c r="DB76" s="35">
        <v>529287433.17000002</v>
      </c>
      <c r="DC76" s="35"/>
      <c r="DD76" s="35">
        <v>58809714.770000003</v>
      </c>
      <c r="DE76" s="35">
        <v>10</v>
      </c>
      <c r="DF76" s="35"/>
      <c r="DG76" s="35">
        <v>9859.81</v>
      </c>
      <c r="DH76" s="85">
        <v>529287433.17000002</v>
      </c>
      <c r="DI76" s="27"/>
      <c r="DJ76" s="36">
        <v>529304500</v>
      </c>
      <c r="DK76" s="85">
        <v>529304500</v>
      </c>
      <c r="DL76" s="35"/>
      <c r="DM76" s="35"/>
      <c r="DN76" s="35"/>
      <c r="DO76" s="35"/>
      <c r="DP76" s="35"/>
      <c r="DQ76" s="35"/>
      <c r="DR76" s="36"/>
      <c r="DS76" s="35"/>
      <c r="DT76" s="35"/>
      <c r="DU76" s="35"/>
      <c r="DV76" s="35"/>
      <c r="DW76" s="35"/>
      <c r="DX76" s="35"/>
      <c r="DY76" s="35"/>
      <c r="DZ76" s="85"/>
      <c r="EA76" s="27"/>
      <c r="EB76" s="36"/>
      <c r="EC76" s="85"/>
      <c r="ED76" s="35"/>
      <c r="EE76" s="35"/>
      <c r="EF76" s="35"/>
      <c r="EG76" s="35"/>
      <c r="EH76" s="35"/>
      <c r="EI76" s="35"/>
      <c r="EJ76" s="36"/>
      <c r="EK76" s="35"/>
      <c r="EL76" s="35"/>
      <c r="EM76" s="35"/>
      <c r="EN76" s="35"/>
      <c r="EO76" s="35"/>
      <c r="EP76" s="35"/>
      <c r="EQ76" s="35"/>
      <c r="ER76" s="85"/>
      <c r="ES76" s="27"/>
      <c r="ET76" s="36"/>
      <c r="EU76" s="85"/>
      <c r="EV76" s="35"/>
      <c r="EW76" s="35"/>
      <c r="EX76" s="35"/>
      <c r="EY76" s="35"/>
      <c r="EZ76" s="35"/>
      <c r="FA76" s="35"/>
      <c r="FB76" s="36"/>
      <c r="FC76" s="35"/>
      <c r="FD76" s="35"/>
      <c r="FE76" s="35"/>
      <c r="FF76" s="35"/>
      <c r="FG76" s="35"/>
      <c r="FH76" s="35"/>
      <c r="FI76" s="35"/>
      <c r="FJ76" s="85"/>
      <c r="FK76" s="27"/>
      <c r="FL76" s="36"/>
      <c r="FM76" s="85"/>
      <c r="FN76" s="35"/>
      <c r="FO76" s="35">
        <v>75770978.400000006</v>
      </c>
      <c r="FP76" s="35">
        <v>20677900</v>
      </c>
      <c r="FQ76" s="35">
        <v>55093078.399999999</v>
      </c>
      <c r="FR76" s="35">
        <v>20677900</v>
      </c>
      <c r="FS76" s="35"/>
      <c r="FT76" s="36"/>
      <c r="FU76" s="35">
        <v>75770978.400000006</v>
      </c>
      <c r="FV76" s="35">
        <v>20677900</v>
      </c>
      <c r="FW76" s="35"/>
      <c r="FX76" s="35">
        <v>55093078.399999999</v>
      </c>
      <c r="FY76" s="35">
        <v>72.709999999999994</v>
      </c>
      <c r="FZ76" s="35"/>
      <c r="GA76" s="35"/>
      <c r="GB76" s="85">
        <v>20677900</v>
      </c>
      <c r="GC76" s="27"/>
      <c r="GD76" s="36">
        <v>20677900</v>
      </c>
      <c r="GE76" s="85">
        <v>20677900</v>
      </c>
      <c r="GF76" s="35"/>
      <c r="GG76" s="35">
        <v>95929264.909999996</v>
      </c>
      <c r="GH76" s="35">
        <v>55332000</v>
      </c>
      <c r="GI76" s="35">
        <v>40597264.909999996</v>
      </c>
      <c r="GJ76" s="35">
        <v>55332000</v>
      </c>
      <c r="GK76" s="35"/>
      <c r="GL76" s="36"/>
      <c r="GM76" s="35">
        <v>95929264.909999996</v>
      </c>
      <c r="GN76" s="35">
        <v>55332000</v>
      </c>
      <c r="GO76" s="35"/>
      <c r="GP76" s="35">
        <v>40597264.909999996</v>
      </c>
      <c r="GQ76" s="35">
        <v>42.32</v>
      </c>
      <c r="GR76" s="35"/>
      <c r="GS76" s="35"/>
      <c r="GT76" s="85">
        <v>55332000</v>
      </c>
      <c r="GU76" s="27"/>
      <c r="GV76" s="36">
        <v>55332000</v>
      </c>
      <c r="GW76" s="85">
        <v>55332000</v>
      </c>
      <c r="GX76" s="35"/>
      <c r="GY76" s="35"/>
      <c r="GZ76" s="35"/>
      <c r="HA76" s="35"/>
      <c r="HB76" s="35"/>
      <c r="HC76" s="35">
        <v>5711216</v>
      </c>
      <c r="HD76" s="36"/>
      <c r="HE76" s="35"/>
      <c r="HF76" s="35"/>
      <c r="HG76" s="35"/>
      <c r="HH76" s="35"/>
      <c r="HI76" s="35"/>
      <c r="HJ76" s="35">
        <v>5711216</v>
      </c>
      <c r="HK76" s="35"/>
      <c r="HL76" s="85"/>
      <c r="HM76" s="27"/>
      <c r="HN76" s="36"/>
      <c r="HO76" s="85"/>
      <c r="HP76" s="35"/>
      <c r="HQ76" s="35">
        <v>42789220.32</v>
      </c>
      <c r="HR76" s="35">
        <v>16351000</v>
      </c>
      <c r="HS76" s="35">
        <v>26438220.32</v>
      </c>
      <c r="HT76" s="35">
        <v>16351000</v>
      </c>
      <c r="HU76" s="35"/>
      <c r="HV76" s="36"/>
      <c r="HW76" s="35">
        <v>42789220.32</v>
      </c>
      <c r="HX76" s="35">
        <v>16351000</v>
      </c>
      <c r="HY76" s="35"/>
      <c r="HZ76" s="35">
        <v>26438220.32</v>
      </c>
      <c r="IA76" s="35">
        <v>61.787100000000002</v>
      </c>
      <c r="IB76" s="35"/>
      <c r="IC76" s="35"/>
      <c r="ID76" s="85">
        <v>16351000</v>
      </c>
      <c r="IE76" s="27"/>
      <c r="IF76" s="36">
        <v>16351000</v>
      </c>
      <c r="IG76" s="85">
        <v>16351000</v>
      </c>
      <c r="IH76" s="35"/>
      <c r="II76" s="35"/>
      <c r="IJ76" s="35"/>
      <c r="IK76" s="35"/>
      <c r="IL76" s="35"/>
      <c r="IM76" s="35"/>
      <c r="IN76" s="36"/>
      <c r="IO76" s="35"/>
      <c r="IP76" s="35"/>
      <c r="IQ76" s="35"/>
      <c r="IR76" s="35"/>
      <c r="IS76" s="35"/>
      <c r="IT76" s="35"/>
      <c r="IU76" s="35"/>
      <c r="IV76" s="85"/>
      <c r="IW76" s="27"/>
      <c r="IX76" s="36"/>
      <c r="IY76" s="85"/>
      <c r="IZ76" s="35"/>
      <c r="JA76" s="35"/>
      <c r="JB76" s="35"/>
      <c r="JC76" s="35"/>
      <c r="JD76" s="35"/>
      <c r="JE76" s="35"/>
      <c r="JF76" s="36"/>
      <c r="JG76" s="35"/>
      <c r="JH76" s="35"/>
      <c r="JI76" s="35"/>
      <c r="JJ76" s="35"/>
      <c r="JK76" s="35"/>
      <c r="JL76" s="35"/>
      <c r="JM76" s="35"/>
      <c r="JN76" s="85"/>
      <c r="JO76" s="27"/>
      <c r="JP76" s="36"/>
      <c r="JQ76" s="85"/>
      <c r="JR76" s="35"/>
      <c r="JS76" s="35"/>
      <c r="JT76" s="35"/>
      <c r="JU76" s="35"/>
      <c r="JV76" s="35"/>
      <c r="JW76" s="35"/>
      <c r="JX76" s="36"/>
      <c r="JY76" s="35"/>
      <c r="JZ76" s="35"/>
      <c r="KA76" s="35"/>
      <c r="KB76" s="35"/>
      <c r="KC76" s="35"/>
      <c r="KD76" s="35"/>
      <c r="KE76" s="35"/>
      <c r="KF76" s="85"/>
      <c r="KG76" s="27"/>
      <c r="KH76" s="36"/>
      <c r="KI76" s="85"/>
      <c r="KJ76" s="35"/>
      <c r="KK76" s="35">
        <v>7649000</v>
      </c>
      <c r="KL76" s="35">
        <v>2762000</v>
      </c>
      <c r="KM76" s="35">
        <v>4887000</v>
      </c>
      <c r="KN76" s="35">
        <v>2762000</v>
      </c>
      <c r="KO76" s="35"/>
      <c r="KP76" s="36"/>
      <c r="KQ76" s="35">
        <v>7649000</v>
      </c>
      <c r="KR76" s="35">
        <v>2762000</v>
      </c>
      <c r="KS76" s="35"/>
      <c r="KT76" s="35">
        <v>4887000</v>
      </c>
      <c r="KU76" s="35">
        <v>63.890700000000002</v>
      </c>
      <c r="KV76" s="35"/>
      <c r="KW76" s="35"/>
      <c r="KX76" s="85">
        <v>2762000</v>
      </c>
      <c r="KY76" s="27"/>
      <c r="KZ76" s="36">
        <v>2762000</v>
      </c>
      <c r="LA76" s="85">
        <v>2762000</v>
      </c>
      <c r="LB76" s="35"/>
      <c r="LC76" s="35"/>
      <c r="LD76" s="35"/>
      <c r="LE76" s="35"/>
      <c r="LF76" s="35"/>
      <c r="LG76" s="35"/>
      <c r="LH76" s="36"/>
      <c r="LI76" s="35"/>
      <c r="LJ76" s="35"/>
      <c r="LK76" s="35"/>
      <c r="LL76" s="35"/>
      <c r="LM76" s="35"/>
      <c r="LN76" s="35"/>
      <c r="LO76" s="35"/>
      <c r="LP76" s="85"/>
      <c r="LQ76" s="27"/>
      <c r="LR76" s="36"/>
      <c r="LS76" s="85"/>
      <c r="LT76" s="35"/>
      <c r="LU76" s="35">
        <v>12534246.529999999</v>
      </c>
      <c r="LV76" s="35">
        <v>2653500</v>
      </c>
      <c r="LW76" s="35">
        <v>9880746.5299999993</v>
      </c>
      <c r="LX76" s="35">
        <v>2653499.9900000002</v>
      </c>
      <c r="LY76" s="35"/>
      <c r="LZ76" s="36"/>
      <c r="MA76" s="35">
        <v>12534246.52</v>
      </c>
      <c r="MB76" s="35">
        <v>2653499.9900000002</v>
      </c>
      <c r="MC76" s="35"/>
      <c r="MD76" s="35">
        <v>9880746.5299999993</v>
      </c>
      <c r="ME76" s="35">
        <v>78.83</v>
      </c>
      <c r="MF76" s="35"/>
      <c r="MG76" s="35"/>
      <c r="MH76" s="85">
        <v>2653499.9900000002</v>
      </c>
      <c r="MI76" s="27"/>
      <c r="MJ76" s="36">
        <v>2653500</v>
      </c>
      <c r="MK76" s="85">
        <v>2653500</v>
      </c>
      <c r="ML76" s="35"/>
      <c r="MM76" s="35"/>
      <c r="MN76" s="35"/>
      <c r="MO76" s="35"/>
      <c r="MP76" s="35"/>
      <c r="MQ76" s="35"/>
      <c r="MR76" s="36"/>
      <c r="MS76" s="35"/>
      <c r="MT76" s="35"/>
      <c r="MU76" s="35"/>
      <c r="MV76" s="35"/>
      <c r="MW76" s="35"/>
      <c r="MX76" s="35"/>
      <c r="MY76" s="35"/>
      <c r="MZ76" s="85"/>
      <c r="NA76" s="27"/>
      <c r="NB76" s="36"/>
      <c r="NC76" s="85"/>
      <c r="ND76" s="35"/>
      <c r="NE76" s="35">
        <v>175937200</v>
      </c>
      <c r="NF76" s="35">
        <v>80553600</v>
      </c>
      <c r="NG76" s="35">
        <v>95383600</v>
      </c>
      <c r="NH76" s="35">
        <v>80553600</v>
      </c>
      <c r="NI76" s="35"/>
      <c r="NJ76" s="36"/>
      <c r="NK76" s="35">
        <v>175937200</v>
      </c>
      <c r="NL76" s="35">
        <v>80553600</v>
      </c>
      <c r="NM76" s="35"/>
      <c r="NN76" s="35">
        <v>95383600</v>
      </c>
      <c r="NO76" s="35">
        <v>54.214570000000002</v>
      </c>
      <c r="NP76" s="35"/>
      <c r="NQ76" s="35"/>
      <c r="NR76" s="85">
        <v>80553600</v>
      </c>
      <c r="NS76" s="27"/>
      <c r="NT76" s="36">
        <v>80553600</v>
      </c>
      <c r="NU76" s="85">
        <v>80553600</v>
      </c>
      <c r="NV76" s="35"/>
      <c r="NW76" s="35"/>
      <c r="NX76" s="35"/>
      <c r="NY76" s="35"/>
      <c r="NZ76" s="35"/>
      <c r="OA76" s="35"/>
      <c r="OB76" s="36"/>
      <c r="OC76" s="35"/>
      <c r="OD76" s="35"/>
      <c r="OE76" s="35"/>
      <c r="OF76" s="35"/>
      <c r="OG76" s="35"/>
      <c r="OH76" s="35"/>
      <c r="OI76" s="35"/>
      <c r="OJ76" s="85"/>
      <c r="OK76" s="27"/>
      <c r="OL76" s="36"/>
      <c r="OM76" s="85"/>
      <c r="ON76" s="35"/>
      <c r="OO76" s="35">
        <v>7177230</v>
      </c>
      <c r="OP76" s="35">
        <v>1512600</v>
      </c>
      <c r="OQ76" s="35">
        <v>5664630</v>
      </c>
      <c r="OR76" s="35">
        <v>1512600</v>
      </c>
      <c r="OS76" s="35"/>
      <c r="OT76" s="36"/>
      <c r="OU76" s="35">
        <v>7177230</v>
      </c>
      <c r="OV76" s="35">
        <v>1512600</v>
      </c>
      <c r="OW76" s="35"/>
      <c r="OX76" s="35">
        <v>5664630</v>
      </c>
      <c r="OY76" s="35">
        <v>78.925020000000004</v>
      </c>
      <c r="OZ76" s="35"/>
      <c r="PA76" s="35"/>
      <c r="PB76" s="85">
        <v>1512600</v>
      </c>
      <c r="PC76" s="27"/>
      <c r="PD76" s="36">
        <v>1512600</v>
      </c>
      <c r="PE76" s="85">
        <v>1512600</v>
      </c>
      <c r="PF76" s="35"/>
      <c r="PG76" s="35"/>
      <c r="PH76" s="35"/>
      <c r="PI76" s="35"/>
      <c r="PJ76" s="35"/>
      <c r="PK76" s="35"/>
      <c r="PL76" s="36"/>
      <c r="PM76" s="35"/>
      <c r="PN76" s="35"/>
      <c r="PO76" s="35"/>
      <c r="PP76" s="35"/>
      <c r="PQ76" s="35"/>
      <c r="PR76" s="35"/>
      <c r="PS76" s="35"/>
      <c r="PT76" s="85"/>
      <c r="PU76" s="27"/>
      <c r="PV76" s="36"/>
      <c r="PW76" s="85"/>
      <c r="PX76" s="35"/>
      <c r="PY76" s="35"/>
      <c r="PZ76" s="35"/>
      <c r="QA76" s="35"/>
      <c r="QB76" s="35"/>
      <c r="QC76" s="35">
        <v>5269237.88</v>
      </c>
      <c r="QD76" s="36"/>
      <c r="QE76" s="35"/>
      <c r="QF76" s="35"/>
      <c r="QG76" s="35"/>
      <c r="QH76" s="35"/>
      <c r="QI76" s="35"/>
      <c r="QJ76" s="35">
        <v>5192013.88</v>
      </c>
      <c r="QK76" s="35">
        <v>77224</v>
      </c>
      <c r="QL76" s="85"/>
      <c r="QM76" s="27"/>
      <c r="QN76" s="36"/>
      <c r="QO76" s="85"/>
    </row>
    <row r="77" spans="1:457" x14ac:dyDescent="0.25">
      <c r="A77" s="8" t="s">
        <v>165</v>
      </c>
      <c r="B77" s="172">
        <v>63</v>
      </c>
      <c r="C77" s="13" t="s">
        <v>167</v>
      </c>
      <c r="F77" s="36">
        <v>2292929500</v>
      </c>
      <c r="G77" s="85"/>
      <c r="H77" s="35"/>
      <c r="I77" s="35">
        <v>313609200</v>
      </c>
      <c r="J77" s="35">
        <v>297928700</v>
      </c>
      <c r="K77" s="35">
        <v>15680500</v>
      </c>
      <c r="L77" s="35">
        <v>297928700</v>
      </c>
      <c r="M77" s="35"/>
      <c r="N77" s="36"/>
      <c r="O77" s="35">
        <v>313609200</v>
      </c>
      <c r="P77" s="35">
        <v>297928700</v>
      </c>
      <c r="Q77" s="35"/>
      <c r="R77" s="35">
        <v>15680500</v>
      </c>
      <c r="S77" s="35">
        <v>5.0000099999999996</v>
      </c>
      <c r="T77" s="35"/>
      <c r="U77" s="35"/>
      <c r="V77" s="85">
        <v>297928700</v>
      </c>
      <c r="W77" s="27"/>
      <c r="X77" s="36">
        <v>297928700</v>
      </c>
      <c r="Y77" s="85">
        <v>297928700</v>
      </c>
      <c r="Z77" s="35"/>
      <c r="AA77" s="35"/>
      <c r="AB77" s="35"/>
      <c r="AC77" s="35"/>
      <c r="AD77" s="35"/>
      <c r="AE77" s="35"/>
      <c r="AF77" s="36"/>
      <c r="AG77" s="35"/>
      <c r="AH77" s="35"/>
      <c r="AI77" s="35"/>
      <c r="AJ77" s="35"/>
      <c r="AK77" s="35"/>
      <c r="AL77" s="35"/>
      <c r="AM77" s="35"/>
      <c r="AN77" s="85"/>
      <c r="AO77" s="27"/>
      <c r="AP77" s="36"/>
      <c r="AQ77" s="85"/>
      <c r="AR77" s="35"/>
      <c r="AS77" s="35">
        <v>73596110</v>
      </c>
      <c r="AT77" s="35">
        <v>69916300</v>
      </c>
      <c r="AU77" s="35">
        <v>3679810</v>
      </c>
      <c r="AV77" s="35">
        <v>69916300</v>
      </c>
      <c r="AW77" s="35"/>
      <c r="AX77" s="36"/>
      <c r="AY77" s="35">
        <v>73596110</v>
      </c>
      <c r="AZ77" s="35">
        <v>69916300</v>
      </c>
      <c r="BA77" s="35"/>
      <c r="BB77" s="35">
        <v>3679810</v>
      </c>
      <c r="BC77" s="35">
        <v>5.0000099999999996</v>
      </c>
      <c r="BD77" s="35"/>
      <c r="BE77" s="35"/>
      <c r="BF77" s="85">
        <v>69916300</v>
      </c>
      <c r="BG77" s="27"/>
      <c r="BH77" s="36">
        <v>69916300</v>
      </c>
      <c r="BI77" s="85">
        <v>69916300</v>
      </c>
      <c r="BJ77" s="35"/>
      <c r="BK77" s="35"/>
      <c r="BL77" s="35"/>
      <c r="BM77" s="35"/>
      <c r="BN77" s="35"/>
      <c r="BO77" s="35"/>
      <c r="BP77" s="36"/>
      <c r="BQ77" s="35"/>
      <c r="BR77" s="35"/>
      <c r="BS77" s="35"/>
      <c r="BT77" s="35"/>
      <c r="BU77" s="35"/>
      <c r="BV77" s="35"/>
      <c r="BW77" s="35"/>
      <c r="BX77" s="85"/>
      <c r="BY77" s="27"/>
      <c r="BZ77" s="36"/>
      <c r="CA77" s="85"/>
      <c r="CB77" s="35"/>
      <c r="CC77" s="35">
        <v>552534220</v>
      </c>
      <c r="CD77" s="35">
        <v>524907500</v>
      </c>
      <c r="CE77" s="35">
        <v>27626720</v>
      </c>
      <c r="CF77" s="35">
        <v>524907500</v>
      </c>
      <c r="CG77" s="35"/>
      <c r="CH77" s="36"/>
      <c r="CI77" s="35">
        <v>552534220</v>
      </c>
      <c r="CJ77" s="35">
        <v>524907500</v>
      </c>
      <c r="CK77" s="35"/>
      <c r="CL77" s="35">
        <v>27626720</v>
      </c>
      <c r="CM77" s="35">
        <v>5</v>
      </c>
      <c r="CN77" s="35"/>
      <c r="CO77" s="35"/>
      <c r="CP77" s="85">
        <v>524907500</v>
      </c>
      <c r="CQ77" s="27"/>
      <c r="CR77" s="36">
        <v>524907500</v>
      </c>
      <c r="CS77" s="85">
        <v>524907500</v>
      </c>
      <c r="CT77" s="35"/>
      <c r="CU77" s="35">
        <v>653675700</v>
      </c>
      <c r="CV77" s="35">
        <v>620991100</v>
      </c>
      <c r="CW77" s="35">
        <v>32684600</v>
      </c>
      <c r="CX77" s="35">
        <v>620990170.28999996</v>
      </c>
      <c r="CY77" s="35"/>
      <c r="CZ77" s="36"/>
      <c r="DA77" s="35">
        <v>653674716.71000004</v>
      </c>
      <c r="DB77" s="35">
        <v>620990170.28999996</v>
      </c>
      <c r="DC77" s="35"/>
      <c r="DD77" s="35">
        <v>32684546.420000002</v>
      </c>
      <c r="DE77" s="35">
        <v>5.0001199999999999</v>
      </c>
      <c r="DF77" s="35"/>
      <c r="DG77" s="35"/>
      <c r="DH77" s="85">
        <v>620990170.28999996</v>
      </c>
      <c r="DI77" s="27"/>
      <c r="DJ77" s="36">
        <v>620991100</v>
      </c>
      <c r="DK77" s="85">
        <v>620991100</v>
      </c>
      <c r="DL77" s="35"/>
      <c r="DM77" s="35"/>
      <c r="DN77" s="35"/>
      <c r="DO77" s="35"/>
      <c r="DP77" s="35"/>
      <c r="DQ77" s="35"/>
      <c r="DR77" s="36"/>
      <c r="DS77" s="35"/>
      <c r="DT77" s="35"/>
      <c r="DU77" s="35"/>
      <c r="DV77" s="35"/>
      <c r="DW77" s="35"/>
      <c r="DX77" s="35"/>
      <c r="DY77" s="35"/>
      <c r="DZ77" s="85"/>
      <c r="EA77" s="27"/>
      <c r="EB77" s="36"/>
      <c r="EC77" s="85"/>
      <c r="ED77" s="35"/>
      <c r="EE77" s="35">
        <v>34950854.840000004</v>
      </c>
      <c r="EF77" s="35">
        <v>34663400</v>
      </c>
      <c r="EG77" s="35">
        <v>287454.84000000003</v>
      </c>
      <c r="EH77" s="35">
        <v>34662440.030000001</v>
      </c>
      <c r="EI77" s="35"/>
      <c r="EJ77" s="36"/>
      <c r="EK77" s="35">
        <v>34949894.869999997</v>
      </c>
      <c r="EL77" s="35">
        <v>34662440.030000001</v>
      </c>
      <c r="EM77" s="35"/>
      <c r="EN77" s="35">
        <v>287454.84000000003</v>
      </c>
      <c r="EO77" s="35">
        <v>0.82247999999999999</v>
      </c>
      <c r="EP77" s="35"/>
      <c r="EQ77" s="35"/>
      <c r="ER77" s="85">
        <v>34662440.030000001</v>
      </c>
      <c r="ES77" s="27"/>
      <c r="ET77" s="36">
        <v>34663400</v>
      </c>
      <c r="EU77" s="85">
        <v>34663400</v>
      </c>
      <c r="EV77" s="35"/>
      <c r="EW77" s="35"/>
      <c r="EX77" s="35"/>
      <c r="EY77" s="35"/>
      <c r="EZ77" s="35"/>
      <c r="FA77" s="35"/>
      <c r="FB77" s="36"/>
      <c r="FC77" s="35"/>
      <c r="FD77" s="35"/>
      <c r="FE77" s="35"/>
      <c r="FF77" s="35"/>
      <c r="FG77" s="35"/>
      <c r="FH77" s="35"/>
      <c r="FI77" s="35"/>
      <c r="FJ77" s="85"/>
      <c r="FK77" s="27"/>
      <c r="FL77" s="36"/>
      <c r="FM77" s="85"/>
      <c r="FN77" s="35"/>
      <c r="FO77" s="35">
        <v>775582800</v>
      </c>
      <c r="FP77" s="35">
        <v>698024500</v>
      </c>
      <c r="FQ77" s="35">
        <v>77558300</v>
      </c>
      <c r="FR77" s="35">
        <v>698024500</v>
      </c>
      <c r="FS77" s="35"/>
      <c r="FT77" s="36"/>
      <c r="FU77" s="35">
        <v>775582800</v>
      </c>
      <c r="FV77" s="35">
        <v>698024500</v>
      </c>
      <c r="FW77" s="35"/>
      <c r="FX77" s="35">
        <v>77558300</v>
      </c>
      <c r="FY77" s="35">
        <v>10</v>
      </c>
      <c r="FZ77" s="35"/>
      <c r="GA77" s="35"/>
      <c r="GB77" s="85">
        <v>698024500</v>
      </c>
      <c r="GC77" s="27"/>
      <c r="GD77" s="36">
        <v>698024500</v>
      </c>
      <c r="GE77" s="85">
        <v>698024500</v>
      </c>
      <c r="GF77" s="35"/>
      <c r="GG77" s="35"/>
      <c r="GH77" s="35"/>
      <c r="GI77" s="35"/>
      <c r="GJ77" s="35"/>
      <c r="GK77" s="35"/>
      <c r="GL77" s="36"/>
      <c r="GM77" s="35"/>
      <c r="GN77" s="35"/>
      <c r="GO77" s="35"/>
      <c r="GP77" s="35"/>
      <c r="GQ77" s="35"/>
      <c r="GR77" s="35"/>
      <c r="GS77" s="35"/>
      <c r="GT77" s="85"/>
      <c r="GU77" s="27"/>
      <c r="GV77" s="36"/>
      <c r="GW77" s="85"/>
      <c r="GX77" s="35"/>
      <c r="GY77" s="35"/>
      <c r="GZ77" s="35"/>
      <c r="HA77" s="35"/>
      <c r="HB77" s="35"/>
      <c r="HC77" s="35"/>
      <c r="HD77" s="36"/>
      <c r="HE77" s="35"/>
      <c r="HF77" s="35"/>
      <c r="HG77" s="35"/>
      <c r="HH77" s="35"/>
      <c r="HI77" s="35"/>
      <c r="HJ77" s="35"/>
      <c r="HK77" s="35"/>
      <c r="HL77" s="85"/>
      <c r="HM77" s="27"/>
      <c r="HN77" s="36"/>
      <c r="HO77" s="85"/>
      <c r="HP77" s="35"/>
      <c r="HQ77" s="35">
        <v>46432200</v>
      </c>
      <c r="HR77" s="35">
        <v>23030000</v>
      </c>
      <c r="HS77" s="35">
        <v>23402200</v>
      </c>
      <c r="HT77" s="35">
        <v>23008458.02</v>
      </c>
      <c r="HU77" s="35"/>
      <c r="HV77" s="36"/>
      <c r="HW77" s="35">
        <v>46394809.119999997</v>
      </c>
      <c r="HX77" s="35">
        <v>23008458.02</v>
      </c>
      <c r="HY77" s="35"/>
      <c r="HZ77" s="35">
        <v>23386351.100000001</v>
      </c>
      <c r="IA77" s="35">
        <v>50.407260000000001</v>
      </c>
      <c r="IB77" s="35"/>
      <c r="IC77" s="35"/>
      <c r="ID77" s="85">
        <v>23008458.02</v>
      </c>
      <c r="IE77" s="27"/>
      <c r="IF77" s="36">
        <v>23030000</v>
      </c>
      <c r="IG77" s="85">
        <v>23030000</v>
      </c>
      <c r="IH77" s="35"/>
      <c r="II77" s="35"/>
      <c r="IJ77" s="35"/>
      <c r="IK77" s="35"/>
      <c r="IL77" s="35"/>
      <c r="IM77" s="35">
        <v>327545.83</v>
      </c>
      <c r="IN77" s="36"/>
      <c r="IO77" s="35"/>
      <c r="IP77" s="35"/>
      <c r="IQ77" s="35"/>
      <c r="IR77" s="35"/>
      <c r="IS77" s="35"/>
      <c r="IT77" s="35">
        <v>327545.83</v>
      </c>
      <c r="IU77" s="35"/>
      <c r="IV77" s="85"/>
      <c r="IW77" s="27"/>
      <c r="IX77" s="36"/>
      <c r="IY77" s="85"/>
      <c r="IZ77" s="35"/>
      <c r="JA77" s="35">
        <v>94071000</v>
      </c>
      <c r="JB77" s="35">
        <v>16171000</v>
      </c>
      <c r="JC77" s="35">
        <v>77900000</v>
      </c>
      <c r="JD77" s="35">
        <v>16171000</v>
      </c>
      <c r="JE77" s="35"/>
      <c r="JF77" s="36"/>
      <c r="JG77" s="35">
        <v>94071000</v>
      </c>
      <c r="JH77" s="35">
        <v>16171000</v>
      </c>
      <c r="JI77" s="35"/>
      <c r="JJ77" s="35">
        <v>77900000</v>
      </c>
      <c r="JK77" s="35">
        <v>82.809790000000007</v>
      </c>
      <c r="JL77" s="35"/>
      <c r="JM77" s="35"/>
      <c r="JN77" s="85">
        <v>16171000</v>
      </c>
      <c r="JO77" s="27"/>
      <c r="JP77" s="36">
        <v>16171000</v>
      </c>
      <c r="JQ77" s="85">
        <v>16171000</v>
      </c>
      <c r="JR77" s="35"/>
      <c r="JS77" s="35"/>
      <c r="JT77" s="35"/>
      <c r="JU77" s="35"/>
      <c r="JV77" s="35"/>
      <c r="JW77" s="35"/>
      <c r="JX77" s="36"/>
      <c r="JY77" s="35"/>
      <c r="JZ77" s="35"/>
      <c r="KA77" s="35"/>
      <c r="KB77" s="35"/>
      <c r="KC77" s="35"/>
      <c r="KD77" s="35"/>
      <c r="KE77" s="35"/>
      <c r="KF77" s="85"/>
      <c r="KG77" s="27"/>
      <c r="KH77" s="36"/>
      <c r="KI77" s="85"/>
      <c r="KJ77" s="35"/>
      <c r="KK77" s="35">
        <v>5472500</v>
      </c>
      <c r="KL77" s="35">
        <v>2551000</v>
      </c>
      <c r="KM77" s="35">
        <v>2921500</v>
      </c>
      <c r="KN77" s="35">
        <v>2189030.5</v>
      </c>
      <c r="KO77" s="35"/>
      <c r="KP77" s="36"/>
      <c r="KQ77" s="35">
        <v>4695989.54</v>
      </c>
      <c r="KR77" s="35">
        <v>2189030.5</v>
      </c>
      <c r="KS77" s="35"/>
      <c r="KT77" s="35">
        <v>2506959.04</v>
      </c>
      <c r="KU77" s="35">
        <v>53.385109999999997</v>
      </c>
      <c r="KV77" s="35"/>
      <c r="KW77" s="35"/>
      <c r="KX77" s="85">
        <v>2189030.5</v>
      </c>
      <c r="KY77" s="27"/>
      <c r="KZ77" s="36">
        <v>2551000</v>
      </c>
      <c r="LA77" s="85">
        <v>2551000</v>
      </c>
      <c r="LB77" s="35"/>
      <c r="LC77" s="35"/>
      <c r="LD77" s="35"/>
      <c r="LE77" s="35"/>
      <c r="LF77" s="35"/>
      <c r="LG77" s="35"/>
      <c r="LH77" s="36"/>
      <c r="LI77" s="35"/>
      <c r="LJ77" s="35"/>
      <c r="LK77" s="35"/>
      <c r="LL77" s="35"/>
      <c r="LM77" s="35"/>
      <c r="LN77" s="35"/>
      <c r="LO77" s="35"/>
      <c r="LP77" s="85"/>
      <c r="LQ77" s="27"/>
      <c r="LR77" s="36"/>
      <c r="LS77" s="85"/>
      <c r="LT77" s="35"/>
      <c r="LU77" s="35">
        <v>7138600</v>
      </c>
      <c r="LV77" s="35">
        <v>4459000</v>
      </c>
      <c r="LW77" s="35">
        <v>2679600</v>
      </c>
      <c r="LX77" s="35">
        <v>4130455.93</v>
      </c>
      <c r="LY77" s="35"/>
      <c r="LZ77" s="36"/>
      <c r="MA77" s="35">
        <v>6612619.9199999999</v>
      </c>
      <c r="MB77" s="35">
        <v>4130455.93</v>
      </c>
      <c r="MC77" s="35"/>
      <c r="MD77" s="35">
        <v>2482163.9900000002</v>
      </c>
      <c r="ME77" s="35">
        <v>37.536769999999997</v>
      </c>
      <c r="MF77" s="35"/>
      <c r="MG77" s="35"/>
      <c r="MH77" s="85">
        <v>4130455.93</v>
      </c>
      <c r="MI77" s="27"/>
      <c r="MJ77" s="36">
        <v>4459000</v>
      </c>
      <c r="MK77" s="85">
        <v>4459000</v>
      </c>
      <c r="ML77" s="35"/>
      <c r="MM77" s="35"/>
      <c r="MN77" s="35"/>
      <c r="MO77" s="35"/>
      <c r="MP77" s="35"/>
      <c r="MQ77" s="35"/>
      <c r="MR77" s="36"/>
      <c r="MS77" s="35"/>
      <c r="MT77" s="35"/>
      <c r="MU77" s="35"/>
      <c r="MV77" s="35"/>
      <c r="MW77" s="35"/>
      <c r="MX77" s="35"/>
      <c r="MY77" s="35"/>
      <c r="MZ77" s="85"/>
      <c r="NA77" s="27"/>
      <c r="NB77" s="36"/>
      <c r="NC77" s="85"/>
      <c r="ND77" s="35"/>
      <c r="NE77" s="35"/>
      <c r="NF77" s="35"/>
      <c r="NG77" s="35"/>
      <c r="NH77" s="35"/>
      <c r="NI77" s="35"/>
      <c r="NJ77" s="36"/>
      <c r="NK77" s="35"/>
      <c r="NL77" s="35"/>
      <c r="NM77" s="35"/>
      <c r="NN77" s="35"/>
      <c r="NO77" s="35"/>
      <c r="NP77" s="35"/>
      <c r="NQ77" s="35"/>
      <c r="NR77" s="85"/>
      <c r="NS77" s="27"/>
      <c r="NT77" s="36"/>
      <c r="NU77" s="85"/>
      <c r="NV77" s="35"/>
      <c r="NW77" s="35"/>
      <c r="NX77" s="35"/>
      <c r="NY77" s="35"/>
      <c r="NZ77" s="35"/>
      <c r="OA77" s="35"/>
      <c r="OB77" s="36"/>
      <c r="OC77" s="35"/>
      <c r="OD77" s="35"/>
      <c r="OE77" s="35"/>
      <c r="OF77" s="35"/>
      <c r="OG77" s="35"/>
      <c r="OH77" s="35"/>
      <c r="OI77" s="35"/>
      <c r="OJ77" s="85"/>
      <c r="OK77" s="27"/>
      <c r="OL77" s="36"/>
      <c r="OM77" s="85"/>
      <c r="ON77" s="35"/>
      <c r="OO77" s="35">
        <v>587000</v>
      </c>
      <c r="OP77" s="35">
        <v>287000</v>
      </c>
      <c r="OQ77" s="35">
        <v>300000</v>
      </c>
      <c r="OR77" s="35">
        <v>287000</v>
      </c>
      <c r="OS77" s="35"/>
      <c r="OT77" s="36"/>
      <c r="OU77" s="35">
        <v>587000</v>
      </c>
      <c r="OV77" s="35">
        <v>287000</v>
      </c>
      <c r="OW77" s="35"/>
      <c r="OX77" s="35">
        <v>300000</v>
      </c>
      <c r="OY77" s="35">
        <v>51.107329999999997</v>
      </c>
      <c r="OZ77" s="35"/>
      <c r="PA77" s="35"/>
      <c r="PB77" s="85">
        <v>287000</v>
      </c>
      <c r="PC77" s="27"/>
      <c r="PD77" s="36">
        <v>287000</v>
      </c>
      <c r="PE77" s="85">
        <v>287000</v>
      </c>
      <c r="PF77" s="35"/>
      <c r="PG77" s="35"/>
      <c r="PH77" s="35"/>
      <c r="PI77" s="35"/>
      <c r="PJ77" s="35"/>
      <c r="PK77" s="35"/>
      <c r="PL77" s="36"/>
      <c r="PM77" s="35"/>
      <c r="PN77" s="35"/>
      <c r="PO77" s="35"/>
      <c r="PP77" s="35"/>
      <c r="PQ77" s="35"/>
      <c r="PR77" s="35"/>
      <c r="PS77" s="35"/>
      <c r="PT77" s="85"/>
      <c r="PU77" s="27"/>
      <c r="PV77" s="36"/>
      <c r="PW77" s="85"/>
      <c r="PX77" s="35"/>
      <c r="PY77" s="35"/>
      <c r="PZ77" s="35"/>
      <c r="QA77" s="35"/>
      <c r="QB77" s="35"/>
      <c r="QC77" s="35">
        <v>1392.52</v>
      </c>
      <c r="QD77" s="36"/>
      <c r="QE77" s="35"/>
      <c r="QF77" s="35"/>
      <c r="QG77" s="35"/>
      <c r="QH77" s="35"/>
      <c r="QI77" s="35"/>
      <c r="QJ77" s="35">
        <v>1392.52</v>
      </c>
      <c r="QK77" s="35"/>
      <c r="QL77" s="85"/>
      <c r="QM77" s="27"/>
      <c r="QN77" s="36"/>
      <c r="QO77" s="85"/>
    </row>
    <row r="78" spans="1:457" x14ac:dyDescent="0.25">
      <c r="A78" s="8" t="s">
        <v>168</v>
      </c>
      <c r="B78" s="174">
        <v>64</v>
      </c>
      <c r="C78" s="13" t="s">
        <v>170</v>
      </c>
      <c r="F78" s="36">
        <v>673568800</v>
      </c>
      <c r="G78" s="85"/>
      <c r="H78" s="35"/>
      <c r="I78" s="35">
        <v>82150800</v>
      </c>
      <c r="J78" s="35">
        <v>55650800</v>
      </c>
      <c r="K78" s="35">
        <v>26500000</v>
      </c>
      <c r="L78" s="35">
        <v>48524762.079999998</v>
      </c>
      <c r="M78" s="35"/>
      <c r="N78" s="36"/>
      <c r="O78" s="35">
        <v>71633838.329999998</v>
      </c>
      <c r="P78" s="35">
        <v>48524762.079999998</v>
      </c>
      <c r="Q78" s="35"/>
      <c r="R78" s="35">
        <v>23109076.25</v>
      </c>
      <c r="S78" s="35">
        <v>32.26</v>
      </c>
      <c r="T78" s="35"/>
      <c r="U78" s="35"/>
      <c r="V78" s="85">
        <v>48524762.079999998</v>
      </c>
      <c r="W78" s="27"/>
      <c r="X78" s="36">
        <v>55650800</v>
      </c>
      <c r="Y78" s="85">
        <v>55650800</v>
      </c>
      <c r="Z78" s="35"/>
      <c r="AA78" s="35"/>
      <c r="AB78" s="35"/>
      <c r="AC78" s="35"/>
      <c r="AD78" s="35"/>
      <c r="AE78" s="35"/>
      <c r="AF78" s="36"/>
      <c r="AG78" s="35"/>
      <c r="AH78" s="35"/>
      <c r="AI78" s="35"/>
      <c r="AJ78" s="35"/>
      <c r="AK78" s="35"/>
      <c r="AL78" s="35"/>
      <c r="AM78" s="35"/>
      <c r="AN78" s="85"/>
      <c r="AO78" s="27"/>
      <c r="AP78" s="36"/>
      <c r="AQ78" s="85"/>
      <c r="AR78" s="35"/>
      <c r="AS78" s="35">
        <v>51261700</v>
      </c>
      <c r="AT78" s="35">
        <v>42261700</v>
      </c>
      <c r="AU78" s="35">
        <v>9000000</v>
      </c>
      <c r="AV78" s="35">
        <v>42261700</v>
      </c>
      <c r="AW78" s="35"/>
      <c r="AX78" s="36"/>
      <c r="AY78" s="35">
        <v>51261700</v>
      </c>
      <c r="AZ78" s="35">
        <v>42261700</v>
      </c>
      <c r="BA78" s="35"/>
      <c r="BB78" s="35">
        <v>9000000</v>
      </c>
      <c r="BC78" s="35">
        <v>17.55697</v>
      </c>
      <c r="BD78" s="35"/>
      <c r="BE78" s="35"/>
      <c r="BF78" s="85">
        <v>42261700</v>
      </c>
      <c r="BG78" s="27"/>
      <c r="BH78" s="36">
        <v>42261700</v>
      </c>
      <c r="BI78" s="85">
        <v>42261700</v>
      </c>
      <c r="BJ78" s="35"/>
      <c r="BK78" s="35"/>
      <c r="BL78" s="35"/>
      <c r="BM78" s="35"/>
      <c r="BN78" s="35"/>
      <c r="BO78" s="35"/>
      <c r="BP78" s="36"/>
      <c r="BQ78" s="35"/>
      <c r="BR78" s="35"/>
      <c r="BS78" s="35"/>
      <c r="BT78" s="35"/>
      <c r="BU78" s="35"/>
      <c r="BV78" s="35"/>
      <c r="BW78" s="35"/>
      <c r="BX78" s="85"/>
      <c r="BY78" s="27"/>
      <c r="BZ78" s="36"/>
      <c r="CA78" s="85"/>
      <c r="CB78" s="35"/>
      <c r="CC78" s="35">
        <v>201307300</v>
      </c>
      <c r="CD78" s="35">
        <v>149307300</v>
      </c>
      <c r="CE78" s="35">
        <v>52000000</v>
      </c>
      <c r="CF78" s="35">
        <v>142472104.72</v>
      </c>
      <c r="CG78" s="35"/>
      <c r="CH78" s="36"/>
      <c r="CI78" s="35">
        <v>192091578</v>
      </c>
      <c r="CJ78" s="35">
        <v>142472104.72</v>
      </c>
      <c r="CK78" s="35"/>
      <c r="CL78" s="35">
        <v>49619473.280000001</v>
      </c>
      <c r="CM78" s="35">
        <v>25.831160000000001</v>
      </c>
      <c r="CN78" s="35"/>
      <c r="CO78" s="35"/>
      <c r="CP78" s="85">
        <v>142472104.72</v>
      </c>
      <c r="CQ78" s="27"/>
      <c r="CR78" s="36">
        <v>149307300</v>
      </c>
      <c r="CS78" s="85">
        <v>149307300</v>
      </c>
      <c r="CT78" s="35"/>
      <c r="CU78" s="35">
        <v>338681500</v>
      </c>
      <c r="CV78" s="35">
        <v>283681500</v>
      </c>
      <c r="CW78" s="35">
        <v>55000000</v>
      </c>
      <c r="CX78" s="35">
        <v>278499713.93000001</v>
      </c>
      <c r="CY78" s="35"/>
      <c r="CZ78" s="36"/>
      <c r="DA78" s="35">
        <v>332497270.69999999</v>
      </c>
      <c r="DB78" s="35">
        <v>278499713.93000001</v>
      </c>
      <c r="DC78" s="35"/>
      <c r="DD78" s="35">
        <v>53997556.770000003</v>
      </c>
      <c r="DE78" s="35">
        <v>16.239999999999998</v>
      </c>
      <c r="DF78" s="35"/>
      <c r="DG78" s="35"/>
      <c r="DH78" s="85">
        <v>278499713.93000001</v>
      </c>
      <c r="DI78" s="27"/>
      <c r="DJ78" s="36">
        <v>283681500</v>
      </c>
      <c r="DK78" s="85">
        <v>283681500</v>
      </c>
      <c r="DL78" s="35"/>
      <c r="DM78" s="35"/>
      <c r="DN78" s="35"/>
      <c r="DO78" s="35"/>
      <c r="DP78" s="35"/>
      <c r="DQ78" s="35"/>
      <c r="DR78" s="36"/>
      <c r="DS78" s="35"/>
      <c r="DT78" s="35"/>
      <c r="DU78" s="35"/>
      <c r="DV78" s="35"/>
      <c r="DW78" s="35"/>
      <c r="DX78" s="35"/>
      <c r="DY78" s="35"/>
      <c r="DZ78" s="85"/>
      <c r="EA78" s="27"/>
      <c r="EB78" s="36"/>
      <c r="EC78" s="85"/>
      <c r="ED78" s="35"/>
      <c r="EE78" s="35"/>
      <c r="EF78" s="35"/>
      <c r="EG78" s="35"/>
      <c r="EH78" s="35"/>
      <c r="EI78" s="35"/>
      <c r="EJ78" s="36"/>
      <c r="EK78" s="35"/>
      <c r="EL78" s="35"/>
      <c r="EM78" s="35"/>
      <c r="EN78" s="35"/>
      <c r="EO78" s="35"/>
      <c r="EP78" s="35"/>
      <c r="EQ78" s="35"/>
      <c r="ER78" s="85"/>
      <c r="ES78" s="27"/>
      <c r="ET78" s="36"/>
      <c r="EU78" s="85"/>
      <c r="EV78" s="35"/>
      <c r="EW78" s="35"/>
      <c r="EX78" s="35"/>
      <c r="EY78" s="35"/>
      <c r="EZ78" s="35"/>
      <c r="FA78" s="35"/>
      <c r="FB78" s="36"/>
      <c r="FC78" s="35"/>
      <c r="FD78" s="35"/>
      <c r="FE78" s="35"/>
      <c r="FF78" s="35"/>
      <c r="FG78" s="35"/>
      <c r="FH78" s="35"/>
      <c r="FI78" s="35"/>
      <c r="FJ78" s="85"/>
      <c r="FK78" s="27"/>
      <c r="FL78" s="36"/>
      <c r="FM78" s="85"/>
      <c r="FN78" s="35"/>
      <c r="FO78" s="35">
        <v>35850800</v>
      </c>
      <c r="FP78" s="35">
        <v>25100800</v>
      </c>
      <c r="FQ78" s="35">
        <v>10750000</v>
      </c>
      <c r="FR78" s="35">
        <v>24018794.079999998</v>
      </c>
      <c r="FS78" s="35"/>
      <c r="FT78" s="36"/>
      <c r="FU78" s="35">
        <v>34305400</v>
      </c>
      <c r="FV78" s="35">
        <v>24018794.079999998</v>
      </c>
      <c r="FW78" s="35"/>
      <c r="FX78" s="35">
        <v>10286605.92</v>
      </c>
      <c r="FY78" s="35">
        <v>29.985379999999999</v>
      </c>
      <c r="FZ78" s="35"/>
      <c r="GA78" s="35"/>
      <c r="GB78" s="85">
        <v>24018794.079999998</v>
      </c>
      <c r="GC78" s="27"/>
      <c r="GD78" s="36">
        <v>25100800</v>
      </c>
      <c r="GE78" s="85">
        <v>25100800</v>
      </c>
      <c r="GF78" s="35"/>
      <c r="GG78" s="35">
        <v>136189200</v>
      </c>
      <c r="GH78" s="35">
        <v>76189200</v>
      </c>
      <c r="GI78" s="35">
        <v>60000000</v>
      </c>
      <c r="GJ78" s="35">
        <v>76189200</v>
      </c>
      <c r="GK78" s="35">
        <v>2713621.76</v>
      </c>
      <c r="GL78" s="36"/>
      <c r="GM78" s="35">
        <v>136156223.96000001</v>
      </c>
      <c r="GN78" s="35">
        <v>76156223.959999993</v>
      </c>
      <c r="GO78" s="35"/>
      <c r="GP78" s="35">
        <v>60000000</v>
      </c>
      <c r="GQ78" s="35">
        <v>44.067030000000003</v>
      </c>
      <c r="GR78" s="35">
        <v>2713621.76</v>
      </c>
      <c r="GS78" s="35">
        <v>32976.04</v>
      </c>
      <c r="GT78" s="85">
        <v>76156223.959999993</v>
      </c>
      <c r="GU78" s="27"/>
      <c r="GV78" s="36">
        <v>76189200</v>
      </c>
      <c r="GW78" s="85">
        <v>76189200</v>
      </c>
      <c r="GX78" s="35"/>
      <c r="GY78" s="35"/>
      <c r="GZ78" s="35"/>
      <c r="HA78" s="35"/>
      <c r="HB78" s="35"/>
      <c r="HC78" s="35">
        <v>330827.68</v>
      </c>
      <c r="HD78" s="36"/>
      <c r="HE78" s="35"/>
      <c r="HF78" s="35"/>
      <c r="HG78" s="35"/>
      <c r="HH78" s="35"/>
      <c r="HI78" s="35"/>
      <c r="HJ78" s="35">
        <v>330827.68</v>
      </c>
      <c r="HK78" s="35"/>
      <c r="HL78" s="85"/>
      <c r="HM78" s="27"/>
      <c r="HN78" s="36"/>
      <c r="HO78" s="85"/>
      <c r="HP78" s="35"/>
      <c r="HQ78" s="35">
        <v>82941100</v>
      </c>
      <c r="HR78" s="35">
        <v>36135500</v>
      </c>
      <c r="HS78" s="35">
        <v>46805600</v>
      </c>
      <c r="HT78" s="35">
        <v>36135500</v>
      </c>
      <c r="HU78" s="35"/>
      <c r="HV78" s="36"/>
      <c r="HW78" s="35">
        <v>82941100</v>
      </c>
      <c r="HX78" s="35">
        <v>36135500</v>
      </c>
      <c r="HY78" s="35"/>
      <c r="HZ78" s="35">
        <v>46805600</v>
      </c>
      <c r="IA78" s="35">
        <v>56.432340000000003</v>
      </c>
      <c r="IB78" s="35"/>
      <c r="IC78" s="35"/>
      <c r="ID78" s="85">
        <v>36135500</v>
      </c>
      <c r="IE78" s="27"/>
      <c r="IF78" s="36">
        <v>36135500</v>
      </c>
      <c r="IG78" s="85">
        <v>36135500</v>
      </c>
      <c r="IH78" s="35"/>
      <c r="II78" s="35"/>
      <c r="IJ78" s="35"/>
      <c r="IK78" s="35"/>
      <c r="IL78" s="35"/>
      <c r="IM78" s="35"/>
      <c r="IN78" s="36"/>
      <c r="IO78" s="35"/>
      <c r="IP78" s="35"/>
      <c r="IQ78" s="35"/>
      <c r="IR78" s="35"/>
      <c r="IS78" s="35"/>
      <c r="IT78" s="35"/>
      <c r="IU78" s="35"/>
      <c r="IV78" s="85"/>
      <c r="IW78" s="27"/>
      <c r="IX78" s="36"/>
      <c r="IY78" s="85"/>
      <c r="IZ78" s="35"/>
      <c r="JA78" s="35"/>
      <c r="JB78" s="35"/>
      <c r="JC78" s="35"/>
      <c r="JD78" s="35"/>
      <c r="JE78" s="35"/>
      <c r="JF78" s="36"/>
      <c r="JG78" s="35"/>
      <c r="JH78" s="35"/>
      <c r="JI78" s="35"/>
      <c r="JJ78" s="35"/>
      <c r="JK78" s="35"/>
      <c r="JL78" s="35"/>
      <c r="JM78" s="35"/>
      <c r="JN78" s="85"/>
      <c r="JO78" s="27"/>
      <c r="JP78" s="36"/>
      <c r="JQ78" s="85"/>
      <c r="JR78" s="35"/>
      <c r="JS78" s="35"/>
      <c r="JT78" s="35"/>
      <c r="JU78" s="35"/>
      <c r="JV78" s="35"/>
      <c r="JW78" s="35"/>
      <c r="JX78" s="36"/>
      <c r="JY78" s="35"/>
      <c r="JZ78" s="35"/>
      <c r="KA78" s="35"/>
      <c r="KB78" s="35"/>
      <c r="KC78" s="35"/>
      <c r="KD78" s="35"/>
      <c r="KE78" s="35"/>
      <c r="KF78" s="85"/>
      <c r="KG78" s="27"/>
      <c r="KH78" s="36"/>
      <c r="KI78" s="85"/>
      <c r="KJ78" s="35"/>
      <c r="KK78" s="35">
        <v>29420000</v>
      </c>
      <c r="KL78" s="35">
        <v>1178000</v>
      </c>
      <c r="KM78" s="35">
        <v>28242000</v>
      </c>
      <c r="KN78" s="35">
        <v>1143886.05</v>
      </c>
      <c r="KO78" s="35"/>
      <c r="KP78" s="36"/>
      <c r="KQ78" s="35">
        <v>29385886.050000001</v>
      </c>
      <c r="KR78" s="35">
        <v>1143886.05</v>
      </c>
      <c r="KS78" s="35"/>
      <c r="KT78" s="35">
        <v>28242000</v>
      </c>
      <c r="KU78" s="35">
        <v>96.10736</v>
      </c>
      <c r="KV78" s="35"/>
      <c r="KW78" s="35"/>
      <c r="KX78" s="85">
        <v>1143886.05</v>
      </c>
      <c r="KY78" s="27"/>
      <c r="KZ78" s="36">
        <v>1178000</v>
      </c>
      <c r="LA78" s="85">
        <v>1178000</v>
      </c>
      <c r="LB78" s="35"/>
      <c r="LC78" s="35"/>
      <c r="LD78" s="35"/>
      <c r="LE78" s="35"/>
      <c r="LF78" s="35"/>
      <c r="LG78" s="35"/>
      <c r="LH78" s="36"/>
      <c r="LI78" s="35"/>
      <c r="LJ78" s="35"/>
      <c r="LK78" s="35"/>
      <c r="LL78" s="35"/>
      <c r="LM78" s="35"/>
      <c r="LN78" s="35"/>
      <c r="LO78" s="35"/>
      <c r="LP78" s="85"/>
      <c r="LQ78" s="27"/>
      <c r="LR78" s="36"/>
      <c r="LS78" s="85"/>
      <c r="LT78" s="35"/>
      <c r="LU78" s="35">
        <v>4687000</v>
      </c>
      <c r="LV78" s="35">
        <v>1687000</v>
      </c>
      <c r="LW78" s="35">
        <v>3000000</v>
      </c>
      <c r="LX78" s="35">
        <v>1687000</v>
      </c>
      <c r="LY78" s="35"/>
      <c r="LZ78" s="36"/>
      <c r="MA78" s="35">
        <v>4687000</v>
      </c>
      <c r="MB78" s="35">
        <v>1687000</v>
      </c>
      <c r="MC78" s="35"/>
      <c r="MD78" s="35">
        <v>3000000</v>
      </c>
      <c r="ME78" s="35">
        <v>64.006829999999994</v>
      </c>
      <c r="MF78" s="35"/>
      <c r="MG78" s="35"/>
      <c r="MH78" s="85">
        <v>1687000</v>
      </c>
      <c r="MI78" s="27"/>
      <c r="MJ78" s="36">
        <v>1687000</v>
      </c>
      <c r="MK78" s="85">
        <v>1687000</v>
      </c>
      <c r="ML78" s="35"/>
      <c r="MM78" s="35"/>
      <c r="MN78" s="35"/>
      <c r="MO78" s="35"/>
      <c r="MP78" s="35"/>
      <c r="MQ78" s="35"/>
      <c r="MR78" s="36"/>
      <c r="MS78" s="35"/>
      <c r="MT78" s="35"/>
      <c r="MU78" s="35"/>
      <c r="MV78" s="35"/>
      <c r="MW78" s="35"/>
      <c r="MX78" s="35"/>
      <c r="MY78" s="35"/>
      <c r="MZ78" s="85"/>
      <c r="NA78" s="27"/>
      <c r="NB78" s="36"/>
      <c r="NC78" s="85"/>
      <c r="ND78" s="35"/>
      <c r="NE78" s="35"/>
      <c r="NF78" s="35"/>
      <c r="NG78" s="35"/>
      <c r="NH78" s="35"/>
      <c r="NI78" s="35"/>
      <c r="NJ78" s="36"/>
      <c r="NK78" s="35"/>
      <c r="NL78" s="35"/>
      <c r="NM78" s="35"/>
      <c r="NN78" s="35"/>
      <c r="NO78" s="35"/>
      <c r="NP78" s="35"/>
      <c r="NQ78" s="35"/>
      <c r="NR78" s="85"/>
      <c r="NS78" s="27"/>
      <c r="NT78" s="36"/>
      <c r="NU78" s="85"/>
      <c r="NV78" s="35"/>
      <c r="NW78" s="35"/>
      <c r="NX78" s="35"/>
      <c r="NY78" s="35"/>
      <c r="NZ78" s="35"/>
      <c r="OA78" s="35"/>
      <c r="OB78" s="36"/>
      <c r="OC78" s="35"/>
      <c r="OD78" s="35"/>
      <c r="OE78" s="35"/>
      <c r="OF78" s="35"/>
      <c r="OG78" s="35"/>
      <c r="OH78" s="35"/>
      <c r="OI78" s="35"/>
      <c r="OJ78" s="85"/>
      <c r="OK78" s="27"/>
      <c r="OL78" s="36"/>
      <c r="OM78" s="85"/>
      <c r="ON78" s="35"/>
      <c r="OO78" s="35">
        <v>7377000</v>
      </c>
      <c r="OP78" s="35">
        <v>2377000</v>
      </c>
      <c r="OQ78" s="35">
        <v>5000000</v>
      </c>
      <c r="OR78" s="35">
        <v>2318316.88</v>
      </c>
      <c r="OS78" s="35"/>
      <c r="OT78" s="36"/>
      <c r="OU78" s="35">
        <v>7194876.8799999999</v>
      </c>
      <c r="OV78" s="35">
        <v>2318316.88</v>
      </c>
      <c r="OW78" s="35"/>
      <c r="OX78" s="35">
        <v>4876560</v>
      </c>
      <c r="OY78" s="35">
        <v>67.778229999999994</v>
      </c>
      <c r="OZ78" s="35"/>
      <c r="PA78" s="35"/>
      <c r="PB78" s="85">
        <v>2318316.88</v>
      </c>
      <c r="PC78" s="27"/>
      <c r="PD78" s="36">
        <v>2377000</v>
      </c>
      <c r="PE78" s="85">
        <v>2377000</v>
      </c>
      <c r="PF78" s="35"/>
      <c r="PG78" s="35"/>
      <c r="PH78" s="35"/>
      <c r="PI78" s="35"/>
      <c r="PJ78" s="35"/>
      <c r="PK78" s="35"/>
      <c r="PL78" s="36"/>
      <c r="PM78" s="35"/>
      <c r="PN78" s="35"/>
      <c r="PO78" s="35"/>
      <c r="PP78" s="35"/>
      <c r="PQ78" s="35"/>
      <c r="PR78" s="35"/>
      <c r="PS78" s="35"/>
      <c r="PT78" s="85"/>
      <c r="PU78" s="27"/>
      <c r="PV78" s="36"/>
      <c r="PW78" s="85"/>
      <c r="PX78" s="35"/>
      <c r="PY78" s="35"/>
      <c r="PZ78" s="35"/>
      <c r="QA78" s="35"/>
      <c r="QB78" s="35"/>
      <c r="QC78" s="35">
        <v>6387223.5599999996</v>
      </c>
      <c r="QD78" s="36"/>
      <c r="QE78" s="35"/>
      <c r="QF78" s="35"/>
      <c r="QG78" s="35"/>
      <c r="QH78" s="35"/>
      <c r="QI78" s="35"/>
      <c r="QJ78" s="35">
        <v>6387223.5599999996</v>
      </c>
      <c r="QK78" s="35"/>
      <c r="QL78" s="85"/>
      <c r="QM78" s="27"/>
      <c r="QN78" s="36"/>
      <c r="QO78" s="85"/>
    </row>
    <row r="79" spans="1:457" x14ac:dyDescent="0.25">
      <c r="A79" s="8" t="s">
        <v>171</v>
      </c>
      <c r="B79" s="174">
        <v>65</v>
      </c>
      <c r="C79" s="12" t="s">
        <v>173</v>
      </c>
      <c r="F79" s="32"/>
      <c r="G79" s="33"/>
      <c r="H79" s="32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86"/>
      <c r="Z79" s="148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86"/>
      <c r="AR79" s="148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86"/>
      <c r="BJ79" s="148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86"/>
      <c r="CB79" s="148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86"/>
      <c r="CT79" s="148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86"/>
      <c r="DL79" s="148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86"/>
      <c r="ED79" s="148"/>
      <c r="EE79" s="33"/>
      <c r="EF79" s="33"/>
      <c r="EG79" s="33"/>
      <c r="EH79" s="33"/>
      <c r="EI79" s="33"/>
      <c r="EJ79" s="33"/>
      <c r="EK79" s="33"/>
      <c r="EL79" s="33"/>
      <c r="EM79" s="33"/>
      <c r="EN79" s="33"/>
      <c r="EO79" s="33"/>
      <c r="EP79" s="33"/>
      <c r="EQ79" s="33"/>
      <c r="ER79" s="33"/>
      <c r="ES79" s="33"/>
      <c r="ET79" s="33"/>
      <c r="EU79" s="86"/>
      <c r="EV79" s="148"/>
      <c r="EW79" s="33"/>
      <c r="EX79" s="33"/>
      <c r="EY79" s="33"/>
      <c r="EZ79" s="33"/>
      <c r="FA79" s="33"/>
      <c r="FB79" s="33"/>
      <c r="FC79" s="33"/>
      <c r="FD79" s="33"/>
      <c r="FE79" s="33"/>
      <c r="FF79" s="33"/>
      <c r="FG79" s="33"/>
      <c r="FH79" s="33"/>
      <c r="FI79" s="33"/>
      <c r="FJ79" s="33"/>
      <c r="FK79" s="33"/>
      <c r="FL79" s="33"/>
      <c r="FM79" s="86"/>
      <c r="FN79" s="148"/>
      <c r="FO79" s="33"/>
      <c r="FP79" s="33"/>
      <c r="FQ79" s="33"/>
      <c r="FR79" s="33"/>
      <c r="FS79" s="33"/>
      <c r="FT79" s="33"/>
      <c r="FU79" s="33"/>
      <c r="FV79" s="33"/>
      <c r="FW79" s="33"/>
      <c r="FX79" s="33"/>
      <c r="FY79" s="33"/>
      <c r="FZ79" s="33"/>
      <c r="GA79" s="33"/>
      <c r="GB79" s="33"/>
      <c r="GC79" s="33"/>
      <c r="GD79" s="33"/>
      <c r="GE79" s="86"/>
      <c r="GF79" s="148"/>
      <c r="GG79" s="33"/>
      <c r="GH79" s="33"/>
      <c r="GI79" s="33"/>
      <c r="GJ79" s="33"/>
      <c r="GK79" s="33"/>
      <c r="GL79" s="33"/>
      <c r="GM79" s="33"/>
      <c r="GN79" s="33"/>
      <c r="GO79" s="33"/>
      <c r="GP79" s="33"/>
      <c r="GQ79" s="33"/>
      <c r="GR79" s="33"/>
      <c r="GS79" s="33"/>
      <c r="GT79" s="33"/>
      <c r="GU79" s="33"/>
      <c r="GV79" s="33"/>
      <c r="GW79" s="86"/>
      <c r="GX79" s="148"/>
      <c r="GY79" s="33"/>
      <c r="GZ79" s="33"/>
      <c r="HA79" s="33"/>
      <c r="HB79" s="33"/>
      <c r="HC79" s="33"/>
      <c r="HD79" s="33"/>
      <c r="HE79" s="33"/>
      <c r="HF79" s="33"/>
      <c r="HG79" s="33"/>
      <c r="HH79" s="33"/>
      <c r="HI79" s="33"/>
      <c r="HJ79" s="33"/>
      <c r="HK79" s="33"/>
      <c r="HL79" s="33"/>
      <c r="HM79" s="33"/>
      <c r="HN79" s="33"/>
      <c r="HO79" s="86"/>
      <c r="HP79" s="148"/>
      <c r="HQ79" s="33"/>
      <c r="HR79" s="33"/>
      <c r="HS79" s="33"/>
      <c r="HT79" s="33"/>
      <c r="HU79" s="33"/>
      <c r="HV79" s="33"/>
      <c r="HW79" s="33"/>
      <c r="HX79" s="33"/>
      <c r="HY79" s="33"/>
      <c r="HZ79" s="33"/>
      <c r="IA79" s="33"/>
      <c r="IB79" s="33"/>
      <c r="IC79" s="33"/>
      <c r="ID79" s="33"/>
      <c r="IE79" s="33"/>
      <c r="IF79" s="33"/>
      <c r="IG79" s="86"/>
      <c r="IH79" s="148"/>
      <c r="II79" s="33"/>
      <c r="IJ79" s="33"/>
      <c r="IK79" s="33"/>
      <c r="IL79" s="33"/>
      <c r="IM79" s="33"/>
      <c r="IN79" s="33"/>
      <c r="IO79" s="33"/>
      <c r="IP79" s="33"/>
      <c r="IQ79" s="33"/>
      <c r="IR79" s="33"/>
      <c r="IS79" s="33"/>
      <c r="IT79" s="33"/>
      <c r="IU79" s="33"/>
      <c r="IV79" s="33"/>
      <c r="IW79" s="33"/>
      <c r="IX79" s="33"/>
      <c r="IY79" s="86"/>
      <c r="IZ79" s="148"/>
      <c r="JA79" s="33"/>
      <c r="JB79" s="33"/>
      <c r="JC79" s="33"/>
      <c r="JD79" s="33"/>
      <c r="JE79" s="33"/>
      <c r="JF79" s="33"/>
      <c r="JG79" s="33"/>
      <c r="JH79" s="33"/>
      <c r="JI79" s="33"/>
      <c r="JJ79" s="33"/>
      <c r="JK79" s="33"/>
      <c r="JL79" s="33"/>
      <c r="JM79" s="33"/>
      <c r="JN79" s="33"/>
      <c r="JO79" s="33"/>
      <c r="JP79" s="33"/>
      <c r="JQ79" s="86"/>
      <c r="JR79" s="148"/>
      <c r="JS79" s="33"/>
      <c r="JT79" s="33"/>
      <c r="JU79" s="33"/>
      <c r="JV79" s="33"/>
      <c r="JW79" s="33"/>
      <c r="JX79" s="33"/>
      <c r="JY79" s="33"/>
      <c r="JZ79" s="33"/>
      <c r="KA79" s="33"/>
      <c r="KB79" s="33"/>
      <c r="KC79" s="33"/>
      <c r="KD79" s="33"/>
      <c r="KE79" s="33"/>
      <c r="KF79" s="33"/>
      <c r="KG79" s="33"/>
      <c r="KH79" s="33"/>
      <c r="KI79" s="86"/>
      <c r="KJ79" s="148"/>
      <c r="KK79" s="33"/>
      <c r="KL79" s="33"/>
      <c r="KM79" s="33"/>
      <c r="KN79" s="33"/>
      <c r="KO79" s="33"/>
      <c r="KP79" s="33"/>
      <c r="KQ79" s="33"/>
      <c r="KR79" s="33"/>
      <c r="KS79" s="33"/>
      <c r="KT79" s="33"/>
      <c r="KU79" s="33"/>
      <c r="KV79" s="33"/>
      <c r="KW79" s="33"/>
      <c r="KX79" s="33"/>
      <c r="KY79" s="33"/>
      <c r="KZ79" s="33"/>
      <c r="LA79" s="86"/>
      <c r="LB79" s="148"/>
      <c r="LC79" s="33"/>
      <c r="LD79" s="33"/>
      <c r="LE79" s="33"/>
      <c r="LF79" s="33"/>
      <c r="LG79" s="33"/>
      <c r="LH79" s="33"/>
      <c r="LI79" s="33"/>
      <c r="LJ79" s="33"/>
      <c r="LK79" s="33"/>
      <c r="LL79" s="33"/>
      <c r="LM79" s="33"/>
      <c r="LN79" s="33"/>
      <c r="LO79" s="33"/>
      <c r="LP79" s="33"/>
      <c r="LQ79" s="33"/>
      <c r="LR79" s="33"/>
      <c r="LS79" s="86"/>
      <c r="LT79" s="148"/>
      <c r="LU79" s="33"/>
      <c r="LV79" s="33"/>
      <c r="LW79" s="33"/>
      <c r="LX79" s="33"/>
      <c r="LY79" s="33"/>
      <c r="LZ79" s="33"/>
      <c r="MA79" s="33"/>
      <c r="MB79" s="33"/>
      <c r="MC79" s="33"/>
      <c r="MD79" s="33"/>
      <c r="ME79" s="33"/>
      <c r="MF79" s="33"/>
      <c r="MG79" s="33"/>
      <c r="MH79" s="33"/>
      <c r="MI79" s="33"/>
      <c r="MJ79" s="33"/>
      <c r="MK79" s="86"/>
      <c r="ML79" s="148"/>
      <c r="MM79" s="33"/>
      <c r="MN79" s="33"/>
      <c r="MO79" s="33"/>
      <c r="MP79" s="33"/>
      <c r="MQ79" s="33"/>
      <c r="MR79" s="33"/>
      <c r="MS79" s="33"/>
      <c r="MT79" s="33"/>
      <c r="MU79" s="33"/>
      <c r="MV79" s="33"/>
      <c r="MW79" s="33"/>
      <c r="MX79" s="33"/>
      <c r="MY79" s="33"/>
      <c r="MZ79" s="33"/>
      <c r="NA79" s="33"/>
      <c r="NB79" s="33"/>
      <c r="NC79" s="86"/>
      <c r="ND79" s="148"/>
      <c r="NE79" s="33"/>
      <c r="NF79" s="33"/>
      <c r="NG79" s="33"/>
      <c r="NH79" s="33"/>
      <c r="NI79" s="33"/>
      <c r="NJ79" s="33"/>
      <c r="NK79" s="33"/>
      <c r="NL79" s="33"/>
      <c r="NM79" s="33"/>
      <c r="NN79" s="33"/>
      <c r="NO79" s="33"/>
      <c r="NP79" s="33"/>
      <c r="NQ79" s="33"/>
      <c r="NR79" s="33"/>
      <c r="NS79" s="33"/>
      <c r="NT79" s="33"/>
      <c r="NU79" s="86"/>
      <c r="NV79" s="148"/>
      <c r="NW79" s="33"/>
      <c r="NX79" s="33"/>
      <c r="NY79" s="33"/>
      <c r="NZ79" s="33"/>
      <c r="OA79" s="33"/>
      <c r="OB79" s="33"/>
      <c r="OC79" s="33"/>
      <c r="OD79" s="33"/>
      <c r="OE79" s="33"/>
      <c r="OF79" s="33"/>
      <c r="OG79" s="33"/>
      <c r="OH79" s="33"/>
      <c r="OI79" s="33"/>
      <c r="OJ79" s="33"/>
      <c r="OK79" s="33"/>
      <c r="OL79" s="33"/>
      <c r="OM79" s="86"/>
      <c r="ON79" s="148"/>
      <c r="OO79" s="33"/>
      <c r="OP79" s="33"/>
      <c r="OQ79" s="33"/>
      <c r="OR79" s="33"/>
      <c r="OS79" s="33"/>
      <c r="OT79" s="33"/>
      <c r="OU79" s="33"/>
      <c r="OV79" s="33"/>
      <c r="OW79" s="33"/>
      <c r="OX79" s="33"/>
      <c r="OY79" s="33"/>
      <c r="OZ79" s="33"/>
      <c r="PA79" s="33"/>
      <c r="PB79" s="33"/>
      <c r="PC79" s="33"/>
      <c r="PD79" s="33"/>
      <c r="PE79" s="86"/>
      <c r="PF79" s="148"/>
      <c r="PG79" s="33"/>
      <c r="PH79" s="33"/>
      <c r="PI79" s="33"/>
      <c r="PJ79" s="33"/>
      <c r="PK79" s="33"/>
      <c r="PL79" s="33"/>
      <c r="PM79" s="33"/>
      <c r="PN79" s="33"/>
      <c r="PO79" s="33"/>
      <c r="PP79" s="33"/>
      <c r="PQ79" s="33"/>
      <c r="PR79" s="33"/>
      <c r="PS79" s="33"/>
      <c r="PT79" s="33"/>
      <c r="PU79" s="33"/>
      <c r="PV79" s="33"/>
      <c r="PW79" s="86"/>
      <c r="PX79" s="148"/>
      <c r="PY79" s="33"/>
      <c r="PZ79" s="33"/>
      <c r="QA79" s="33"/>
      <c r="QB79" s="33"/>
      <c r="QC79" s="33"/>
      <c r="QD79" s="33"/>
      <c r="QE79" s="33"/>
      <c r="QF79" s="33"/>
      <c r="QG79" s="33"/>
      <c r="QH79" s="33"/>
      <c r="QI79" s="33"/>
      <c r="QJ79" s="33"/>
      <c r="QK79" s="33"/>
      <c r="QL79" s="33"/>
      <c r="QM79" s="33"/>
      <c r="QN79" s="33"/>
      <c r="QO79" s="86"/>
    </row>
    <row r="80" spans="1:457" x14ac:dyDescent="0.25">
      <c r="A80" s="8" t="s">
        <v>174</v>
      </c>
      <c r="B80" s="172">
        <v>66</v>
      </c>
      <c r="C80" s="13" t="s">
        <v>176</v>
      </c>
      <c r="F80" s="36">
        <v>718066000</v>
      </c>
      <c r="G80" s="85"/>
      <c r="H80" s="35"/>
      <c r="I80" s="35">
        <v>68106445.489999995</v>
      </c>
      <c r="J80" s="35">
        <v>52000000</v>
      </c>
      <c r="K80" s="35">
        <v>16106445.49</v>
      </c>
      <c r="L80" s="35">
        <v>52000000</v>
      </c>
      <c r="M80" s="35"/>
      <c r="N80" s="36"/>
      <c r="O80" s="35">
        <v>68106445.489999995</v>
      </c>
      <c r="P80" s="35">
        <v>52000000</v>
      </c>
      <c r="Q80" s="35"/>
      <c r="R80" s="35">
        <v>16106445.49</v>
      </c>
      <c r="S80" s="35">
        <v>23.64893</v>
      </c>
      <c r="T80" s="35"/>
      <c r="U80" s="35"/>
      <c r="V80" s="85">
        <v>52000000</v>
      </c>
      <c r="W80" s="27"/>
      <c r="X80" s="36">
        <v>52000000</v>
      </c>
      <c r="Y80" s="85">
        <v>52000000</v>
      </c>
      <c r="Z80" s="35"/>
      <c r="AA80" s="35"/>
      <c r="AB80" s="35"/>
      <c r="AC80" s="35"/>
      <c r="AD80" s="35"/>
      <c r="AE80" s="35"/>
      <c r="AF80" s="36"/>
      <c r="AG80" s="35"/>
      <c r="AH80" s="35"/>
      <c r="AI80" s="35"/>
      <c r="AJ80" s="35"/>
      <c r="AK80" s="35"/>
      <c r="AL80" s="35"/>
      <c r="AM80" s="35"/>
      <c r="AN80" s="85"/>
      <c r="AO80" s="27"/>
      <c r="AP80" s="36"/>
      <c r="AQ80" s="85"/>
      <c r="AR80" s="35"/>
      <c r="AS80" s="35">
        <v>55779200</v>
      </c>
      <c r="AT80" s="35">
        <v>34469600</v>
      </c>
      <c r="AU80" s="35">
        <v>21309600</v>
      </c>
      <c r="AV80" s="35">
        <v>34469600</v>
      </c>
      <c r="AW80" s="35"/>
      <c r="AX80" s="36"/>
      <c r="AY80" s="35">
        <v>55779200</v>
      </c>
      <c r="AZ80" s="35">
        <v>34469600</v>
      </c>
      <c r="BA80" s="35"/>
      <c r="BB80" s="35">
        <v>21309600</v>
      </c>
      <c r="BC80" s="35">
        <v>38.203490000000002</v>
      </c>
      <c r="BD80" s="35"/>
      <c r="BE80" s="35"/>
      <c r="BF80" s="85">
        <v>34469600</v>
      </c>
      <c r="BG80" s="27"/>
      <c r="BH80" s="36">
        <v>34469600</v>
      </c>
      <c r="BI80" s="85">
        <v>34469600</v>
      </c>
      <c r="BJ80" s="35"/>
      <c r="BK80" s="35"/>
      <c r="BL80" s="35"/>
      <c r="BM80" s="35"/>
      <c r="BN80" s="35"/>
      <c r="BO80" s="35"/>
      <c r="BP80" s="36"/>
      <c r="BQ80" s="35"/>
      <c r="BR80" s="35"/>
      <c r="BS80" s="35"/>
      <c r="BT80" s="35"/>
      <c r="BU80" s="35"/>
      <c r="BV80" s="35"/>
      <c r="BW80" s="35"/>
      <c r="BX80" s="85"/>
      <c r="BY80" s="27"/>
      <c r="BZ80" s="36"/>
      <c r="CA80" s="85"/>
      <c r="CB80" s="35"/>
      <c r="CC80" s="35">
        <v>261074106</v>
      </c>
      <c r="CD80" s="35">
        <v>248020400</v>
      </c>
      <c r="CE80" s="35">
        <v>13053706</v>
      </c>
      <c r="CF80" s="35">
        <v>248020400</v>
      </c>
      <c r="CG80" s="35"/>
      <c r="CH80" s="36"/>
      <c r="CI80" s="35">
        <v>261074106</v>
      </c>
      <c r="CJ80" s="35">
        <v>248020400</v>
      </c>
      <c r="CK80" s="35"/>
      <c r="CL80" s="35">
        <v>13053706</v>
      </c>
      <c r="CM80" s="35">
        <v>5</v>
      </c>
      <c r="CN80" s="35"/>
      <c r="CO80" s="35"/>
      <c r="CP80" s="85">
        <v>248020400</v>
      </c>
      <c r="CQ80" s="27"/>
      <c r="CR80" s="36">
        <v>248020400</v>
      </c>
      <c r="CS80" s="85">
        <v>248020400</v>
      </c>
      <c r="CT80" s="35"/>
      <c r="CU80" s="35">
        <v>247184739</v>
      </c>
      <c r="CV80" s="35">
        <v>234825500</v>
      </c>
      <c r="CW80" s="35">
        <v>12359239</v>
      </c>
      <c r="CX80" s="35">
        <v>234825500</v>
      </c>
      <c r="CY80" s="35"/>
      <c r="CZ80" s="36"/>
      <c r="DA80" s="35">
        <v>247184739</v>
      </c>
      <c r="DB80" s="35">
        <v>234825500</v>
      </c>
      <c r="DC80" s="35"/>
      <c r="DD80" s="35">
        <v>12359239</v>
      </c>
      <c r="DE80" s="35">
        <v>5</v>
      </c>
      <c r="DF80" s="35"/>
      <c r="DG80" s="35"/>
      <c r="DH80" s="85">
        <v>234825500</v>
      </c>
      <c r="DI80" s="27"/>
      <c r="DJ80" s="36">
        <v>234825500</v>
      </c>
      <c r="DK80" s="85">
        <v>234825500</v>
      </c>
      <c r="DL80" s="35"/>
      <c r="DM80" s="35"/>
      <c r="DN80" s="35"/>
      <c r="DO80" s="35"/>
      <c r="DP80" s="35"/>
      <c r="DQ80" s="35"/>
      <c r="DR80" s="36"/>
      <c r="DS80" s="35"/>
      <c r="DT80" s="35"/>
      <c r="DU80" s="35"/>
      <c r="DV80" s="35"/>
      <c r="DW80" s="35"/>
      <c r="DX80" s="35"/>
      <c r="DY80" s="35"/>
      <c r="DZ80" s="85"/>
      <c r="EA80" s="27"/>
      <c r="EB80" s="36"/>
      <c r="EC80" s="85"/>
      <c r="ED80" s="35"/>
      <c r="EE80" s="35"/>
      <c r="EF80" s="35"/>
      <c r="EG80" s="35"/>
      <c r="EH80" s="35"/>
      <c r="EI80" s="35"/>
      <c r="EJ80" s="36"/>
      <c r="EK80" s="35"/>
      <c r="EL80" s="35"/>
      <c r="EM80" s="35"/>
      <c r="EN80" s="35"/>
      <c r="EO80" s="35"/>
      <c r="EP80" s="35"/>
      <c r="EQ80" s="35"/>
      <c r="ER80" s="85"/>
      <c r="ES80" s="27"/>
      <c r="ET80" s="36">
        <v>0</v>
      </c>
      <c r="EU80" s="85">
        <v>0</v>
      </c>
      <c r="EV80" s="35"/>
      <c r="EW80" s="35"/>
      <c r="EX80" s="35"/>
      <c r="EY80" s="35"/>
      <c r="EZ80" s="35"/>
      <c r="FA80" s="35"/>
      <c r="FB80" s="36"/>
      <c r="FC80" s="35"/>
      <c r="FD80" s="35"/>
      <c r="FE80" s="35"/>
      <c r="FF80" s="35"/>
      <c r="FG80" s="35"/>
      <c r="FH80" s="35"/>
      <c r="FI80" s="35"/>
      <c r="FJ80" s="85"/>
      <c r="FK80" s="27"/>
      <c r="FL80" s="36"/>
      <c r="FM80" s="85"/>
      <c r="FN80" s="35"/>
      <c r="FO80" s="35">
        <v>8687800</v>
      </c>
      <c r="FP80" s="35">
        <v>7819000</v>
      </c>
      <c r="FQ80" s="35">
        <v>868800</v>
      </c>
      <c r="FR80" s="35">
        <v>7819000</v>
      </c>
      <c r="FS80" s="35"/>
      <c r="FT80" s="36"/>
      <c r="FU80" s="35">
        <v>8687800</v>
      </c>
      <c r="FV80" s="35">
        <v>7819000</v>
      </c>
      <c r="FW80" s="35"/>
      <c r="FX80" s="35">
        <v>868800</v>
      </c>
      <c r="FY80" s="35">
        <v>10.00023</v>
      </c>
      <c r="FZ80" s="35"/>
      <c r="GA80" s="35"/>
      <c r="GB80" s="85">
        <v>7819000</v>
      </c>
      <c r="GC80" s="27"/>
      <c r="GD80" s="36">
        <v>7819000</v>
      </c>
      <c r="GE80" s="85">
        <v>7819000</v>
      </c>
      <c r="GF80" s="35"/>
      <c r="GG80" s="35">
        <v>76909293.200000003</v>
      </c>
      <c r="GH80" s="35">
        <v>31117500</v>
      </c>
      <c r="GI80" s="35">
        <v>45791793.200000003</v>
      </c>
      <c r="GJ80" s="35">
        <v>31117500</v>
      </c>
      <c r="GK80" s="35"/>
      <c r="GL80" s="36"/>
      <c r="GM80" s="35">
        <v>76909293.200000003</v>
      </c>
      <c r="GN80" s="35">
        <v>31117500</v>
      </c>
      <c r="GO80" s="35"/>
      <c r="GP80" s="35">
        <v>45791793.200000003</v>
      </c>
      <c r="GQ80" s="35">
        <v>59.54</v>
      </c>
      <c r="GR80" s="35"/>
      <c r="GS80" s="35"/>
      <c r="GT80" s="85">
        <v>31117500</v>
      </c>
      <c r="GU80" s="27"/>
      <c r="GV80" s="36">
        <v>31117500</v>
      </c>
      <c r="GW80" s="85">
        <v>31117500</v>
      </c>
      <c r="GX80" s="35"/>
      <c r="GY80" s="35"/>
      <c r="GZ80" s="35"/>
      <c r="HA80" s="35"/>
      <c r="HB80" s="35"/>
      <c r="HC80" s="35"/>
      <c r="HD80" s="36"/>
      <c r="HE80" s="35"/>
      <c r="HF80" s="35"/>
      <c r="HG80" s="35"/>
      <c r="HH80" s="35"/>
      <c r="HI80" s="35"/>
      <c r="HJ80" s="35"/>
      <c r="HK80" s="35"/>
      <c r="HL80" s="85"/>
      <c r="HM80" s="27"/>
      <c r="HN80" s="36"/>
      <c r="HO80" s="85"/>
      <c r="HP80" s="35"/>
      <c r="HQ80" s="35">
        <v>111750938.14</v>
      </c>
      <c r="HR80" s="35">
        <v>56239000</v>
      </c>
      <c r="HS80" s="35">
        <v>55511938.140000001</v>
      </c>
      <c r="HT80" s="35">
        <v>56239000</v>
      </c>
      <c r="HU80" s="35"/>
      <c r="HV80" s="36"/>
      <c r="HW80" s="35">
        <v>111750938.14</v>
      </c>
      <c r="HX80" s="35">
        <v>56239000</v>
      </c>
      <c r="HY80" s="35"/>
      <c r="HZ80" s="35">
        <v>55511938.140000001</v>
      </c>
      <c r="IA80" s="35">
        <v>49.674700000000001</v>
      </c>
      <c r="IB80" s="35"/>
      <c r="IC80" s="35"/>
      <c r="ID80" s="85">
        <v>56239000</v>
      </c>
      <c r="IE80" s="27"/>
      <c r="IF80" s="36">
        <v>56239000</v>
      </c>
      <c r="IG80" s="85">
        <v>56239000</v>
      </c>
      <c r="IH80" s="35"/>
      <c r="II80" s="35"/>
      <c r="IJ80" s="35"/>
      <c r="IK80" s="35"/>
      <c r="IL80" s="35"/>
      <c r="IM80" s="35"/>
      <c r="IN80" s="36"/>
      <c r="IO80" s="35"/>
      <c r="IP80" s="35"/>
      <c r="IQ80" s="35"/>
      <c r="IR80" s="35"/>
      <c r="IS80" s="35"/>
      <c r="IT80" s="35"/>
      <c r="IU80" s="35"/>
      <c r="IV80" s="85"/>
      <c r="IW80" s="27"/>
      <c r="IX80" s="36"/>
      <c r="IY80" s="85"/>
      <c r="IZ80" s="35"/>
      <c r="JA80" s="35"/>
      <c r="JB80" s="35"/>
      <c r="JC80" s="35"/>
      <c r="JD80" s="35"/>
      <c r="JE80" s="35"/>
      <c r="JF80" s="36"/>
      <c r="JG80" s="35"/>
      <c r="JH80" s="35"/>
      <c r="JI80" s="35"/>
      <c r="JJ80" s="35"/>
      <c r="JK80" s="35"/>
      <c r="JL80" s="35"/>
      <c r="JM80" s="35"/>
      <c r="JN80" s="85"/>
      <c r="JO80" s="27"/>
      <c r="JP80" s="36"/>
      <c r="JQ80" s="85"/>
      <c r="JR80" s="35"/>
      <c r="JS80" s="35"/>
      <c r="JT80" s="35"/>
      <c r="JU80" s="35"/>
      <c r="JV80" s="35"/>
      <c r="JW80" s="35"/>
      <c r="JX80" s="36"/>
      <c r="JY80" s="35"/>
      <c r="JZ80" s="35"/>
      <c r="KA80" s="35"/>
      <c r="KB80" s="35"/>
      <c r="KC80" s="35"/>
      <c r="KD80" s="35"/>
      <c r="KE80" s="35"/>
      <c r="KF80" s="85"/>
      <c r="KG80" s="27"/>
      <c r="KH80" s="36"/>
      <c r="KI80" s="85"/>
      <c r="KJ80" s="35"/>
      <c r="KK80" s="35">
        <v>3307240.71</v>
      </c>
      <c r="KL80" s="35">
        <v>507000</v>
      </c>
      <c r="KM80" s="35">
        <v>2800240.71</v>
      </c>
      <c r="KN80" s="35">
        <v>507000</v>
      </c>
      <c r="KO80" s="35"/>
      <c r="KP80" s="36"/>
      <c r="KQ80" s="35">
        <v>3307240.71</v>
      </c>
      <c r="KR80" s="35">
        <v>507000</v>
      </c>
      <c r="KS80" s="35"/>
      <c r="KT80" s="35">
        <v>2800240.71</v>
      </c>
      <c r="KU80" s="35">
        <v>84.67</v>
      </c>
      <c r="KV80" s="35"/>
      <c r="KW80" s="35"/>
      <c r="KX80" s="85">
        <v>507000</v>
      </c>
      <c r="KY80" s="27"/>
      <c r="KZ80" s="36">
        <v>507000</v>
      </c>
      <c r="LA80" s="85">
        <v>507000</v>
      </c>
      <c r="LB80" s="35"/>
      <c r="LC80" s="35"/>
      <c r="LD80" s="35"/>
      <c r="LE80" s="35"/>
      <c r="LF80" s="35"/>
      <c r="LG80" s="35"/>
      <c r="LH80" s="36"/>
      <c r="LI80" s="35"/>
      <c r="LJ80" s="35"/>
      <c r="LK80" s="35"/>
      <c r="LL80" s="35"/>
      <c r="LM80" s="35"/>
      <c r="LN80" s="35"/>
      <c r="LO80" s="35"/>
      <c r="LP80" s="85"/>
      <c r="LQ80" s="27"/>
      <c r="LR80" s="36"/>
      <c r="LS80" s="85"/>
      <c r="LT80" s="35"/>
      <c r="LU80" s="35">
        <v>3497800</v>
      </c>
      <c r="LV80" s="35">
        <v>1184000</v>
      </c>
      <c r="LW80" s="35">
        <v>2313800</v>
      </c>
      <c r="LX80" s="35">
        <v>1184000</v>
      </c>
      <c r="LY80" s="35"/>
      <c r="LZ80" s="36"/>
      <c r="MA80" s="35">
        <v>3497800</v>
      </c>
      <c r="MB80" s="35">
        <v>1184000</v>
      </c>
      <c r="MC80" s="35"/>
      <c r="MD80" s="35">
        <v>2313800</v>
      </c>
      <c r="ME80" s="35">
        <v>66.150149999999996</v>
      </c>
      <c r="MF80" s="35"/>
      <c r="MG80" s="35"/>
      <c r="MH80" s="85">
        <v>1184000</v>
      </c>
      <c r="MI80" s="27"/>
      <c r="MJ80" s="36">
        <v>1184000</v>
      </c>
      <c r="MK80" s="85">
        <v>1184000</v>
      </c>
      <c r="ML80" s="35"/>
      <c r="MM80" s="35"/>
      <c r="MN80" s="35"/>
      <c r="MO80" s="35"/>
      <c r="MP80" s="35"/>
      <c r="MQ80" s="35"/>
      <c r="MR80" s="36"/>
      <c r="MS80" s="35"/>
      <c r="MT80" s="35"/>
      <c r="MU80" s="35"/>
      <c r="MV80" s="35"/>
      <c r="MW80" s="35"/>
      <c r="MX80" s="35"/>
      <c r="MY80" s="35"/>
      <c r="MZ80" s="85"/>
      <c r="NA80" s="27"/>
      <c r="NB80" s="36"/>
      <c r="NC80" s="85"/>
      <c r="ND80" s="35"/>
      <c r="NE80" s="35">
        <v>95064363.010000005</v>
      </c>
      <c r="NF80" s="35">
        <v>50070400</v>
      </c>
      <c r="NG80" s="35">
        <v>44993963.009999998</v>
      </c>
      <c r="NH80" s="35">
        <v>50070400</v>
      </c>
      <c r="NI80" s="35"/>
      <c r="NJ80" s="36"/>
      <c r="NK80" s="35">
        <v>95064363.010000005</v>
      </c>
      <c r="NL80" s="35">
        <v>50070400</v>
      </c>
      <c r="NM80" s="35"/>
      <c r="NN80" s="35">
        <v>44993963.009999998</v>
      </c>
      <c r="NO80" s="35">
        <v>47.33</v>
      </c>
      <c r="NP80" s="35"/>
      <c r="NQ80" s="35"/>
      <c r="NR80" s="85">
        <v>50070400</v>
      </c>
      <c r="NS80" s="27"/>
      <c r="NT80" s="36">
        <v>50070400</v>
      </c>
      <c r="NU80" s="85">
        <v>50070400</v>
      </c>
      <c r="NV80" s="35"/>
      <c r="NW80" s="35"/>
      <c r="NX80" s="35"/>
      <c r="NY80" s="35"/>
      <c r="NZ80" s="35"/>
      <c r="OA80" s="35"/>
      <c r="OB80" s="36"/>
      <c r="OC80" s="35"/>
      <c r="OD80" s="35"/>
      <c r="OE80" s="35"/>
      <c r="OF80" s="35"/>
      <c r="OG80" s="35"/>
      <c r="OH80" s="35"/>
      <c r="OI80" s="35"/>
      <c r="OJ80" s="85"/>
      <c r="OK80" s="27"/>
      <c r="OL80" s="36"/>
      <c r="OM80" s="85"/>
      <c r="ON80" s="35"/>
      <c r="OO80" s="35">
        <v>4813600</v>
      </c>
      <c r="OP80" s="35">
        <v>1813600</v>
      </c>
      <c r="OQ80" s="35">
        <v>3000000</v>
      </c>
      <c r="OR80" s="35">
        <v>1813600</v>
      </c>
      <c r="OS80" s="35"/>
      <c r="OT80" s="36"/>
      <c r="OU80" s="35">
        <v>4813600</v>
      </c>
      <c r="OV80" s="35">
        <v>1813600</v>
      </c>
      <c r="OW80" s="35"/>
      <c r="OX80" s="35">
        <v>3000000</v>
      </c>
      <c r="OY80" s="35">
        <v>62.323419999999999</v>
      </c>
      <c r="OZ80" s="35"/>
      <c r="PA80" s="35"/>
      <c r="PB80" s="85">
        <v>1813600</v>
      </c>
      <c r="PC80" s="27"/>
      <c r="PD80" s="36">
        <v>1813600</v>
      </c>
      <c r="PE80" s="85">
        <v>1813600</v>
      </c>
      <c r="PF80" s="35"/>
      <c r="PG80" s="35"/>
      <c r="PH80" s="35"/>
      <c r="PI80" s="35"/>
      <c r="PJ80" s="35"/>
      <c r="PK80" s="35"/>
      <c r="PL80" s="36"/>
      <c r="PM80" s="35"/>
      <c r="PN80" s="35"/>
      <c r="PO80" s="35"/>
      <c r="PP80" s="35"/>
      <c r="PQ80" s="35"/>
      <c r="PR80" s="35"/>
      <c r="PS80" s="35"/>
      <c r="PT80" s="85"/>
      <c r="PU80" s="27"/>
      <c r="PV80" s="36"/>
      <c r="PW80" s="85"/>
      <c r="PX80" s="35"/>
      <c r="PY80" s="35"/>
      <c r="PZ80" s="35"/>
      <c r="QA80" s="35"/>
      <c r="QB80" s="35"/>
      <c r="QC80" s="35">
        <v>65306885.689999998</v>
      </c>
      <c r="QD80" s="36"/>
      <c r="QE80" s="35"/>
      <c r="QF80" s="35"/>
      <c r="QG80" s="35"/>
      <c r="QH80" s="35"/>
      <c r="QI80" s="35"/>
      <c r="QJ80" s="35">
        <v>65306885.689999998</v>
      </c>
      <c r="QK80" s="35"/>
      <c r="QL80" s="85"/>
      <c r="QM80" s="27"/>
      <c r="QN80" s="36"/>
      <c r="QO80" s="85"/>
    </row>
    <row r="81" spans="1:457" x14ac:dyDescent="0.25">
      <c r="A81" s="8" t="s">
        <v>177</v>
      </c>
      <c r="B81" s="174">
        <v>67</v>
      </c>
      <c r="C81" s="13" t="s">
        <v>179</v>
      </c>
      <c r="F81" s="36">
        <v>1153938800</v>
      </c>
      <c r="G81" s="85"/>
      <c r="H81" s="35"/>
      <c r="I81" s="35">
        <v>344538097</v>
      </c>
      <c r="J81" s="35">
        <v>273428600</v>
      </c>
      <c r="K81" s="35">
        <v>71109497</v>
      </c>
      <c r="L81" s="35">
        <v>264219734.75</v>
      </c>
      <c r="M81" s="35"/>
      <c r="N81" s="36"/>
      <c r="O81" s="35">
        <v>333074134.69999999</v>
      </c>
      <c r="P81" s="35">
        <v>264219734.75</v>
      </c>
      <c r="Q81" s="35"/>
      <c r="R81" s="35">
        <v>68854399.950000003</v>
      </c>
      <c r="S81" s="35">
        <v>20.67239</v>
      </c>
      <c r="T81" s="35"/>
      <c r="U81" s="35"/>
      <c r="V81" s="85">
        <v>264219734.75</v>
      </c>
      <c r="W81" s="27"/>
      <c r="X81" s="36">
        <v>273428600</v>
      </c>
      <c r="Y81" s="85">
        <v>273428600</v>
      </c>
      <c r="Z81" s="35"/>
      <c r="AA81" s="35"/>
      <c r="AB81" s="35"/>
      <c r="AC81" s="35"/>
      <c r="AD81" s="35"/>
      <c r="AE81" s="35"/>
      <c r="AF81" s="36"/>
      <c r="AG81" s="35"/>
      <c r="AH81" s="35"/>
      <c r="AI81" s="35"/>
      <c r="AJ81" s="35"/>
      <c r="AK81" s="35"/>
      <c r="AL81" s="35"/>
      <c r="AM81" s="35"/>
      <c r="AN81" s="85"/>
      <c r="AO81" s="27"/>
      <c r="AP81" s="36"/>
      <c r="AQ81" s="85"/>
      <c r="AR81" s="35"/>
      <c r="AS81" s="35">
        <v>1571395300</v>
      </c>
      <c r="AT81" s="35">
        <v>244239300</v>
      </c>
      <c r="AU81" s="35">
        <v>1327156000</v>
      </c>
      <c r="AV81" s="35">
        <v>244239300</v>
      </c>
      <c r="AW81" s="35"/>
      <c r="AX81" s="36"/>
      <c r="AY81" s="35">
        <v>1571395300</v>
      </c>
      <c r="AZ81" s="35">
        <v>244239300</v>
      </c>
      <c r="BA81" s="35"/>
      <c r="BB81" s="35">
        <v>1327156000</v>
      </c>
      <c r="BC81" s="35">
        <v>84.457170000000005</v>
      </c>
      <c r="BD81" s="35"/>
      <c r="BE81" s="35"/>
      <c r="BF81" s="85">
        <v>244239300</v>
      </c>
      <c r="BG81" s="27"/>
      <c r="BH81" s="36">
        <v>244239300</v>
      </c>
      <c r="BI81" s="85">
        <v>244239300</v>
      </c>
      <c r="BJ81" s="35"/>
      <c r="BK81" s="35"/>
      <c r="BL81" s="35"/>
      <c r="BM81" s="35"/>
      <c r="BN81" s="35"/>
      <c r="BO81" s="35"/>
      <c r="BP81" s="36"/>
      <c r="BQ81" s="35"/>
      <c r="BR81" s="35"/>
      <c r="BS81" s="35"/>
      <c r="BT81" s="35"/>
      <c r="BU81" s="35"/>
      <c r="BV81" s="35"/>
      <c r="BW81" s="35"/>
      <c r="BX81" s="85"/>
      <c r="BY81" s="27"/>
      <c r="BZ81" s="36"/>
      <c r="CA81" s="85"/>
      <c r="CB81" s="35"/>
      <c r="CC81" s="35">
        <v>477956400</v>
      </c>
      <c r="CD81" s="35">
        <v>175856400</v>
      </c>
      <c r="CE81" s="35">
        <v>302100000</v>
      </c>
      <c r="CF81" s="35">
        <v>175856400</v>
      </c>
      <c r="CG81" s="35"/>
      <c r="CH81" s="36"/>
      <c r="CI81" s="35">
        <v>477956400</v>
      </c>
      <c r="CJ81" s="35">
        <v>175856400</v>
      </c>
      <c r="CK81" s="35"/>
      <c r="CL81" s="35">
        <v>302100000</v>
      </c>
      <c r="CM81" s="35">
        <v>63.206600000000002</v>
      </c>
      <c r="CN81" s="35"/>
      <c r="CO81" s="35"/>
      <c r="CP81" s="85">
        <v>175856400</v>
      </c>
      <c r="CQ81" s="27"/>
      <c r="CR81" s="36">
        <v>175856400</v>
      </c>
      <c r="CS81" s="85">
        <v>175856400</v>
      </c>
      <c r="CT81" s="35"/>
      <c r="CU81" s="35">
        <v>417560112</v>
      </c>
      <c r="CV81" s="35">
        <v>375804100</v>
      </c>
      <c r="CW81" s="35">
        <v>41756012</v>
      </c>
      <c r="CX81" s="35">
        <v>375804100</v>
      </c>
      <c r="CY81" s="35"/>
      <c r="CZ81" s="36"/>
      <c r="DA81" s="35">
        <v>417560110.01999998</v>
      </c>
      <c r="DB81" s="35">
        <v>375804100</v>
      </c>
      <c r="DC81" s="35"/>
      <c r="DD81" s="35">
        <v>41756010.020000003</v>
      </c>
      <c r="DE81" s="35">
        <v>10</v>
      </c>
      <c r="DF81" s="35"/>
      <c r="DG81" s="35"/>
      <c r="DH81" s="85">
        <v>375804100</v>
      </c>
      <c r="DI81" s="27"/>
      <c r="DJ81" s="36">
        <v>375804100</v>
      </c>
      <c r="DK81" s="85">
        <v>375804100</v>
      </c>
      <c r="DL81" s="35"/>
      <c r="DM81" s="35"/>
      <c r="DN81" s="35"/>
      <c r="DO81" s="35"/>
      <c r="DP81" s="35"/>
      <c r="DQ81" s="35"/>
      <c r="DR81" s="36"/>
      <c r="DS81" s="35"/>
      <c r="DT81" s="35"/>
      <c r="DU81" s="35"/>
      <c r="DV81" s="35"/>
      <c r="DW81" s="35"/>
      <c r="DX81" s="35"/>
      <c r="DY81" s="35"/>
      <c r="DZ81" s="85"/>
      <c r="EA81" s="27"/>
      <c r="EB81" s="36"/>
      <c r="EC81" s="85"/>
      <c r="ED81" s="35"/>
      <c r="EE81" s="35"/>
      <c r="EF81" s="35"/>
      <c r="EG81" s="35"/>
      <c r="EH81" s="35"/>
      <c r="EI81" s="35"/>
      <c r="EJ81" s="36"/>
      <c r="EK81" s="35"/>
      <c r="EL81" s="35"/>
      <c r="EM81" s="35"/>
      <c r="EN81" s="35"/>
      <c r="EO81" s="35"/>
      <c r="EP81" s="35"/>
      <c r="EQ81" s="35"/>
      <c r="ER81" s="85"/>
      <c r="ES81" s="27"/>
      <c r="ET81" s="36"/>
      <c r="EU81" s="85"/>
      <c r="EV81" s="35"/>
      <c r="EW81" s="35">
        <v>37457200</v>
      </c>
      <c r="EX81" s="35">
        <v>14000000</v>
      </c>
      <c r="EY81" s="35">
        <v>23457200</v>
      </c>
      <c r="EZ81" s="35">
        <v>14000000</v>
      </c>
      <c r="FA81" s="35"/>
      <c r="FB81" s="36"/>
      <c r="FC81" s="35">
        <v>37457200</v>
      </c>
      <c r="FD81" s="35">
        <v>14000000</v>
      </c>
      <c r="FE81" s="35"/>
      <c r="FF81" s="35">
        <v>23457200</v>
      </c>
      <c r="FG81" s="35">
        <v>62.624009999999998</v>
      </c>
      <c r="FH81" s="35"/>
      <c r="FI81" s="35"/>
      <c r="FJ81" s="85">
        <v>14000000</v>
      </c>
      <c r="FK81" s="27"/>
      <c r="FL81" s="36">
        <v>14000000</v>
      </c>
      <c r="FM81" s="85">
        <v>14000000</v>
      </c>
      <c r="FN81" s="35"/>
      <c r="FO81" s="35"/>
      <c r="FP81" s="35"/>
      <c r="FQ81" s="35"/>
      <c r="FR81" s="35"/>
      <c r="FS81" s="35"/>
      <c r="FT81" s="36"/>
      <c r="FU81" s="35"/>
      <c r="FV81" s="35"/>
      <c r="FW81" s="35"/>
      <c r="FX81" s="35"/>
      <c r="FY81" s="35"/>
      <c r="FZ81" s="35"/>
      <c r="GA81" s="35"/>
      <c r="GB81" s="85"/>
      <c r="GC81" s="27"/>
      <c r="GD81" s="36"/>
      <c r="GE81" s="85"/>
      <c r="GF81" s="35"/>
      <c r="GG81" s="35">
        <v>189581800</v>
      </c>
      <c r="GH81" s="35">
        <v>51381800</v>
      </c>
      <c r="GI81" s="35">
        <v>138200000</v>
      </c>
      <c r="GJ81" s="35">
        <v>51381800</v>
      </c>
      <c r="GK81" s="35">
        <v>677800</v>
      </c>
      <c r="GL81" s="36"/>
      <c r="GM81" s="35">
        <v>189581800</v>
      </c>
      <c r="GN81" s="35">
        <v>51381800</v>
      </c>
      <c r="GO81" s="35"/>
      <c r="GP81" s="35">
        <v>138200000</v>
      </c>
      <c r="GQ81" s="35">
        <v>72.897289999999998</v>
      </c>
      <c r="GR81" s="35">
        <v>677800</v>
      </c>
      <c r="GS81" s="35"/>
      <c r="GT81" s="85">
        <v>51381800</v>
      </c>
      <c r="GU81" s="27"/>
      <c r="GV81" s="36">
        <v>51381800</v>
      </c>
      <c r="GW81" s="85">
        <v>51381800</v>
      </c>
      <c r="GX81" s="35"/>
      <c r="GY81" s="35"/>
      <c r="GZ81" s="35"/>
      <c r="HA81" s="35"/>
      <c r="HB81" s="35"/>
      <c r="HC81" s="35"/>
      <c r="HD81" s="36"/>
      <c r="HE81" s="35"/>
      <c r="HF81" s="35"/>
      <c r="HG81" s="35"/>
      <c r="HH81" s="35"/>
      <c r="HI81" s="35"/>
      <c r="HJ81" s="35"/>
      <c r="HK81" s="35"/>
      <c r="HL81" s="85"/>
      <c r="HM81" s="27"/>
      <c r="HN81" s="36"/>
      <c r="HO81" s="85"/>
      <c r="HP81" s="35"/>
      <c r="HQ81" s="35">
        <v>80111057</v>
      </c>
      <c r="HR81" s="35">
        <v>19045000</v>
      </c>
      <c r="HS81" s="35">
        <v>61066057</v>
      </c>
      <c r="HT81" s="35">
        <v>17959302.23</v>
      </c>
      <c r="HU81" s="35"/>
      <c r="HV81" s="36"/>
      <c r="HW81" s="35">
        <v>75544167.329999998</v>
      </c>
      <c r="HX81" s="35">
        <v>17959302.23</v>
      </c>
      <c r="HY81" s="35"/>
      <c r="HZ81" s="35">
        <v>57584865.100000001</v>
      </c>
      <c r="IA81" s="35">
        <v>76.226749999999996</v>
      </c>
      <c r="IB81" s="35"/>
      <c r="IC81" s="35"/>
      <c r="ID81" s="85">
        <v>17959302.23</v>
      </c>
      <c r="IE81" s="27"/>
      <c r="IF81" s="36">
        <v>19045000</v>
      </c>
      <c r="IG81" s="85">
        <v>19045000</v>
      </c>
      <c r="IH81" s="35"/>
      <c r="II81" s="35"/>
      <c r="IJ81" s="35"/>
      <c r="IK81" s="35"/>
      <c r="IL81" s="35"/>
      <c r="IM81" s="35"/>
      <c r="IN81" s="36"/>
      <c r="IO81" s="35"/>
      <c r="IP81" s="35"/>
      <c r="IQ81" s="35"/>
      <c r="IR81" s="35"/>
      <c r="IS81" s="35"/>
      <c r="IT81" s="35"/>
      <c r="IU81" s="35"/>
      <c r="IV81" s="85"/>
      <c r="IW81" s="27"/>
      <c r="IX81" s="36"/>
      <c r="IY81" s="85"/>
      <c r="IZ81" s="35"/>
      <c r="JA81" s="35"/>
      <c r="JB81" s="35"/>
      <c r="JC81" s="35"/>
      <c r="JD81" s="35"/>
      <c r="JE81" s="35"/>
      <c r="JF81" s="36"/>
      <c r="JG81" s="35"/>
      <c r="JH81" s="35"/>
      <c r="JI81" s="35"/>
      <c r="JJ81" s="35"/>
      <c r="JK81" s="35"/>
      <c r="JL81" s="35"/>
      <c r="JM81" s="35"/>
      <c r="JN81" s="85"/>
      <c r="JO81" s="27"/>
      <c r="JP81" s="36"/>
      <c r="JQ81" s="85"/>
      <c r="JR81" s="35"/>
      <c r="JS81" s="35"/>
      <c r="JT81" s="35"/>
      <c r="JU81" s="35"/>
      <c r="JV81" s="35"/>
      <c r="JW81" s="35"/>
      <c r="JX81" s="36"/>
      <c r="JY81" s="35"/>
      <c r="JZ81" s="35"/>
      <c r="KA81" s="35"/>
      <c r="KB81" s="35"/>
      <c r="KC81" s="35"/>
      <c r="KD81" s="35"/>
      <c r="KE81" s="35"/>
      <c r="KF81" s="85"/>
      <c r="KG81" s="27"/>
      <c r="KH81" s="36"/>
      <c r="KI81" s="85"/>
      <c r="KJ81" s="35"/>
      <c r="KK81" s="35"/>
      <c r="KL81" s="35"/>
      <c r="KM81" s="35"/>
      <c r="KN81" s="35"/>
      <c r="KO81" s="35"/>
      <c r="KP81" s="36"/>
      <c r="KQ81" s="35"/>
      <c r="KR81" s="35"/>
      <c r="KS81" s="35"/>
      <c r="KT81" s="35"/>
      <c r="KU81" s="35"/>
      <c r="KV81" s="35"/>
      <c r="KW81" s="35"/>
      <c r="KX81" s="85"/>
      <c r="KY81" s="27"/>
      <c r="KZ81" s="36"/>
      <c r="LA81" s="85"/>
      <c r="LB81" s="35"/>
      <c r="LC81" s="35"/>
      <c r="LD81" s="35"/>
      <c r="LE81" s="35"/>
      <c r="LF81" s="35"/>
      <c r="LG81" s="35"/>
      <c r="LH81" s="36"/>
      <c r="LI81" s="35"/>
      <c r="LJ81" s="35"/>
      <c r="LK81" s="35"/>
      <c r="LL81" s="35"/>
      <c r="LM81" s="35"/>
      <c r="LN81" s="35"/>
      <c r="LO81" s="35"/>
      <c r="LP81" s="85"/>
      <c r="LQ81" s="27"/>
      <c r="LR81" s="36"/>
      <c r="LS81" s="85"/>
      <c r="LT81" s="35"/>
      <c r="LU81" s="35"/>
      <c r="LV81" s="35"/>
      <c r="LW81" s="35"/>
      <c r="LX81" s="35"/>
      <c r="LY81" s="35"/>
      <c r="LZ81" s="36"/>
      <c r="MA81" s="35"/>
      <c r="MB81" s="35"/>
      <c r="MC81" s="35"/>
      <c r="MD81" s="35"/>
      <c r="ME81" s="35"/>
      <c r="MF81" s="35"/>
      <c r="MG81" s="35"/>
      <c r="MH81" s="85"/>
      <c r="MI81" s="27"/>
      <c r="MJ81" s="36"/>
      <c r="MK81" s="85"/>
      <c r="ML81" s="35"/>
      <c r="MM81" s="35"/>
      <c r="MN81" s="35"/>
      <c r="MO81" s="35"/>
      <c r="MP81" s="35"/>
      <c r="MQ81" s="35"/>
      <c r="MR81" s="36"/>
      <c r="MS81" s="35"/>
      <c r="MT81" s="35"/>
      <c r="MU81" s="35"/>
      <c r="MV81" s="35"/>
      <c r="MW81" s="35"/>
      <c r="MX81" s="35"/>
      <c r="MY81" s="35"/>
      <c r="MZ81" s="85"/>
      <c r="NA81" s="27"/>
      <c r="NB81" s="36"/>
      <c r="NC81" s="85"/>
      <c r="ND81" s="35"/>
      <c r="NE81" s="35"/>
      <c r="NF81" s="35"/>
      <c r="NG81" s="35"/>
      <c r="NH81" s="35"/>
      <c r="NI81" s="35"/>
      <c r="NJ81" s="36"/>
      <c r="NK81" s="35"/>
      <c r="NL81" s="35"/>
      <c r="NM81" s="35"/>
      <c r="NN81" s="35"/>
      <c r="NO81" s="35"/>
      <c r="NP81" s="35"/>
      <c r="NQ81" s="35"/>
      <c r="NR81" s="85"/>
      <c r="NS81" s="27"/>
      <c r="NT81" s="36"/>
      <c r="NU81" s="85"/>
      <c r="NV81" s="35"/>
      <c r="NW81" s="35"/>
      <c r="NX81" s="35"/>
      <c r="NY81" s="35"/>
      <c r="NZ81" s="35"/>
      <c r="OA81" s="35"/>
      <c r="OB81" s="36"/>
      <c r="OC81" s="35"/>
      <c r="OD81" s="35"/>
      <c r="OE81" s="35"/>
      <c r="OF81" s="35"/>
      <c r="OG81" s="35"/>
      <c r="OH81" s="35"/>
      <c r="OI81" s="35"/>
      <c r="OJ81" s="85"/>
      <c r="OK81" s="27"/>
      <c r="OL81" s="36"/>
      <c r="OM81" s="85"/>
      <c r="ON81" s="35"/>
      <c r="OO81" s="35">
        <v>483600</v>
      </c>
      <c r="OP81" s="35">
        <v>183600</v>
      </c>
      <c r="OQ81" s="35">
        <v>300000</v>
      </c>
      <c r="OR81" s="35">
        <v>183600</v>
      </c>
      <c r="OS81" s="35"/>
      <c r="OT81" s="36"/>
      <c r="OU81" s="35">
        <v>483600</v>
      </c>
      <c r="OV81" s="35">
        <v>183600</v>
      </c>
      <c r="OW81" s="35"/>
      <c r="OX81" s="35">
        <v>300000</v>
      </c>
      <c r="OY81" s="35">
        <v>62.034739999999999</v>
      </c>
      <c r="OZ81" s="35"/>
      <c r="PA81" s="35"/>
      <c r="PB81" s="85">
        <v>183600</v>
      </c>
      <c r="PC81" s="27"/>
      <c r="PD81" s="36">
        <v>183600</v>
      </c>
      <c r="PE81" s="85">
        <v>183600</v>
      </c>
      <c r="PF81" s="35"/>
      <c r="PG81" s="35"/>
      <c r="PH81" s="35"/>
      <c r="PI81" s="35"/>
      <c r="PJ81" s="35"/>
      <c r="PK81" s="35"/>
      <c r="PL81" s="36"/>
      <c r="PM81" s="35"/>
      <c r="PN81" s="35"/>
      <c r="PO81" s="35"/>
      <c r="PP81" s="35"/>
      <c r="PQ81" s="35"/>
      <c r="PR81" s="35"/>
      <c r="PS81" s="35"/>
      <c r="PT81" s="85"/>
      <c r="PU81" s="27"/>
      <c r="PV81" s="36"/>
      <c r="PW81" s="85"/>
      <c r="PX81" s="35"/>
      <c r="PY81" s="35"/>
      <c r="PZ81" s="35"/>
      <c r="QA81" s="35"/>
      <c r="QB81" s="35"/>
      <c r="QC81" s="35">
        <v>6193935.5300000003</v>
      </c>
      <c r="QD81" s="36"/>
      <c r="QE81" s="35"/>
      <c r="QF81" s="35"/>
      <c r="QG81" s="35"/>
      <c r="QH81" s="35"/>
      <c r="QI81" s="35"/>
      <c r="QJ81" s="35">
        <v>6193935.5300000003</v>
      </c>
      <c r="QK81" s="35"/>
      <c r="QL81" s="85"/>
      <c r="QM81" s="27"/>
      <c r="QN81" s="36"/>
      <c r="QO81" s="85"/>
    </row>
    <row r="82" spans="1:457" x14ac:dyDescent="0.25">
      <c r="A82" s="8" t="s">
        <v>180</v>
      </c>
      <c r="B82" s="174">
        <v>68</v>
      </c>
      <c r="C82" s="13" t="s">
        <v>182</v>
      </c>
      <c r="F82" s="36">
        <v>1587474300</v>
      </c>
      <c r="G82" s="85"/>
      <c r="H82" s="35"/>
      <c r="I82" s="35">
        <v>1143446336</v>
      </c>
      <c r="J82" s="35">
        <v>845001600</v>
      </c>
      <c r="K82" s="35">
        <v>298444736</v>
      </c>
      <c r="L82" s="35">
        <v>756970338.94000006</v>
      </c>
      <c r="M82" s="35"/>
      <c r="N82" s="36"/>
      <c r="O82" s="35">
        <v>1026796906</v>
      </c>
      <c r="P82" s="35">
        <v>756970334.70000005</v>
      </c>
      <c r="Q82" s="35"/>
      <c r="R82" s="35">
        <v>269826571.30000001</v>
      </c>
      <c r="S82" s="35">
        <v>26.278479999999998</v>
      </c>
      <c r="T82" s="35"/>
      <c r="U82" s="35">
        <v>4.24</v>
      </c>
      <c r="V82" s="85">
        <v>756970334.70000005</v>
      </c>
      <c r="W82" s="27"/>
      <c r="X82" s="36">
        <v>845001600</v>
      </c>
      <c r="Y82" s="85">
        <v>845001600</v>
      </c>
      <c r="Z82" s="35"/>
      <c r="AA82" s="35"/>
      <c r="AB82" s="35"/>
      <c r="AC82" s="35"/>
      <c r="AD82" s="35"/>
      <c r="AE82" s="35"/>
      <c r="AF82" s="36"/>
      <c r="AG82" s="35"/>
      <c r="AH82" s="35"/>
      <c r="AI82" s="35"/>
      <c r="AJ82" s="35"/>
      <c r="AK82" s="35"/>
      <c r="AL82" s="35"/>
      <c r="AM82" s="35"/>
      <c r="AN82" s="85"/>
      <c r="AO82" s="27"/>
      <c r="AP82" s="36"/>
      <c r="AQ82" s="85"/>
      <c r="AR82" s="35"/>
      <c r="AS82" s="35">
        <v>625008650</v>
      </c>
      <c r="AT82" s="35">
        <v>50625700</v>
      </c>
      <c r="AU82" s="35">
        <v>574382950</v>
      </c>
      <c r="AV82" s="35">
        <v>50625700</v>
      </c>
      <c r="AW82" s="35"/>
      <c r="AX82" s="36"/>
      <c r="AY82" s="35">
        <v>625008650</v>
      </c>
      <c r="AZ82" s="35">
        <v>50625700</v>
      </c>
      <c r="BA82" s="35"/>
      <c r="BB82" s="35">
        <v>574382950</v>
      </c>
      <c r="BC82" s="35">
        <v>91.9</v>
      </c>
      <c r="BD82" s="35"/>
      <c r="BE82" s="35"/>
      <c r="BF82" s="85">
        <v>50625700</v>
      </c>
      <c r="BG82" s="27"/>
      <c r="BH82" s="36">
        <v>50625700</v>
      </c>
      <c r="BI82" s="85">
        <v>50625700</v>
      </c>
      <c r="BJ82" s="35"/>
      <c r="BK82" s="35"/>
      <c r="BL82" s="35"/>
      <c r="BM82" s="35"/>
      <c r="BN82" s="35"/>
      <c r="BO82" s="35"/>
      <c r="BP82" s="36"/>
      <c r="BQ82" s="35"/>
      <c r="BR82" s="35"/>
      <c r="BS82" s="35"/>
      <c r="BT82" s="35"/>
      <c r="BU82" s="35"/>
      <c r="BV82" s="35"/>
      <c r="BW82" s="35"/>
      <c r="BX82" s="85"/>
      <c r="BY82" s="27"/>
      <c r="BZ82" s="36"/>
      <c r="CA82" s="85"/>
      <c r="CB82" s="35"/>
      <c r="CC82" s="35">
        <v>444938500</v>
      </c>
      <c r="CD82" s="35">
        <v>179395500</v>
      </c>
      <c r="CE82" s="35">
        <v>265543000</v>
      </c>
      <c r="CF82" s="35">
        <v>179395500</v>
      </c>
      <c r="CG82" s="35"/>
      <c r="CH82" s="36"/>
      <c r="CI82" s="35">
        <v>444938500</v>
      </c>
      <c r="CJ82" s="35">
        <v>179395500</v>
      </c>
      <c r="CK82" s="35"/>
      <c r="CL82" s="35">
        <v>265543000</v>
      </c>
      <c r="CM82" s="35">
        <v>59.68083</v>
      </c>
      <c r="CN82" s="35"/>
      <c r="CO82" s="35"/>
      <c r="CP82" s="85">
        <v>179395500</v>
      </c>
      <c r="CQ82" s="27"/>
      <c r="CR82" s="36">
        <v>179395500</v>
      </c>
      <c r="CS82" s="85">
        <v>179395500</v>
      </c>
      <c r="CT82" s="35"/>
      <c r="CU82" s="35">
        <v>388000260</v>
      </c>
      <c r="CV82" s="35">
        <v>150350100</v>
      </c>
      <c r="CW82" s="35">
        <v>237650160</v>
      </c>
      <c r="CX82" s="35">
        <v>149936439.84</v>
      </c>
      <c r="CY82" s="35"/>
      <c r="CZ82" s="36"/>
      <c r="DA82" s="35">
        <v>386319312.89999998</v>
      </c>
      <c r="DB82" s="35">
        <v>149698733.81</v>
      </c>
      <c r="DC82" s="35"/>
      <c r="DD82" s="35">
        <v>236620579.09</v>
      </c>
      <c r="DE82" s="35">
        <v>61.25</v>
      </c>
      <c r="DF82" s="35"/>
      <c r="DG82" s="35">
        <v>237706.03</v>
      </c>
      <c r="DH82" s="85">
        <v>149698733.81</v>
      </c>
      <c r="DI82" s="27"/>
      <c r="DJ82" s="36">
        <v>150350100</v>
      </c>
      <c r="DK82" s="85">
        <v>150350100</v>
      </c>
      <c r="DL82" s="35"/>
      <c r="DM82" s="35"/>
      <c r="DN82" s="35"/>
      <c r="DO82" s="35"/>
      <c r="DP82" s="35"/>
      <c r="DQ82" s="35"/>
      <c r="DR82" s="36"/>
      <c r="DS82" s="35"/>
      <c r="DT82" s="35"/>
      <c r="DU82" s="35"/>
      <c r="DV82" s="35"/>
      <c r="DW82" s="35"/>
      <c r="DX82" s="35"/>
      <c r="DY82" s="35"/>
      <c r="DZ82" s="85"/>
      <c r="EA82" s="27"/>
      <c r="EB82" s="36"/>
      <c r="EC82" s="85"/>
      <c r="ED82" s="35"/>
      <c r="EE82" s="35">
        <v>305161200</v>
      </c>
      <c r="EF82" s="35">
        <v>289710000</v>
      </c>
      <c r="EG82" s="35">
        <v>15451200</v>
      </c>
      <c r="EH82" s="35">
        <v>289710000</v>
      </c>
      <c r="EI82" s="35"/>
      <c r="EJ82" s="36"/>
      <c r="EK82" s="35">
        <v>305161200</v>
      </c>
      <c r="EL82" s="35">
        <v>289710000</v>
      </c>
      <c r="EM82" s="35"/>
      <c r="EN82" s="35">
        <v>15451200</v>
      </c>
      <c r="EO82" s="35">
        <v>5.0632900000000003</v>
      </c>
      <c r="EP82" s="35"/>
      <c r="EQ82" s="35"/>
      <c r="ER82" s="85">
        <v>289710000</v>
      </c>
      <c r="ES82" s="27"/>
      <c r="ET82" s="36">
        <v>289710000</v>
      </c>
      <c r="EU82" s="85">
        <v>289710000</v>
      </c>
      <c r="EV82" s="35"/>
      <c r="EW82" s="35"/>
      <c r="EX82" s="35"/>
      <c r="EY82" s="35"/>
      <c r="EZ82" s="35"/>
      <c r="FA82" s="35"/>
      <c r="FB82" s="36"/>
      <c r="FC82" s="35"/>
      <c r="FD82" s="35"/>
      <c r="FE82" s="35"/>
      <c r="FF82" s="35"/>
      <c r="FG82" s="35"/>
      <c r="FH82" s="35"/>
      <c r="FI82" s="35"/>
      <c r="FJ82" s="85"/>
      <c r="FK82" s="27"/>
      <c r="FL82" s="36"/>
      <c r="FM82" s="85"/>
      <c r="FN82" s="35"/>
      <c r="FO82" s="35">
        <v>11317100</v>
      </c>
      <c r="FP82" s="35">
        <v>4367100</v>
      </c>
      <c r="FQ82" s="35">
        <v>6950000</v>
      </c>
      <c r="FR82" s="35">
        <v>4367100</v>
      </c>
      <c r="FS82" s="35"/>
      <c r="FT82" s="36"/>
      <c r="FU82" s="35">
        <v>11317100</v>
      </c>
      <c r="FV82" s="35">
        <v>4367100</v>
      </c>
      <c r="FW82" s="35"/>
      <c r="FX82" s="35">
        <v>6950000</v>
      </c>
      <c r="FY82" s="35">
        <v>61.411490000000001</v>
      </c>
      <c r="FZ82" s="35"/>
      <c r="GA82" s="35"/>
      <c r="GB82" s="85">
        <v>4367100</v>
      </c>
      <c r="GC82" s="27"/>
      <c r="GD82" s="36">
        <v>4367100</v>
      </c>
      <c r="GE82" s="85">
        <v>4367100</v>
      </c>
      <c r="GF82" s="35"/>
      <c r="GG82" s="35">
        <v>278819500</v>
      </c>
      <c r="GH82" s="35">
        <v>67179500</v>
      </c>
      <c r="GI82" s="35">
        <v>211640000</v>
      </c>
      <c r="GJ82" s="35">
        <v>67103344.579999998</v>
      </c>
      <c r="GK82" s="35">
        <v>5570442.9500000002</v>
      </c>
      <c r="GL82" s="36"/>
      <c r="GM82" s="35">
        <v>278458718.61000001</v>
      </c>
      <c r="GN82" s="35">
        <v>67092573.229999997</v>
      </c>
      <c r="GO82" s="35"/>
      <c r="GP82" s="35">
        <v>211366145.38</v>
      </c>
      <c r="GQ82" s="35">
        <v>75.905739999999994</v>
      </c>
      <c r="GR82" s="35">
        <v>5274304.1500000004</v>
      </c>
      <c r="GS82" s="35">
        <v>306910.15000000002</v>
      </c>
      <c r="GT82" s="85">
        <v>67092573.229999997</v>
      </c>
      <c r="GU82" s="27"/>
      <c r="GV82" s="36">
        <v>67179500</v>
      </c>
      <c r="GW82" s="85">
        <v>67179500</v>
      </c>
      <c r="GX82" s="35"/>
      <c r="GY82" s="35"/>
      <c r="GZ82" s="35"/>
      <c r="HA82" s="35"/>
      <c r="HB82" s="35"/>
      <c r="HC82" s="35">
        <v>216535.67999999999</v>
      </c>
      <c r="HD82" s="36"/>
      <c r="HE82" s="35"/>
      <c r="HF82" s="35"/>
      <c r="HG82" s="35"/>
      <c r="HH82" s="35"/>
      <c r="HI82" s="35"/>
      <c r="HJ82" s="35">
        <v>213987.4</v>
      </c>
      <c r="HK82" s="35">
        <v>2548.2800000000002</v>
      </c>
      <c r="HL82" s="85"/>
      <c r="HM82" s="27"/>
      <c r="HN82" s="36"/>
      <c r="HO82" s="85"/>
      <c r="HP82" s="35"/>
      <c r="HQ82" s="35"/>
      <c r="HR82" s="35"/>
      <c r="HS82" s="35"/>
      <c r="HT82" s="35"/>
      <c r="HU82" s="35"/>
      <c r="HV82" s="36"/>
      <c r="HW82" s="35"/>
      <c r="HX82" s="35"/>
      <c r="HY82" s="35"/>
      <c r="HZ82" s="35"/>
      <c r="IA82" s="35"/>
      <c r="IB82" s="35"/>
      <c r="IC82" s="35"/>
      <c r="ID82" s="85"/>
      <c r="IE82" s="27"/>
      <c r="IF82" s="36"/>
      <c r="IG82" s="85"/>
      <c r="IH82" s="35"/>
      <c r="II82" s="35"/>
      <c r="IJ82" s="35"/>
      <c r="IK82" s="35"/>
      <c r="IL82" s="35"/>
      <c r="IM82" s="35"/>
      <c r="IN82" s="36"/>
      <c r="IO82" s="35"/>
      <c r="IP82" s="35"/>
      <c r="IQ82" s="35"/>
      <c r="IR82" s="35"/>
      <c r="IS82" s="35"/>
      <c r="IT82" s="35"/>
      <c r="IU82" s="35"/>
      <c r="IV82" s="85"/>
      <c r="IW82" s="27"/>
      <c r="IX82" s="36"/>
      <c r="IY82" s="85"/>
      <c r="IZ82" s="35"/>
      <c r="JA82" s="35"/>
      <c r="JB82" s="35"/>
      <c r="JC82" s="35"/>
      <c r="JD82" s="35"/>
      <c r="JE82" s="35"/>
      <c r="JF82" s="36"/>
      <c r="JG82" s="35"/>
      <c r="JH82" s="35"/>
      <c r="JI82" s="35"/>
      <c r="JJ82" s="35"/>
      <c r="JK82" s="35"/>
      <c r="JL82" s="35"/>
      <c r="JM82" s="35"/>
      <c r="JN82" s="85"/>
      <c r="JO82" s="27"/>
      <c r="JP82" s="36"/>
      <c r="JQ82" s="85"/>
      <c r="JR82" s="35"/>
      <c r="JS82" s="35"/>
      <c r="JT82" s="35"/>
      <c r="JU82" s="35"/>
      <c r="JV82" s="35"/>
      <c r="JW82" s="35"/>
      <c r="JX82" s="36"/>
      <c r="JY82" s="35"/>
      <c r="JZ82" s="35"/>
      <c r="KA82" s="35"/>
      <c r="KB82" s="35"/>
      <c r="KC82" s="35"/>
      <c r="KD82" s="35"/>
      <c r="KE82" s="35"/>
      <c r="KF82" s="85"/>
      <c r="KG82" s="27"/>
      <c r="KH82" s="36"/>
      <c r="KI82" s="85"/>
      <c r="KJ82" s="35"/>
      <c r="KK82" s="35"/>
      <c r="KL82" s="35"/>
      <c r="KM82" s="35"/>
      <c r="KN82" s="35"/>
      <c r="KO82" s="35"/>
      <c r="KP82" s="36"/>
      <c r="KQ82" s="35"/>
      <c r="KR82" s="35"/>
      <c r="KS82" s="35"/>
      <c r="KT82" s="35"/>
      <c r="KU82" s="35"/>
      <c r="KV82" s="35"/>
      <c r="KW82" s="35"/>
      <c r="KX82" s="85"/>
      <c r="KY82" s="27"/>
      <c r="KZ82" s="36"/>
      <c r="LA82" s="85"/>
      <c r="LB82" s="35"/>
      <c r="LC82" s="35"/>
      <c r="LD82" s="35"/>
      <c r="LE82" s="35"/>
      <c r="LF82" s="35"/>
      <c r="LG82" s="35"/>
      <c r="LH82" s="36"/>
      <c r="LI82" s="35"/>
      <c r="LJ82" s="35"/>
      <c r="LK82" s="35"/>
      <c r="LL82" s="35"/>
      <c r="LM82" s="35"/>
      <c r="LN82" s="35"/>
      <c r="LO82" s="35"/>
      <c r="LP82" s="85"/>
      <c r="LQ82" s="27"/>
      <c r="LR82" s="36"/>
      <c r="LS82" s="85"/>
      <c r="LT82" s="35"/>
      <c r="LU82" s="35"/>
      <c r="LV82" s="35"/>
      <c r="LW82" s="35"/>
      <c r="LX82" s="35"/>
      <c r="LY82" s="35"/>
      <c r="LZ82" s="36"/>
      <c r="MA82" s="35"/>
      <c r="MB82" s="35"/>
      <c r="MC82" s="35"/>
      <c r="MD82" s="35"/>
      <c r="ME82" s="35"/>
      <c r="MF82" s="35"/>
      <c r="MG82" s="35"/>
      <c r="MH82" s="85"/>
      <c r="MI82" s="27"/>
      <c r="MJ82" s="36"/>
      <c r="MK82" s="85"/>
      <c r="ML82" s="35"/>
      <c r="MM82" s="35"/>
      <c r="MN82" s="35"/>
      <c r="MO82" s="35"/>
      <c r="MP82" s="35"/>
      <c r="MQ82" s="35"/>
      <c r="MR82" s="36"/>
      <c r="MS82" s="35"/>
      <c r="MT82" s="35"/>
      <c r="MU82" s="35"/>
      <c r="MV82" s="35"/>
      <c r="MW82" s="35"/>
      <c r="MX82" s="35"/>
      <c r="MY82" s="35"/>
      <c r="MZ82" s="85"/>
      <c r="NA82" s="27"/>
      <c r="NB82" s="36"/>
      <c r="NC82" s="85"/>
      <c r="ND82" s="35"/>
      <c r="NE82" s="35"/>
      <c r="NF82" s="35"/>
      <c r="NG82" s="35"/>
      <c r="NH82" s="35"/>
      <c r="NI82" s="35"/>
      <c r="NJ82" s="36"/>
      <c r="NK82" s="35"/>
      <c r="NL82" s="35"/>
      <c r="NM82" s="35"/>
      <c r="NN82" s="35"/>
      <c r="NO82" s="35"/>
      <c r="NP82" s="35"/>
      <c r="NQ82" s="35"/>
      <c r="NR82" s="85"/>
      <c r="NS82" s="27"/>
      <c r="NT82" s="36"/>
      <c r="NU82" s="85"/>
      <c r="NV82" s="35"/>
      <c r="NW82" s="35"/>
      <c r="NX82" s="35"/>
      <c r="NY82" s="35"/>
      <c r="NZ82" s="35"/>
      <c r="OA82" s="35"/>
      <c r="OB82" s="36"/>
      <c r="OC82" s="35"/>
      <c r="OD82" s="35"/>
      <c r="OE82" s="35"/>
      <c r="OF82" s="35"/>
      <c r="OG82" s="35"/>
      <c r="OH82" s="35"/>
      <c r="OI82" s="35"/>
      <c r="OJ82" s="85"/>
      <c r="OK82" s="27"/>
      <c r="OL82" s="36"/>
      <c r="OM82" s="85"/>
      <c r="ON82" s="35"/>
      <c r="OO82" s="35">
        <v>1344800</v>
      </c>
      <c r="OP82" s="35">
        <v>844800</v>
      </c>
      <c r="OQ82" s="35">
        <v>500000</v>
      </c>
      <c r="OR82" s="35">
        <v>844800</v>
      </c>
      <c r="OS82" s="35"/>
      <c r="OT82" s="36"/>
      <c r="OU82" s="35">
        <v>1344799</v>
      </c>
      <c r="OV82" s="35">
        <v>844799.37</v>
      </c>
      <c r="OW82" s="35"/>
      <c r="OX82" s="35">
        <v>499999.63</v>
      </c>
      <c r="OY82" s="35">
        <v>37.180250000000001</v>
      </c>
      <c r="OZ82" s="35"/>
      <c r="PA82" s="35">
        <v>0.63</v>
      </c>
      <c r="PB82" s="85">
        <v>844799.37</v>
      </c>
      <c r="PC82" s="27"/>
      <c r="PD82" s="36">
        <v>844800</v>
      </c>
      <c r="PE82" s="85">
        <v>844800</v>
      </c>
      <c r="PF82" s="35"/>
      <c r="PG82" s="35"/>
      <c r="PH82" s="35"/>
      <c r="PI82" s="35"/>
      <c r="PJ82" s="35"/>
      <c r="PK82" s="35"/>
      <c r="PL82" s="36"/>
      <c r="PM82" s="35"/>
      <c r="PN82" s="35"/>
      <c r="PO82" s="35"/>
      <c r="PP82" s="35"/>
      <c r="PQ82" s="35"/>
      <c r="PR82" s="35"/>
      <c r="PS82" s="35"/>
      <c r="PT82" s="85"/>
      <c r="PU82" s="27"/>
      <c r="PV82" s="36"/>
      <c r="PW82" s="85"/>
      <c r="PX82" s="35"/>
      <c r="PY82" s="35"/>
      <c r="PZ82" s="35"/>
      <c r="QA82" s="35"/>
      <c r="QB82" s="35"/>
      <c r="QC82" s="35">
        <v>19421990.809999999</v>
      </c>
      <c r="QD82" s="36"/>
      <c r="QE82" s="35"/>
      <c r="QF82" s="35"/>
      <c r="QG82" s="35"/>
      <c r="QH82" s="35"/>
      <c r="QI82" s="35"/>
      <c r="QJ82" s="35">
        <v>19027494.809999999</v>
      </c>
      <c r="QK82" s="35">
        <v>394496</v>
      </c>
      <c r="QL82" s="85"/>
      <c r="QM82" s="27"/>
      <c r="QN82" s="36"/>
      <c r="QO82" s="85"/>
    </row>
    <row r="83" spans="1:457" x14ac:dyDescent="0.25">
      <c r="A83" s="8" t="s">
        <v>183</v>
      </c>
      <c r="B83" s="172">
        <v>69</v>
      </c>
      <c r="C83" s="18" t="s">
        <v>276</v>
      </c>
      <c r="F83" s="36">
        <v>30735500</v>
      </c>
      <c r="G83" s="85"/>
      <c r="H83" s="35"/>
      <c r="I83" s="35">
        <v>10836825.300000001</v>
      </c>
      <c r="J83" s="35">
        <v>7502400</v>
      </c>
      <c r="K83" s="35">
        <v>3334425.3</v>
      </c>
      <c r="L83" s="35">
        <v>7502400</v>
      </c>
      <c r="M83" s="35"/>
      <c r="N83" s="36"/>
      <c r="O83" s="35">
        <v>10836825.300000001</v>
      </c>
      <c r="P83" s="35">
        <v>7502400</v>
      </c>
      <c r="Q83" s="35"/>
      <c r="R83" s="35">
        <v>3334425.3</v>
      </c>
      <c r="S83" s="35">
        <v>30.769390000000001</v>
      </c>
      <c r="T83" s="35"/>
      <c r="U83" s="35"/>
      <c r="V83" s="85">
        <v>7502400</v>
      </c>
      <c r="W83" s="27"/>
      <c r="X83" s="36">
        <v>7502400</v>
      </c>
      <c r="Y83" s="85">
        <v>7502400</v>
      </c>
      <c r="Z83" s="35"/>
      <c r="AA83" s="35"/>
      <c r="AB83" s="35"/>
      <c r="AC83" s="35"/>
      <c r="AD83" s="35"/>
      <c r="AE83" s="35"/>
      <c r="AF83" s="36"/>
      <c r="AG83" s="35"/>
      <c r="AH83" s="35"/>
      <c r="AI83" s="35"/>
      <c r="AJ83" s="35"/>
      <c r="AK83" s="35"/>
      <c r="AL83" s="35"/>
      <c r="AM83" s="35"/>
      <c r="AN83" s="85"/>
      <c r="AO83" s="27"/>
      <c r="AP83" s="36"/>
      <c r="AQ83" s="85"/>
      <c r="AR83" s="35"/>
      <c r="AS83" s="35">
        <v>5392800</v>
      </c>
      <c r="AT83" s="35">
        <v>4482800</v>
      </c>
      <c r="AU83" s="35">
        <v>910000</v>
      </c>
      <c r="AV83" s="35">
        <v>4482800</v>
      </c>
      <c r="AW83" s="35"/>
      <c r="AX83" s="36"/>
      <c r="AY83" s="35">
        <v>5392800</v>
      </c>
      <c r="AZ83" s="35">
        <v>4482800</v>
      </c>
      <c r="BA83" s="35"/>
      <c r="BB83" s="35">
        <v>910000</v>
      </c>
      <c r="BC83" s="35">
        <v>16.87435</v>
      </c>
      <c r="BD83" s="35"/>
      <c r="BE83" s="35"/>
      <c r="BF83" s="85">
        <v>4482800</v>
      </c>
      <c r="BG83" s="27"/>
      <c r="BH83" s="36">
        <v>4482800</v>
      </c>
      <c r="BI83" s="85">
        <v>4482800</v>
      </c>
      <c r="BJ83" s="35"/>
      <c r="BK83" s="35"/>
      <c r="BL83" s="35"/>
      <c r="BM83" s="35"/>
      <c r="BN83" s="35"/>
      <c r="BO83" s="35"/>
      <c r="BP83" s="36"/>
      <c r="BQ83" s="35"/>
      <c r="BR83" s="35"/>
      <c r="BS83" s="35"/>
      <c r="BT83" s="35"/>
      <c r="BU83" s="35"/>
      <c r="BV83" s="35"/>
      <c r="BW83" s="35"/>
      <c r="BX83" s="85"/>
      <c r="BY83" s="27"/>
      <c r="BZ83" s="36"/>
      <c r="CA83" s="85"/>
      <c r="CB83" s="35"/>
      <c r="CC83" s="35"/>
      <c r="CD83" s="35"/>
      <c r="CE83" s="35"/>
      <c r="CF83" s="35"/>
      <c r="CG83" s="35"/>
      <c r="CH83" s="36"/>
      <c r="CI83" s="35"/>
      <c r="CJ83" s="35"/>
      <c r="CK83" s="35"/>
      <c r="CL83" s="35"/>
      <c r="CM83" s="35"/>
      <c r="CN83" s="35"/>
      <c r="CO83" s="35"/>
      <c r="CP83" s="85"/>
      <c r="CQ83" s="27"/>
      <c r="CR83" s="36">
        <v>350500</v>
      </c>
      <c r="CS83" s="85">
        <v>0</v>
      </c>
      <c r="CT83" s="35"/>
      <c r="CU83" s="35">
        <v>40870000</v>
      </c>
      <c r="CV83" s="35">
        <v>16516100</v>
      </c>
      <c r="CW83" s="35">
        <v>24353900</v>
      </c>
      <c r="CX83" s="35">
        <v>16516099.91</v>
      </c>
      <c r="CY83" s="35"/>
      <c r="CZ83" s="36"/>
      <c r="DA83" s="35">
        <v>40869999.909999996</v>
      </c>
      <c r="DB83" s="35">
        <v>16516099.91</v>
      </c>
      <c r="DC83" s="35"/>
      <c r="DD83" s="35">
        <v>24353900</v>
      </c>
      <c r="DE83" s="35">
        <v>59.588700000000003</v>
      </c>
      <c r="DF83" s="35"/>
      <c r="DG83" s="35"/>
      <c r="DH83" s="85">
        <v>16516099.91</v>
      </c>
      <c r="DI83" s="27"/>
      <c r="DJ83" s="36">
        <v>17892300</v>
      </c>
      <c r="DK83" s="85">
        <v>16516100</v>
      </c>
      <c r="DL83" s="35"/>
      <c r="DM83" s="35"/>
      <c r="DN83" s="35"/>
      <c r="DO83" s="35"/>
      <c r="DP83" s="35"/>
      <c r="DQ83" s="35"/>
      <c r="DR83" s="36"/>
      <c r="DS83" s="35"/>
      <c r="DT83" s="35"/>
      <c r="DU83" s="35"/>
      <c r="DV83" s="35"/>
      <c r="DW83" s="35"/>
      <c r="DX83" s="35"/>
      <c r="DY83" s="35"/>
      <c r="DZ83" s="85"/>
      <c r="EA83" s="27"/>
      <c r="EB83" s="36"/>
      <c r="EC83" s="85"/>
      <c r="ED83" s="35"/>
      <c r="EE83" s="35"/>
      <c r="EF83" s="35"/>
      <c r="EG83" s="35"/>
      <c r="EH83" s="35"/>
      <c r="EI83" s="35"/>
      <c r="EJ83" s="36"/>
      <c r="EK83" s="35"/>
      <c r="EL83" s="35"/>
      <c r="EM83" s="35"/>
      <c r="EN83" s="35"/>
      <c r="EO83" s="35"/>
      <c r="EP83" s="35"/>
      <c r="EQ83" s="35"/>
      <c r="ER83" s="85"/>
      <c r="ES83" s="27"/>
      <c r="ET83" s="36"/>
      <c r="EU83" s="85"/>
      <c r="EV83" s="35"/>
      <c r="EW83" s="35"/>
      <c r="EX83" s="35"/>
      <c r="EY83" s="35"/>
      <c r="EZ83" s="35"/>
      <c r="FA83" s="35"/>
      <c r="FB83" s="36"/>
      <c r="FC83" s="35"/>
      <c r="FD83" s="35"/>
      <c r="FE83" s="35"/>
      <c r="FF83" s="35"/>
      <c r="FG83" s="35"/>
      <c r="FH83" s="35"/>
      <c r="FI83" s="35"/>
      <c r="FJ83" s="85"/>
      <c r="FK83" s="27"/>
      <c r="FL83" s="36"/>
      <c r="FM83" s="85"/>
      <c r="FN83" s="35"/>
      <c r="FO83" s="35"/>
      <c r="FP83" s="35"/>
      <c r="FQ83" s="35"/>
      <c r="FR83" s="35"/>
      <c r="FS83" s="35"/>
      <c r="FT83" s="36"/>
      <c r="FU83" s="35"/>
      <c r="FV83" s="35"/>
      <c r="FW83" s="35"/>
      <c r="FX83" s="35"/>
      <c r="FY83" s="35"/>
      <c r="FZ83" s="35"/>
      <c r="GA83" s="35"/>
      <c r="GB83" s="85"/>
      <c r="GC83" s="27"/>
      <c r="GD83" s="36"/>
      <c r="GE83" s="85"/>
      <c r="GF83" s="35"/>
      <c r="GG83" s="35">
        <v>6360900</v>
      </c>
      <c r="GH83" s="35">
        <v>2044200</v>
      </c>
      <c r="GI83" s="35">
        <v>4316700</v>
      </c>
      <c r="GJ83" s="35">
        <v>2044006.77</v>
      </c>
      <c r="GK83" s="35"/>
      <c r="GL83" s="36"/>
      <c r="GM83" s="35">
        <v>6360298.6900000004</v>
      </c>
      <c r="GN83" s="35">
        <v>2044006.77</v>
      </c>
      <c r="GO83" s="35"/>
      <c r="GP83" s="35">
        <v>4316291.92</v>
      </c>
      <c r="GQ83" s="35">
        <v>67.863039999999998</v>
      </c>
      <c r="GR83" s="35"/>
      <c r="GS83" s="35"/>
      <c r="GT83" s="85">
        <v>2044006.77</v>
      </c>
      <c r="GU83" s="27"/>
      <c r="GV83" s="36">
        <v>2044200</v>
      </c>
      <c r="GW83" s="85">
        <v>2044200</v>
      </c>
      <c r="GX83" s="35"/>
      <c r="GY83" s="35"/>
      <c r="GZ83" s="35"/>
      <c r="HA83" s="35"/>
      <c r="HB83" s="35"/>
      <c r="HC83" s="35"/>
      <c r="HD83" s="36"/>
      <c r="HE83" s="35"/>
      <c r="HF83" s="35"/>
      <c r="HG83" s="35"/>
      <c r="HH83" s="35"/>
      <c r="HI83" s="35"/>
      <c r="HJ83" s="35"/>
      <c r="HK83" s="35"/>
      <c r="HL83" s="85"/>
      <c r="HM83" s="27"/>
      <c r="HN83" s="36"/>
      <c r="HO83" s="85"/>
      <c r="HP83" s="35"/>
      <c r="HQ83" s="35"/>
      <c r="HR83" s="35"/>
      <c r="HS83" s="35"/>
      <c r="HT83" s="35"/>
      <c r="HU83" s="35"/>
      <c r="HV83" s="36"/>
      <c r="HW83" s="35"/>
      <c r="HX83" s="35"/>
      <c r="HY83" s="35"/>
      <c r="HZ83" s="35"/>
      <c r="IA83" s="35"/>
      <c r="IB83" s="35"/>
      <c r="IC83" s="35"/>
      <c r="ID83" s="85"/>
      <c r="IE83" s="27"/>
      <c r="IF83" s="36"/>
      <c r="IG83" s="85"/>
      <c r="IH83" s="35"/>
      <c r="II83" s="35"/>
      <c r="IJ83" s="35"/>
      <c r="IK83" s="35"/>
      <c r="IL83" s="35"/>
      <c r="IM83" s="35"/>
      <c r="IN83" s="36"/>
      <c r="IO83" s="35"/>
      <c r="IP83" s="35"/>
      <c r="IQ83" s="35"/>
      <c r="IR83" s="35"/>
      <c r="IS83" s="35"/>
      <c r="IT83" s="35"/>
      <c r="IU83" s="35"/>
      <c r="IV83" s="85"/>
      <c r="IW83" s="27"/>
      <c r="IX83" s="36"/>
      <c r="IY83" s="85"/>
      <c r="IZ83" s="35"/>
      <c r="JA83" s="35"/>
      <c r="JB83" s="35"/>
      <c r="JC83" s="35"/>
      <c r="JD83" s="35"/>
      <c r="JE83" s="35"/>
      <c r="JF83" s="36"/>
      <c r="JG83" s="35"/>
      <c r="JH83" s="35"/>
      <c r="JI83" s="35"/>
      <c r="JJ83" s="35"/>
      <c r="JK83" s="35"/>
      <c r="JL83" s="35"/>
      <c r="JM83" s="35"/>
      <c r="JN83" s="85"/>
      <c r="JO83" s="27"/>
      <c r="JP83" s="36"/>
      <c r="JQ83" s="85"/>
      <c r="JR83" s="35"/>
      <c r="JS83" s="35"/>
      <c r="JT83" s="35"/>
      <c r="JU83" s="35"/>
      <c r="JV83" s="35"/>
      <c r="JW83" s="35"/>
      <c r="JX83" s="36"/>
      <c r="JY83" s="35"/>
      <c r="JZ83" s="35"/>
      <c r="KA83" s="35"/>
      <c r="KB83" s="35"/>
      <c r="KC83" s="35"/>
      <c r="KD83" s="35"/>
      <c r="KE83" s="35"/>
      <c r="KF83" s="85"/>
      <c r="KG83" s="27"/>
      <c r="KH83" s="36"/>
      <c r="KI83" s="85"/>
      <c r="KJ83" s="35"/>
      <c r="KK83" s="35"/>
      <c r="KL83" s="35"/>
      <c r="KM83" s="35"/>
      <c r="KN83" s="35"/>
      <c r="KO83" s="35"/>
      <c r="KP83" s="36"/>
      <c r="KQ83" s="35"/>
      <c r="KR83" s="35"/>
      <c r="KS83" s="35"/>
      <c r="KT83" s="35"/>
      <c r="KU83" s="35"/>
      <c r="KV83" s="35"/>
      <c r="KW83" s="35"/>
      <c r="KX83" s="85"/>
      <c r="KY83" s="27"/>
      <c r="KZ83" s="36"/>
      <c r="LA83" s="85"/>
      <c r="LB83" s="35"/>
      <c r="LC83" s="35"/>
      <c r="LD83" s="35"/>
      <c r="LE83" s="35"/>
      <c r="LF83" s="35"/>
      <c r="LG83" s="35"/>
      <c r="LH83" s="36"/>
      <c r="LI83" s="35"/>
      <c r="LJ83" s="35"/>
      <c r="LK83" s="35"/>
      <c r="LL83" s="35"/>
      <c r="LM83" s="35"/>
      <c r="LN83" s="35"/>
      <c r="LO83" s="35"/>
      <c r="LP83" s="85"/>
      <c r="LQ83" s="27"/>
      <c r="LR83" s="36"/>
      <c r="LS83" s="85"/>
      <c r="LT83" s="35"/>
      <c r="LU83" s="35"/>
      <c r="LV83" s="35"/>
      <c r="LW83" s="35"/>
      <c r="LX83" s="35"/>
      <c r="LY83" s="35"/>
      <c r="LZ83" s="36"/>
      <c r="MA83" s="35"/>
      <c r="MB83" s="35"/>
      <c r="MC83" s="35"/>
      <c r="MD83" s="35"/>
      <c r="ME83" s="35"/>
      <c r="MF83" s="35"/>
      <c r="MG83" s="35"/>
      <c r="MH83" s="85"/>
      <c r="MI83" s="27"/>
      <c r="MJ83" s="36"/>
      <c r="MK83" s="85"/>
      <c r="ML83" s="35"/>
      <c r="MM83" s="35"/>
      <c r="MN83" s="35"/>
      <c r="MO83" s="35"/>
      <c r="MP83" s="35"/>
      <c r="MQ83" s="35"/>
      <c r="MR83" s="36"/>
      <c r="MS83" s="35"/>
      <c r="MT83" s="35"/>
      <c r="MU83" s="35"/>
      <c r="MV83" s="35"/>
      <c r="MW83" s="35"/>
      <c r="MX83" s="35"/>
      <c r="MY83" s="35"/>
      <c r="MZ83" s="85"/>
      <c r="NA83" s="27"/>
      <c r="NB83" s="36"/>
      <c r="NC83" s="85"/>
      <c r="ND83" s="35"/>
      <c r="NE83" s="35"/>
      <c r="NF83" s="35"/>
      <c r="NG83" s="35"/>
      <c r="NH83" s="35"/>
      <c r="NI83" s="35"/>
      <c r="NJ83" s="36"/>
      <c r="NK83" s="35"/>
      <c r="NL83" s="35"/>
      <c r="NM83" s="35"/>
      <c r="NN83" s="35"/>
      <c r="NO83" s="35"/>
      <c r="NP83" s="35"/>
      <c r="NQ83" s="35"/>
      <c r="NR83" s="85"/>
      <c r="NS83" s="27"/>
      <c r="NT83" s="36"/>
      <c r="NU83" s="85"/>
      <c r="NV83" s="35"/>
      <c r="NW83" s="35"/>
      <c r="NX83" s="35"/>
      <c r="NY83" s="35"/>
      <c r="NZ83" s="35"/>
      <c r="OA83" s="35"/>
      <c r="OB83" s="36"/>
      <c r="OC83" s="35"/>
      <c r="OD83" s="35"/>
      <c r="OE83" s="35"/>
      <c r="OF83" s="35"/>
      <c r="OG83" s="35"/>
      <c r="OH83" s="35"/>
      <c r="OI83" s="35"/>
      <c r="OJ83" s="85"/>
      <c r="OK83" s="27"/>
      <c r="OL83" s="36"/>
      <c r="OM83" s="85"/>
      <c r="ON83" s="35"/>
      <c r="OO83" s="35">
        <v>890000</v>
      </c>
      <c r="OP83" s="35">
        <v>190000</v>
      </c>
      <c r="OQ83" s="35">
        <v>700000</v>
      </c>
      <c r="OR83" s="35">
        <v>190000</v>
      </c>
      <c r="OS83" s="35"/>
      <c r="OT83" s="36"/>
      <c r="OU83" s="35">
        <v>890000</v>
      </c>
      <c r="OV83" s="35">
        <v>190000</v>
      </c>
      <c r="OW83" s="35"/>
      <c r="OX83" s="35">
        <v>700000</v>
      </c>
      <c r="OY83" s="35">
        <v>78.651690000000002</v>
      </c>
      <c r="OZ83" s="35"/>
      <c r="PA83" s="35"/>
      <c r="PB83" s="85">
        <v>190000</v>
      </c>
      <c r="PC83" s="27"/>
      <c r="PD83" s="36">
        <v>190000</v>
      </c>
      <c r="PE83" s="85">
        <v>190000</v>
      </c>
      <c r="PF83" s="35"/>
      <c r="PG83" s="35"/>
      <c r="PH83" s="35"/>
      <c r="PI83" s="35"/>
      <c r="PJ83" s="35"/>
      <c r="PK83" s="35"/>
      <c r="PL83" s="36"/>
      <c r="PM83" s="35"/>
      <c r="PN83" s="35"/>
      <c r="PO83" s="35"/>
      <c r="PP83" s="35"/>
      <c r="PQ83" s="35"/>
      <c r="PR83" s="35"/>
      <c r="PS83" s="35"/>
      <c r="PT83" s="85"/>
      <c r="PU83" s="27"/>
      <c r="PV83" s="36"/>
      <c r="PW83" s="85"/>
      <c r="PX83" s="35"/>
      <c r="PY83" s="35"/>
      <c r="PZ83" s="35"/>
      <c r="QA83" s="35"/>
      <c r="QB83" s="35"/>
      <c r="QC83" s="35"/>
      <c r="QD83" s="36"/>
      <c r="QE83" s="35"/>
      <c r="QF83" s="35"/>
      <c r="QG83" s="35"/>
      <c r="QH83" s="35"/>
      <c r="QI83" s="35"/>
      <c r="QJ83" s="35"/>
      <c r="QK83" s="35"/>
      <c r="QL83" s="85"/>
      <c r="QM83" s="27"/>
      <c r="QN83" s="36"/>
      <c r="QO83" s="85"/>
    </row>
    <row r="84" spans="1:457" x14ac:dyDescent="0.25">
      <c r="A84" s="8" t="s">
        <v>185</v>
      </c>
      <c r="B84" s="174">
        <v>70</v>
      </c>
      <c r="C84" s="18" t="s">
        <v>277</v>
      </c>
      <c r="F84" s="36">
        <v>97005100</v>
      </c>
      <c r="G84" s="85"/>
      <c r="H84" s="35"/>
      <c r="I84" s="35"/>
      <c r="J84" s="35"/>
      <c r="K84" s="35"/>
      <c r="L84" s="35"/>
      <c r="M84" s="35"/>
      <c r="N84" s="36"/>
      <c r="O84" s="35"/>
      <c r="P84" s="35"/>
      <c r="Q84" s="35"/>
      <c r="R84" s="35"/>
      <c r="S84" s="35"/>
      <c r="T84" s="35"/>
      <c r="U84" s="35"/>
      <c r="V84" s="85"/>
      <c r="W84" s="27"/>
      <c r="X84" s="36"/>
      <c r="Y84" s="85"/>
      <c r="Z84" s="35"/>
      <c r="AA84" s="35"/>
      <c r="AB84" s="35"/>
      <c r="AC84" s="35"/>
      <c r="AD84" s="35"/>
      <c r="AE84" s="35"/>
      <c r="AF84" s="36"/>
      <c r="AG84" s="35"/>
      <c r="AH84" s="35"/>
      <c r="AI84" s="35"/>
      <c r="AJ84" s="35"/>
      <c r="AK84" s="35"/>
      <c r="AL84" s="35"/>
      <c r="AM84" s="35"/>
      <c r="AN84" s="85"/>
      <c r="AO84" s="27"/>
      <c r="AP84" s="36"/>
      <c r="AQ84" s="85"/>
      <c r="AR84" s="35"/>
      <c r="AS84" s="35">
        <v>471700</v>
      </c>
      <c r="AT84" s="35">
        <v>264700</v>
      </c>
      <c r="AU84" s="35">
        <v>207000</v>
      </c>
      <c r="AV84" s="35">
        <v>264700</v>
      </c>
      <c r="AW84" s="35"/>
      <c r="AX84" s="36"/>
      <c r="AY84" s="35">
        <v>471700</v>
      </c>
      <c r="AZ84" s="35">
        <v>264700</v>
      </c>
      <c r="BA84" s="35"/>
      <c r="BB84" s="35">
        <v>207000</v>
      </c>
      <c r="BC84" s="35">
        <v>43.88382</v>
      </c>
      <c r="BD84" s="35"/>
      <c r="BE84" s="35"/>
      <c r="BF84" s="85">
        <v>264700</v>
      </c>
      <c r="BG84" s="27"/>
      <c r="BH84" s="36">
        <v>264700</v>
      </c>
      <c r="BI84" s="85">
        <v>264700</v>
      </c>
      <c r="BJ84" s="35"/>
      <c r="BK84" s="35"/>
      <c r="BL84" s="35"/>
      <c r="BM84" s="35"/>
      <c r="BN84" s="35"/>
      <c r="BO84" s="35"/>
      <c r="BP84" s="36"/>
      <c r="BQ84" s="35"/>
      <c r="BR84" s="35"/>
      <c r="BS84" s="35"/>
      <c r="BT84" s="35"/>
      <c r="BU84" s="35"/>
      <c r="BV84" s="35"/>
      <c r="BW84" s="35"/>
      <c r="BX84" s="85"/>
      <c r="BY84" s="27"/>
      <c r="BZ84" s="36"/>
      <c r="CA84" s="85"/>
      <c r="CB84" s="35"/>
      <c r="CC84" s="35"/>
      <c r="CD84" s="35"/>
      <c r="CE84" s="35"/>
      <c r="CF84" s="35"/>
      <c r="CG84" s="35"/>
      <c r="CH84" s="36"/>
      <c r="CI84" s="35"/>
      <c r="CJ84" s="35"/>
      <c r="CK84" s="35"/>
      <c r="CL84" s="35"/>
      <c r="CM84" s="35"/>
      <c r="CN84" s="35"/>
      <c r="CO84" s="35"/>
      <c r="CP84" s="85"/>
      <c r="CQ84" s="27"/>
      <c r="CR84" s="36">
        <v>4300</v>
      </c>
      <c r="CS84" s="85">
        <v>0</v>
      </c>
      <c r="CT84" s="35"/>
      <c r="CU84" s="35">
        <v>123066600</v>
      </c>
      <c r="CV84" s="35">
        <v>20181600</v>
      </c>
      <c r="CW84" s="35">
        <v>102885000</v>
      </c>
      <c r="CX84" s="35">
        <v>20181600</v>
      </c>
      <c r="CY84" s="35"/>
      <c r="CZ84" s="36"/>
      <c r="DA84" s="35">
        <v>123066600</v>
      </c>
      <c r="DB84" s="35">
        <v>20181600</v>
      </c>
      <c r="DC84" s="35"/>
      <c r="DD84" s="35">
        <v>102885000</v>
      </c>
      <c r="DE84" s="35">
        <v>83.601070000000007</v>
      </c>
      <c r="DF84" s="35"/>
      <c r="DG84" s="35"/>
      <c r="DH84" s="85">
        <v>20181600</v>
      </c>
      <c r="DI84" s="27"/>
      <c r="DJ84" s="36">
        <v>20181600</v>
      </c>
      <c r="DK84" s="85">
        <v>20181600</v>
      </c>
      <c r="DL84" s="35"/>
      <c r="DM84" s="35"/>
      <c r="DN84" s="35"/>
      <c r="DO84" s="35"/>
      <c r="DP84" s="35"/>
      <c r="DQ84" s="35"/>
      <c r="DR84" s="36"/>
      <c r="DS84" s="35"/>
      <c r="DT84" s="35"/>
      <c r="DU84" s="35"/>
      <c r="DV84" s="35"/>
      <c r="DW84" s="35"/>
      <c r="DX84" s="35"/>
      <c r="DY84" s="35"/>
      <c r="DZ84" s="85"/>
      <c r="EA84" s="27"/>
      <c r="EB84" s="36"/>
      <c r="EC84" s="85"/>
      <c r="ED84" s="35"/>
      <c r="EE84" s="35"/>
      <c r="EF84" s="35"/>
      <c r="EG84" s="35"/>
      <c r="EH84" s="35"/>
      <c r="EI84" s="35"/>
      <c r="EJ84" s="36"/>
      <c r="EK84" s="35"/>
      <c r="EL84" s="35"/>
      <c r="EM84" s="35"/>
      <c r="EN84" s="35"/>
      <c r="EO84" s="35"/>
      <c r="EP84" s="35"/>
      <c r="EQ84" s="35"/>
      <c r="ER84" s="85"/>
      <c r="ES84" s="27"/>
      <c r="ET84" s="36"/>
      <c r="EU84" s="85"/>
      <c r="EV84" s="35"/>
      <c r="EW84" s="35"/>
      <c r="EX84" s="35"/>
      <c r="EY84" s="35"/>
      <c r="EZ84" s="35"/>
      <c r="FA84" s="35"/>
      <c r="FB84" s="36"/>
      <c r="FC84" s="35"/>
      <c r="FD84" s="35"/>
      <c r="FE84" s="35"/>
      <c r="FF84" s="35"/>
      <c r="FG84" s="35"/>
      <c r="FH84" s="35"/>
      <c r="FI84" s="35"/>
      <c r="FJ84" s="85"/>
      <c r="FK84" s="27"/>
      <c r="FL84" s="36"/>
      <c r="FM84" s="85"/>
      <c r="FN84" s="35"/>
      <c r="FO84" s="35"/>
      <c r="FP84" s="35"/>
      <c r="FQ84" s="35"/>
      <c r="FR84" s="35"/>
      <c r="FS84" s="35"/>
      <c r="FT84" s="36"/>
      <c r="FU84" s="35"/>
      <c r="FV84" s="35"/>
      <c r="FW84" s="35"/>
      <c r="FX84" s="35"/>
      <c r="FY84" s="35"/>
      <c r="FZ84" s="35"/>
      <c r="GA84" s="35"/>
      <c r="GB84" s="85"/>
      <c r="GC84" s="27"/>
      <c r="GD84" s="36"/>
      <c r="GE84" s="85"/>
      <c r="GF84" s="35"/>
      <c r="GG84" s="35">
        <v>169630800</v>
      </c>
      <c r="GH84" s="35">
        <v>74630800</v>
      </c>
      <c r="GI84" s="35">
        <v>95000000</v>
      </c>
      <c r="GJ84" s="35">
        <v>74630800</v>
      </c>
      <c r="GK84" s="35"/>
      <c r="GL84" s="36"/>
      <c r="GM84" s="35">
        <v>169630800</v>
      </c>
      <c r="GN84" s="35">
        <v>74630800</v>
      </c>
      <c r="GO84" s="35"/>
      <c r="GP84" s="35">
        <v>95000000</v>
      </c>
      <c r="GQ84" s="35">
        <v>56.003979999999999</v>
      </c>
      <c r="GR84" s="35"/>
      <c r="GS84" s="35"/>
      <c r="GT84" s="85">
        <v>74630800</v>
      </c>
      <c r="GU84" s="27"/>
      <c r="GV84" s="36">
        <v>74630800</v>
      </c>
      <c r="GW84" s="85">
        <v>74630800</v>
      </c>
      <c r="GX84" s="35"/>
      <c r="GY84" s="35"/>
      <c r="GZ84" s="35"/>
      <c r="HA84" s="35"/>
      <c r="HB84" s="35"/>
      <c r="HC84" s="35"/>
      <c r="HD84" s="36"/>
      <c r="HE84" s="35"/>
      <c r="HF84" s="35"/>
      <c r="HG84" s="35"/>
      <c r="HH84" s="35"/>
      <c r="HI84" s="35"/>
      <c r="HJ84" s="35"/>
      <c r="HK84" s="35"/>
      <c r="HL84" s="85"/>
      <c r="HM84" s="27"/>
      <c r="HN84" s="36"/>
      <c r="HO84" s="85"/>
      <c r="HP84" s="35"/>
      <c r="HQ84" s="35"/>
      <c r="HR84" s="35"/>
      <c r="HS84" s="35"/>
      <c r="HT84" s="35"/>
      <c r="HU84" s="35"/>
      <c r="HV84" s="36"/>
      <c r="HW84" s="35"/>
      <c r="HX84" s="35"/>
      <c r="HY84" s="35"/>
      <c r="HZ84" s="35"/>
      <c r="IA84" s="35"/>
      <c r="IB84" s="35"/>
      <c r="IC84" s="35"/>
      <c r="ID84" s="85"/>
      <c r="IE84" s="27"/>
      <c r="IF84" s="36"/>
      <c r="IG84" s="85"/>
      <c r="IH84" s="35"/>
      <c r="II84" s="35"/>
      <c r="IJ84" s="35"/>
      <c r="IK84" s="35"/>
      <c r="IL84" s="35"/>
      <c r="IM84" s="35"/>
      <c r="IN84" s="36"/>
      <c r="IO84" s="35"/>
      <c r="IP84" s="35"/>
      <c r="IQ84" s="35"/>
      <c r="IR84" s="35"/>
      <c r="IS84" s="35"/>
      <c r="IT84" s="35"/>
      <c r="IU84" s="35"/>
      <c r="IV84" s="85"/>
      <c r="IW84" s="27"/>
      <c r="IX84" s="36"/>
      <c r="IY84" s="85"/>
      <c r="IZ84" s="35"/>
      <c r="JA84" s="35">
        <v>16928000</v>
      </c>
      <c r="JB84" s="35">
        <v>1928000</v>
      </c>
      <c r="JC84" s="35">
        <v>15000000</v>
      </c>
      <c r="JD84" s="35">
        <v>1928000</v>
      </c>
      <c r="JE84" s="35"/>
      <c r="JF84" s="36"/>
      <c r="JG84" s="35">
        <v>16928000</v>
      </c>
      <c r="JH84" s="35">
        <v>1928000</v>
      </c>
      <c r="JI84" s="35"/>
      <c r="JJ84" s="35">
        <v>15000000</v>
      </c>
      <c r="JK84" s="35">
        <v>88.610590000000002</v>
      </c>
      <c r="JL84" s="35"/>
      <c r="JM84" s="35"/>
      <c r="JN84" s="85">
        <v>1928000</v>
      </c>
      <c r="JO84" s="27"/>
      <c r="JP84" s="36">
        <v>1928000</v>
      </c>
      <c r="JQ84" s="85">
        <v>1928000</v>
      </c>
      <c r="JR84" s="35"/>
      <c r="JS84" s="35"/>
      <c r="JT84" s="35"/>
      <c r="JU84" s="35"/>
      <c r="JV84" s="35"/>
      <c r="JW84" s="35"/>
      <c r="JX84" s="36"/>
      <c r="JY84" s="35"/>
      <c r="JZ84" s="35"/>
      <c r="KA84" s="35"/>
      <c r="KB84" s="35"/>
      <c r="KC84" s="35"/>
      <c r="KD84" s="35"/>
      <c r="KE84" s="35"/>
      <c r="KF84" s="85"/>
      <c r="KG84" s="27"/>
      <c r="KH84" s="36"/>
      <c r="KI84" s="85"/>
      <c r="KJ84" s="35"/>
      <c r="KK84" s="35"/>
      <c r="KL84" s="35"/>
      <c r="KM84" s="35"/>
      <c r="KN84" s="35"/>
      <c r="KO84" s="35"/>
      <c r="KP84" s="36"/>
      <c r="KQ84" s="35"/>
      <c r="KR84" s="35"/>
      <c r="KS84" s="35"/>
      <c r="KT84" s="35"/>
      <c r="KU84" s="35"/>
      <c r="KV84" s="35"/>
      <c r="KW84" s="35"/>
      <c r="KX84" s="85"/>
      <c r="KY84" s="27"/>
      <c r="KZ84" s="36"/>
      <c r="LA84" s="85"/>
      <c r="LB84" s="35"/>
      <c r="LC84" s="35"/>
      <c r="LD84" s="35"/>
      <c r="LE84" s="35"/>
      <c r="LF84" s="35"/>
      <c r="LG84" s="35"/>
      <c r="LH84" s="36"/>
      <c r="LI84" s="35"/>
      <c r="LJ84" s="35"/>
      <c r="LK84" s="35"/>
      <c r="LL84" s="35"/>
      <c r="LM84" s="35"/>
      <c r="LN84" s="35"/>
      <c r="LO84" s="35"/>
      <c r="LP84" s="85"/>
      <c r="LQ84" s="27"/>
      <c r="LR84" s="36"/>
      <c r="LS84" s="85"/>
      <c r="LT84" s="35"/>
      <c r="LU84" s="35"/>
      <c r="LV84" s="35"/>
      <c r="LW84" s="35"/>
      <c r="LX84" s="35"/>
      <c r="LY84" s="35"/>
      <c r="LZ84" s="36"/>
      <c r="MA84" s="35"/>
      <c r="MB84" s="35"/>
      <c r="MC84" s="35"/>
      <c r="MD84" s="35"/>
      <c r="ME84" s="35"/>
      <c r="MF84" s="35"/>
      <c r="MG84" s="35"/>
      <c r="MH84" s="85"/>
      <c r="MI84" s="27"/>
      <c r="MJ84" s="36"/>
      <c r="MK84" s="85"/>
      <c r="ML84" s="35"/>
      <c r="MM84" s="35"/>
      <c r="MN84" s="35"/>
      <c r="MO84" s="35"/>
      <c r="MP84" s="35"/>
      <c r="MQ84" s="35"/>
      <c r="MR84" s="36"/>
      <c r="MS84" s="35"/>
      <c r="MT84" s="35"/>
      <c r="MU84" s="35"/>
      <c r="MV84" s="35"/>
      <c r="MW84" s="35"/>
      <c r="MX84" s="35"/>
      <c r="MY84" s="35"/>
      <c r="MZ84" s="85"/>
      <c r="NA84" s="27"/>
      <c r="NB84" s="36"/>
      <c r="NC84" s="85"/>
      <c r="ND84" s="35"/>
      <c r="NE84" s="35"/>
      <c r="NF84" s="35"/>
      <c r="NG84" s="35"/>
      <c r="NH84" s="35"/>
      <c r="NI84" s="35"/>
      <c r="NJ84" s="36"/>
      <c r="NK84" s="35"/>
      <c r="NL84" s="35"/>
      <c r="NM84" s="35"/>
      <c r="NN84" s="35"/>
      <c r="NO84" s="35"/>
      <c r="NP84" s="35"/>
      <c r="NQ84" s="35"/>
      <c r="NR84" s="85"/>
      <c r="NS84" s="27"/>
      <c r="NT84" s="36"/>
      <c r="NU84" s="85"/>
      <c r="NV84" s="35"/>
      <c r="NW84" s="35"/>
      <c r="NX84" s="35"/>
      <c r="NY84" s="35"/>
      <c r="NZ84" s="35"/>
      <c r="OA84" s="35"/>
      <c r="OB84" s="36"/>
      <c r="OC84" s="35"/>
      <c r="OD84" s="35"/>
      <c r="OE84" s="35"/>
      <c r="OF84" s="35"/>
      <c r="OG84" s="35"/>
      <c r="OH84" s="35"/>
      <c r="OI84" s="35"/>
      <c r="OJ84" s="85"/>
      <c r="OK84" s="27"/>
      <c r="OL84" s="36"/>
      <c r="OM84" s="85"/>
      <c r="ON84" s="35"/>
      <c r="OO84" s="35"/>
      <c r="OP84" s="35"/>
      <c r="OQ84" s="35"/>
      <c r="OR84" s="35"/>
      <c r="OS84" s="35"/>
      <c r="OT84" s="36"/>
      <c r="OU84" s="35"/>
      <c r="OV84" s="35"/>
      <c r="OW84" s="35"/>
      <c r="OX84" s="35"/>
      <c r="OY84" s="35"/>
      <c r="OZ84" s="35"/>
      <c r="PA84" s="35"/>
      <c r="PB84" s="85"/>
      <c r="PC84" s="27"/>
      <c r="PD84" s="36"/>
      <c r="PE84" s="85"/>
      <c r="PF84" s="35"/>
      <c r="PG84" s="35"/>
      <c r="PH84" s="35"/>
      <c r="PI84" s="35"/>
      <c r="PJ84" s="35"/>
      <c r="PK84" s="35"/>
      <c r="PL84" s="36"/>
      <c r="PM84" s="35"/>
      <c r="PN84" s="35"/>
      <c r="PO84" s="35"/>
      <c r="PP84" s="35"/>
      <c r="PQ84" s="35"/>
      <c r="PR84" s="35"/>
      <c r="PS84" s="35"/>
      <c r="PT84" s="85"/>
      <c r="PU84" s="27"/>
      <c r="PV84" s="36"/>
      <c r="PW84" s="85"/>
      <c r="PX84" s="35"/>
      <c r="PY84" s="35"/>
      <c r="PZ84" s="35"/>
      <c r="QA84" s="35"/>
      <c r="QB84" s="35"/>
      <c r="QC84" s="35"/>
      <c r="QD84" s="36"/>
      <c r="QE84" s="35"/>
      <c r="QF84" s="35"/>
      <c r="QG84" s="35"/>
      <c r="QH84" s="35"/>
      <c r="QI84" s="35"/>
      <c r="QJ84" s="35"/>
      <c r="QK84" s="35"/>
      <c r="QL84" s="85"/>
      <c r="QM84" s="27"/>
      <c r="QN84" s="36"/>
      <c r="QO84" s="85"/>
    </row>
    <row r="85" spans="1:457" x14ac:dyDescent="0.25">
      <c r="A85" s="8" t="s">
        <v>187</v>
      </c>
      <c r="B85" s="174">
        <v>71</v>
      </c>
      <c r="C85" s="13" t="s">
        <v>189</v>
      </c>
      <c r="F85" s="36">
        <v>2351563300</v>
      </c>
      <c r="G85" s="85"/>
      <c r="H85" s="35"/>
      <c r="I85" s="35">
        <v>1529526400</v>
      </c>
      <c r="J85" s="35">
        <v>1329526400</v>
      </c>
      <c r="K85" s="35">
        <v>200000000</v>
      </c>
      <c r="L85" s="35">
        <v>1329526400</v>
      </c>
      <c r="M85" s="35"/>
      <c r="N85" s="36"/>
      <c r="O85" s="35">
        <v>1529526400</v>
      </c>
      <c r="P85" s="35">
        <v>1329526400</v>
      </c>
      <c r="Q85" s="35"/>
      <c r="R85" s="35">
        <v>200000000</v>
      </c>
      <c r="S85" s="35">
        <v>13.075939999999999</v>
      </c>
      <c r="T85" s="35"/>
      <c r="U85" s="35"/>
      <c r="V85" s="85">
        <v>1329526400</v>
      </c>
      <c r="W85" s="27"/>
      <c r="X85" s="36">
        <v>1329526400</v>
      </c>
      <c r="Y85" s="85">
        <v>1329526400</v>
      </c>
      <c r="Z85" s="35"/>
      <c r="AA85" s="35"/>
      <c r="AB85" s="35"/>
      <c r="AC85" s="35"/>
      <c r="AD85" s="35"/>
      <c r="AE85" s="35"/>
      <c r="AF85" s="36"/>
      <c r="AG85" s="35"/>
      <c r="AH85" s="35"/>
      <c r="AI85" s="35"/>
      <c r="AJ85" s="35"/>
      <c r="AK85" s="35"/>
      <c r="AL85" s="35"/>
      <c r="AM85" s="35"/>
      <c r="AN85" s="85"/>
      <c r="AO85" s="27"/>
      <c r="AP85" s="36"/>
      <c r="AQ85" s="85"/>
      <c r="AR85" s="35"/>
      <c r="AS85" s="35">
        <v>213295200</v>
      </c>
      <c r="AT85" s="35">
        <v>68295200</v>
      </c>
      <c r="AU85" s="35">
        <v>145000000</v>
      </c>
      <c r="AV85" s="35">
        <v>68295200</v>
      </c>
      <c r="AW85" s="35"/>
      <c r="AX85" s="36"/>
      <c r="AY85" s="35">
        <v>213295200</v>
      </c>
      <c r="AZ85" s="35">
        <v>68295200</v>
      </c>
      <c r="BA85" s="35"/>
      <c r="BB85" s="35">
        <v>145000000</v>
      </c>
      <c r="BC85" s="35">
        <v>67.980900000000005</v>
      </c>
      <c r="BD85" s="35"/>
      <c r="BE85" s="35"/>
      <c r="BF85" s="85">
        <v>68295200</v>
      </c>
      <c r="BG85" s="27"/>
      <c r="BH85" s="36">
        <v>68295200</v>
      </c>
      <c r="BI85" s="85">
        <v>68295200</v>
      </c>
      <c r="BJ85" s="35"/>
      <c r="BK85" s="35"/>
      <c r="BL85" s="35"/>
      <c r="BM85" s="35"/>
      <c r="BN85" s="35"/>
      <c r="BO85" s="35"/>
      <c r="BP85" s="36"/>
      <c r="BQ85" s="35"/>
      <c r="BR85" s="35"/>
      <c r="BS85" s="35"/>
      <c r="BT85" s="35"/>
      <c r="BU85" s="35"/>
      <c r="BV85" s="35"/>
      <c r="BW85" s="35"/>
      <c r="BX85" s="85"/>
      <c r="BY85" s="27"/>
      <c r="BZ85" s="36"/>
      <c r="CA85" s="85"/>
      <c r="CB85" s="35"/>
      <c r="CC85" s="35">
        <v>490921000</v>
      </c>
      <c r="CD85" s="35">
        <v>296721000</v>
      </c>
      <c r="CE85" s="35">
        <v>194200000</v>
      </c>
      <c r="CF85" s="35">
        <v>296721000</v>
      </c>
      <c r="CG85" s="35">
        <v>2341279.4500000002</v>
      </c>
      <c r="CH85" s="36"/>
      <c r="CI85" s="35">
        <v>490921000</v>
      </c>
      <c r="CJ85" s="35">
        <v>296721000</v>
      </c>
      <c r="CK85" s="35"/>
      <c r="CL85" s="35">
        <v>194200000</v>
      </c>
      <c r="CM85" s="35">
        <v>39.558300000000003</v>
      </c>
      <c r="CN85" s="35">
        <v>2341279.4500000002</v>
      </c>
      <c r="CO85" s="35"/>
      <c r="CP85" s="85">
        <v>296721000</v>
      </c>
      <c r="CQ85" s="27"/>
      <c r="CR85" s="36">
        <v>296721000</v>
      </c>
      <c r="CS85" s="85">
        <v>296721000</v>
      </c>
      <c r="CT85" s="35"/>
      <c r="CU85" s="35">
        <v>646964842.11000001</v>
      </c>
      <c r="CV85" s="35">
        <v>614616600</v>
      </c>
      <c r="CW85" s="35">
        <v>32348242.109999999</v>
      </c>
      <c r="CX85" s="35">
        <v>614615157.60000002</v>
      </c>
      <c r="CY85" s="35"/>
      <c r="CZ85" s="36"/>
      <c r="DA85" s="35">
        <v>646941007.75999999</v>
      </c>
      <c r="DB85" s="35">
        <v>614593957.35000002</v>
      </c>
      <c r="DC85" s="35"/>
      <c r="DD85" s="35">
        <v>32347050.41</v>
      </c>
      <c r="DE85" s="35">
        <v>5</v>
      </c>
      <c r="DF85" s="35"/>
      <c r="DG85" s="35">
        <v>21200.25</v>
      </c>
      <c r="DH85" s="85">
        <v>614593957.35000002</v>
      </c>
      <c r="DI85" s="27"/>
      <c r="DJ85" s="36">
        <v>614616600</v>
      </c>
      <c r="DK85" s="85">
        <v>614616600</v>
      </c>
      <c r="DL85" s="35"/>
      <c r="DM85" s="35"/>
      <c r="DN85" s="35"/>
      <c r="DO85" s="35"/>
      <c r="DP85" s="35"/>
      <c r="DQ85" s="35"/>
      <c r="DR85" s="36"/>
      <c r="DS85" s="35"/>
      <c r="DT85" s="35"/>
      <c r="DU85" s="35"/>
      <c r="DV85" s="35"/>
      <c r="DW85" s="35"/>
      <c r="DX85" s="35"/>
      <c r="DY85" s="35"/>
      <c r="DZ85" s="85"/>
      <c r="EA85" s="27"/>
      <c r="EB85" s="36"/>
      <c r="EC85" s="85"/>
      <c r="ED85" s="35"/>
      <c r="EE85" s="35"/>
      <c r="EF85" s="35"/>
      <c r="EG85" s="35"/>
      <c r="EH85" s="35"/>
      <c r="EI85" s="35"/>
      <c r="EJ85" s="36"/>
      <c r="EK85" s="35"/>
      <c r="EL85" s="35"/>
      <c r="EM85" s="35"/>
      <c r="EN85" s="35"/>
      <c r="EO85" s="35"/>
      <c r="EP85" s="35"/>
      <c r="EQ85" s="35"/>
      <c r="ER85" s="85"/>
      <c r="ES85" s="27"/>
      <c r="ET85" s="36"/>
      <c r="EU85" s="85"/>
      <c r="EV85" s="35"/>
      <c r="EW85" s="35"/>
      <c r="EX85" s="35"/>
      <c r="EY85" s="35"/>
      <c r="EZ85" s="35"/>
      <c r="FA85" s="35"/>
      <c r="FB85" s="36"/>
      <c r="FC85" s="35"/>
      <c r="FD85" s="35"/>
      <c r="FE85" s="35"/>
      <c r="FF85" s="35"/>
      <c r="FG85" s="35"/>
      <c r="FH85" s="35"/>
      <c r="FI85" s="35"/>
      <c r="FJ85" s="85"/>
      <c r="FK85" s="27"/>
      <c r="FL85" s="36"/>
      <c r="FM85" s="85"/>
      <c r="FN85" s="35"/>
      <c r="FO85" s="35"/>
      <c r="FP85" s="35"/>
      <c r="FQ85" s="35"/>
      <c r="FR85" s="35"/>
      <c r="FS85" s="35"/>
      <c r="FT85" s="36"/>
      <c r="FU85" s="35"/>
      <c r="FV85" s="35"/>
      <c r="FW85" s="35"/>
      <c r="FX85" s="35"/>
      <c r="FY85" s="35"/>
      <c r="FZ85" s="35"/>
      <c r="GA85" s="35"/>
      <c r="GB85" s="85"/>
      <c r="GC85" s="27"/>
      <c r="GD85" s="36"/>
      <c r="GE85" s="85"/>
      <c r="GF85" s="35"/>
      <c r="GG85" s="35">
        <v>73199100</v>
      </c>
      <c r="GH85" s="35">
        <v>23199100</v>
      </c>
      <c r="GI85" s="35">
        <v>50000000</v>
      </c>
      <c r="GJ85" s="35">
        <v>23199100</v>
      </c>
      <c r="GK85" s="35"/>
      <c r="GL85" s="36"/>
      <c r="GM85" s="35">
        <v>73199100</v>
      </c>
      <c r="GN85" s="35">
        <v>23199100</v>
      </c>
      <c r="GO85" s="35"/>
      <c r="GP85" s="35">
        <v>50000000</v>
      </c>
      <c r="GQ85" s="35">
        <v>68.306849999999997</v>
      </c>
      <c r="GR85" s="35"/>
      <c r="GS85" s="35"/>
      <c r="GT85" s="85">
        <v>23199100</v>
      </c>
      <c r="GU85" s="27"/>
      <c r="GV85" s="36">
        <v>23199100</v>
      </c>
      <c r="GW85" s="85">
        <v>23199100</v>
      </c>
      <c r="GX85" s="35"/>
      <c r="GY85" s="35"/>
      <c r="GZ85" s="35"/>
      <c r="HA85" s="35"/>
      <c r="HB85" s="35"/>
      <c r="HC85" s="35">
        <v>282705.40999999997</v>
      </c>
      <c r="HD85" s="36"/>
      <c r="HE85" s="35"/>
      <c r="HF85" s="35"/>
      <c r="HG85" s="35"/>
      <c r="HH85" s="35"/>
      <c r="HI85" s="35"/>
      <c r="HJ85" s="35">
        <v>282705.40999999997</v>
      </c>
      <c r="HK85" s="35"/>
      <c r="HL85" s="85"/>
      <c r="HM85" s="27"/>
      <c r="HN85" s="36"/>
      <c r="HO85" s="85"/>
      <c r="HP85" s="35"/>
      <c r="HQ85" s="35">
        <v>66179560</v>
      </c>
      <c r="HR85" s="35">
        <v>19205000</v>
      </c>
      <c r="HS85" s="35">
        <v>46974560</v>
      </c>
      <c r="HT85" s="35">
        <v>19204999.969999999</v>
      </c>
      <c r="HU85" s="35"/>
      <c r="HV85" s="36"/>
      <c r="HW85" s="35">
        <v>66179540</v>
      </c>
      <c r="HX85" s="35">
        <v>19204994.170000002</v>
      </c>
      <c r="HY85" s="35"/>
      <c r="HZ85" s="35">
        <v>46974545.829999998</v>
      </c>
      <c r="IA85" s="35">
        <v>70.980469999999997</v>
      </c>
      <c r="IB85" s="35"/>
      <c r="IC85" s="35">
        <v>5.8</v>
      </c>
      <c r="ID85" s="85">
        <v>19204994.170000002</v>
      </c>
      <c r="IE85" s="27"/>
      <c r="IF85" s="36">
        <v>19205000</v>
      </c>
      <c r="IG85" s="85">
        <v>19205000</v>
      </c>
      <c r="IH85" s="35"/>
      <c r="II85" s="35"/>
      <c r="IJ85" s="35"/>
      <c r="IK85" s="35"/>
      <c r="IL85" s="35"/>
      <c r="IM85" s="35"/>
      <c r="IN85" s="36"/>
      <c r="IO85" s="35"/>
      <c r="IP85" s="35"/>
      <c r="IQ85" s="35"/>
      <c r="IR85" s="35"/>
      <c r="IS85" s="35"/>
      <c r="IT85" s="35"/>
      <c r="IU85" s="35"/>
      <c r="IV85" s="85"/>
      <c r="IW85" s="27"/>
      <c r="IX85" s="36"/>
      <c r="IY85" s="85"/>
      <c r="IZ85" s="35"/>
      <c r="JA85" s="35"/>
      <c r="JB85" s="35"/>
      <c r="JC85" s="35"/>
      <c r="JD85" s="35"/>
      <c r="JE85" s="35"/>
      <c r="JF85" s="36"/>
      <c r="JG85" s="35"/>
      <c r="JH85" s="35"/>
      <c r="JI85" s="35"/>
      <c r="JJ85" s="35"/>
      <c r="JK85" s="35"/>
      <c r="JL85" s="35"/>
      <c r="JM85" s="35"/>
      <c r="JN85" s="85"/>
      <c r="JO85" s="27"/>
      <c r="JP85" s="36"/>
      <c r="JQ85" s="85"/>
      <c r="JR85" s="35"/>
      <c r="JS85" s="35"/>
      <c r="JT85" s="35"/>
      <c r="JU85" s="35"/>
      <c r="JV85" s="35"/>
      <c r="JW85" s="35"/>
      <c r="JX85" s="36"/>
      <c r="JY85" s="35"/>
      <c r="JZ85" s="35"/>
      <c r="KA85" s="35"/>
      <c r="KB85" s="35"/>
      <c r="KC85" s="35"/>
      <c r="KD85" s="35"/>
      <c r="KE85" s="35"/>
      <c r="KF85" s="85"/>
      <c r="KG85" s="27"/>
      <c r="KH85" s="36"/>
      <c r="KI85" s="85"/>
      <c r="KJ85" s="35"/>
      <c r="KK85" s="35"/>
      <c r="KL85" s="35"/>
      <c r="KM85" s="35"/>
      <c r="KN85" s="35"/>
      <c r="KO85" s="35"/>
      <c r="KP85" s="36"/>
      <c r="KQ85" s="35"/>
      <c r="KR85" s="35"/>
      <c r="KS85" s="35"/>
      <c r="KT85" s="35"/>
      <c r="KU85" s="35"/>
      <c r="KV85" s="35"/>
      <c r="KW85" s="35"/>
      <c r="KX85" s="85"/>
      <c r="KY85" s="27"/>
      <c r="KZ85" s="36"/>
      <c r="LA85" s="85"/>
      <c r="LB85" s="35"/>
      <c r="LC85" s="35"/>
      <c r="LD85" s="35"/>
      <c r="LE85" s="35"/>
      <c r="LF85" s="35"/>
      <c r="LG85" s="35"/>
      <c r="LH85" s="36"/>
      <c r="LI85" s="35"/>
      <c r="LJ85" s="35"/>
      <c r="LK85" s="35"/>
      <c r="LL85" s="35"/>
      <c r="LM85" s="35"/>
      <c r="LN85" s="35"/>
      <c r="LO85" s="35"/>
      <c r="LP85" s="85"/>
      <c r="LQ85" s="27"/>
      <c r="LR85" s="36"/>
      <c r="LS85" s="85"/>
      <c r="LT85" s="35"/>
      <c r="LU85" s="35"/>
      <c r="LV85" s="35"/>
      <c r="LW85" s="35"/>
      <c r="LX85" s="35"/>
      <c r="LY85" s="35"/>
      <c r="LZ85" s="36"/>
      <c r="MA85" s="35"/>
      <c r="MB85" s="35"/>
      <c r="MC85" s="35"/>
      <c r="MD85" s="35"/>
      <c r="ME85" s="35"/>
      <c r="MF85" s="35"/>
      <c r="MG85" s="35"/>
      <c r="MH85" s="85"/>
      <c r="MI85" s="27"/>
      <c r="MJ85" s="36"/>
      <c r="MK85" s="85"/>
      <c r="ML85" s="35"/>
      <c r="MM85" s="35"/>
      <c r="MN85" s="35"/>
      <c r="MO85" s="35"/>
      <c r="MP85" s="35"/>
      <c r="MQ85" s="35"/>
      <c r="MR85" s="36"/>
      <c r="MS85" s="35"/>
      <c r="MT85" s="35"/>
      <c r="MU85" s="35"/>
      <c r="MV85" s="35"/>
      <c r="MW85" s="35"/>
      <c r="MX85" s="35"/>
      <c r="MY85" s="35"/>
      <c r="MZ85" s="85"/>
      <c r="NA85" s="27"/>
      <c r="NB85" s="36"/>
      <c r="NC85" s="85"/>
      <c r="ND85" s="35"/>
      <c r="NE85" s="35"/>
      <c r="NF85" s="35"/>
      <c r="NG85" s="35"/>
      <c r="NH85" s="35"/>
      <c r="NI85" s="35"/>
      <c r="NJ85" s="36"/>
      <c r="NK85" s="35"/>
      <c r="NL85" s="35"/>
      <c r="NM85" s="35"/>
      <c r="NN85" s="35"/>
      <c r="NO85" s="35"/>
      <c r="NP85" s="35"/>
      <c r="NQ85" s="35"/>
      <c r="NR85" s="85"/>
      <c r="NS85" s="27"/>
      <c r="NT85" s="36"/>
      <c r="NU85" s="85"/>
      <c r="NV85" s="35"/>
      <c r="NW85" s="35"/>
      <c r="NX85" s="35"/>
      <c r="NY85" s="35"/>
      <c r="NZ85" s="35"/>
      <c r="OA85" s="35"/>
      <c r="OB85" s="36"/>
      <c r="OC85" s="35"/>
      <c r="OD85" s="35"/>
      <c r="OE85" s="35"/>
      <c r="OF85" s="35"/>
      <c r="OG85" s="35"/>
      <c r="OH85" s="35"/>
      <c r="OI85" s="35"/>
      <c r="OJ85" s="85"/>
      <c r="OK85" s="27"/>
      <c r="OL85" s="36"/>
      <c r="OM85" s="85"/>
      <c r="ON85" s="35"/>
      <c r="OO85" s="35"/>
      <c r="OP85" s="35"/>
      <c r="OQ85" s="35"/>
      <c r="OR85" s="35"/>
      <c r="OS85" s="35"/>
      <c r="OT85" s="36"/>
      <c r="OU85" s="35"/>
      <c r="OV85" s="35"/>
      <c r="OW85" s="35"/>
      <c r="OX85" s="35"/>
      <c r="OY85" s="35"/>
      <c r="OZ85" s="35"/>
      <c r="PA85" s="35"/>
      <c r="PB85" s="85"/>
      <c r="PC85" s="27"/>
      <c r="PD85" s="36"/>
      <c r="PE85" s="85"/>
      <c r="PF85" s="35"/>
      <c r="PG85" s="35"/>
      <c r="PH85" s="35"/>
      <c r="PI85" s="35"/>
      <c r="PJ85" s="35"/>
      <c r="PK85" s="35"/>
      <c r="PL85" s="36"/>
      <c r="PM85" s="35"/>
      <c r="PN85" s="35"/>
      <c r="PO85" s="35"/>
      <c r="PP85" s="35"/>
      <c r="PQ85" s="35"/>
      <c r="PR85" s="35"/>
      <c r="PS85" s="35"/>
      <c r="PT85" s="85"/>
      <c r="PU85" s="27"/>
      <c r="PV85" s="36"/>
      <c r="PW85" s="85"/>
      <c r="PX85" s="35"/>
      <c r="PY85" s="35"/>
      <c r="PZ85" s="35"/>
      <c r="QA85" s="35"/>
      <c r="QB85" s="35"/>
      <c r="QC85" s="35">
        <v>3653622.04</v>
      </c>
      <c r="QD85" s="36"/>
      <c r="QE85" s="35"/>
      <c r="QF85" s="35"/>
      <c r="QG85" s="35"/>
      <c r="QH85" s="35"/>
      <c r="QI85" s="35"/>
      <c r="QJ85" s="35">
        <v>3653622.04</v>
      </c>
      <c r="QK85" s="35"/>
      <c r="QL85" s="85"/>
      <c r="QM85" s="27"/>
      <c r="QN85" s="36"/>
      <c r="QO85" s="85"/>
    </row>
    <row r="86" spans="1:457" x14ac:dyDescent="0.25">
      <c r="A86" s="8" t="s">
        <v>190</v>
      </c>
      <c r="B86" s="172">
        <v>72</v>
      </c>
      <c r="C86" s="12" t="s">
        <v>192</v>
      </c>
      <c r="F86" s="32"/>
      <c r="G86" s="33"/>
      <c r="H86" s="32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86"/>
      <c r="Z86" s="148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86"/>
      <c r="AR86" s="148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86"/>
      <c r="BJ86" s="148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86"/>
      <c r="CB86" s="148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86"/>
      <c r="CT86" s="148"/>
      <c r="CU86" s="33"/>
      <c r="CV86" s="33"/>
      <c r="CW86" s="33"/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86"/>
      <c r="DL86" s="148"/>
      <c r="DM86" s="33"/>
      <c r="DN86" s="33"/>
      <c r="DO86" s="33"/>
      <c r="DP86" s="33"/>
      <c r="DQ86" s="33"/>
      <c r="DR86" s="33"/>
      <c r="DS86" s="33"/>
      <c r="DT86" s="33"/>
      <c r="DU86" s="33"/>
      <c r="DV86" s="33"/>
      <c r="DW86" s="33"/>
      <c r="DX86" s="33"/>
      <c r="DY86" s="33"/>
      <c r="DZ86" s="33"/>
      <c r="EA86" s="33"/>
      <c r="EB86" s="33"/>
      <c r="EC86" s="86"/>
      <c r="ED86" s="148"/>
      <c r="EE86" s="33"/>
      <c r="EF86" s="33"/>
      <c r="EG86" s="33"/>
      <c r="EH86" s="33"/>
      <c r="EI86" s="33"/>
      <c r="EJ86" s="33"/>
      <c r="EK86" s="33"/>
      <c r="EL86" s="33"/>
      <c r="EM86" s="33"/>
      <c r="EN86" s="33"/>
      <c r="EO86" s="33"/>
      <c r="EP86" s="33"/>
      <c r="EQ86" s="33"/>
      <c r="ER86" s="33"/>
      <c r="ES86" s="33"/>
      <c r="ET86" s="33"/>
      <c r="EU86" s="86"/>
      <c r="EV86" s="148"/>
      <c r="EW86" s="33"/>
      <c r="EX86" s="33"/>
      <c r="EY86" s="33"/>
      <c r="EZ86" s="33"/>
      <c r="FA86" s="33"/>
      <c r="FB86" s="33"/>
      <c r="FC86" s="33"/>
      <c r="FD86" s="33"/>
      <c r="FE86" s="33"/>
      <c r="FF86" s="33"/>
      <c r="FG86" s="33"/>
      <c r="FH86" s="33"/>
      <c r="FI86" s="33"/>
      <c r="FJ86" s="33"/>
      <c r="FK86" s="33"/>
      <c r="FL86" s="33"/>
      <c r="FM86" s="86"/>
      <c r="FN86" s="148"/>
      <c r="FO86" s="33"/>
      <c r="FP86" s="33"/>
      <c r="FQ86" s="33"/>
      <c r="FR86" s="33"/>
      <c r="FS86" s="33"/>
      <c r="FT86" s="33"/>
      <c r="FU86" s="33"/>
      <c r="FV86" s="33"/>
      <c r="FW86" s="33"/>
      <c r="FX86" s="33"/>
      <c r="FY86" s="33"/>
      <c r="FZ86" s="33"/>
      <c r="GA86" s="33"/>
      <c r="GB86" s="33"/>
      <c r="GC86" s="33"/>
      <c r="GD86" s="33"/>
      <c r="GE86" s="86"/>
      <c r="GF86" s="148"/>
      <c r="GG86" s="33"/>
      <c r="GH86" s="33"/>
      <c r="GI86" s="33"/>
      <c r="GJ86" s="33"/>
      <c r="GK86" s="33"/>
      <c r="GL86" s="33"/>
      <c r="GM86" s="33"/>
      <c r="GN86" s="33"/>
      <c r="GO86" s="33"/>
      <c r="GP86" s="33"/>
      <c r="GQ86" s="33"/>
      <c r="GR86" s="33"/>
      <c r="GS86" s="33"/>
      <c r="GT86" s="33"/>
      <c r="GU86" s="33"/>
      <c r="GV86" s="33"/>
      <c r="GW86" s="86"/>
      <c r="GX86" s="148"/>
      <c r="GY86" s="33"/>
      <c r="GZ86" s="33"/>
      <c r="HA86" s="33"/>
      <c r="HB86" s="33"/>
      <c r="HC86" s="33"/>
      <c r="HD86" s="33"/>
      <c r="HE86" s="33"/>
      <c r="HF86" s="33"/>
      <c r="HG86" s="33"/>
      <c r="HH86" s="33"/>
      <c r="HI86" s="33"/>
      <c r="HJ86" s="33"/>
      <c r="HK86" s="33"/>
      <c r="HL86" s="33"/>
      <c r="HM86" s="33"/>
      <c r="HN86" s="33"/>
      <c r="HO86" s="86"/>
      <c r="HP86" s="148"/>
      <c r="HQ86" s="33"/>
      <c r="HR86" s="33"/>
      <c r="HS86" s="33"/>
      <c r="HT86" s="33"/>
      <c r="HU86" s="33"/>
      <c r="HV86" s="33"/>
      <c r="HW86" s="33"/>
      <c r="HX86" s="33"/>
      <c r="HY86" s="33"/>
      <c r="HZ86" s="33"/>
      <c r="IA86" s="33"/>
      <c r="IB86" s="33"/>
      <c r="IC86" s="33"/>
      <c r="ID86" s="33"/>
      <c r="IE86" s="33"/>
      <c r="IF86" s="33"/>
      <c r="IG86" s="86"/>
      <c r="IH86" s="148"/>
      <c r="II86" s="33"/>
      <c r="IJ86" s="33"/>
      <c r="IK86" s="33"/>
      <c r="IL86" s="33"/>
      <c r="IM86" s="33"/>
      <c r="IN86" s="33"/>
      <c r="IO86" s="33"/>
      <c r="IP86" s="33"/>
      <c r="IQ86" s="33"/>
      <c r="IR86" s="33"/>
      <c r="IS86" s="33"/>
      <c r="IT86" s="33"/>
      <c r="IU86" s="33"/>
      <c r="IV86" s="33"/>
      <c r="IW86" s="33"/>
      <c r="IX86" s="33"/>
      <c r="IY86" s="86"/>
      <c r="IZ86" s="148"/>
      <c r="JA86" s="33"/>
      <c r="JB86" s="33"/>
      <c r="JC86" s="33"/>
      <c r="JD86" s="33"/>
      <c r="JE86" s="33"/>
      <c r="JF86" s="33"/>
      <c r="JG86" s="33"/>
      <c r="JH86" s="33"/>
      <c r="JI86" s="33"/>
      <c r="JJ86" s="33"/>
      <c r="JK86" s="33"/>
      <c r="JL86" s="33"/>
      <c r="JM86" s="33"/>
      <c r="JN86" s="33"/>
      <c r="JO86" s="33"/>
      <c r="JP86" s="33"/>
      <c r="JQ86" s="86"/>
      <c r="JR86" s="148"/>
      <c r="JS86" s="33"/>
      <c r="JT86" s="33"/>
      <c r="JU86" s="33"/>
      <c r="JV86" s="33"/>
      <c r="JW86" s="33"/>
      <c r="JX86" s="33"/>
      <c r="JY86" s="33"/>
      <c r="JZ86" s="33"/>
      <c r="KA86" s="33"/>
      <c r="KB86" s="33"/>
      <c r="KC86" s="33"/>
      <c r="KD86" s="33"/>
      <c r="KE86" s="33"/>
      <c r="KF86" s="33"/>
      <c r="KG86" s="33"/>
      <c r="KH86" s="33"/>
      <c r="KI86" s="86"/>
      <c r="KJ86" s="148"/>
      <c r="KK86" s="33"/>
      <c r="KL86" s="33"/>
      <c r="KM86" s="33"/>
      <c r="KN86" s="33"/>
      <c r="KO86" s="33"/>
      <c r="KP86" s="33"/>
      <c r="KQ86" s="33"/>
      <c r="KR86" s="33"/>
      <c r="KS86" s="33"/>
      <c r="KT86" s="33"/>
      <c r="KU86" s="33"/>
      <c r="KV86" s="33"/>
      <c r="KW86" s="33"/>
      <c r="KX86" s="33"/>
      <c r="KY86" s="33"/>
      <c r="KZ86" s="33"/>
      <c r="LA86" s="86"/>
      <c r="LB86" s="148"/>
      <c r="LC86" s="33"/>
      <c r="LD86" s="33"/>
      <c r="LE86" s="33"/>
      <c r="LF86" s="33"/>
      <c r="LG86" s="33"/>
      <c r="LH86" s="33"/>
      <c r="LI86" s="33"/>
      <c r="LJ86" s="33"/>
      <c r="LK86" s="33"/>
      <c r="LL86" s="33"/>
      <c r="LM86" s="33"/>
      <c r="LN86" s="33"/>
      <c r="LO86" s="33"/>
      <c r="LP86" s="33"/>
      <c r="LQ86" s="33"/>
      <c r="LR86" s="33"/>
      <c r="LS86" s="86"/>
      <c r="LT86" s="148"/>
      <c r="LU86" s="33"/>
      <c r="LV86" s="33"/>
      <c r="LW86" s="33"/>
      <c r="LX86" s="33"/>
      <c r="LY86" s="33"/>
      <c r="LZ86" s="33"/>
      <c r="MA86" s="33"/>
      <c r="MB86" s="33"/>
      <c r="MC86" s="33"/>
      <c r="MD86" s="33"/>
      <c r="ME86" s="33"/>
      <c r="MF86" s="33"/>
      <c r="MG86" s="33"/>
      <c r="MH86" s="33"/>
      <c r="MI86" s="33"/>
      <c r="MJ86" s="33"/>
      <c r="MK86" s="86"/>
      <c r="ML86" s="148"/>
      <c r="MM86" s="33"/>
      <c r="MN86" s="33"/>
      <c r="MO86" s="33"/>
      <c r="MP86" s="33"/>
      <c r="MQ86" s="33"/>
      <c r="MR86" s="33"/>
      <c r="MS86" s="33"/>
      <c r="MT86" s="33"/>
      <c r="MU86" s="33"/>
      <c r="MV86" s="33"/>
      <c r="MW86" s="33"/>
      <c r="MX86" s="33"/>
      <c r="MY86" s="33"/>
      <c r="MZ86" s="33"/>
      <c r="NA86" s="33"/>
      <c r="NB86" s="33"/>
      <c r="NC86" s="86"/>
      <c r="ND86" s="148"/>
      <c r="NE86" s="33"/>
      <c r="NF86" s="33"/>
      <c r="NG86" s="33"/>
      <c r="NH86" s="33"/>
      <c r="NI86" s="33"/>
      <c r="NJ86" s="33"/>
      <c r="NK86" s="33"/>
      <c r="NL86" s="33"/>
      <c r="NM86" s="33"/>
      <c r="NN86" s="33"/>
      <c r="NO86" s="33"/>
      <c r="NP86" s="33"/>
      <c r="NQ86" s="33"/>
      <c r="NR86" s="33"/>
      <c r="NS86" s="33"/>
      <c r="NT86" s="33"/>
      <c r="NU86" s="86"/>
      <c r="NV86" s="148"/>
      <c r="NW86" s="33"/>
      <c r="NX86" s="33"/>
      <c r="NY86" s="33"/>
      <c r="NZ86" s="33"/>
      <c r="OA86" s="33"/>
      <c r="OB86" s="33"/>
      <c r="OC86" s="33"/>
      <c r="OD86" s="33"/>
      <c r="OE86" s="33"/>
      <c r="OF86" s="33"/>
      <c r="OG86" s="33"/>
      <c r="OH86" s="33"/>
      <c r="OI86" s="33"/>
      <c r="OJ86" s="33"/>
      <c r="OK86" s="33"/>
      <c r="OL86" s="33"/>
      <c r="OM86" s="86"/>
      <c r="ON86" s="148"/>
      <c r="OO86" s="33"/>
      <c r="OP86" s="33"/>
      <c r="OQ86" s="33"/>
      <c r="OR86" s="33"/>
      <c r="OS86" s="33"/>
      <c r="OT86" s="33"/>
      <c r="OU86" s="33"/>
      <c r="OV86" s="33"/>
      <c r="OW86" s="33"/>
      <c r="OX86" s="33"/>
      <c r="OY86" s="33"/>
      <c r="OZ86" s="33"/>
      <c r="PA86" s="33"/>
      <c r="PB86" s="33"/>
      <c r="PC86" s="33"/>
      <c r="PD86" s="33"/>
      <c r="PE86" s="86"/>
      <c r="PF86" s="148"/>
      <c r="PG86" s="33"/>
      <c r="PH86" s="33"/>
      <c r="PI86" s="33"/>
      <c r="PJ86" s="33"/>
      <c r="PK86" s="33"/>
      <c r="PL86" s="33"/>
      <c r="PM86" s="33"/>
      <c r="PN86" s="33"/>
      <c r="PO86" s="33"/>
      <c r="PP86" s="33"/>
      <c r="PQ86" s="33"/>
      <c r="PR86" s="33"/>
      <c r="PS86" s="33"/>
      <c r="PT86" s="33"/>
      <c r="PU86" s="33"/>
      <c r="PV86" s="33"/>
      <c r="PW86" s="86"/>
      <c r="PX86" s="148"/>
      <c r="PY86" s="33"/>
      <c r="PZ86" s="33"/>
      <c r="QA86" s="33"/>
      <c r="QB86" s="33"/>
      <c r="QC86" s="33"/>
      <c r="QD86" s="33"/>
      <c r="QE86" s="33"/>
      <c r="QF86" s="33"/>
      <c r="QG86" s="33"/>
      <c r="QH86" s="33"/>
      <c r="QI86" s="33"/>
      <c r="QJ86" s="33"/>
      <c r="QK86" s="33"/>
      <c r="QL86" s="33"/>
      <c r="QM86" s="33"/>
      <c r="QN86" s="33"/>
      <c r="QO86" s="86"/>
    </row>
    <row r="87" spans="1:457" x14ac:dyDescent="0.25">
      <c r="A87" s="8" t="s">
        <v>193</v>
      </c>
      <c r="B87" s="174">
        <v>73</v>
      </c>
      <c r="C87" s="13" t="s">
        <v>195</v>
      </c>
      <c r="F87" s="36">
        <v>374403800</v>
      </c>
      <c r="G87" s="85"/>
      <c r="H87" s="35"/>
      <c r="I87" s="35">
        <v>3701762.54</v>
      </c>
      <c r="J87" s="35">
        <v>3122300</v>
      </c>
      <c r="K87" s="35">
        <v>579462.54</v>
      </c>
      <c r="L87" s="35">
        <v>3122300</v>
      </c>
      <c r="M87" s="35"/>
      <c r="N87" s="36"/>
      <c r="O87" s="35">
        <v>3701762.54</v>
      </c>
      <c r="P87" s="35">
        <v>3122300</v>
      </c>
      <c r="Q87" s="35"/>
      <c r="R87" s="35">
        <v>579462.54</v>
      </c>
      <c r="S87" s="35">
        <v>15.653689999999999</v>
      </c>
      <c r="T87" s="35"/>
      <c r="U87" s="35">
        <v>0</v>
      </c>
      <c r="V87" s="85">
        <v>3122300</v>
      </c>
      <c r="W87" s="27"/>
      <c r="X87" s="36">
        <v>3122300</v>
      </c>
      <c r="Y87" s="85">
        <v>3122300</v>
      </c>
      <c r="Z87" s="35"/>
      <c r="AA87" s="35"/>
      <c r="AB87" s="35"/>
      <c r="AC87" s="35"/>
      <c r="AD87" s="35"/>
      <c r="AE87" s="35"/>
      <c r="AF87" s="36"/>
      <c r="AG87" s="35"/>
      <c r="AH87" s="35"/>
      <c r="AI87" s="35"/>
      <c r="AJ87" s="35"/>
      <c r="AK87" s="35"/>
      <c r="AL87" s="35"/>
      <c r="AM87" s="35"/>
      <c r="AN87" s="85"/>
      <c r="AO87" s="27"/>
      <c r="AP87" s="36"/>
      <c r="AQ87" s="85"/>
      <c r="AR87" s="35"/>
      <c r="AS87" s="35">
        <v>48081800</v>
      </c>
      <c r="AT87" s="35">
        <v>7081800</v>
      </c>
      <c r="AU87" s="35">
        <v>41000000</v>
      </c>
      <c r="AV87" s="35">
        <v>7081800</v>
      </c>
      <c r="AW87" s="35"/>
      <c r="AX87" s="36"/>
      <c r="AY87" s="35">
        <v>48081800</v>
      </c>
      <c r="AZ87" s="35">
        <v>7081800</v>
      </c>
      <c r="BA87" s="35"/>
      <c r="BB87" s="35">
        <v>41000000</v>
      </c>
      <c r="BC87" s="35">
        <v>85.271349999999998</v>
      </c>
      <c r="BD87" s="35"/>
      <c r="BE87" s="35"/>
      <c r="BF87" s="85">
        <v>7081800</v>
      </c>
      <c r="BG87" s="27"/>
      <c r="BH87" s="36">
        <v>7081800</v>
      </c>
      <c r="BI87" s="85">
        <v>7081800</v>
      </c>
      <c r="BJ87" s="35"/>
      <c r="BK87" s="35"/>
      <c r="BL87" s="35"/>
      <c r="BM87" s="35"/>
      <c r="BN87" s="35"/>
      <c r="BO87" s="35"/>
      <c r="BP87" s="36"/>
      <c r="BQ87" s="35"/>
      <c r="BR87" s="35"/>
      <c r="BS87" s="35"/>
      <c r="BT87" s="35"/>
      <c r="BU87" s="35"/>
      <c r="BV87" s="35"/>
      <c r="BW87" s="35"/>
      <c r="BX87" s="85"/>
      <c r="BY87" s="27"/>
      <c r="BZ87" s="36"/>
      <c r="CA87" s="85"/>
      <c r="CB87" s="35"/>
      <c r="CC87" s="35">
        <v>33847000</v>
      </c>
      <c r="CD87" s="35">
        <v>23347000</v>
      </c>
      <c r="CE87" s="35">
        <v>10500000</v>
      </c>
      <c r="CF87" s="35">
        <v>23347000</v>
      </c>
      <c r="CG87" s="35"/>
      <c r="CH87" s="36"/>
      <c r="CI87" s="35">
        <v>33847000</v>
      </c>
      <c r="CJ87" s="35">
        <v>23347000</v>
      </c>
      <c r="CK87" s="35"/>
      <c r="CL87" s="35">
        <v>10500000</v>
      </c>
      <c r="CM87" s="35">
        <v>31.02195</v>
      </c>
      <c r="CN87" s="35"/>
      <c r="CO87" s="35"/>
      <c r="CP87" s="85">
        <v>23347000</v>
      </c>
      <c r="CQ87" s="27"/>
      <c r="CR87" s="36">
        <v>23347000</v>
      </c>
      <c r="CS87" s="85">
        <v>23347000</v>
      </c>
      <c r="CT87" s="35"/>
      <c r="CU87" s="35">
        <v>256525800</v>
      </c>
      <c r="CV87" s="35">
        <v>235122900</v>
      </c>
      <c r="CW87" s="35">
        <v>21402900</v>
      </c>
      <c r="CX87" s="35">
        <v>235122900</v>
      </c>
      <c r="CY87" s="35"/>
      <c r="CZ87" s="36"/>
      <c r="DA87" s="35">
        <v>256525800</v>
      </c>
      <c r="DB87" s="35">
        <v>235122900</v>
      </c>
      <c r="DC87" s="35"/>
      <c r="DD87" s="35">
        <v>21402900</v>
      </c>
      <c r="DE87" s="35">
        <v>8.3433700000000002</v>
      </c>
      <c r="DF87" s="35"/>
      <c r="DG87" s="35"/>
      <c r="DH87" s="85">
        <v>235122900</v>
      </c>
      <c r="DI87" s="27"/>
      <c r="DJ87" s="36">
        <v>235122900</v>
      </c>
      <c r="DK87" s="85">
        <v>235122900</v>
      </c>
      <c r="DL87" s="35"/>
      <c r="DM87" s="35"/>
      <c r="DN87" s="35"/>
      <c r="DO87" s="35"/>
      <c r="DP87" s="35"/>
      <c r="DQ87" s="35"/>
      <c r="DR87" s="36"/>
      <c r="DS87" s="35"/>
      <c r="DT87" s="35"/>
      <c r="DU87" s="35"/>
      <c r="DV87" s="35"/>
      <c r="DW87" s="35"/>
      <c r="DX87" s="35"/>
      <c r="DY87" s="35"/>
      <c r="DZ87" s="85"/>
      <c r="EA87" s="27"/>
      <c r="EB87" s="36"/>
      <c r="EC87" s="85"/>
      <c r="ED87" s="35"/>
      <c r="EE87" s="35"/>
      <c r="EF87" s="35"/>
      <c r="EG87" s="35"/>
      <c r="EH87" s="35"/>
      <c r="EI87" s="35"/>
      <c r="EJ87" s="36"/>
      <c r="EK87" s="35"/>
      <c r="EL87" s="35"/>
      <c r="EM87" s="35"/>
      <c r="EN87" s="35"/>
      <c r="EO87" s="35"/>
      <c r="EP87" s="35"/>
      <c r="EQ87" s="35"/>
      <c r="ER87" s="85"/>
      <c r="ES87" s="27"/>
      <c r="ET87" s="36"/>
      <c r="EU87" s="85"/>
      <c r="EV87" s="35"/>
      <c r="EW87" s="35"/>
      <c r="EX87" s="35"/>
      <c r="EY87" s="35"/>
      <c r="EZ87" s="35"/>
      <c r="FA87" s="35"/>
      <c r="FB87" s="36"/>
      <c r="FC87" s="35"/>
      <c r="FD87" s="35"/>
      <c r="FE87" s="35"/>
      <c r="FF87" s="35"/>
      <c r="FG87" s="35"/>
      <c r="FH87" s="35"/>
      <c r="FI87" s="35"/>
      <c r="FJ87" s="85"/>
      <c r="FK87" s="27"/>
      <c r="FL87" s="36"/>
      <c r="FM87" s="85"/>
      <c r="FN87" s="35"/>
      <c r="FO87" s="35">
        <v>12976300</v>
      </c>
      <c r="FP87" s="35">
        <v>10221300</v>
      </c>
      <c r="FQ87" s="35">
        <v>2755000</v>
      </c>
      <c r="FR87" s="35">
        <v>10221300</v>
      </c>
      <c r="FS87" s="35"/>
      <c r="FT87" s="36"/>
      <c r="FU87" s="35">
        <v>12976300</v>
      </c>
      <c r="FV87" s="35">
        <v>10221300</v>
      </c>
      <c r="FW87" s="35"/>
      <c r="FX87" s="35">
        <v>2755000</v>
      </c>
      <c r="FY87" s="35">
        <v>21.231010000000001</v>
      </c>
      <c r="FZ87" s="35"/>
      <c r="GA87" s="35"/>
      <c r="GB87" s="85">
        <v>10221300</v>
      </c>
      <c r="GC87" s="27"/>
      <c r="GD87" s="36">
        <v>10221300</v>
      </c>
      <c r="GE87" s="85">
        <v>10221300</v>
      </c>
      <c r="GF87" s="35"/>
      <c r="GG87" s="35">
        <v>29629000</v>
      </c>
      <c r="GH87" s="35">
        <v>19629000</v>
      </c>
      <c r="GI87" s="35">
        <v>10000000</v>
      </c>
      <c r="GJ87" s="35">
        <v>19629000</v>
      </c>
      <c r="GK87" s="35"/>
      <c r="GL87" s="36"/>
      <c r="GM87" s="35">
        <v>29629000</v>
      </c>
      <c r="GN87" s="35">
        <v>19629000</v>
      </c>
      <c r="GO87" s="35"/>
      <c r="GP87" s="35">
        <v>10000000</v>
      </c>
      <c r="GQ87" s="35">
        <v>33.750720000000001</v>
      </c>
      <c r="GR87" s="35"/>
      <c r="GS87" s="35"/>
      <c r="GT87" s="85">
        <v>19629000</v>
      </c>
      <c r="GU87" s="27"/>
      <c r="GV87" s="36">
        <v>19629000</v>
      </c>
      <c r="GW87" s="85">
        <v>19629000</v>
      </c>
      <c r="GX87" s="35"/>
      <c r="GY87" s="35"/>
      <c r="GZ87" s="35"/>
      <c r="HA87" s="35"/>
      <c r="HB87" s="35"/>
      <c r="HC87" s="35"/>
      <c r="HD87" s="36"/>
      <c r="HE87" s="35"/>
      <c r="HF87" s="35"/>
      <c r="HG87" s="35"/>
      <c r="HH87" s="35"/>
      <c r="HI87" s="35"/>
      <c r="HJ87" s="35"/>
      <c r="HK87" s="35"/>
      <c r="HL87" s="85"/>
      <c r="HM87" s="27"/>
      <c r="HN87" s="36"/>
      <c r="HO87" s="85"/>
      <c r="HP87" s="35"/>
      <c r="HQ87" s="35">
        <v>87308000</v>
      </c>
      <c r="HR87" s="35">
        <v>72708000</v>
      </c>
      <c r="HS87" s="35">
        <v>14600000</v>
      </c>
      <c r="HT87" s="35">
        <v>72708000</v>
      </c>
      <c r="HU87" s="35"/>
      <c r="HV87" s="36"/>
      <c r="HW87" s="35">
        <v>87308000</v>
      </c>
      <c r="HX87" s="35">
        <v>72708000</v>
      </c>
      <c r="HY87" s="35"/>
      <c r="HZ87" s="35">
        <v>14600000</v>
      </c>
      <c r="IA87" s="35">
        <v>16.72241</v>
      </c>
      <c r="IB87" s="35"/>
      <c r="IC87" s="35"/>
      <c r="ID87" s="85">
        <v>72708000</v>
      </c>
      <c r="IE87" s="27"/>
      <c r="IF87" s="36">
        <v>72708000</v>
      </c>
      <c r="IG87" s="85">
        <v>72708000</v>
      </c>
      <c r="IH87" s="35"/>
      <c r="II87" s="35"/>
      <c r="IJ87" s="35"/>
      <c r="IK87" s="35"/>
      <c r="IL87" s="35"/>
      <c r="IM87" s="35"/>
      <c r="IN87" s="36"/>
      <c r="IO87" s="35"/>
      <c r="IP87" s="35"/>
      <c r="IQ87" s="35"/>
      <c r="IR87" s="35"/>
      <c r="IS87" s="35"/>
      <c r="IT87" s="35"/>
      <c r="IU87" s="35"/>
      <c r="IV87" s="85"/>
      <c r="IW87" s="27"/>
      <c r="IX87" s="36"/>
      <c r="IY87" s="85"/>
      <c r="IZ87" s="35"/>
      <c r="JA87" s="35"/>
      <c r="JB87" s="35"/>
      <c r="JC87" s="35"/>
      <c r="JD87" s="35"/>
      <c r="JE87" s="35"/>
      <c r="JF87" s="36"/>
      <c r="JG87" s="35"/>
      <c r="JH87" s="35"/>
      <c r="JI87" s="35"/>
      <c r="JJ87" s="35"/>
      <c r="JK87" s="35"/>
      <c r="JL87" s="35"/>
      <c r="JM87" s="35"/>
      <c r="JN87" s="85"/>
      <c r="JO87" s="27"/>
      <c r="JP87" s="36"/>
      <c r="JQ87" s="85"/>
      <c r="JR87" s="35"/>
      <c r="JS87" s="35"/>
      <c r="JT87" s="35"/>
      <c r="JU87" s="35"/>
      <c r="JV87" s="35"/>
      <c r="JW87" s="35"/>
      <c r="JX87" s="36"/>
      <c r="JY87" s="35"/>
      <c r="JZ87" s="35"/>
      <c r="KA87" s="35"/>
      <c r="KB87" s="35"/>
      <c r="KC87" s="35"/>
      <c r="KD87" s="35"/>
      <c r="KE87" s="35"/>
      <c r="KF87" s="85"/>
      <c r="KG87" s="27"/>
      <c r="KH87" s="36"/>
      <c r="KI87" s="85"/>
      <c r="KJ87" s="35"/>
      <c r="KK87" s="35">
        <v>3305000</v>
      </c>
      <c r="KL87" s="35">
        <v>1305000</v>
      </c>
      <c r="KM87" s="35">
        <v>2000000</v>
      </c>
      <c r="KN87" s="35">
        <v>1305000</v>
      </c>
      <c r="KO87" s="35"/>
      <c r="KP87" s="36"/>
      <c r="KQ87" s="35">
        <v>3305000</v>
      </c>
      <c r="KR87" s="35">
        <v>1305000</v>
      </c>
      <c r="KS87" s="35"/>
      <c r="KT87" s="35">
        <v>2000000</v>
      </c>
      <c r="KU87" s="35">
        <v>60.51437</v>
      </c>
      <c r="KV87" s="35"/>
      <c r="KW87" s="35"/>
      <c r="KX87" s="85">
        <v>1305000</v>
      </c>
      <c r="KY87" s="27"/>
      <c r="KZ87" s="36">
        <v>1305000</v>
      </c>
      <c r="LA87" s="85">
        <v>1305000</v>
      </c>
      <c r="LB87" s="35"/>
      <c r="LC87" s="35"/>
      <c r="LD87" s="35"/>
      <c r="LE87" s="35"/>
      <c r="LF87" s="35"/>
      <c r="LG87" s="35"/>
      <c r="LH87" s="36"/>
      <c r="LI87" s="35"/>
      <c r="LJ87" s="35"/>
      <c r="LK87" s="35"/>
      <c r="LL87" s="35"/>
      <c r="LM87" s="35"/>
      <c r="LN87" s="35"/>
      <c r="LO87" s="35"/>
      <c r="LP87" s="85"/>
      <c r="LQ87" s="27"/>
      <c r="LR87" s="36"/>
      <c r="LS87" s="85"/>
      <c r="LT87" s="35"/>
      <c r="LU87" s="35"/>
      <c r="LV87" s="35"/>
      <c r="LW87" s="35"/>
      <c r="LX87" s="35"/>
      <c r="LY87" s="35"/>
      <c r="LZ87" s="36"/>
      <c r="MA87" s="35"/>
      <c r="MB87" s="35"/>
      <c r="MC87" s="35"/>
      <c r="MD87" s="35"/>
      <c r="ME87" s="35"/>
      <c r="MF87" s="35"/>
      <c r="MG87" s="35"/>
      <c r="MH87" s="85"/>
      <c r="MI87" s="27"/>
      <c r="MJ87" s="36"/>
      <c r="MK87" s="85"/>
      <c r="ML87" s="35"/>
      <c r="MM87" s="35"/>
      <c r="MN87" s="35"/>
      <c r="MO87" s="35"/>
      <c r="MP87" s="35"/>
      <c r="MQ87" s="35"/>
      <c r="MR87" s="36"/>
      <c r="MS87" s="35"/>
      <c r="MT87" s="35"/>
      <c r="MU87" s="35"/>
      <c r="MV87" s="35"/>
      <c r="MW87" s="35"/>
      <c r="MX87" s="35"/>
      <c r="MY87" s="35"/>
      <c r="MZ87" s="85"/>
      <c r="NA87" s="27"/>
      <c r="NB87" s="36"/>
      <c r="NC87" s="85"/>
      <c r="ND87" s="35"/>
      <c r="NE87" s="35"/>
      <c r="NF87" s="35"/>
      <c r="NG87" s="35"/>
      <c r="NH87" s="35"/>
      <c r="NI87" s="35"/>
      <c r="NJ87" s="36"/>
      <c r="NK87" s="35"/>
      <c r="NL87" s="35"/>
      <c r="NM87" s="35"/>
      <c r="NN87" s="35"/>
      <c r="NO87" s="35"/>
      <c r="NP87" s="35"/>
      <c r="NQ87" s="35"/>
      <c r="NR87" s="85"/>
      <c r="NS87" s="27"/>
      <c r="NT87" s="36"/>
      <c r="NU87" s="85"/>
      <c r="NV87" s="35"/>
      <c r="NW87" s="35"/>
      <c r="NX87" s="35"/>
      <c r="NY87" s="35"/>
      <c r="NZ87" s="35"/>
      <c r="OA87" s="35"/>
      <c r="OB87" s="36"/>
      <c r="OC87" s="35"/>
      <c r="OD87" s="35"/>
      <c r="OE87" s="35"/>
      <c r="OF87" s="35"/>
      <c r="OG87" s="35"/>
      <c r="OH87" s="35"/>
      <c r="OI87" s="35"/>
      <c r="OJ87" s="85"/>
      <c r="OK87" s="27"/>
      <c r="OL87" s="36"/>
      <c r="OM87" s="85"/>
      <c r="ON87" s="35"/>
      <c r="OO87" s="35">
        <v>2666500</v>
      </c>
      <c r="OP87" s="35">
        <v>1866500</v>
      </c>
      <c r="OQ87" s="35">
        <v>800000</v>
      </c>
      <c r="OR87" s="35">
        <v>1866500</v>
      </c>
      <c r="OS87" s="35"/>
      <c r="OT87" s="36"/>
      <c r="OU87" s="35">
        <v>2666500</v>
      </c>
      <c r="OV87" s="35">
        <v>1866500</v>
      </c>
      <c r="OW87" s="35"/>
      <c r="OX87" s="35">
        <v>800000</v>
      </c>
      <c r="OY87" s="35">
        <v>30.00188</v>
      </c>
      <c r="OZ87" s="35"/>
      <c r="PA87" s="35"/>
      <c r="PB87" s="85">
        <v>1866500</v>
      </c>
      <c r="PC87" s="27"/>
      <c r="PD87" s="36">
        <v>1866500</v>
      </c>
      <c r="PE87" s="85">
        <v>1866500</v>
      </c>
      <c r="PF87" s="35"/>
      <c r="PG87" s="35"/>
      <c r="PH87" s="35"/>
      <c r="PI87" s="35"/>
      <c r="PJ87" s="35"/>
      <c r="PK87" s="35"/>
      <c r="PL87" s="36"/>
      <c r="PM87" s="35"/>
      <c r="PN87" s="35"/>
      <c r="PO87" s="35"/>
      <c r="PP87" s="35"/>
      <c r="PQ87" s="35"/>
      <c r="PR87" s="35"/>
      <c r="PS87" s="35"/>
      <c r="PT87" s="85"/>
      <c r="PU87" s="27"/>
      <c r="PV87" s="36"/>
      <c r="PW87" s="85"/>
      <c r="PX87" s="35"/>
      <c r="PY87" s="35"/>
      <c r="PZ87" s="35"/>
      <c r="QA87" s="35"/>
      <c r="QB87" s="35"/>
      <c r="QC87" s="35">
        <v>249674.6</v>
      </c>
      <c r="QD87" s="36"/>
      <c r="QE87" s="35"/>
      <c r="QF87" s="35"/>
      <c r="QG87" s="35"/>
      <c r="QH87" s="35"/>
      <c r="QI87" s="35"/>
      <c r="QJ87" s="35">
        <v>249674.6</v>
      </c>
      <c r="QK87" s="35"/>
      <c r="QL87" s="85"/>
      <c r="QM87" s="27"/>
      <c r="QN87" s="36"/>
      <c r="QO87" s="85"/>
    </row>
    <row r="88" spans="1:457" x14ac:dyDescent="0.25">
      <c r="A88" s="8" t="s">
        <v>196</v>
      </c>
      <c r="B88" s="174">
        <v>74</v>
      </c>
      <c r="C88" s="13" t="s">
        <v>198</v>
      </c>
      <c r="F88" s="36">
        <v>421449700</v>
      </c>
      <c r="G88" s="85"/>
      <c r="H88" s="35"/>
      <c r="I88" s="35">
        <v>147155976</v>
      </c>
      <c r="J88" s="35">
        <v>99016400</v>
      </c>
      <c r="K88" s="35">
        <v>48139576</v>
      </c>
      <c r="L88" s="35">
        <v>99016400</v>
      </c>
      <c r="M88" s="35"/>
      <c r="N88" s="36"/>
      <c r="O88" s="35">
        <v>147155976</v>
      </c>
      <c r="P88" s="35">
        <v>99016400</v>
      </c>
      <c r="Q88" s="35"/>
      <c r="R88" s="35">
        <v>48139576</v>
      </c>
      <c r="S88" s="35">
        <v>32.713299999999997</v>
      </c>
      <c r="T88" s="35"/>
      <c r="U88" s="35"/>
      <c r="V88" s="85">
        <v>99016400</v>
      </c>
      <c r="W88" s="27"/>
      <c r="X88" s="36">
        <v>99016400</v>
      </c>
      <c r="Y88" s="85">
        <v>99016400</v>
      </c>
      <c r="Z88" s="35"/>
      <c r="AA88" s="35"/>
      <c r="AB88" s="35"/>
      <c r="AC88" s="35"/>
      <c r="AD88" s="35"/>
      <c r="AE88" s="35"/>
      <c r="AF88" s="36"/>
      <c r="AG88" s="35"/>
      <c r="AH88" s="35"/>
      <c r="AI88" s="35"/>
      <c r="AJ88" s="35"/>
      <c r="AK88" s="35"/>
      <c r="AL88" s="35"/>
      <c r="AM88" s="35"/>
      <c r="AN88" s="85"/>
      <c r="AO88" s="27"/>
      <c r="AP88" s="36"/>
      <c r="AQ88" s="85"/>
      <c r="AR88" s="35"/>
      <c r="AS88" s="35">
        <v>18812000</v>
      </c>
      <c r="AT88" s="35">
        <v>4567400</v>
      </c>
      <c r="AU88" s="35">
        <v>14244600</v>
      </c>
      <c r="AV88" s="35">
        <v>4567400</v>
      </c>
      <c r="AW88" s="35"/>
      <c r="AX88" s="36"/>
      <c r="AY88" s="35">
        <v>18812000</v>
      </c>
      <c r="AZ88" s="35">
        <v>4567400</v>
      </c>
      <c r="BA88" s="35"/>
      <c r="BB88" s="35">
        <v>14244600</v>
      </c>
      <c r="BC88" s="35">
        <v>75.720820000000003</v>
      </c>
      <c r="BD88" s="35"/>
      <c r="BE88" s="35"/>
      <c r="BF88" s="85">
        <v>4567400</v>
      </c>
      <c r="BG88" s="27"/>
      <c r="BH88" s="36">
        <v>4567400</v>
      </c>
      <c r="BI88" s="85">
        <v>4567400</v>
      </c>
      <c r="BJ88" s="35"/>
      <c r="BK88" s="35"/>
      <c r="BL88" s="35"/>
      <c r="BM88" s="35"/>
      <c r="BN88" s="35"/>
      <c r="BO88" s="35"/>
      <c r="BP88" s="36"/>
      <c r="BQ88" s="35"/>
      <c r="BR88" s="35"/>
      <c r="BS88" s="35"/>
      <c r="BT88" s="35"/>
      <c r="BU88" s="35"/>
      <c r="BV88" s="35"/>
      <c r="BW88" s="35"/>
      <c r="BX88" s="85"/>
      <c r="BY88" s="27"/>
      <c r="BZ88" s="36"/>
      <c r="CA88" s="85"/>
      <c r="CB88" s="35"/>
      <c r="CC88" s="35">
        <v>66528900</v>
      </c>
      <c r="CD88" s="35">
        <v>38902000</v>
      </c>
      <c r="CE88" s="35">
        <v>27626900</v>
      </c>
      <c r="CF88" s="35">
        <v>38902000</v>
      </c>
      <c r="CG88" s="35"/>
      <c r="CH88" s="36"/>
      <c r="CI88" s="35">
        <v>66528900</v>
      </c>
      <c r="CJ88" s="35">
        <v>38902000</v>
      </c>
      <c r="CK88" s="35"/>
      <c r="CL88" s="35">
        <v>27626900</v>
      </c>
      <c r="CM88" s="35">
        <v>41.526159999999997</v>
      </c>
      <c r="CN88" s="35"/>
      <c r="CO88" s="35"/>
      <c r="CP88" s="85">
        <v>38902000</v>
      </c>
      <c r="CQ88" s="27"/>
      <c r="CR88" s="36">
        <v>38902000</v>
      </c>
      <c r="CS88" s="85">
        <v>38902000</v>
      </c>
      <c r="CT88" s="35"/>
      <c r="CU88" s="35">
        <v>207793368.41999999</v>
      </c>
      <c r="CV88" s="35">
        <v>197403700</v>
      </c>
      <c r="CW88" s="35">
        <v>10389668.42</v>
      </c>
      <c r="CX88" s="35">
        <v>197403700</v>
      </c>
      <c r="CY88" s="35"/>
      <c r="CZ88" s="36"/>
      <c r="DA88" s="35">
        <v>207793368.41999999</v>
      </c>
      <c r="DB88" s="35">
        <v>197403700</v>
      </c>
      <c r="DC88" s="35"/>
      <c r="DD88" s="35">
        <v>10389668.42</v>
      </c>
      <c r="DE88" s="35">
        <v>5</v>
      </c>
      <c r="DF88" s="35"/>
      <c r="DG88" s="35"/>
      <c r="DH88" s="85">
        <v>197403700</v>
      </c>
      <c r="DI88" s="27"/>
      <c r="DJ88" s="36">
        <v>197403700</v>
      </c>
      <c r="DK88" s="85">
        <v>197403700</v>
      </c>
      <c r="DL88" s="35"/>
      <c r="DM88" s="35"/>
      <c r="DN88" s="35"/>
      <c r="DO88" s="35"/>
      <c r="DP88" s="35"/>
      <c r="DQ88" s="35"/>
      <c r="DR88" s="36"/>
      <c r="DS88" s="35"/>
      <c r="DT88" s="35"/>
      <c r="DU88" s="35"/>
      <c r="DV88" s="35"/>
      <c r="DW88" s="35"/>
      <c r="DX88" s="35"/>
      <c r="DY88" s="35"/>
      <c r="DZ88" s="85"/>
      <c r="EA88" s="27"/>
      <c r="EB88" s="36"/>
      <c r="EC88" s="85"/>
      <c r="ED88" s="35"/>
      <c r="EE88" s="35"/>
      <c r="EF88" s="35"/>
      <c r="EG88" s="35"/>
      <c r="EH88" s="35"/>
      <c r="EI88" s="35"/>
      <c r="EJ88" s="36"/>
      <c r="EK88" s="35"/>
      <c r="EL88" s="35"/>
      <c r="EM88" s="35"/>
      <c r="EN88" s="35"/>
      <c r="EO88" s="35"/>
      <c r="EP88" s="35"/>
      <c r="EQ88" s="35"/>
      <c r="ER88" s="85"/>
      <c r="ES88" s="27"/>
      <c r="ET88" s="36"/>
      <c r="EU88" s="85"/>
      <c r="EV88" s="35"/>
      <c r="EW88" s="35"/>
      <c r="EX88" s="35"/>
      <c r="EY88" s="35"/>
      <c r="EZ88" s="35"/>
      <c r="FA88" s="35"/>
      <c r="FB88" s="36"/>
      <c r="FC88" s="35"/>
      <c r="FD88" s="35"/>
      <c r="FE88" s="35"/>
      <c r="FF88" s="35"/>
      <c r="FG88" s="35"/>
      <c r="FH88" s="35"/>
      <c r="FI88" s="35"/>
      <c r="FJ88" s="85"/>
      <c r="FK88" s="27"/>
      <c r="FL88" s="36"/>
      <c r="FM88" s="85"/>
      <c r="FN88" s="35"/>
      <c r="FO88" s="35">
        <v>77328500</v>
      </c>
      <c r="FP88" s="35">
        <v>69595500</v>
      </c>
      <c r="FQ88" s="35">
        <v>7733000</v>
      </c>
      <c r="FR88" s="35">
        <v>55381738.880000003</v>
      </c>
      <c r="FS88" s="35"/>
      <c r="FT88" s="36"/>
      <c r="FU88" s="35">
        <v>61535397.390000001</v>
      </c>
      <c r="FV88" s="35">
        <v>55381738.880000003</v>
      </c>
      <c r="FW88" s="35"/>
      <c r="FX88" s="35">
        <v>6153658.5099999998</v>
      </c>
      <c r="FY88" s="35">
        <v>10.00019</v>
      </c>
      <c r="FZ88" s="35"/>
      <c r="GA88" s="35"/>
      <c r="GB88" s="85">
        <v>55381738.880000003</v>
      </c>
      <c r="GC88" s="27"/>
      <c r="GD88" s="36">
        <v>69595500</v>
      </c>
      <c r="GE88" s="85">
        <v>69595500</v>
      </c>
      <c r="GF88" s="35"/>
      <c r="GG88" s="35">
        <v>4473000</v>
      </c>
      <c r="GH88" s="35">
        <v>3131100</v>
      </c>
      <c r="GI88" s="35">
        <v>1341900</v>
      </c>
      <c r="GJ88" s="35">
        <v>3131100</v>
      </c>
      <c r="GK88" s="35">
        <v>43515.44</v>
      </c>
      <c r="GL88" s="36"/>
      <c r="GM88" s="35">
        <v>4473000</v>
      </c>
      <c r="GN88" s="35">
        <v>3131100</v>
      </c>
      <c r="GO88" s="35"/>
      <c r="GP88" s="35">
        <v>1341900</v>
      </c>
      <c r="GQ88" s="35">
        <v>30</v>
      </c>
      <c r="GR88" s="35">
        <v>43515.44</v>
      </c>
      <c r="GS88" s="35"/>
      <c r="GT88" s="85">
        <v>3131100</v>
      </c>
      <c r="GU88" s="27"/>
      <c r="GV88" s="36">
        <v>3131100</v>
      </c>
      <c r="GW88" s="85">
        <v>3131100</v>
      </c>
      <c r="GX88" s="35"/>
      <c r="GY88" s="35"/>
      <c r="GZ88" s="35"/>
      <c r="HA88" s="35"/>
      <c r="HB88" s="35"/>
      <c r="HC88" s="35">
        <v>0</v>
      </c>
      <c r="HD88" s="36"/>
      <c r="HE88" s="35"/>
      <c r="HF88" s="35"/>
      <c r="HG88" s="35"/>
      <c r="HH88" s="35"/>
      <c r="HI88" s="35"/>
      <c r="HJ88" s="35">
        <v>0</v>
      </c>
      <c r="HK88" s="35"/>
      <c r="HL88" s="85"/>
      <c r="HM88" s="27"/>
      <c r="HN88" s="36"/>
      <c r="HO88" s="85"/>
      <c r="HP88" s="35"/>
      <c r="HQ88" s="35"/>
      <c r="HR88" s="35"/>
      <c r="HS88" s="35"/>
      <c r="HT88" s="35"/>
      <c r="HU88" s="35"/>
      <c r="HV88" s="36"/>
      <c r="HW88" s="35"/>
      <c r="HX88" s="35"/>
      <c r="HY88" s="35"/>
      <c r="HZ88" s="35"/>
      <c r="IA88" s="35"/>
      <c r="IB88" s="35"/>
      <c r="IC88" s="35"/>
      <c r="ID88" s="85"/>
      <c r="IE88" s="27"/>
      <c r="IF88" s="36"/>
      <c r="IG88" s="85"/>
      <c r="IH88" s="35"/>
      <c r="II88" s="35"/>
      <c r="IJ88" s="35"/>
      <c r="IK88" s="35"/>
      <c r="IL88" s="35"/>
      <c r="IM88" s="35"/>
      <c r="IN88" s="36"/>
      <c r="IO88" s="35"/>
      <c r="IP88" s="35"/>
      <c r="IQ88" s="35"/>
      <c r="IR88" s="35"/>
      <c r="IS88" s="35"/>
      <c r="IT88" s="35"/>
      <c r="IU88" s="35"/>
      <c r="IV88" s="85"/>
      <c r="IW88" s="27"/>
      <c r="IX88" s="36"/>
      <c r="IY88" s="85"/>
      <c r="IZ88" s="35"/>
      <c r="JA88" s="35"/>
      <c r="JB88" s="35"/>
      <c r="JC88" s="35"/>
      <c r="JD88" s="35"/>
      <c r="JE88" s="35"/>
      <c r="JF88" s="36"/>
      <c r="JG88" s="35"/>
      <c r="JH88" s="35"/>
      <c r="JI88" s="35"/>
      <c r="JJ88" s="35"/>
      <c r="JK88" s="35"/>
      <c r="JL88" s="35"/>
      <c r="JM88" s="35"/>
      <c r="JN88" s="85"/>
      <c r="JO88" s="27"/>
      <c r="JP88" s="36"/>
      <c r="JQ88" s="85"/>
      <c r="JR88" s="35"/>
      <c r="JS88" s="35"/>
      <c r="JT88" s="35"/>
      <c r="JU88" s="35"/>
      <c r="JV88" s="35"/>
      <c r="JW88" s="35"/>
      <c r="JX88" s="36"/>
      <c r="JY88" s="35"/>
      <c r="JZ88" s="35"/>
      <c r="KA88" s="35"/>
      <c r="KB88" s="35"/>
      <c r="KC88" s="35"/>
      <c r="KD88" s="35"/>
      <c r="KE88" s="35"/>
      <c r="KF88" s="85"/>
      <c r="KG88" s="27"/>
      <c r="KH88" s="36"/>
      <c r="KI88" s="85"/>
      <c r="KJ88" s="35"/>
      <c r="KK88" s="35">
        <v>6989700</v>
      </c>
      <c r="KL88" s="35">
        <v>4892800</v>
      </c>
      <c r="KM88" s="35">
        <v>2096900</v>
      </c>
      <c r="KN88" s="35">
        <v>4892800</v>
      </c>
      <c r="KO88" s="35"/>
      <c r="KP88" s="36"/>
      <c r="KQ88" s="35">
        <v>6989700</v>
      </c>
      <c r="KR88" s="35">
        <v>4892800</v>
      </c>
      <c r="KS88" s="35"/>
      <c r="KT88" s="35">
        <v>2096900</v>
      </c>
      <c r="KU88" s="35">
        <v>29.999860000000002</v>
      </c>
      <c r="KV88" s="35"/>
      <c r="KW88" s="35"/>
      <c r="KX88" s="85">
        <v>4892800</v>
      </c>
      <c r="KY88" s="27"/>
      <c r="KZ88" s="36">
        <v>4892800</v>
      </c>
      <c r="LA88" s="85">
        <v>4892800</v>
      </c>
      <c r="LB88" s="35"/>
      <c r="LC88" s="35"/>
      <c r="LD88" s="35"/>
      <c r="LE88" s="35"/>
      <c r="LF88" s="35"/>
      <c r="LG88" s="35"/>
      <c r="LH88" s="36"/>
      <c r="LI88" s="35"/>
      <c r="LJ88" s="35"/>
      <c r="LK88" s="35"/>
      <c r="LL88" s="35"/>
      <c r="LM88" s="35"/>
      <c r="LN88" s="35"/>
      <c r="LO88" s="35"/>
      <c r="LP88" s="85"/>
      <c r="LQ88" s="27"/>
      <c r="LR88" s="36"/>
      <c r="LS88" s="85"/>
      <c r="LT88" s="35"/>
      <c r="LU88" s="35">
        <v>4482860</v>
      </c>
      <c r="LV88" s="35">
        <v>3138000</v>
      </c>
      <c r="LW88" s="35">
        <v>1344860</v>
      </c>
      <c r="LX88" s="35">
        <v>3138000</v>
      </c>
      <c r="LY88" s="35"/>
      <c r="LZ88" s="36"/>
      <c r="MA88" s="35">
        <v>4482860</v>
      </c>
      <c r="MB88" s="35">
        <v>3138000</v>
      </c>
      <c r="MC88" s="35"/>
      <c r="MD88" s="35">
        <v>1344860</v>
      </c>
      <c r="ME88" s="35">
        <v>30.000039999999998</v>
      </c>
      <c r="MF88" s="35"/>
      <c r="MG88" s="35"/>
      <c r="MH88" s="85">
        <v>3138000</v>
      </c>
      <c r="MI88" s="27"/>
      <c r="MJ88" s="36">
        <v>3138000</v>
      </c>
      <c r="MK88" s="85">
        <v>3138000</v>
      </c>
      <c r="ML88" s="35"/>
      <c r="MM88" s="35"/>
      <c r="MN88" s="35"/>
      <c r="MO88" s="35"/>
      <c r="MP88" s="35"/>
      <c r="MQ88" s="35"/>
      <c r="MR88" s="36"/>
      <c r="MS88" s="35"/>
      <c r="MT88" s="35"/>
      <c r="MU88" s="35"/>
      <c r="MV88" s="35"/>
      <c r="MW88" s="35"/>
      <c r="MX88" s="35"/>
      <c r="MY88" s="35"/>
      <c r="MZ88" s="85"/>
      <c r="NA88" s="27"/>
      <c r="NB88" s="36"/>
      <c r="NC88" s="85"/>
      <c r="ND88" s="35"/>
      <c r="NE88" s="35"/>
      <c r="NF88" s="35"/>
      <c r="NG88" s="35"/>
      <c r="NH88" s="35"/>
      <c r="NI88" s="35"/>
      <c r="NJ88" s="36"/>
      <c r="NK88" s="35"/>
      <c r="NL88" s="35"/>
      <c r="NM88" s="35"/>
      <c r="NN88" s="35"/>
      <c r="NO88" s="35"/>
      <c r="NP88" s="35"/>
      <c r="NQ88" s="35"/>
      <c r="NR88" s="85"/>
      <c r="NS88" s="27"/>
      <c r="NT88" s="36"/>
      <c r="NU88" s="85"/>
      <c r="NV88" s="35"/>
      <c r="NW88" s="35"/>
      <c r="NX88" s="35"/>
      <c r="NY88" s="35"/>
      <c r="NZ88" s="35"/>
      <c r="OA88" s="35"/>
      <c r="OB88" s="36"/>
      <c r="OC88" s="35"/>
      <c r="OD88" s="35"/>
      <c r="OE88" s="35"/>
      <c r="OF88" s="35"/>
      <c r="OG88" s="35"/>
      <c r="OH88" s="35"/>
      <c r="OI88" s="35"/>
      <c r="OJ88" s="85"/>
      <c r="OK88" s="27"/>
      <c r="OL88" s="36"/>
      <c r="OM88" s="85"/>
      <c r="ON88" s="35"/>
      <c r="OO88" s="35">
        <v>1146900</v>
      </c>
      <c r="OP88" s="35">
        <v>802800</v>
      </c>
      <c r="OQ88" s="35">
        <v>344100</v>
      </c>
      <c r="OR88" s="35">
        <v>802800</v>
      </c>
      <c r="OS88" s="35"/>
      <c r="OT88" s="36"/>
      <c r="OU88" s="35">
        <v>1146900</v>
      </c>
      <c r="OV88" s="35">
        <v>802800</v>
      </c>
      <c r="OW88" s="35"/>
      <c r="OX88" s="35">
        <v>344100</v>
      </c>
      <c r="OY88" s="35">
        <v>30.00262</v>
      </c>
      <c r="OZ88" s="35"/>
      <c r="PA88" s="35"/>
      <c r="PB88" s="85">
        <v>802800</v>
      </c>
      <c r="PC88" s="27"/>
      <c r="PD88" s="36">
        <v>802800</v>
      </c>
      <c r="PE88" s="85">
        <v>802800</v>
      </c>
      <c r="PF88" s="35"/>
      <c r="PG88" s="35"/>
      <c r="PH88" s="35"/>
      <c r="PI88" s="35"/>
      <c r="PJ88" s="35"/>
      <c r="PK88" s="35"/>
      <c r="PL88" s="36"/>
      <c r="PM88" s="35"/>
      <c r="PN88" s="35"/>
      <c r="PO88" s="35"/>
      <c r="PP88" s="35"/>
      <c r="PQ88" s="35"/>
      <c r="PR88" s="35"/>
      <c r="PS88" s="35"/>
      <c r="PT88" s="85"/>
      <c r="PU88" s="27"/>
      <c r="PV88" s="36"/>
      <c r="PW88" s="85"/>
      <c r="PX88" s="35"/>
      <c r="PY88" s="35"/>
      <c r="PZ88" s="35"/>
      <c r="QA88" s="35"/>
      <c r="QB88" s="35"/>
      <c r="QC88" s="35">
        <v>2964666.6</v>
      </c>
      <c r="QD88" s="36"/>
      <c r="QE88" s="35"/>
      <c r="QF88" s="35"/>
      <c r="QG88" s="35"/>
      <c r="QH88" s="35"/>
      <c r="QI88" s="35"/>
      <c r="QJ88" s="35">
        <v>2964666.6</v>
      </c>
      <c r="QK88" s="35"/>
      <c r="QL88" s="85"/>
      <c r="QM88" s="27"/>
      <c r="QN88" s="36"/>
      <c r="QO88" s="85"/>
    </row>
    <row r="89" spans="1:457" x14ac:dyDescent="0.25">
      <c r="A89" s="8" t="s">
        <v>199</v>
      </c>
      <c r="B89" s="172">
        <v>75</v>
      </c>
      <c r="C89" s="13" t="s">
        <v>201</v>
      </c>
      <c r="F89" s="36">
        <v>273580400</v>
      </c>
      <c r="G89" s="85"/>
      <c r="H89" s="35"/>
      <c r="I89" s="35">
        <v>242700</v>
      </c>
      <c r="J89" s="35">
        <v>194100</v>
      </c>
      <c r="K89" s="35">
        <v>48600</v>
      </c>
      <c r="L89" s="35">
        <v>194100</v>
      </c>
      <c r="M89" s="35"/>
      <c r="N89" s="36"/>
      <c r="O89" s="35">
        <v>242700</v>
      </c>
      <c r="P89" s="35">
        <v>194100</v>
      </c>
      <c r="Q89" s="35"/>
      <c r="R89" s="35">
        <v>48600</v>
      </c>
      <c r="S89" s="35">
        <v>20.024719999999999</v>
      </c>
      <c r="T89" s="35"/>
      <c r="U89" s="35"/>
      <c r="V89" s="85">
        <v>194100</v>
      </c>
      <c r="W89" s="27"/>
      <c r="X89" s="36">
        <v>194100</v>
      </c>
      <c r="Y89" s="85">
        <v>194100</v>
      </c>
      <c r="Z89" s="35"/>
      <c r="AA89" s="35"/>
      <c r="AB89" s="35"/>
      <c r="AC89" s="35"/>
      <c r="AD89" s="35"/>
      <c r="AE89" s="35"/>
      <c r="AF89" s="36"/>
      <c r="AG89" s="35"/>
      <c r="AH89" s="35"/>
      <c r="AI89" s="35"/>
      <c r="AJ89" s="35"/>
      <c r="AK89" s="35"/>
      <c r="AL89" s="35"/>
      <c r="AM89" s="35"/>
      <c r="AN89" s="85"/>
      <c r="AO89" s="27"/>
      <c r="AP89" s="36"/>
      <c r="AQ89" s="85"/>
      <c r="AR89" s="35"/>
      <c r="AS89" s="35">
        <v>8843800</v>
      </c>
      <c r="AT89" s="35">
        <v>1803000</v>
      </c>
      <c r="AU89" s="35">
        <v>7040800</v>
      </c>
      <c r="AV89" s="35">
        <v>1803000</v>
      </c>
      <c r="AW89" s="35"/>
      <c r="AX89" s="36"/>
      <c r="AY89" s="35">
        <v>8843800</v>
      </c>
      <c r="AZ89" s="35">
        <v>1803000</v>
      </c>
      <c r="BA89" s="35"/>
      <c r="BB89" s="35">
        <v>7040800</v>
      </c>
      <c r="BC89" s="35">
        <v>79.612840000000006</v>
      </c>
      <c r="BD89" s="35"/>
      <c r="BE89" s="35"/>
      <c r="BF89" s="85">
        <v>1803000</v>
      </c>
      <c r="BG89" s="27"/>
      <c r="BH89" s="36">
        <v>1803000</v>
      </c>
      <c r="BI89" s="85">
        <v>1803000</v>
      </c>
      <c r="BJ89" s="35"/>
      <c r="BK89" s="35"/>
      <c r="BL89" s="35"/>
      <c r="BM89" s="35"/>
      <c r="BN89" s="35"/>
      <c r="BO89" s="35"/>
      <c r="BP89" s="36"/>
      <c r="BQ89" s="35"/>
      <c r="BR89" s="35"/>
      <c r="BS89" s="35"/>
      <c r="BT89" s="35"/>
      <c r="BU89" s="35"/>
      <c r="BV89" s="35"/>
      <c r="BW89" s="35"/>
      <c r="BX89" s="85"/>
      <c r="BY89" s="27"/>
      <c r="BZ89" s="36"/>
      <c r="CA89" s="85"/>
      <c r="CB89" s="35"/>
      <c r="CC89" s="35">
        <v>9491900</v>
      </c>
      <c r="CD89" s="35">
        <v>5881700</v>
      </c>
      <c r="CE89" s="35">
        <v>3610200</v>
      </c>
      <c r="CF89" s="35">
        <v>5881700</v>
      </c>
      <c r="CG89" s="35">
        <v>36800</v>
      </c>
      <c r="CH89" s="36"/>
      <c r="CI89" s="35">
        <v>9491900</v>
      </c>
      <c r="CJ89" s="35">
        <v>5881700</v>
      </c>
      <c r="CK89" s="35"/>
      <c r="CL89" s="35">
        <v>3610200</v>
      </c>
      <c r="CM89" s="35">
        <v>38.034529999999997</v>
      </c>
      <c r="CN89" s="35">
        <v>36800</v>
      </c>
      <c r="CO89" s="35"/>
      <c r="CP89" s="85">
        <v>5881700</v>
      </c>
      <c r="CQ89" s="27"/>
      <c r="CR89" s="36">
        <v>5881700</v>
      </c>
      <c r="CS89" s="85">
        <v>5881700</v>
      </c>
      <c r="CT89" s="35"/>
      <c r="CU89" s="35">
        <v>283433400</v>
      </c>
      <c r="CV89" s="35">
        <v>197052500</v>
      </c>
      <c r="CW89" s="35">
        <v>86380900</v>
      </c>
      <c r="CX89" s="35">
        <v>197052500</v>
      </c>
      <c r="CY89" s="35"/>
      <c r="CZ89" s="36"/>
      <c r="DA89" s="35">
        <v>283433400</v>
      </c>
      <c r="DB89" s="35">
        <v>197052500</v>
      </c>
      <c r="DC89" s="35"/>
      <c r="DD89" s="35">
        <v>86380900</v>
      </c>
      <c r="DE89" s="35">
        <v>30.476610000000001</v>
      </c>
      <c r="DF89" s="35"/>
      <c r="DG89" s="35"/>
      <c r="DH89" s="85">
        <v>197052500</v>
      </c>
      <c r="DI89" s="27"/>
      <c r="DJ89" s="36">
        <v>197052500</v>
      </c>
      <c r="DK89" s="85">
        <v>197052500</v>
      </c>
      <c r="DL89" s="35"/>
      <c r="DM89" s="35"/>
      <c r="DN89" s="35"/>
      <c r="DO89" s="35"/>
      <c r="DP89" s="35"/>
      <c r="DQ89" s="35"/>
      <c r="DR89" s="36"/>
      <c r="DS89" s="35"/>
      <c r="DT89" s="35"/>
      <c r="DU89" s="35"/>
      <c r="DV89" s="35"/>
      <c r="DW89" s="35"/>
      <c r="DX89" s="35"/>
      <c r="DY89" s="35"/>
      <c r="DZ89" s="85"/>
      <c r="EA89" s="27"/>
      <c r="EB89" s="36"/>
      <c r="EC89" s="85"/>
      <c r="ED89" s="35"/>
      <c r="EE89" s="35"/>
      <c r="EF89" s="35"/>
      <c r="EG89" s="35"/>
      <c r="EH89" s="35"/>
      <c r="EI89" s="35"/>
      <c r="EJ89" s="36"/>
      <c r="EK89" s="35"/>
      <c r="EL89" s="35"/>
      <c r="EM89" s="35"/>
      <c r="EN89" s="35"/>
      <c r="EO89" s="35"/>
      <c r="EP89" s="35"/>
      <c r="EQ89" s="35"/>
      <c r="ER89" s="85"/>
      <c r="ES89" s="27"/>
      <c r="ET89" s="36"/>
      <c r="EU89" s="85"/>
      <c r="EV89" s="35"/>
      <c r="EW89" s="35"/>
      <c r="EX89" s="35"/>
      <c r="EY89" s="35"/>
      <c r="EZ89" s="35"/>
      <c r="FA89" s="35"/>
      <c r="FB89" s="36"/>
      <c r="FC89" s="35"/>
      <c r="FD89" s="35"/>
      <c r="FE89" s="35"/>
      <c r="FF89" s="35"/>
      <c r="FG89" s="35"/>
      <c r="FH89" s="35"/>
      <c r="FI89" s="35"/>
      <c r="FJ89" s="85"/>
      <c r="FK89" s="27"/>
      <c r="FL89" s="36"/>
      <c r="FM89" s="85"/>
      <c r="FN89" s="35"/>
      <c r="FO89" s="35">
        <v>6195000</v>
      </c>
      <c r="FP89" s="35">
        <v>2225000</v>
      </c>
      <c r="FQ89" s="35">
        <v>3970000</v>
      </c>
      <c r="FR89" s="35">
        <v>2225000</v>
      </c>
      <c r="FS89" s="35"/>
      <c r="FT89" s="36"/>
      <c r="FU89" s="35">
        <v>6194320.7199999997</v>
      </c>
      <c r="FV89" s="35">
        <v>2224756.0099999998</v>
      </c>
      <c r="FW89" s="35"/>
      <c r="FX89" s="35">
        <v>3969564.71</v>
      </c>
      <c r="FY89" s="35">
        <v>64.083939999999998</v>
      </c>
      <c r="FZ89" s="35"/>
      <c r="GA89" s="35">
        <v>243.99</v>
      </c>
      <c r="GB89" s="85">
        <v>2224756.0099999998</v>
      </c>
      <c r="GC89" s="27"/>
      <c r="GD89" s="36">
        <v>2225000</v>
      </c>
      <c r="GE89" s="85">
        <v>2225000</v>
      </c>
      <c r="GF89" s="35"/>
      <c r="GG89" s="35">
        <v>45390700</v>
      </c>
      <c r="GH89" s="35">
        <v>40898600</v>
      </c>
      <c r="GI89" s="35">
        <v>4492100</v>
      </c>
      <c r="GJ89" s="35">
        <v>40898550.700000003</v>
      </c>
      <c r="GK89" s="35"/>
      <c r="GL89" s="36"/>
      <c r="GM89" s="35">
        <v>45390596.43</v>
      </c>
      <c r="GN89" s="35">
        <v>40898550.700000003</v>
      </c>
      <c r="GO89" s="35"/>
      <c r="GP89" s="35">
        <v>4492045.7300000004</v>
      </c>
      <c r="GQ89" s="35">
        <v>9.8964200000000009</v>
      </c>
      <c r="GR89" s="35"/>
      <c r="GS89" s="35"/>
      <c r="GT89" s="85">
        <v>40898550.700000003</v>
      </c>
      <c r="GU89" s="27"/>
      <c r="GV89" s="36">
        <v>40898600</v>
      </c>
      <c r="GW89" s="85">
        <v>40898600</v>
      </c>
      <c r="GX89" s="35"/>
      <c r="GY89" s="35"/>
      <c r="GZ89" s="35"/>
      <c r="HA89" s="35"/>
      <c r="HB89" s="35"/>
      <c r="HC89" s="35"/>
      <c r="HD89" s="36"/>
      <c r="HE89" s="35"/>
      <c r="HF89" s="35"/>
      <c r="HG89" s="35"/>
      <c r="HH89" s="35"/>
      <c r="HI89" s="35"/>
      <c r="HJ89" s="35"/>
      <c r="HK89" s="35"/>
      <c r="HL89" s="85"/>
      <c r="HM89" s="27"/>
      <c r="HN89" s="36"/>
      <c r="HO89" s="85"/>
      <c r="HP89" s="35"/>
      <c r="HQ89" s="35">
        <v>11633500</v>
      </c>
      <c r="HR89" s="35">
        <v>11051900</v>
      </c>
      <c r="HS89" s="35">
        <v>581600</v>
      </c>
      <c r="HT89" s="35">
        <v>11051900</v>
      </c>
      <c r="HU89" s="35"/>
      <c r="HV89" s="36"/>
      <c r="HW89" s="35">
        <v>11633500</v>
      </c>
      <c r="HX89" s="35">
        <v>11051900</v>
      </c>
      <c r="HY89" s="35"/>
      <c r="HZ89" s="35">
        <v>581600</v>
      </c>
      <c r="IA89" s="35">
        <v>4.9993600000000002</v>
      </c>
      <c r="IB89" s="35"/>
      <c r="IC89" s="35"/>
      <c r="ID89" s="85">
        <v>11051900</v>
      </c>
      <c r="IE89" s="27"/>
      <c r="IF89" s="36">
        <v>11051900</v>
      </c>
      <c r="IG89" s="85">
        <v>11051900</v>
      </c>
      <c r="IH89" s="35"/>
      <c r="II89" s="35"/>
      <c r="IJ89" s="35"/>
      <c r="IK89" s="35"/>
      <c r="IL89" s="35"/>
      <c r="IM89" s="35"/>
      <c r="IN89" s="36"/>
      <c r="IO89" s="35"/>
      <c r="IP89" s="35"/>
      <c r="IQ89" s="35"/>
      <c r="IR89" s="35"/>
      <c r="IS89" s="35"/>
      <c r="IT89" s="35"/>
      <c r="IU89" s="35"/>
      <c r="IV89" s="85"/>
      <c r="IW89" s="27"/>
      <c r="IX89" s="36"/>
      <c r="IY89" s="85"/>
      <c r="IZ89" s="35"/>
      <c r="JA89" s="35">
        <v>12925600</v>
      </c>
      <c r="JB89" s="35">
        <v>12150000</v>
      </c>
      <c r="JC89" s="35">
        <v>775600</v>
      </c>
      <c r="JD89" s="35">
        <v>12149935.880000001</v>
      </c>
      <c r="JE89" s="35"/>
      <c r="JF89" s="36"/>
      <c r="JG89" s="35">
        <v>12925535.880000001</v>
      </c>
      <c r="JH89" s="35">
        <v>12149935.880000001</v>
      </c>
      <c r="JI89" s="35"/>
      <c r="JJ89" s="35">
        <v>775600</v>
      </c>
      <c r="JK89" s="35">
        <v>6.0005199999999999</v>
      </c>
      <c r="JL89" s="35"/>
      <c r="JM89" s="35"/>
      <c r="JN89" s="85">
        <v>12149935.880000001</v>
      </c>
      <c r="JO89" s="27"/>
      <c r="JP89" s="36">
        <v>12150000</v>
      </c>
      <c r="JQ89" s="85">
        <v>12150000</v>
      </c>
      <c r="JR89" s="35"/>
      <c r="JS89" s="35"/>
      <c r="JT89" s="35"/>
      <c r="JU89" s="35"/>
      <c r="JV89" s="35"/>
      <c r="JW89" s="35"/>
      <c r="JX89" s="36"/>
      <c r="JY89" s="35"/>
      <c r="JZ89" s="35"/>
      <c r="KA89" s="35"/>
      <c r="KB89" s="35"/>
      <c r="KC89" s="35"/>
      <c r="KD89" s="35"/>
      <c r="KE89" s="35"/>
      <c r="KF89" s="85"/>
      <c r="KG89" s="27"/>
      <c r="KH89" s="36"/>
      <c r="KI89" s="85"/>
      <c r="KJ89" s="35"/>
      <c r="KK89" s="35">
        <v>6012270</v>
      </c>
      <c r="KL89" s="35">
        <v>1553000</v>
      </c>
      <c r="KM89" s="35">
        <v>4459270</v>
      </c>
      <c r="KN89" s="35">
        <v>1521404.84</v>
      </c>
      <c r="KO89" s="35"/>
      <c r="KP89" s="36"/>
      <c r="KQ89" s="35">
        <v>5980674.8399999999</v>
      </c>
      <c r="KR89" s="35">
        <v>1521404.84</v>
      </c>
      <c r="KS89" s="35"/>
      <c r="KT89" s="35">
        <v>4459270</v>
      </c>
      <c r="KU89" s="35">
        <v>74.561319999999995</v>
      </c>
      <c r="KV89" s="35"/>
      <c r="KW89" s="35"/>
      <c r="KX89" s="85">
        <v>1521404.84</v>
      </c>
      <c r="KY89" s="27"/>
      <c r="KZ89" s="36">
        <v>1553000</v>
      </c>
      <c r="LA89" s="85">
        <v>1553000</v>
      </c>
      <c r="LB89" s="35"/>
      <c r="LC89" s="35"/>
      <c r="LD89" s="35"/>
      <c r="LE89" s="35"/>
      <c r="LF89" s="35"/>
      <c r="LG89" s="35"/>
      <c r="LH89" s="36"/>
      <c r="LI89" s="35"/>
      <c r="LJ89" s="35"/>
      <c r="LK89" s="35"/>
      <c r="LL89" s="35"/>
      <c r="LM89" s="35"/>
      <c r="LN89" s="35"/>
      <c r="LO89" s="35"/>
      <c r="LP89" s="85"/>
      <c r="LQ89" s="27"/>
      <c r="LR89" s="36"/>
      <c r="LS89" s="85"/>
      <c r="LT89" s="35"/>
      <c r="LU89" s="35">
        <v>503200</v>
      </c>
      <c r="LV89" s="35">
        <v>415000</v>
      </c>
      <c r="LW89" s="35">
        <v>88200</v>
      </c>
      <c r="LX89" s="35">
        <v>415000</v>
      </c>
      <c r="LY89" s="35"/>
      <c r="LZ89" s="36"/>
      <c r="MA89" s="35">
        <v>503200</v>
      </c>
      <c r="MB89" s="35">
        <v>415000</v>
      </c>
      <c r="MC89" s="35"/>
      <c r="MD89" s="35">
        <v>88200</v>
      </c>
      <c r="ME89" s="35">
        <v>17.527819999999998</v>
      </c>
      <c r="MF89" s="35"/>
      <c r="MG89" s="35"/>
      <c r="MH89" s="85">
        <v>415000</v>
      </c>
      <c r="MI89" s="27"/>
      <c r="MJ89" s="36">
        <v>415000</v>
      </c>
      <c r="MK89" s="85">
        <v>415000</v>
      </c>
      <c r="ML89" s="35"/>
      <c r="MM89" s="35"/>
      <c r="MN89" s="35"/>
      <c r="MO89" s="35"/>
      <c r="MP89" s="35"/>
      <c r="MQ89" s="35"/>
      <c r="MR89" s="36"/>
      <c r="MS89" s="35"/>
      <c r="MT89" s="35"/>
      <c r="MU89" s="35"/>
      <c r="MV89" s="35"/>
      <c r="MW89" s="35"/>
      <c r="MX89" s="35"/>
      <c r="MY89" s="35"/>
      <c r="MZ89" s="85"/>
      <c r="NA89" s="27"/>
      <c r="NB89" s="36"/>
      <c r="NC89" s="85"/>
      <c r="ND89" s="35"/>
      <c r="NE89" s="35"/>
      <c r="NF89" s="35"/>
      <c r="NG89" s="35"/>
      <c r="NH89" s="35"/>
      <c r="NI89" s="35"/>
      <c r="NJ89" s="36"/>
      <c r="NK89" s="35"/>
      <c r="NL89" s="35"/>
      <c r="NM89" s="35"/>
      <c r="NN89" s="35"/>
      <c r="NO89" s="35"/>
      <c r="NP89" s="35"/>
      <c r="NQ89" s="35"/>
      <c r="NR89" s="85"/>
      <c r="NS89" s="27"/>
      <c r="NT89" s="36"/>
      <c r="NU89" s="85"/>
      <c r="NV89" s="35"/>
      <c r="NW89" s="35"/>
      <c r="NX89" s="35"/>
      <c r="NY89" s="35"/>
      <c r="NZ89" s="35"/>
      <c r="OA89" s="35"/>
      <c r="OB89" s="36"/>
      <c r="OC89" s="35"/>
      <c r="OD89" s="35"/>
      <c r="OE89" s="35"/>
      <c r="OF89" s="35"/>
      <c r="OG89" s="35"/>
      <c r="OH89" s="35"/>
      <c r="OI89" s="35"/>
      <c r="OJ89" s="85"/>
      <c r="OK89" s="27"/>
      <c r="OL89" s="36"/>
      <c r="OM89" s="85"/>
      <c r="ON89" s="35"/>
      <c r="OO89" s="35">
        <v>387500</v>
      </c>
      <c r="OP89" s="35">
        <v>355600</v>
      </c>
      <c r="OQ89" s="35">
        <v>31900</v>
      </c>
      <c r="OR89" s="35">
        <v>355600</v>
      </c>
      <c r="OS89" s="35"/>
      <c r="OT89" s="36"/>
      <c r="OU89" s="35">
        <v>387500</v>
      </c>
      <c r="OV89" s="35">
        <v>355600</v>
      </c>
      <c r="OW89" s="35"/>
      <c r="OX89" s="35">
        <v>31900</v>
      </c>
      <c r="OY89" s="35">
        <v>8.2322600000000001</v>
      </c>
      <c r="OZ89" s="35"/>
      <c r="PA89" s="35"/>
      <c r="PB89" s="85">
        <v>355600</v>
      </c>
      <c r="PC89" s="27"/>
      <c r="PD89" s="36">
        <v>355600</v>
      </c>
      <c r="PE89" s="85">
        <v>355600</v>
      </c>
      <c r="PF89" s="35"/>
      <c r="PG89" s="35"/>
      <c r="PH89" s="35"/>
      <c r="PI89" s="35"/>
      <c r="PJ89" s="35"/>
      <c r="PK89" s="35"/>
      <c r="PL89" s="36"/>
      <c r="PM89" s="35"/>
      <c r="PN89" s="35"/>
      <c r="PO89" s="35"/>
      <c r="PP89" s="35"/>
      <c r="PQ89" s="35"/>
      <c r="PR89" s="35"/>
      <c r="PS89" s="35"/>
      <c r="PT89" s="85"/>
      <c r="PU89" s="27"/>
      <c r="PV89" s="36"/>
      <c r="PW89" s="85"/>
      <c r="PX89" s="35"/>
      <c r="PY89" s="35"/>
      <c r="PZ89" s="35"/>
      <c r="QA89" s="35"/>
      <c r="QB89" s="35"/>
      <c r="QC89" s="35">
        <v>1657517.25</v>
      </c>
      <c r="QD89" s="36"/>
      <c r="QE89" s="35"/>
      <c r="QF89" s="35"/>
      <c r="QG89" s="35"/>
      <c r="QH89" s="35"/>
      <c r="QI89" s="35"/>
      <c r="QJ89" s="35">
        <v>1657517.25</v>
      </c>
      <c r="QK89" s="35"/>
      <c r="QL89" s="85"/>
      <c r="QM89" s="27"/>
      <c r="QN89" s="36"/>
      <c r="QO89" s="85"/>
    </row>
    <row r="90" spans="1:457" x14ac:dyDescent="0.25">
      <c r="A90" s="8" t="s">
        <v>202</v>
      </c>
      <c r="B90" s="174">
        <v>76</v>
      </c>
      <c r="C90" s="13" t="s">
        <v>204</v>
      </c>
      <c r="F90" s="36">
        <v>271612400</v>
      </c>
      <c r="G90" s="85"/>
      <c r="H90" s="35"/>
      <c r="I90" s="35">
        <v>38319600</v>
      </c>
      <c r="J90" s="35">
        <v>30819600</v>
      </c>
      <c r="K90" s="35">
        <v>7500000</v>
      </c>
      <c r="L90" s="35">
        <v>24978867.280000001</v>
      </c>
      <c r="M90" s="35"/>
      <c r="N90" s="36"/>
      <c r="O90" s="35">
        <v>30292644.879999999</v>
      </c>
      <c r="P90" s="35">
        <v>24978867.280000001</v>
      </c>
      <c r="Q90" s="35"/>
      <c r="R90" s="35">
        <v>5313777.5999999996</v>
      </c>
      <c r="S90" s="35">
        <v>17.54148</v>
      </c>
      <c r="T90" s="35"/>
      <c r="U90" s="35"/>
      <c r="V90" s="85">
        <v>24978867.280000001</v>
      </c>
      <c r="W90" s="27"/>
      <c r="X90" s="36">
        <v>30819600</v>
      </c>
      <c r="Y90" s="85">
        <v>30819600</v>
      </c>
      <c r="Z90" s="35"/>
      <c r="AA90" s="35"/>
      <c r="AB90" s="35"/>
      <c r="AC90" s="35"/>
      <c r="AD90" s="35"/>
      <c r="AE90" s="35"/>
      <c r="AF90" s="36"/>
      <c r="AG90" s="35"/>
      <c r="AH90" s="35"/>
      <c r="AI90" s="35"/>
      <c r="AJ90" s="35"/>
      <c r="AK90" s="35"/>
      <c r="AL90" s="35"/>
      <c r="AM90" s="35"/>
      <c r="AN90" s="85"/>
      <c r="AO90" s="27"/>
      <c r="AP90" s="36"/>
      <c r="AQ90" s="85"/>
      <c r="AR90" s="35"/>
      <c r="AS90" s="35">
        <v>27687300</v>
      </c>
      <c r="AT90" s="35">
        <v>14687300</v>
      </c>
      <c r="AU90" s="35">
        <v>13000000</v>
      </c>
      <c r="AV90" s="35">
        <v>14687300</v>
      </c>
      <c r="AW90" s="35"/>
      <c r="AX90" s="36"/>
      <c r="AY90" s="35">
        <v>27685768.109999999</v>
      </c>
      <c r="AZ90" s="35">
        <v>14686487.130000001</v>
      </c>
      <c r="BA90" s="35"/>
      <c r="BB90" s="35">
        <v>12999280.98</v>
      </c>
      <c r="BC90" s="35">
        <v>46.952939999999998</v>
      </c>
      <c r="BD90" s="35"/>
      <c r="BE90" s="35">
        <v>812.87</v>
      </c>
      <c r="BF90" s="85">
        <v>14686487.130000001</v>
      </c>
      <c r="BG90" s="27"/>
      <c r="BH90" s="36">
        <v>14687300</v>
      </c>
      <c r="BI90" s="85">
        <v>14687300</v>
      </c>
      <c r="BJ90" s="35"/>
      <c r="BK90" s="35"/>
      <c r="BL90" s="35"/>
      <c r="BM90" s="35"/>
      <c r="BN90" s="35"/>
      <c r="BO90" s="35"/>
      <c r="BP90" s="36"/>
      <c r="BQ90" s="35"/>
      <c r="BR90" s="35"/>
      <c r="BS90" s="35"/>
      <c r="BT90" s="35"/>
      <c r="BU90" s="35"/>
      <c r="BV90" s="35"/>
      <c r="BW90" s="35"/>
      <c r="BX90" s="85"/>
      <c r="BY90" s="27"/>
      <c r="BZ90" s="36"/>
      <c r="CA90" s="85"/>
      <c r="CB90" s="35"/>
      <c r="CC90" s="35">
        <v>89922600</v>
      </c>
      <c r="CD90" s="35">
        <v>50922600</v>
      </c>
      <c r="CE90" s="35">
        <v>39000000</v>
      </c>
      <c r="CF90" s="35">
        <v>50921963.770000003</v>
      </c>
      <c r="CG90" s="35"/>
      <c r="CH90" s="36"/>
      <c r="CI90" s="35">
        <v>89919432</v>
      </c>
      <c r="CJ90" s="35">
        <v>50920805.130000003</v>
      </c>
      <c r="CK90" s="35"/>
      <c r="CL90" s="35">
        <v>38998626.869999997</v>
      </c>
      <c r="CM90" s="35">
        <v>43.370629999999998</v>
      </c>
      <c r="CN90" s="35"/>
      <c r="CO90" s="35">
        <v>1158.6400000000001</v>
      </c>
      <c r="CP90" s="85">
        <v>50920805.130000003</v>
      </c>
      <c r="CQ90" s="27"/>
      <c r="CR90" s="36">
        <v>50922600</v>
      </c>
      <c r="CS90" s="85">
        <v>50922600</v>
      </c>
      <c r="CT90" s="35"/>
      <c r="CU90" s="35">
        <v>174854500</v>
      </c>
      <c r="CV90" s="35">
        <v>166111500</v>
      </c>
      <c r="CW90" s="35">
        <v>8743000</v>
      </c>
      <c r="CX90" s="35">
        <v>164996052.61000001</v>
      </c>
      <c r="CY90" s="35"/>
      <c r="CZ90" s="36"/>
      <c r="DA90" s="35">
        <v>173564498.94999999</v>
      </c>
      <c r="DB90" s="35">
        <v>164885999.83000001</v>
      </c>
      <c r="DC90" s="35"/>
      <c r="DD90" s="35">
        <v>8678499.1199999992</v>
      </c>
      <c r="DE90" s="35">
        <v>5.0001600000000002</v>
      </c>
      <c r="DF90" s="35"/>
      <c r="DG90" s="35">
        <v>110052.78</v>
      </c>
      <c r="DH90" s="85">
        <v>164885999.83000001</v>
      </c>
      <c r="DI90" s="27"/>
      <c r="DJ90" s="36">
        <v>166111500</v>
      </c>
      <c r="DK90" s="85">
        <v>166111500</v>
      </c>
      <c r="DL90" s="35"/>
      <c r="DM90" s="35"/>
      <c r="DN90" s="35"/>
      <c r="DO90" s="35"/>
      <c r="DP90" s="35"/>
      <c r="DQ90" s="35"/>
      <c r="DR90" s="36"/>
      <c r="DS90" s="35"/>
      <c r="DT90" s="35"/>
      <c r="DU90" s="35"/>
      <c r="DV90" s="35"/>
      <c r="DW90" s="35"/>
      <c r="DX90" s="35"/>
      <c r="DY90" s="35"/>
      <c r="DZ90" s="85"/>
      <c r="EA90" s="27"/>
      <c r="EB90" s="36"/>
      <c r="EC90" s="85"/>
      <c r="ED90" s="35"/>
      <c r="EE90" s="35"/>
      <c r="EF90" s="35"/>
      <c r="EG90" s="35"/>
      <c r="EH90" s="35"/>
      <c r="EI90" s="35"/>
      <c r="EJ90" s="36"/>
      <c r="EK90" s="35"/>
      <c r="EL90" s="35"/>
      <c r="EM90" s="35"/>
      <c r="EN90" s="35"/>
      <c r="EO90" s="35"/>
      <c r="EP90" s="35"/>
      <c r="EQ90" s="35"/>
      <c r="ER90" s="85"/>
      <c r="ES90" s="27"/>
      <c r="ET90" s="36"/>
      <c r="EU90" s="85"/>
      <c r="EV90" s="35"/>
      <c r="EW90" s="35"/>
      <c r="EX90" s="35"/>
      <c r="EY90" s="35"/>
      <c r="EZ90" s="35"/>
      <c r="FA90" s="35"/>
      <c r="FB90" s="36"/>
      <c r="FC90" s="35"/>
      <c r="FD90" s="35"/>
      <c r="FE90" s="35"/>
      <c r="FF90" s="35"/>
      <c r="FG90" s="35"/>
      <c r="FH90" s="35"/>
      <c r="FI90" s="35"/>
      <c r="FJ90" s="85"/>
      <c r="FK90" s="27"/>
      <c r="FL90" s="36"/>
      <c r="FM90" s="85"/>
      <c r="FN90" s="35"/>
      <c r="FO90" s="35">
        <v>4690000</v>
      </c>
      <c r="FP90" s="35">
        <v>1690000</v>
      </c>
      <c r="FQ90" s="35">
        <v>3000000</v>
      </c>
      <c r="FR90" s="35"/>
      <c r="FS90" s="35"/>
      <c r="FT90" s="36"/>
      <c r="FU90" s="35"/>
      <c r="FV90" s="35"/>
      <c r="FW90" s="35"/>
      <c r="FX90" s="35"/>
      <c r="FY90" s="35"/>
      <c r="FZ90" s="35"/>
      <c r="GA90" s="35"/>
      <c r="GB90" s="85"/>
      <c r="GC90" s="27"/>
      <c r="GD90" s="36">
        <v>1690000</v>
      </c>
      <c r="GE90" s="85">
        <v>1690000</v>
      </c>
      <c r="GF90" s="35"/>
      <c r="GG90" s="35">
        <v>15950400</v>
      </c>
      <c r="GH90" s="35">
        <v>5950400</v>
      </c>
      <c r="GI90" s="35">
        <v>10000000</v>
      </c>
      <c r="GJ90" s="35">
        <v>5950400</v>
      </c>
      <c r="GK90" s="35">
        <v>44012</v>
      </c>
      <c r="GL90" s="36"/>
      <c r="GM90" s="35">
        <v>15950400</v>
      </c>
      <c r="GN90" s="35">
        <v>5950400</v>
      </c>
      <c r="GO90" s="35"/>
      <c r="GP90" s="35">
        <v>10000000</v>
      </c>
      <c r="GQ90" s="35">
        <v>62.69435</v>
      </c>
      <c r="GR90" s="35">
        <v>44012</v>
      </c>
      <c r="GS90" s="35"/>
      <c r="GT90" s="85">
        <v>5950400</v>
      </c>
      <c r="GU90" s="27"/>
      <c r="GV90" s="36">
        <v>5950400</v>
      </c>
      <c r="GW90" s="85">
        <v>5950400</v>
      </c>
      <c r="GX90" s="35"/>
      <c r="GY90" s="35"/>
      <c r="GZ90" s="35"/>
      <c r="HA90" s="35"/>
      <c r="HB90" s="35"/>
      <c r="HC90" s="35"/>
      <c r="HD90" s="36"/>
      <c r="HE90" s="35"/>
      <c r="HF90" s="35"/>
      <c r="HG90" s="35"/>
      <c r="HH90" s="35"/>
      <c r="HI90" s="35"/>
      <c r="HJ90" s="35"/>
      <c r="HK90" s="35"/>
      <c r="HL90" s="85"/>
      <c r="HM90" s="27"/>
      <c r="HN90" s="36"/>
      <c r="HO90" s="85"/>
      <c r="HP90" s="35"/>
      <c r="HQ90" s="35"/>
      <c r="HR90" s="35"/>
      <c r="HS90" s="35"/>
      <c r="HT90" s="35"/>
      <c r="HU90" s="35"/>
      <c r="HV90" s="36"/>
      <c r="HW90" s="35"/>
      <c r="HX90" s="35"/>
      <c r="HY90" s="35"/>
      <c r="HZ90" s="35"/>
      <c r="IA90" s="35"/>
      <c r="IB90" s="35"/>
      <c r="IC90" s="35"/>
      <c r="ID90" s="85"/>
      <c r="IE90" s="27"/>
      <c r="IF90" s="36"/>
      <c r="IG90" s="85"/>
      <c r="IH90" s="35"/>
      <c r="II90" s="35"/>
      <c r="IJ90" s="35"/>
      <c r="IK90" s="35"/>
      <c r="IL90" s="35"/>
      <c r="IM90" s="35"/>
      <c r="IN90" s="36"/>
      <c r="IO90" s="35"/>
      <c r="IP90" s="35"/>
      <c r="IQ90" s="35"/>
      <c r="IR90" s="35"/>
      <c r="IS90" s="35"/>
      <c r="IT90" s="35"/>
      <c r="IU90" s="35"/>
      <c r="IV90" s="85"/>
      <c r="IW90" s="27"/>
      <c r="IX90" s="36"/>
      <c r="IY90" s="85"/>
      <c r="IZ90" s="35"/>
      <c r="JA90" s="35"/>
      <c r="JB90" s="35"/>
      <c r="JC90" s="35"/>
      <c r="JD90" s="35"/>
      <c r="JE90" s="35"/>
      <c r="JF90" s="36"/>
      <c r="JG90" s="35"/>
      <c r="JH90" s="35"/>
      <c r="JI90" s="35"/>
      <c r="JJ90" s="35"/>
      <c r="JK90" s="35"/>
      <c r="JL90" s="35"/>
      <c r="JM90" s="35"/>
      <c r="JN90" s="85"/>
      <c r="JO90" s="27"/>
      <c r="JP90" s="36"/>
      <c r="JQ90" s="85"/>
      <c r="JR90" s="35"/>
      <c r="JS90" s="35"/>
      <c r="JT90" s="35"/>
      <c r="JU90" s="35"/>
      <c r="JV90" s="35"/>
      <c r="JW90" s="35"/>
      <c r="JX90" s="36"/>
      <c r="JY90" s="35"/>
      <c r="JZ90" s="35"/>
      <c r="KA90" s="35"/>
      <c r="KB90" s="35"/>
      <c r="KC90" s="35"/>
      <c r="KD90" s="35"/>
      <c r="KE90" s="35"/>
      <c r="KF90" s="85"/>
      <c r="KG90" s="27"/>
      <c r="KH90" s="36"/>
      <c r="KI90" s="85"/>
      <c r="KJ90" s="35"/>
      <c r="KK90" s="35">
        <v>6173760</v>
      </c>
      <c r="KL90" s="35">
        <v>1431000</v>
      </c>
      <c r="KM90" s="35">
        <v>4742760</v>
      </c>
      <c r="KN90" s="35">
        <v>1431000</v>
      </c>
      <c r="KO90" s="35"/>
      <c r="KP90" s="36"/>
      <c r="KQ90" s="35">
        <v>6173760</v>
      </c>
      <c r="KR90" s="35">
        <v>1431000</v>
      </c>
      <c r="KS90" s="35"/>
      <c r="KT90" s="35">
        <v>4742760</v>
      </c>
      <c r="KU90" s="35">
        <v>76.821259999999995</v>
      </c>
      <c r="KV90" s="35"/>
      <c r="KW90" s="35"/>
      <c r="KX90" s="85">
        <v>1431000</v>
      </c>
      <c r="KY90" s="27"/>
      <c r="KZ90" s="36">
        <v>1431000</v>
      </c>
      <c r="LA90" s="85">
        <v>1431000</v>
      </c>
      <c r="LB90" s="35"/>
      <c r="LC90" s="35"/>
      <c r="LD90" s="35"/>
      <c r="LE90" s="35"/>
      <c r="LF90" s="35"/>
      <c r="LG90" s="35"/>
      <c r="LH90" s="36"/>
      <c r="LI90" s="35"/>
      <c r="LJ90" s="35"/>
      <c r="LK90" s="35"/>
      <c r="LL90" s="35"/>
      <c r="LM90" s="35"/>
      <c r="LN90" s="35"/>
      <c r="LO90" s="35"/>
      <c r="LP90" s="85"/>
      <c r="LQ90" s="27"/>
      <c r="LR90" s="36"/>
      <c r="LS90" s="85"/>
      <c r="LT90" s="35"/>
      <c r="LU90" s="35"/>
      <c r="LV90" s="35"/>
      <c r="LW90" s="35"/>
      <c r="LX90" s="35"/>
      <c r="LY90" s="35"/>
      <c r="LZ90" s="36"/>
      <c r="MA90" s="35"/>
      <c r="MB90" s="35"/>
      <c r="MC90" s="35"/>
      <c r="MD90" s="35"/>
      <c r="ME90" s="35"/>
      <c r="MF90" s="35"/>
      <c r="MG90" s="35"/>
      <c r="MH90" s="85"/>
      <c r="MI90" s="27"/>
      <c r="MJ90" s="36"/>
      <c r="MK90" s="85"/>
      <c r="ML90" s="35"/>
      <c r="MM90" s="35"/>
      <c r="MN90" s="35"/>
      <c r="MO90" s="35"/>
      <c r="MP90" s="35"/>
      <c r="MQ90" s="35"/>
      <c r="MR90" s="36"/>
      <c r="MS90" s="35"/>
      <c r="MT90" s="35"/>
      <c r="MU90" s="35"/>
      <c r="MV90" s="35"/>
      <c r="MW90" s="35"/>
      <c r="MX90" s="35"/>
      <c r="MY90" s="35"/>
      <c r="MZ90" s="85"/>
      <c r="NA90" s="27"/>
      <c r="NB90" s="36"/>
      <c r="NC90" s="85"/>
      <c r="ND90" s="35"/>
      <c r="NE90" s="35"/>
      <c r="NF90" s="35"/>
      <c r="NG90" s="35"/>
      <c r="NH90" s="35"/>
      <c r="NI90" s="35"/>
      <c r="NJ90" s="36"/>
      <c r="NK90" s="35"/>
      <c r="NL90" s="35"/>
      <c r="NM90" s="35"/>
      <c r="NN90" s="35"/>
      <c r="NO90" s="35"/>
      <c r="NP90" s="35"/>
      <c r="NQ90" s="35"/>
      <c r="NR90" s="85"/>
      <c r="NS90" s="27"/>
      <c r="NT90" s="36"/>
      <c r="NU90" s="85"/>
      <c r="NV90" s="35"/>
      <c r="NW90" s="35"/>
      <c r="NX90" s="35"/>
      <c r="NY90" s="35"/>
      <c r="NZ90" s="35"/>
      <c r="OA90" s="35"/>
      <c r="OB90" s="36"/>
      <c r="OC90" s="35"/>
      <c r="OD90" s="35"/>
      <c r="OE90" s="35"/>
      <c r="OF90" s="35"/>
      <c r="OG90" s="35"/>
      <c r="OH90" s="35"/>
      <c r="OI90" s="35"/>
      <c r="OJ90" s="85"/>
      <c r="OK90" s="27"/>
      <c r="OL90" s="36"/>
      <c r="OM90" s="85"/>
      <c r="ON90" s="35"/>
      <c r="OO90" s="35"/>
      <c r="OP90" s="35"/>
      <c r="OQ90" s="35"/>
      <c r="OR90" s="35"/>
      <c r="OS90" s="35"/>
      <c r="OT90" s="36"/>
      <c r="OU90" s="35"/>
      <c r="OV90" s="35"/>
      <c r="OW90" s="35"/>
      <c r="OX90" s="35"/>
      <c r="OY90" s="35"/>
      <c r="OZ90" s="35"/>
      <c r="PA90" s="35"/>
      <c r="PB90" s="85"/>
      <c r="PC90" s="27"/>
      <c r="PD90" s="36"/>
      <c r="PE90" s="85"/>
      <c r="PF90" s="35"/>
      <c r="PG90" s="35"/>
      <c r="PH90" s="35"/>
      <c r="PI90" s="35"/>
      <c r="PJ90" s="35"/>
      <c r="PK90" s="35"/>
      <c r="PL90" s="36"/>
      <c r="PM90" s="35"/>
      <c r="PN90" s="35"/>
      <c r="PO90" s="35"/>
      <c r="PP90" s="35"/>
      <c r="PQ90" s="35"/>
      <c r="PR90" s="35"/>
      <c r="PS90" s="35"/>
      <c r="PT90" s="85"/>
      <c r="PU90" s="27"/>
      <c r="PV90" s="36"/>
      <c r="PW90" s="85"/>
      <c r="PX90" s="35"/>
      <c r="PY90" s="35"/>
      <c r="PZ90" s="35"/>
      <c r="QA90" s="35"/>
      <c r="QB90" s="35"/>
      <c r="QC90" s="35">
        <v>6222070.4900000002</v>
      </c>
      <c r="QD90" s="36"/>
      <c r="QE90" s="35"/>
      <c r="QF90" s="35"/>
      <c r="QG90" s="35"/>
      <c r="QH90" s="35"/>
      <c r="QI90" s="35"/>
      <c r="QJ90" s="35">
        <v>5879703.4900000002</v>
      </c>
      <c r="QK90" s="35">
        <v>342367</v>
      </c>
      <c r="QL90" s="85"/>
      <c r="QM90" s="27"/>
      <c r="QN90" s="36"/>
      <c r="QO90" s="85"/>
    </row>
    <row r="91" spans="1:457" x14ac:dyDescent="0.25">
      <c r="A91" s="8" t="s">
        <v>205</v>
      </c>
      <c r="B91" s="174">
        <v>77</v>
      </c>
      <c r="C91" s="13" t="s">
        <v>207</v>
      </c>
      <c r="F91" s="36">
        <v>2663792700</v>
      </c>
      <c r="G91" s="85"/>
      <c r="H91" s="35"/>
      <c r="I91" s="35">
        <v>278947368.43000001</v>
      </c>
      <c r="J91" s="35">
        <v>265000000</v>
      </c>
      <c r="K91" s="35">
        <v>13947368.43</v>
      </c>
      <c r="L91" s="35">
        <v>265000000</v>
      </c>
      <c r="M91" s="35"/>
      <c r="N91" s="36"/>
      <c r="O91" s="35">
        <v>278947368.43000001</v>
      </c>
      <c r="P91" s="35">
        <v>265000000</v>
      </c>
      <c r="Q91" s="35"/>
      <c r="R91" s="35">
        <v>13947368.43</v>
      </c>
      <c r="S91" s="35">
        <v>5</v>
      </c>
      <c r="T91" s="35"/>
      <c r="U91" s="35"/>
      <c r="V91" s="85">
        <v>265000000</v>
      </c>
      <c r="W91" s="27"/>
      <c r="X91" s="36">
        <v>265000000</v>
      </c>
      <c r="Y91" s="85">
        <v>265000000</v>
      </c>
      <c r="Z91" s="35"/>
      <c r="AA91" s="35"/>
      <c r="AB91" s="35"/>
      <c r="AC91" s="35"/>
      <c r="AD91" s="35"/>
      <c r="AE91" s="35"/>
      <c r="AF91" s="36"/>
      <c r="AG91" s="35"/>
      <c r="AH91" s="35"/>
      <c r="AI91" s="35"/>
      <c r="AJ91" s="35"/>
      <c r="AK91" s="35"/>
      <c r="AL91" s="35"/>
      <c r="AM91" s="35"/>
      <c r="AN91" s="85"/>
      <c r="AO91" s="27"/>
      <c r="AP91" s="36"/>
      <c r="AQ91" s="85"/>
      <c r="AR91" s="35"/>
      <c r="AS91" s="35">
        <v>343267000</v>
      </c>
      <c r="AT91" s="35">
        <v>326102000</v>
      </c>
      <c r="AU91" s="35">
        <v>17165000</v>
      </c>
      <c r="AV91" s="35">
        <v>326102000</v>
      </c>
      <c r="AW91" s="35"/>
      <c r="AX91" s="36"/>
      <c r="AY91" s="35">
        <v>343267000</v>
      </c>
      <c r="AZ91" s="35">
        <v>326102000</v>
      </c>
      <c r="BA91" s="35"/>
      <c r="BB91" s="35">
        <v>17165000</v>
      </c>
      <c r="BC91" s="35">
        <v>5.0004799999999996</v>
      </c>
      <c r="BD91" s="35"/>
      <c r="BE91" s="35"/>
      <c r="BF91" s="85">
        <v>326102000</v>
      </c>
      <c r="BG91" s="27"/>
      <c r="BH91" s="36">
        <v>326102000</v>
      </c>
      <c r="BI91" s="85">
        <v>326102000</v>
      </c>
      <c r="BJ91" s="35"/>
      <c r="BK91" s="35"/>
      <c r="BL91" s="35"/>
      <c r="BM91" s="35"/>
      <c r="BN91" s="35"/>
      <c r="BO91" s="35"/>
      <c r="BP91" s="36"/>
      <c r="BQ91" s="35"/>
      <c r="BR91" s="35"/>
      <c r="BS91" s="35"/>
      <c r="BT91" s="35"/>
      <c r="BU91" s="35"/>
      <c r="BV91" s="35"/>
      <c r="BW91" s="35"/>
      <c r="BX91" s="85"/>
      <c r="BY91" s="27"/>
      <c r="BZ91" s="36"/>
      <c r="CA91" s="85"/>
      <c r="CB91" s="35"/>
      <c r="CC91" s="35">
        <v>961894600</v>
      </c>
      <c r="CD91" s="35">
        <v>913794600</v>
      </c>
      <c r="CE91" s="35">
        <v>48100000</v>
      </c>
      <c r="CF91" s="35">
        <v>913794600</v>
      </c>
      <c r="CG91" s="35"/>
      <c r="CH91" s="36"/>
      <c r="CI91" s="35">
        <v>961894600</v>
      </c>
      <c r="CJ91" s="35">
        <v>913794600</v>
      </c>
      <c r="CK91" s="35"/>
      <c r="CL91" s="35">
        <v>48100000</v>
      </c>
      <c r="CM91" s="35">
        <v>5.0005499999999996</v>
      </c>
      <c r="CN91" s="35"/>
      <c r="CO91" s="35"/>
      <c r="CP91" s="85">
        <v>913794600</v>
      </c>
      <c r="CQ91" s="27"/>
      <c r="CR91" s="36">
        <v>913794600</v>
      </c>
      <c r="CS91" s="85">
        <v>913794600</v>
      </c>
      <c r="CT91" s="35"/>
      <c r="CU91" s="35">
        <v>1039849157.89</v>
      </c>
      <c r="CV91" s="35">
        <v>987856700</v>
      </c>
      <c r="CW91" s="35">
        <v>51992457.890000001</v>
      </c>
      <c r="CX91" s="35">
        <v>987856700</v>
      </c>
      <c r="CY91" s="35"/>
      <c r="CZ91" s="36"/>
      <c r="DA91" s="35">
        <v>1039849157.89</v>
      </c>
      <c r="DB91" s="35">
        <v>987856700</v>
      </c>
      <c r="DC91" s="35"/>
      <c r="DD91" s="35">
        <v>51992457.890000001</v>
      </c>
      <c r="DE91" s="35">
        <v>5</v>
      </c>
      <c r="DF91" s="35"/>
      <c r="DG91" s="35"/>
      <c r="DH91" s="85">
        <v>987856700</v>
      </c>
      <c r="DI91" s="27"/>
      <c r="DJ91" s="36">
        <v>987856700</v>
      </c>
      <c r="DK91" s="85">
        <v>987856700</v>
      </c>
      <c r="DL91" s="35"/>
      <c r="DM91" s="35"/>
      <c r="DN91" s="35"/>
      <c r="DO91" s="35"/>
      <c r="DP91" s="35"/>
      <c r="DQ91" s="35"/>
      <c r="DR91" s="36"/>
      <c r="DS91" s="35"/>
      <c r="DT91" s="35"/>
      <c r="DU91" s="35"/>
      <c r="DV91" s="35"/>
      <c r="DW91" s="35"/>
      <c r="DX91" s="35"/>
      <c r="DY91" s="35"/>
      <c r="DZ91" s="85"/>
      <c r="EA91" s="27"/>
      <c r="EB91" s="36"/>
      <c r="EC91" s="85"/>
      <c r="ED91" s="35"/>
      <c r="EE91" s="35">
        <v>15141789.470000001</v>
      </c>
      <c r="EF91" s="35">
        <v>14384700</v>
      </c>
      <c r="EG91" s="35">
        <v>757089.47</v>
      </c>
      <c r="EH91" s="35">
        <v>14384700</v>
      </c>
      <c r="EI91" s="35"/>
      <c r="EJ91" s="36"/>
      <c r="EK91" s="35">
        <v>15141789.470000001</v>
      </c>
      <c r="EL91" s="35">
        <v>14384700</v>
      </c>
      <c r="EM91" s="35"/>
      <c r="EN91" s="35">
        <v>757089.47</v>
      </c>
      <c r="EO91" s="35">
        <v>5</v>
      </c>
      <c r="EP91" s="35"/>
      <c r="EQ91" s="35"/>
      <c r="ER91" s="85">
        <v>14384700</v>
      </c>
      <c r="ES91" s="27"/>
      <c r="ET91" s="36">
        <v>14384700</v>
      </c>
      <c r="EU91" s="85">
        <v>14384700</v>
      </c>
      <c r="EV91" s="35"/>
      <c r="EW91" s="35"/>
      <c r="EX91" s="35"/>
      <c r="EY91" s="35"/>
      <c r="EZ91" s="35"/>
      <c r="FA91" s="35"/>
      <c r="FB91" s="36"/>
      <c r="FC91" s="35"/>
      <c r="FD91" s="35"/>
      <c r="FE91" s="35"/>
      <c r="FF91" s="35"/>
      <c r="FG91" s="35"/>
      <c r="FH91" s="35"/>
      <c r="FI91" s="35"/>
      <c r="FJ91" s="85"/>
      <c r="FK91" s="27"/>
      <c r="FL91" s="36"/>
      <c r="FM91" s="85"/>
      <c r="FN91" s="35"/>
      <c r="FO91" s="35"/>
      <c r="FP91" s="35"/>
      <c r="FQ91" s="35"/>
      <c r="FR91" s="35"/>
      <c r="FS91" s="35"/>
      <c r="FT91" s="36"/>
      <c r="FU91" s="35"/>
      <c r="FV91" s="35"/>
      <c r="FW91" s="35"/>
      <c r="FX91" s="35"/>
      <c r="FY91" s="35"/>
      <c r="FZ91" s="35"/>
      <c r="GA91" s="35"/>
      <c r="GB91" s="85"/>
      <c r="GC91" s="27"/>
      <c r="GD91" s="36"/>
      <c r="GE91" s="85"/>
      <c r="GF91" s="35"/>
      <c r="GG91" s="35">
        <v>134200000</v>
      </c>
      <c r="GH91" s="35">
        <v>84200000</v>
      </c>
      <c r="GI91" s="35">
        <v>50000000</v>
      </c>
      <c r="GJ91" s="35">
        <v>84200000</v>
      </c>
      <c r="GK91" s="35">
        <v>1282563.52</v>
      </c>
      <c r="GL91" s="36"/>
      <c r="GM91" s="35">
        <v>133679684.09</v>
      </c>
      <c r="GN91" s="35">
        <v>83870633.799999997</v>
      </c>
      <c r="GO91" s="35"/>
      <c r="GP91" s="35">
        <v>49809050.289999999</v>
      </c>
      <c r="GQ91" s="35">
        <v>37.26</v>
      </c>
      <c r="GR91" s="35">
        <v>1282563.52</v>
      </c>
      <c r="GS91" s="35">
        <v>329366.2</v>
      </c>
      <c r="GT91" s="85">
        <v>83870633.799999997</v>
      </c>
      <c r="GU91" s="27"/>
      <c r="GV91" s="36">
        <v>84200000</v>
      </c>
      <c r="GW91" s="85">
        <v>84200000</v>
      </c>
      <c r="GX91" s="35"/>
      <c r="GY91" s="35"/>
      <c r="GZ91" s="35"/>
      <c r="HA91" s="35"/>
      <c r="HB91" s="35"/>
      <c r="HC91" s="35">
        <v>983071.47</v>
      </c>
      <c r="HD91" s="36"/>
      <c r="HE91" s="35"/>
      <c r="HF91" s="35"/>
      <c r="HG91" s="35"/>
      <c r="HH91" s="35"/>
      <c r="HI91" s="35"/>
      <c r="HJ91" s="35">
        <v>980472.84</v>
      </c>
      <c r="HK91" s="35">
        <v>2598.63</v>
      </c>
      <c r="HL91" s="85"/>
      <c r="HM91" s="27"/>
      <c r="HN91" s="36"/>
      <c r="HO91" s="85"/>
      <c r="HP91" s="35"/>
      <c r="HQ91" s="35">
        <v>185555600</v>
      </c>
      <c r="HR91" s="35">
        <v>51450000</v>
      </c>
      <c r="HS91" s="35">
        <v>134105600</v>
      </c>
      <c r="HT91" s="35">
        <v>51450000</v>
      </c>
      <c r="HU91" s="35"/>
      <c r="HV91" s="36"/>
      <c r="HW91" s="35">
        <v>185555600</v>
      </c>
      <c r="HX91" s="35">
        <v>51450000</v>
      </c>
      <c r="HY91" s="35"/>
      <c r="HZ91" s="35">
        <v>134105600</v>
      </c>
      <c r="IA91" s="35">
        <v>72.272459999999995</v>
      </c>
      <c r="IB91" s="35"/>
      <c r="IC91" s="35"/>
      <c r="ID91" s="85">
        <v>51450000</v>
      </c>
      <c r="IE91" s="27"/>
      <c r="IF91" s="36">
        <v>51450000</v>
      </c>
      <c r="IG91" s="85">
        <v>51450000</v>
      </c>
      <c r="IH91" s="35"/>
      <c r="II91" s="35"/>
      <c r="IJ91" s="35"/>
      <c r="IK91" s="35"/>
      <c r="IL91" s="35"/>
      <c r="IM91" s="35"/>
      <c r="IN91" s="36"/>
      <c r="IO91" s="35"/>
      <c r="IP91" s="35"/>
      <c r="IQ91" s="35"/>
      <c r="IR91" s="35"/>
      <c r="IS91" s="35"/>
      <c r="IT91" s="35"/>
      <c r="IU91" s="35"/>
      <c r="IV91" s="85"/>
      <c r="IW91" s="27"/>
      <c r="IX91" s="36"/>
      <c r="IY91" s="85"/>
      <c r="IZ91" s="35"/>
      <c r="JA91" s="35"/>
      <c r="JB91" s="35"/>
      <c r="JC91" s="35"/>
      <c r="JD91" s="35"/>
      <c r="JE91" s="35"/>
      <c r="JF91" s="36"/>
      <c r="JG91" s="35"/>
      <c r="JH91" s="35"/>
      <c r="JI91" s="35"/>
      <c r="JJ91" s="35"/>
      <c r="JK91" s="35"/>
      <c r="JL91" s="35"/>
      <c r="JM91" s="35"/>
      <c r="JN91" s="85"/>
      <c r="JO91" s="27"/>
      <c r="JP91" s="36"/>
      <c r="JQ91" s="85"/>
      <c r="JR91" s="35"/>
      <c r="JS91" s="35"/>
      <c r="JT91" s="35"/>
      <c r="JU91" s="35"/>
      <c r="JV91" s="35"/>
      <c r="JW91" s="35"/>
      <c r="JX91" s="36"/>
      <c r="JY91" s="35"/>
      <c r="JZ91" s="35"/>
      <c r="KA91" s="35"/>
      <c r="KB91" s="35"/>
      <c r="KC91" s="35"/>
      <c r="KD91" s="35"/>
      <c r="KE91" s="35"/>
      <c r="KF91" s="85"/>
      <c r="KG91" s="27"/>
      <c r="KH91" s="36"/>
      <c r="KI91" s="85"/>
      <c r="KJ91" s="35"/>
      <c r="KK91" s="35">
        <v>18285000</v>
      </c>
      <c r="KL91" s="35">
        <v>8571000</v>
      </c>
      <c r="KM91" s="35">
        <v>9714000</v>
      </c>
      <c r="KN91" s="35">
        <v>8571000</v>
      </c>
      <c r="KO91" s="35"/>
      <c r="KP91" s="36"/>
      <c r="KQ91" s="35">
        <v>18285000</v>
      </c>
      <c r="KR91" s="35">
        <v>8571000</v>
      </c>
      <c r="KS91" s="35"/>
      <c r="KT91" s="35">
        <v>9714000</v>
      </c>
      <c r="KU91" s="35">
        <v>53.125509999999998</v>
      </c>
      <c r="KV91" s="35"/>
      <c r="KW91" s="35"/>
      <c r="KX91" s="85">
        <v>8571000</v>
      </c>
      <c r="KY91" s="27"/>
      <c r="KZ91" s="36">
        <v>8571000</v>
      </c>
      <c r="LA91" s="85">
        <v>8571000</v>
      </c>
      <c r="LB91" s="35"/>
      <c r="LC91" s="35"/>
      <c r="LD91" s="35"/>
      <c r="LE91" s="35"/>
      <c r="LF91" s="35"/>
      <c r="LG91" s="35"/>
      <c r="LH91" s="36"/>
      <c r="LI91" s="35"/>
      <c r="LJ91" s="35"/>
      <c r="LK91" s="35"/>
      <c r="LL91" s="35"/>
      <c r="LM91" s="35"/>
      <c r="LN91" s="35"/>
      <c r="LO91" s="35"/>
      <c r="LP91" s="85"/>
      <c r="LQ91" s="27"/>
      <c r="LR91" s="36"/>
      <c r="LS91" s="85"/>
      <c r="LT91" s="35"/>
      <c r="LU91" s="35">
        <v>13584000</v>
      </c>
      <c r="LV91" s="35">
        <v>5354000</v>
      </c>
      <c r="LW91" s="35">
        <v>8230000</v>
      </c>
      <c r="LX91" s="35">
        <v>5354000</v>
      </c>
      <c r="LY91" s="35"/>
      <c r="LZ91" s="36"/>
      <c r="MA91" s="35">
        <v>13584000</v>
      </c>
      <c r="MB91" s="35">
        <v>5354000</v>
      </c>
      <c r="MC91" s="35"/>
      <c r="MD91" s="35">
        <v>8230000</v>
      </c>
      <c r="ME91" s="35">
        <v>60.585979999999999</v>
      </c>
      <c r="MF91" s="35"/>
      <c r="MG91" s="35"/>
      <c r="MH91" s="85">
        <v>5354000</v>
      </c>
      <c r="MI91" s="27"/>
      <c r="MJ91" s="36">
        <v>5354000</v>
      </c>
      <c r="MK91" s="85">
        <v>5354000</v>
      </c>
      <c r="ML91" s="35"/>
      <c r="MM91" s="35"/>
      <c r="MN91" s="35"/>
      <c r="MO91" s="35"/>
      <c r="MP91" s="35"/>
      <c r="MQ91" s="35"/>
      <c r="MR91" s="36"/>
      <c r="MS91" s="35"/>
      <c r="MT91" s="35"/>
      <c r="MU91" s="35"/>
      <c r="MV91" s="35"/>
      <c r="MW91" s="35"/>
      <c r="MX91" s="35"/>
      <c r="MY91" s="35"/>
      <c r="MZ91" s="85"/>
      <c r="NA91" s="27"/>
      <c r="NB91" s="36"/>
      <c r="NC91" s="85"/>
      <c r="ND91" s="35"/>
      <c r="NE91" s="35"/>
      <c r="NF91" s="35"/>
      <c r="NG91" s="35"/>
      <c r="NH91" s="35"/>
      <c r="NI91" s="35"/>
      <c r="NJ91" s="36"/>
      <c r="NK91" s="35"/>
      <c r="NL91" s="35"/>
      <c r="NM91" s="35"/>
      <c r="NN91" s="35"/>
      <c r="NO91" s="35"/>
      <c r="NP91" s="35"/>
      <c r="NQ91" s="35"/>
      <c r="NR91" s="85"/>
      <c r="NS91" s="27"/>
      <c r="NT91" s="36"/>
      <c r="NU91" s="85"/>
      <c r="NV91" s="35"/>
      <c r="NW91" s="35"/>
      <c r="NX91" s="35"/>
      <c r="NY91" s="35"/>
      <c r="NZ91" s="35"/>
      <c r="OA91" s="35"/>
      <c r="OB91" s="36"/>
      <c r="OC91" s="35"/>
      <c r="OD91" s="35"/>
      <c r="OE91" s="35"/>
      <c r="OF91" s="35"/>
      <c r="OG91" s="35"/>
      <c r="OH91" s="35"/>
      <c r="OI91" s="35"/>
      <c r="OJ91" s="85"/>
      <c r="OK91" s="27"/>
      <c r="OL91" s="36"/>
      <c r="OM91" s="85"/>
      <c r="ON91" s="35"/>
      <c r="OO91" s="35">
        <v>25468700</v>
      </c>
      <c r="OP91" s="35">
        <v>7079700</v>
      </c>
      <c r="OQ91" s="35">
        <v>18389000</v>
      </c>
      <c r="OR91" s="35">
        <v>7079700</v>
      </c>
      <c r="OS91" s="35"/>
      <c r="OT91" s="36"/>
      <c r="OU91" s="35">
        <v>25468700</v>
      </c>
      <c r="OV91" s="35">
        <v>7079700</v>
      </c>
      <c r="OW91" s="35"/>
      <c r="OX91" s="35">
        <v>18389000</v>
      </c>
      <c r="OY91" s="35">
        <v>72.202349999999996</v>
      </c>
      <c r="OZ91" s="35"/>
      <c r="PA91" s="35"/>
      <c r="PB91" s="85">
        <v>7079700</v>
      </c>
      <c r="PC91" s="27"/>
      <c r="PD91" s="36">
        <v>7079700</v>
      </c>
      <c r="PE91" s="85">
        <v>7079700</v>
      </c>
      <c r="PF91" s="35"/>
      <c r="PG91" s="35"/>
      <c r="PH91" s="35"/>
      <c r="PI91" s="35"/>
      <c r="PJ91" s="35"/>
      <c r="PK91" s="35"/>
      <c r="PL91" s="36"/>
      <c r="PM91" s="35"/>
      <c r="PN91" s="35"/>
      <c r="PO91" s="35"/>
      <c r="PP91" s="35"/>
      <c r="PQ91" s="35"/>
      <c r="PR91" s="35"/>
      <c r="PS91" s="35"/>
      <c r="PT91" s="85"/>
      <c r="PU91" s="27"/>
      <c r="PV91" s="36"/>
      <c r="PW91" s="85"/>
      <c r="PX91" s="35"/>
      <c r="PY91" s="35"/>
      <c r="PZ91" s="35"/>
      <c r="QA91" s="35"/>
      <c r="QB91" s="35"/>
      <c r="QC91" s="35">
        <v>50522931.82</v>
      </c>
      <c r="QD91" s="36"/>
      <c r="QE91" s="35"/>
      <c r="QF91" s="35"/>
      <c r="QG91" s="35"/>
      <c r="QH91" s="35"/>
      <c r="QI91" s="35"/>
      <c r="QJ91" s="35">
        <v>50514612.020000003</v>
      </c>
      <c r="QK91" s="35">
        <v>8319.7999999999993</v>
      </c>
      <c r="QL91" s="85"/>
      <c r="QM91" s="27"/>
      <c r="QN91" s="36"/>
      <c r="QO91" s="85"/>
    </row>
    <row r="92" spans="1:457" x14ac:dyDescent="0.25">
      <c r="A92" s="8" t="s">
        <v>208</v>
      </c>
      <c r="B92" s="172">
        <v>78</v>
      </c>
      <c r="C92" s="13" t="s">
        <v>210</v>
      </c>
      <c r="F92" s="36">
        <v>465817300</v>
      </c>
      <c r="G92" s="85"/>
      <c r="H92" s="35"/>
      <c r="I92" s="35">
        <v>10392700</v>
      </c>
      <c r="J92" s="35">
        <v>7588600</v>
      </c>
      <c r="K92" s="35">
        <v>2804100</v>
      </c>
      <c r="L92" s="35">
        <v>7588600</v>
      </c>
      <c r="M92" s="35"/>
      <c r="N92" s="36"/>
      <c r="O92" s="35">
        <v>10392700</v>
      </c>
      <c r="P92" s="35">
        <v>7588600</v>
      </c>
      <c r="Q92" s="35"/>
      <c r="R92" s="35">
        <v>2804100</v>
      </c>
      <c r="S92" s="35">
        <v>26.981439999999999</v>
      </c>
      <c r="T92" s="35"/>
      <c r="U92" s="35"/>
      <c r="V92" s="85">
        <v>7588600</v>
      </c>
      <c r="W92" s="27"/>
      <c r="X92" s="36">
        <v>7588600</v>
      </c>
      <c r="Y92" s="85">
        <v>7588600</v>
      </c>
      <c r="Z92" s="35"/>
      <c r="AA92" s="35"/>
      <c r="AB92" s="35"/>
      <c r="AC92" s="35"/>
      <c r="AD92" s="35"/>
      <c r="AE92" s="35"/>
      <c r="AF92" s="36"/>
      <c r="AG92" s="35"/>
      <c r="AH92" s="35"/>
      <c r="AI92" s="35"/>
      <c r="AJ92" s="35"/>
      <c r="AK92" s="35"/>
      <c r="AL92" s="35"/>
      <c r="AM92" s="35"/>
      <c r="AN92" s="85"/>
      <c r="AO92" s="27"/>
      <c r="AP92" s="36"/>
      <c r="AQ92" s="85"/>
      <c r="AR92" s="35"/>
      <c r="AS92" s="35">
        <v>12719200</v>
      </c>
      <c r="AT92" s="35">
        <v>2719200</v>
      </c>
      <c r="AU92" s="35">
        <v>10000000</v>
      </c>
      <c r="AV92" s="35">
        <v>2719200</v>
      </c>
      <c r="AW92" s="35"/>
      <c r="AX92" s="36"/>
      <c r="AY92" s="35">
        <v>12719200</v>
      </c>
      <c r="AZ92" s="35">
        <v>2719200</v>
      </c>
      <c r="BA92" s="35"/>
      <c r="BB92" s="35">
        <v>10000000</v>
      </c>
      <c r="BC92" s="35">
        <v>78.621300000000005</v>
      </c>
      <c r="BD92" s="35"/>
      <c r="BE92" s="35"/>
      <c r="BF92" s="85">
        <v>2719200</v>
      </c>
      <c r="BG92" s="27"/>
      <c r="BH92" s="36">
        <v>2719200</v>
      </c>
      <c r="BI92" s="85">
        <v>2719200</v>
      </c>
      <c r="BJ92" s="35"/>
      <c r="BK92" s="35"/>
      <c r="BL92" s="35"/>
      <c r="BM92" s="35"/>
      <c r="BN92" s="35"/>
      <c r="BO92" s="35"/>
      <c r="BP92" s="36"/>
      <c r="BQ92" s="35"/>
      <c r="BR92" s="35"/>
      <c r="BS92" s="35"/>
      <c r="BT92" s="35"/>
      <c r="BU92" s="35"/>
      <c r="BV92" s="35"/>
      <c r="BW92" s="35"/>
      <c r="BX92" s="85"/>
      <c r="BY92" s="27"/>
      <c r="BZ92" s="36"/>
      <c r="CA92" s="85"/>
      <c r="CB92" s="35"/>
      <c r="CC92" s="35">
        <v>137112700</v>
      </c>
      <c r="CD92" s="35">
        <v>39976400</v>
      </c>
      <c r="CE92" s="35">
        <v>97136300</v>
      </c>
      <c r="CF92" s="35">
        <v>39976400</v>
      </c>
      <c r="CG92" s="35">
        <v>362727.2</v>
      </c>
      <c r="CH92" s="36"/>
      <c r="CI92" s="35">
        <v>137112700</v>
      </c>
      <c r="CJ92" s="35">
        <v>39976400</v>
      </c>
      <c r="CK92" s="35"/>
      <c r="CL92" s="35">
        <v>97136300</v>
      </c>
      <c r="CM92" s="35">
        <v>70.844130000000007</v>
      </c>
      <c r="CN92" s="35">
        <v>362727.2</v>
      </c>
      <c r="CO92" s="35"/>
      <c r="CP92" s="85">
        <v>39976400</v>
      </c>
      <c r="CQ92" s="27"/>
      <c r="CR92" s="36">
        <v>39976400</v>
      </c>
      <c r="CS92" s="85">
        <v>39976400</v>
      </c>
      <c r="CT92" s="35"/>
      <c r="CU92" s="35">
        <v>410621100</v>
      </c>
      <c r="CV92" s="35">
        <v>348386500</v>
      </c>
      <c r="CW92" s="35">
        <v>62234600</v>
      </c>
      <c r="CX92" s="35">
        <v>348386500</v>
      </c>
      <c r="CY92" s="35"/>
      <c r="CZ92" s="36"/>
      <c r="DA92" s="35">
        <v>410621100</v>
      </c>
      <c r="DB92" s="35">
        <v>348386500</v>
      </c>
      <c r="DC92" s="35"/>
      <c r="DD92" s="35">
        <v>62234600</v>
      </c>
      <c r="DE92" s="35">
        <v>15.15621</v>
      </c>
      <c r="DF92" s="35"/>
      <c r="DG92" s="35"/>
      <c r="DH92" s="85">
        <v>348386500</v>
      </c>
      <c r="DI92" s="27"/>
      <c r="DJ92" s="36">
        <v>348386500</v>
      </c>
      <c r="DK92" s="85">
        <v>348386500</v>
      </c>
      <c r="DL92" s="35"/>
      <c r="DM92" s="35"/>
      <c r="DN92" s="35"/>
      <c r="DO92" s="35"/>
      <c r="DP92" s="35"/>
      <c r="DQ92" s="35"/>
      <c r="DR92" s="36"/>
      <c r="DS92" s="35"/>
      <c r="DT92" s="35"/>
      <c r="DU92" s="35"/>
      <c r="DV92" s="35"/>
      <c r="DW92" s="35"/>
      <c r="DX92" s="35"/>
      <c r="DY92" s="35"/>
      <c r="DZ92" s="85"/>
      <c r="EA92" s="27"/>
      <c r="EB92" s="36"/>
      <c r="EC92" s="85"/>
      <c r="ED92" s="35"/>
      <c r="EE92" s="35"/>
      <c r="EF92" s="35"/>
      <c r="EG92" s="35"/>
      <c r="EH92" s="35"/>
      <c r="EI92" s="35"/>
      <c r="EJ92" s="36"/>
      <c r="EK92" s="35"/>
      <c r="EL92" s="35"/>
      <c r="EM92" s="35"/>
      <c r="EN92" s="35"/>
      <c r="EO92" s="35"/>
      <c r="EP92" s="35"/>
      <c r="EQ92" s="35"/>
      <c r="ER92" s="85"/>
      <c r="ES92" s="27"/>
      <c r="ET92" s="36"/>
      <c r="EU92" s="85"/>
      <c r="EV92" s="35"/>
      <c r="EW92" s="35"/>
      <c r="EX92" s="35"/>
      <c r="EY92" s="35"/>
      <c r="EZ92" s="35"/>
      <c r="FA92" s="35"/>
      <c r="FB92" s="36"/>
      <c r="FC92" s="35"/>
      <c r="FD92" s="35"/>
      <c r="FE92" s="35"/>
      <c r="FF92" s="35"/>
      <c r="FG92" s="35"/>
      <c r="FH92" s="35"/>
      <c r="FI92" s="35"/>
      <c r="FJ92" s="85"/>
      <c r="FK92" s="27"/>
      <c r="FL92" s="36"/>
      <c r="FM92" s="85"/>
      <c r="FN92" s="35"/>
      <c r="FO92" s="35">
        <v>24865233.710000001</v>
      </c>
      <c r="FP92" s="35">
        <v>21864000</v>
      </c>
      <c r="FQ92" s="35">
        <v>3001233.71</v>
      </c>
      <c r="FR92" s="35">
        <v>21864000</v>
      </c>
      <c r="FS92" s="35"/>
      <c r="FT92" s="36"/>
      <c r="FU92" s="35">
        <v>24865233.710000001</v>
      </c>
      <c r="FV92" s="35">
        <v>21864000</v>
      </c>
      <c r="FW92" s="35"/>
      <c r="FX92" s="35">
        <v>3001233.71</v>
      </c>
      <c r="FY92" s="35">
        <v>12.07</v>
      </c>
      <c r="FZ92" s="35"/>
      <c r="GA92" s="35"/>
      <c r="GB92" s="85">
        <v>21864000</v>
      </c>
      <c r="GC92" s="27"/>
      <c r="GD92" s="36">
        <v>21864000</v>
      </c>
      <c r="GE92" s="85">
        <v>21864000</v>
      </c>
      <c r="GF92" s="35"/>
      <c r="GG92" s="35">
        <v>73824700</v>
      </c>
      <c r="GH92" s="35">
        <v>42609700</v>
      </c>
      <c r="GI92" s="35">
        <v>31215000</v>
      </c>
      <c r="GJ92" s="35">
        <v>42609700</v>
      </c>
      <c r="GK92" s="35">
        <v>888010.85</v>
      </c>
      <c r="GL92" s="36"/>
      <c r="GM92" s="35">
        <v>73824700</v>
      </c>
      <c r="GN92" s="35">
        <v>42609700</v>
      </c>
      <c r="GO92" s="35"/>
      <c r="GP92" s="35">
        <v>31215000</v>
      </c>
      <c r="GQ92" s="35">
        <v>42.282600000000002</v>
      </c>
      <c r="GR92" s="35">
        <v>888010.85</v>
      </c>
      <c r="GS92" s="35"/>
      <c r="GT92" s="85">
        <v>42609700</v>
      </c>
      <c r="GU92" s="27"/>
      <c r="GV92" s="36">
        <v>42609700</v>
      </c>
      <c r="GW92" s="85">
        <v>42609700</v>
      </c>
      <c r="GX92" s="35"/>
      <c r="GY92" s="35"/>
      <c r="GZ92" s="35"/>
      <c r="HA92" s="35"/>
      <c r="HB92" s="35"/>
      <c r="HC92" s="35"/>
      <c r="HD92" s="36"/>
      <c r="HE92" s="35"/>
      <c r="HF92" s="35"/>
      <c r="HG92" s="35"/>
      <c r="HH92" s="35"/>
      <c r="HI92" s="35"/>
      <c r="HJ92" s="35"/>
      <c r="HK92" s="35"/>
      <c r="HL92" s="85"/>
      <c r="HM92" s="27"/>
      <c r="HN92" s="36"/>
      <c r="HO92" s="85"/>
      <c r="HP92" s="35"/>
      <c r="HQ92" s="35"/>
      <c r="HR92" s="35"/>
      <c r="HS92" s="35"/>
      <c r="HT92" s="35"/>
      <c r="HU92" s="35"/>
      <c r="HV92" s="36"/>
      <c r="HW92" s="35"/>
      <c r="HX92" s="35"/>
      <c r="HY92" s="35"/>
      <c r="HZ92" s="35"/>
      <c r="IA92" s="35"/>
      <c r="IB92" s="35"/>
      <c r="IC92" s="35"/>
      <c r="ID92" s="85"/>
      <c r="IE92" s="27"/>
      <c r="IF92" s="36"/>
      <c r="IG92" s="85"/>
      <c r="IH92" s="35"/>
      <c r="II92" s="35"/>
      <c r="IJ92" s="35"/>
      <c r="IK92" s="35"/>
      <c r="IL92" s="35"/>
      <c r="IM92" s="35"/>
      <c r="IN92" s="36"/>
      <c r="IO92" s="35"/>
      <c r="IP92" s="35"/>
      <c r="IQ92" s="35"/>
      <c r="IR92" s="35"/>
      <c r="IS92" s="35"/>
      <c r="IT92" s="35"/>
      <c r="IU92" s="35"/>
      <c r="IV92" s="85"/>
      <c r="IW92" s="27"/>
      <c r="IX92" s="36"/>
      <c r="IY92" s="85"/>
      <c r="IZ92" s="35"/>
      <c r="JA92" s="35"/>
      <c r="JB92" s="35"/>
      <c r="JC92" s="35"/>
      <c r="JD92" s="35"/>
      <c r="JE92" s="35"/>
      <c r="JF92" s="36"/>
      <c r="JG92" s="35"/>
      <c r="JH92" s="35"/>
      <c r="JI92" s="35"/>
      <c r="JJ92" s="35"/>
      <c r="JK92" s="35"/>
      <c r="JL92" s="35"/>
      <c r="JM92" s="35"/>
      <c r="JN92" s="85"/>
      <c r="JO92" s="27"/>
      <c r="JP92" s="36"/>
      <c r="JQ92" s="85"/>
      <c r="JR92" s="35"/>
      <c r="JS92" s="35"/>
      <c r="JT92" s="35"/>
      <c r="JU92" s="35"/>
      <c r="JV92" s="35"/>
      <c r="JW92" s="35"/>
      <c r="JX92" s="36"/>
      <c r="JY92" s="35"/>
      <c r="JZ92" s="35"/>
      <c r="KA92" s="35"/>
      <c r="KB92" s="35"/>
      <c r="KC92" s="35"/>
      <c r="KD92" s="35"/>
      <c r="KE92" s="35"/>
      <c r="KF92" s="85"/>
      <c r="KG92" s="27"/>
      <c r="KH92" s="36"/>
      <c r="KI92" s="85"/>
      <c r="KJ92" s="35"/>
      <c r="KK92" s="35"/>
      <c r="KL92" s="35"/>
      <c r="KM92" s="35"/>
      <c r="KN92" s="35"/>
      <c r="KO92" s="35"/>
      <c r="KP92" s="36"/>
      <c r="KQ92" s="35"/>
      <c r="KR92" s="35"/>
      <c r="KS92" s="35"/>
      <c r="KT92" s="35"/>
      <c r="KU92" s="35"/>
      <c r="KV92" s="35"/>
      <c r="KW92" s="35"/>
      <c r="KX92" s="85"/>
      <c r="KY92" s="27"/>
      <c r="KZ92" s="36"/>
      <c r="LA92" s="85"/>
      <c r="LB92" s="35"/>
      <c r="LC92" s="35"/>
      <c r="LD92" s="35"/>
      <c r="LE92" s="35"/>
      <c r="LF92" s="35"/>
      <c r="LG92" s="35"/>
      <c r="LH92" s="36"/>
      <c r="LI92" s="35"/>
      <c r="LJ92" s="35"/>
      <c r="LK92" s="35"/>
      <c r="LL92" s="35"/>
      <c r="LM92" s="35"/>
      <c r="LN92" s="35"/>
      <c r="LO92" s="35"/>
      <c r="LP92" s="85"/>
      <c r="LQ92" s="27"/>
      <c r="LR92" s="36"/>
      <c r="LS92" s="85"/>
      <c r="LT92" s="35"/>
      <c r="LU92" s="35">
        <v>2865000</v>
      </c>
      <c r="LV92" s="35">
        <v>1865000</v>
      </c>
      <c r="LW92" s="35">
        <v>1000000</v>
      </c>
      <c r="LX92" s="35">
        <v>1865000</v>
      </c>
      <c r="LY92" s="35"/>
      <c r="LZ92" s="36"/>
      <c r="MA92" s="35">
        <v>2865000</v>
      </c>
      <c r="MB92" s="35">
        <v>1865000</v>
      </c>
      <c r="MC92" s="35"/>
      <c r="MD92" s="35">
        <v>1000000</v>
      </c>
      <c r="ME92" s="35">
        <v>34.90401</v>
      </c>
      <c r="MF92" s="35"/>
      <c r="MG92" s="35"/>
      <c r="MH92" s="85">
        <v>1865000</v>
      </c>
      <c r="MI92" s="27"/>
      <c r="MJ92" s="36">
        <v>1865000</v>
      </c>
      <c r="MK92" s="85">
        <v>1865000</v>
      </c>
      <c r="ML92" s="35"/>
      <c r="MM92" s="35"/>
      <c r="MN92" s="35"/>
      <c r="MO92" s="35"/>
      <c r="MP92" s="35"/>
      <c r="MQ92" s="35"/>
      <c r="MR92" s="36"/>
      <c r="MS92" s="35"/>
      <c r="MT92" s="35"/>
      <c r="MU92" s="35"/>
      <c r="MV92" s="35"/>
      <c r="MW92" s="35"/>
      <c r="MX92" s="35"/>
      <c r="MY92" s="35"/>
      <c r="MZ92" s="85"/>
      <c r="NA92" s="27"/>
      <c r="NB92" s="36"/>
      <c r="NC92" s="85"/>
      <c r="ND92" s="35"/>
      <c r="NE92" s="35"/>
      <c r="NF92" s="35"/>
      <c r="NG92" s="35"/>
      <c r="NH92" s="35"/>
      <c r="NI92" s="35"/>
      <c r="NJ92" s="36"/>
      <c r="NK92" s="35"/>
      <c r="NL92" s="35"/>
      <c r="NM92" s="35"/>
      <c r="NN92" s="35"/>
      <c r="NO92" s="35"/>
      <c r="NP92" s="35"/>
      <c r="NQ92" s="35"/>
      <c r="NR92" s="85"/>
      <c r="NS92" s="27"/>
      <c r="NT92" s="36"/>
      <c r="NU92" s="85"/>
      <c r="NV92" s="35"/>
      <c r="NW92" s="35"/>
      <c r="NX92" s="35"/>
      <c r="NY92" s="35"/>
      <c r="NZ92" s="35"/>
      <c r="OA92" s="35"/>
      <c r="OB92" s="36"/>
      <c r="OC92" s="35"/>
      <c r="OD92" s="35"/>
      <c r="OE92" s="35"/>
      <c r="OF92" s="35"/>
      <c r="OG92" s="35"/>
      <c r="OH92" s="35"/>
      <c r="OI92" s="35"/>
      <c r="OJ92" s="85"/>
      <c r="OK92" s="27"/>
      <c r="OL92" s="36"/>
      <c r="OM92" s="85"/>
      <c r="ON92" s="35"/>
      <c r="OO92" s="35">
        <v>1807900</v>
      </c>
      <c r="OP92" s="35">
        <v>807900</v>
      </c>
      <c r="OQ92" s="35">
        <v>1000000</v>
      </c>
      <c r="OR92" s="35">
        <v>807900</v>
      </c>
      <c r="OS92" s="35"/>
      <c r="OT92" s="36"/>
      <c r="OU92" s="35">
        <v>1807900</v>
      </c>
      <c r="OV92" s="35">
        <v>807900</v>
      </c>
      <c r="OW92" s="35"/>
      <c r="OX92" s="35">
        <v>1000000</v>
      </c>
      <c r="OY92" s="35">
        <v>55.31279</v>
      </c>
      <c r="OZ92" s="35"/>
      <c r="PA92" s="35"/>
      <c r="PB92" s="85">
        <v>807900</v>
      </c>
      <c r="PC92" s="27"/>
      <c r="PD92" s="36">
        <v>807900</v>
      </c>
      <c r="PE92" s="85">
        <v>807900</v>
      </c>
      <c r="PF92" s="35"/>
      <c r="PG92" s="35"/>
      <c r="PH92" s="35"/>
      <c r="PI92" s="35"/>
      <c r="PJ92" s="35"/>
      <c r="PK92" s="35"/>
      <c r="PL92" s="36"/>
      <c r="PM92" s="35"/>
      <c r="PN92" s="35"/>
      <c r="PO92" s="35"/>
      <c r="PP92" s="35"/>
      <c r="PQ92" s="35"/>
      <c r="PR92" s="35"/>
      <c r="PS92" s="35"/>
      <c r="PT92" s="85"/>
      <c r="PU92" s="27"/>
      <c r="PV92" s="36"/>
      <c r="PW92" s="85"/>
      <c r="PX92" s="35"/>
      <c r="PY92" s="35"/>
      <c r="PZ92" s="35"/>
      <c r="QA92" s="35"/>
      <c r="QB92" s="35"/>
      <c r="QC92" s="35">
        <v>12056014.01</v>
      </c>
      <c r="QD92" s="36"/>
      <c r="QE92" s="35"/>
      <c r="QF92" s="35"/>
      <c r="QG92" s="35"/>
      <c r="QH92" s="35"/>
      <c r="QI92" s="35"/>
      <c r="QJ92" s="35">
        <v>12056014.01</v>
      </c>
      <c r="QK92" s="35"/>
      <c r="QL92" s="85"/>
      <c r="QM92" s="27"/>
      <c r="QN92" s="36"/>
      <c r="QO92" s="85"/>
    </row>
    <row r="93" spans="1:457" x14ac:dyDescent="0.25">
      <c r="A93" s="8" t="s">
        <v>211</v>
      </c>
      <c r="B93" s="174">
        <v>79</v>
      </c>
      <c r="C93" s="13" t="s">
        <v>213</v>
      </c>
      <c r="F93" s="36">
        <v>1463317800</v>
      </c>
      <c r="G93" s="85"/>
      <c r="H93" s="35"/>
      <c r="I93" s="35">
        <v>362485900</v>
      </c>
      <c r="J93" s="35">
        <v>322485900</v>
      </c>
      <c r="K93" s="35">
        <v>40000000</v>
      </c>
      <c r="L93" s="35">
        <v>322468095.76999998</v>
      </c>
      <c r="M93" s="35"/>
      <c r="N93" s="36"/>
      <c r="O93" s="35">
        <v>362448083.17000002</v>
      </c>
      <c r="P93" s="35">
        <v>322468095.76999998</v>
      </c>
      <c r="Q93" s="35"/>
      <c r="R93" s="35">
        <v>39979987.399999999</v>
      </c>
      <c r="S93" s="35">
        <v>11.03054</v>
      </c>
      <c r="T93" s="35"/>
      <c r="U93" s="35"/>
      <c r="V93" s="85">
        <v>322468095.76999998</v>
      </c>
      <c r="W93" s="27"/>
      <c r="X93" s="36">
        <v>322485900</v>
      </c>
      <c r="Y93" s="85">
        <v>322485900</v>
      </c>
      <c r="Z93" s="35"/>
      <c r="AA93" s="35"/>
      <c r="AB93" s="35"/>
      <c r="AC93" s="35"/>
      <c r="AD93" s="35"/>
      <c r="AE93" s="35"/>
      <c r="AF93" s="36"/>
      <c r="AG93" s="35"/>
      <c r="AH93" s="35"/>
      <c r="AI93" s="35"/>
      <c r="AJ93" s="35"/>
      <c r="AK93" s="35"/>
      <c r="AL93" s="35"/>
      <c r="AM93" s="35"/>
      <c r="AN93" s="85"/>
      <c r="AO93" s="27"/>
      <c r="AP93" s="36"/>
      <c r="AQ93" s="85"/>
      <c r="AR93" s="35"/>
      <c r="AS93" s="35">
        <v>180176000</v>
      </c>
      <c r="AT93" s="35">
        <v>171167200</v>
      </c>
      <c r="AU93" s="35">
        <v>9008800</v>
      </c>
      <c r="AV93" s="35">
        <v>171165899.30000001</v>
      </c>
      <c r="AW93" s="35"/>
      <c r="AX93" s="36"/>
      <c r="AY93" s="35">
        <v>180174699.30000001</v>
      </c>
      <c r="AZ93" s="35">
        <v>171165899.30000001</v>
      </c>
      <c r="BA93" s="35"/>
      <c r="BB93" s="35">
        <v>9008800</v>
      </c>
      <c r="BC93" s="35">
        <v>5.0000400000000003</v>
      </c>
      <c r="BD93" s="35"/>
      <c r="BE93" s="35"/>
      <c r="BF93" s="85">
        <v>171165899.30000001</v>
      </c>
      <c r="BG93" s="27"/>
      <c r="BH93" s="36">
        <v>171167200</v>
      </c>
      <c r="BI93" s="85">
        <v>171167200</v>
      </c>
      <c r="BJ93" s="35"/>
      <c r="BK93" s="35"/>
      <c r="BL93" s="35"/>
      <c r="BM93" s="35"/>
      <c r="BN93" s="35"/>
      <c r="BO93" s="35"/>
      <c r="BP93" s="36"/>
      <c r="BQ93" s="35"/>
      <c r="BR93" s="35"/>
      <c r="BS93" s="35"/>
      <c r="BT93" s="35"/>
      <c r="BU93" s="35"/>
      <c r="BV93" s="35"/>
      <c r="BW93" s="35"/>
      <c r="BX93" s="85"/>
      <c r="BY93" s="27"/>
      <c r="BZ93" s="36"/>
      <c r="CA93" s="85"/>
      <c r="CB93" s="35"/>
      <c r="CC93" s="35">
        <v>310570526.31999999</v>
      </c>
      <c r="CD93" s="35">
        <v>295042000</v>
      </c>
      <c r="CE93" s="35">
        <v>15528526.32</v>
      </c>
      <c r="CF93" s="35">
        <v>295042000</v>
      </c>
      <c r="CG93" s="35">
        <v>1389974.29</v>
      </c>
      <c r="CH93" s="36"/>
      <c r="CI93" s="35">
        <v>310570526.30000001</v>
      </c>
      <c r="CJ93" s="35">
        <v>295042000</v>
      </c>
      <c r="CK93" s="35"/>
      <c r="CL93" s="35">
        <v>15528526.300000001</v>
      </c>
      <c r="CM93" s="35">
        <v>5</v>
      </c>
      <c r="CN93" s="35">
        <v>1389974.29</v>
      </c>
      <c r="CO93" s="35"/>
      <c r="CP93" s="85">
        <v>295042000</v>
      </c>
      <c r="CQ93" s="27"/>
      <c r="CR93" s="36">
        <v>295042000</v>
      </c>
      <c r="CS93" s="85">
        <v>295042000</v>
      </c>
      <c r="CT93" s="35"/>
      <c r="CU93" s="35">
        <v>504169473.68000001</v>
      </c>
      <c r="CV93" s="35">
        <v>478961000</v>
      </c>
      <c r="CW93" s="35">
        <v>25208473.68</v>
      </c>
      <c r="CX93" s="35">
        <v>478960236.81</v>
      </c>
      <c r="CY93" s="35">
        <v>80805.91</v>
      </c>
      <c r="CZ93" s="36"/>
      <c r="DA93" s="35">
        <v>503901065.68000001</v>
      </c>
      <c r="DB93" s="35">
        <v>478706012.24000001</v>
      </c>
      <c r="DC93" s="35"/>
      <c r="DD93" s="35">
        <v>25195053.440000001</v>
      </c>
      <c r="DE93" s="35">
        <v>5</v>
      </c>
      <c r="DF93" s="35">
        <v>80805.91</v>
      </c>
      <c r="DG93" s="35">
        <v>254224.57</v>
      </c>
      <c r="DH93" s="85">
        <v>478706012.24000001</v>
      </c>
      <c r="DI93" s="27"/>
      <c r="DJ93" s="36">
        <v>478961000</v>
      </c>
      <c r="DK93" s="85">
        <v>478961000</v>
      </c>
      <c r="DL93" s="35"/>
      <c r="DM93" s="35"/>
      <c r="DN93" s="35"/>
      <c r="DO93" s="35"/>
      <c r="DP93" s="35"/>
      <c r="DQ93" s="35"/>
      <c r="DR93" s="36"/>
      <c r="DS93" s="35"/>
      <c r="DT93" s="35"/>
      <c r="DU93" s="35"/>
      <c r="DV93" s="35"/>
      <c r="DW93" s="35"/>
      <c r="DX93" s="35"/>
      <c r="DY93" s="35"/>
      <c r="DZ93" s="85"/>
      <c r="EA93" s="27"/>
      <c r="EB93" s="36"/>
      <c r="EC93" s="85"/>
      <c r="ED93" s="35"/>
      <c r="EE93" s="35">
        <v>12573789.470000001</v>
      </c>
      <c r="EF93" s="35">
        <v>11945100</v>
      </c>
      <c r="EG93" s="35">
        <v>628689.47</v>
      </c>
      <c r="EH93" s="35">
        <v>11945100</v>
      </c>
      <c r="EI93" s="35"/>
      <c r="EJ93" s="36"/>
      <c r="EK93" s="35">
        <v>12573789.470000001</v>
      </c>
      <c r="EL93" s="35">
        <v>11945100</v>
      </c>
      <c r="EM93" s="35">
        <v>0</v>
      </c>
      <c r="EN93" s="35">
        <v>628689.47</v>
      </c>
      <c r="EO93" s="35">
        <v>5</v>
      </c>
      <c r="EP93" s="35"/>
      <c r="EQ93" s="35"/>
      <c r="ER93" s="85">
        <v>11945100</v>
      </c>
      <c r="ES93" s="27"/>
      <c r="ET93" s="36">
        <v>11945100</v>
      </c>
      <c r="EU93" s="85">
        <v>11945100</v>
      </c>
      <c r="EV93" s="35"/>
      <c r="EW93" s="35"/>
      <c r="EX93" s="35"/>
      <c r="EY93" s="35"/>
      <c r="EZ93" s="35"/>
      <c r="FA93" s="35"/>
      <c r="FB93" s="36"/>
      <c r="FC93" s="35"/>
      <c r="FD93" s="35"/>
      <c r="FE93" s="35"/>
      <c r="FF93" s="35"/>
      <c r="FG93" s="35"/>
      <c r="FH93" s="35"/>
      <c r="FI93" s="35"/>
      <c r="FJ93" s="85"/>
      <c r="FK93" s="27"/>
      <c r="FL93" s="36"/>
      <c r="FM93" s="85"/>
      <c r="FN93" s="35"/>
      <c r="FO93" s="35">
        <v>49679700</v>
      </c>
      <c r="FP93" s="35">
        <v>21679700</v>
      </c>
      <c r="FQ93" s="35">
        <v>28000000</v>
      </c>
      <c r="FR93" s="35">
        <v>21679178.93</v>
      </c>
      <c r="FS93" s="35"/>
      <c r="FT93" s="36"/>
      <c r="FU93" s="35">
        <v>49677984.890000001</v>
      </c>
      <c r="FV93" s="35">
        <v>21679178.93</v>
      </c>
      <c r="FW93" s="35"/>
      <c r="FX93" s="35">
        <v>27998805.960000001</v>
      </c>
      <c r="FY93" s="35">
        <v>56.360590000000002</v>
      </c>
      <c r="FZ93" s="35"/>
      <c r="GA93" s="35"/>
      <c r="GB93" s="85">
        <v>21679178.93</v>
      </c>
      <c r="GC93" s="27"/>
      <c r="GD93" s="36">
        <v>21679700</v>
      </c>
      <c r="GE93" s="85">
        <v>21679700</v>
      </c>
      <c r="GF93" s="35"/>
      <c r="GG93" s="35">
        <v>318349500</v>
      </c>
      <c r="GH93" s="35">
        <v>139749900</v>
      </c>
      <c r="GI93" s="35">
        <v>178599600</v>
      </c>
      <c r="GJ93" s="35">
        <v>139436550.77000001</v>
      </c>
      <c r="GK93" s="35">
        <v>3104879.97</v>
      </c>
      <c r="GL93" s="36"/>
      <c r="GM93" s="35">
        <v>317635690.48000002</v>
      </c>
      <c r="GN93" s="35">
        <v>139436550.77000001</v>
      </c>
      <c r="GO93" s="35"/>
      <c r="GP93" s="35">
        <v>178199139.71000001</v>
      </c>
      <c r="GQ93" s="35">
        <v>56.101739999999999</v>
      </c>
      <c r="GR93" s="35">
        <v>3082736.75</v>
      </c>
      <c r="GS93" s="35">
        <v>22143.22</v>
      </c>
      <c r="GT93" s="85">
        <v>139436550.77000001</v>
      </c>
      <c r="GU93" s="27"/>
      <c r="GV93" s="36">
        <v>139749900</v>
      </c>
      <c r="GW93" s="85">
        <v>139749900</v>
      </c>
      <c r="GX93" s="35"/>
      <c r="GY93" s="35"/>
      <c r="GZ93" s="35"/>
      <c r="HA93" s="35"/>
      <c r="HB93" s="35"/>
      <c r="HC93" s="35"/>
      <c r="HD93" s="36"/>
      <c r="HE93" s="35"/>
      <c r="HF93" s="35"/>
      <c r="HG93" s="35"/>
      <c r="HH93" s="35"/>
      <c r="HI93" s="35"/>
      <c r="HJ93" s="35"/>
      <c r="HK93" s="35"/>
      <c r="HL93" s="85"/>
      <c r="HM93" s="27"/>
      <c r="HN93" s="36"/>
      <c r="HO93" s="85"/>
      <c r="HP93" s="35"/>
      <c r="HQ93" s="35"/>
      <c r="HR93" s="35"/>
      <c r="HS93" s="35"/>
      <c r="HT93" s="35"/>
      <c r="HU93" s="35"/>
      <c r="HV93" s="36"/>
      <c r="HW93" s="35"/>
      <c r="HX93" s="35"/>
      <c r="HY93" s="35"/>
      <c r="HZ93" s="35"/>
      <c r="IA93" s="35"/>
      <c r="IB93" s="35"/>
      <c r="IC93" s="35"/>
      <c r="ID93" s="85"/>
      <c r="IE93" s="27"/>
      <c r="IF93" s="36"/>
      <c r="IG93" s="85"/>
      <c r="IH93" s="35"/>
      <c r="II93" s="35"/>
      <c r="IJ93" s="35"/>
      <c r="IK93" s="35"/>
      <c r="IL93" s="35"/>
      <c r="IM93" s="35"/>
      <c r="IN93" s="36"/>
      <c r="IO93" s="35"/>
      <c r="IP93" s="35"/>
      <c r="IQ93" s="35"/>
      <c r="IR93" s="35"/>
      <c r="IS93" s="35"/>
      <c r="IT93" s="35"/>
      <c r="IU93" s="35"/>
      <c r="IV93" s="85"/>
      <c r="IW93" s="27"/>
      <c r="IX93" s="36"/>
      <c r="IY93" s="85"/>
      <c r="IZ93" s="35"/>
      <c r="JA93" s="35">
        <v>186534700</v>
      </c>
      <c r="JB93" s="35">
        <v>22287000</v>
      </c>
      <c r="JC93" s="35">
        <v>164247700</v>
      </c>
      <c r="JD93" s="35">
        <v>4197689.83</v>
      </c>
      <c r="JE93" s="35">
        <v>0</v>
      </c>
      <c r="JF93" s="36"/>
      <c r="JG93" s="35">
        <v>35133252.740000002</v>
      </c>
      <c r="JH93" s="35">
        <v>4197689.83</v>
      </c>
      <c r="JI93" s="35"/>
      <c r="JJ93" s="35">
        <v>30935562.91</v>
      </c>
      <c r="JK93" s="35">
        <v>88.052090000000007</v>
      </c>
      <c r="JL93" s="35">
        <v>0</v>
      </c>
      <c r="JM93" s="35">
        <v>0</v>
      </c>
      <c r="JN93" s="85">
        <v>4197689.83</v>
      </c>
      <c r="JO93" s="27"/>
      <c r="JP93" s="36">
        <v>22287000</v>
      </c>
      <c r="JQ93" s="85">
        <v>22287000</v>
      </c>
      <c r="JR93" s="35"/>
      <c r="JS93" s="35"/>
      <c r="JT93" s="35"/>
      <c r="JU93" s="35"/>
      <c r="JV93" s="35"/>
      <c r="JW93" s="35"/>
      <c r="JX93" s="36"/>
      <c r="JY93" s="35"/>
      <c r="JZ93" s="35"/>
      <c r="KA93" s="35"/>
      <c r="KB93" s="35"/>
      <c r="KC93" s="35"/>
      <c r="KD93" s="35"/>
      <c r="KE93" s="35"/>
      <c r="KF93" s="85"/>
      <c r="KG93" s="27"/>
      <c r="KH93" s="36"/>
      <c r="KI93" s="85"/>
      <c r="KJ93" s="35"/>
      <c r="KK93" s="35"/>
      <c r="KL93" s="35"/>
      <c r="KM93" s="35"/>
      <c r="KN93" s="35"/>
      <c r="KO93" s="35"/>
      <c r="KP93" s="36"/>
      <c r="KQ93" s="35"/>
      <c r="KR93" s="35"/>
      <c r="KS93" s="35"/>
      <c r="KT93" s="35"/>
      <c r="KU93" s="35"/>
      <c r="KV93" s="35"/>
      <c r="KW93" s="35"/>
      <c r="KX93" s="85"/>
      <c r="KY93" s="27"/>
      <c r="KZ93" s="36"/>
      <c r="LA93" s="85"/>
      <c r="LB93" s="35"/>
      <c r="LC93" s="35"/>
      <c r="LD93" s="35"/>
      <c r="LE93" s="35"/>
      <c r="LF93" s="35"/>
      <c r="LG93" s="35"/>
      <c r="LH93" s="36"/>
      <c r="LI93" s="35"/>
      <c r="LJ93" s="35"/>
      <c r="LK93" s="35"/>
      <c r="LL93" s="35"/>
      <c r="LM93" s="35"/>
      <c r="LN93" s="35"/>
      <c r="LO93" s="35"/>
      <c r="LP93" s="85"/>
      <c r="LQ93" s="27"/>
      <c r="LR93" s="36"/>
      <c r="LS93" s="85"/>
      <c r="LT93" s="35"/>
      <c r="LU93" s="35"/>
      <c r="LV93" s="35"/>
      <c r="LW93" s="35"/>
      <c r="LX93" s="35"/>
      <c r="LY93" s="35"/>
      <c r="LZ93" s="36"/>
      <c r="MA93" s="35"/>
      <c r="MB93" s="35"/>
      <c r="MC93" s="35"/>
      <c r="MD93" s="35"/>
      <c r="ME93" s="35"/>
      <c r="MF93" s="35"/>
      <c r="MG93" s="35"/>
      <c r="MH93" s="85"/>
      <c r="MI93" s="27"/>
      <c r="MJ93" s="36"/>
      <c r="MK93" s="85"/>
      <c r="ML93" s="35"/>
      <c r="MM93" s="35"/>
      <c r="MN93" s="35"/>
      <c r="MO93" s="35"/>
      <c r="MP93" s="35"/>
      <c r="MQ93" s="35"/>
      <c r="MR93" s="36"/>
      <c r="MS93" s="35"/>
      <c r="MT93" s="35"/>
      <c r="MU93" s="35"/>
      <c r="MV93" s="35"/>
      <c r="MW93" s="35"/>
      <c r="MX93" s="35"/>
      <c r="MY93" s="35"/>
      <c r="MZ93" s="85"/>
      <c r="NA93" s="27"/>
      <c r="NB93" s="36"/>
      <c r="NC93" s="85"/>
      <c r="ND93" s="35"/>
      <c r="NE93" s="35"/>
      <c r="NF93" s="35"/>
      <c r="NG93" s="35"/>
      <c r="NH93" s="35"/>
      <c r="NI93" s="35"/>
      <c r="NJ93" s="36"/>
      <c r="NK93" s="35"/>
      <c r="NL93" s="35"/>
      <c r="NM93" s="35"/>
      <c r="NN93" s="35"/>
      <c r="NO93" s="35"/>
      <c r="NP93" s="35"/>
      <c r="NQ93" s="35"/>
      <c r="NR93" s="85"/>
      <c r="NS93" s="27"/>
      <c r="NT93" s="36"/>
      <c r="NU93" s="85"/>
      <c r="NV93" s="35"/>
      <c r="NW93" s="35"/>
      <c r="NX93" s="35"/>
      <c r="NY93" s="35"/>
      <c r="NZ93" s="35"/>
      <c r="OA93" s="35"/>
      <c r="OB93" s="36"/>
      <c r="OC93" s="35"/>
      <c r="OD93" s="35"/>
      <c r="OE93" s="35"/>
      <c r="OF93" s="35"/>
      <c r="OG93" s="35"/>
      <c r="OH93" s="35"/>
      <c r="OI93" s="35"/>
      <c r="OJ93" s="85"/>
      <c r="OK93" s="27"/>
      <c r="OL93" s="36"/>
      <c r="OM93" s="85"/>
      <c r="ON93" s="35"/>
      <c r="OO93" s="35"/>
      <c r="OP93" s="35"/>
      <c r="OQ93" s="35"/>
      <c r="OR93" s="35"/>
      <c r="OS93" s="35"/>
      <c r="OT93" s="36"/>
      <c r="OU93" s="35"/>
      <c r="OV93" s="35"/>
      <c r="OW93" s="35"/>
      <c r="OX93" s="35"/>
      <c r="OY93" s="35"/>
      <c r="OZ93" s="35"/>
      <c r="PA93" s="35"/>
      <c r="PB93" s="85"/>
      <c r="PC93" s="27"/>
      <c r="PD93" s="36"/>
      <c r="PE93" s="85"/>
      <c r="PF93" s="35"/>
      <c r="PG93" s="35"/>
      <c r="PH93" s="35"/>
      <c r="PI93" s="35"/>
      <c r="PJ93" s="35"/>
      <c r="PK93" s="35"/>
      <c r="PL93" s="36"/>
      <c r="PM93" s="35"/>
      <c r="PN93" s="35"/>
      <c r="PO93" s="35"/>
      <c r="PP93" s="35"/>
      <c r="PQ93" s="35"/>
      <c r="PR93" s="35"/>
      <c r="PS93" s="35"/>
      <c r="PT93" s="85"/>
      <c r="PU93" s="27"/>
      <c r="PV93" s="36"/>
      <c r="PW93" s="85"/>
      <c r="PX93" s="35"/>
      <c r="PY93" s="35"/>
      <c r="PZ93" s="35"/>
      <c r="QA93" s="35"/>
      <c r="QB93" s="35"/>
      <c r="QC93" s="35">
        <v>10040691.34</v>
      </c>
      <c r="QD93" s="36"/>
      <c r="QE93" s="35"/>
      <c r="QF93" s="35"/>
      <c r="QG93" s="35"/>
      <c r="QH93" s="35"/>
      <c r="QI93" s="35"/>
      <c r="QJ93" s="35">
        <v>9430611.5999999996</v>
      </c>
      <c r="QK93" s="35">
        <v>610079.74</v>
      </c>
      <c r="QL93" s="85"/>
      <c r="QM93" s="27"/>
      <c r="QN93" s="36"/>
      <c r="QO93" s="85"/>
    </row>
    <row r="94" spans="1:457" x14ac:dyDescent="0.25">
      <c r="A94" s="8" t="s">
        <v>214</v>
      </c>
      <c r="B94" s="174">
        <v>80</v>
      </c>
      <c r="C94" s="13" t="s">
        <v>216</v>
      </c>
      <c r="F94" s="36">
        <v>1048077300</v>
      </c>
      <c r="G94" s="85"/>
      <c r="H94" s="35"/>
      <c r="I94" s="35">
        <v>128367500</v>
      </c>
      <c r="J94" s="35">
        <v>108367500</v>
      </c>
      <c r="K94" s="35">
        <v>20000000</v>
      </c>
      <c r="L94" s="35">
        <v>108367500</v>
      </c>
      <c r="M94" s="35"/>
      <c r="N94" s="36"/>
      <c r="O94" s="35">
        <v>128367500</v>
      </c>
      <c r="P94" s="35">
        <v>108367500</v>
      </c>
      <c r="Q94" s="35"/>
      <c r="R94" s="35">
        <v>20000000</v>
      </c>
      <c r="S94" s="35">
        <v>15.580270000000001</v>
      </c>
      <c r="T94" s="35"/>
      <c r="U94" s="35"/>
      <c r="V94" s="85">
        <v>108367500</v>
      </c>
      <c r="W94" s="27"/>
      <c r="X94" s="36">
        <v>108367500</v>
      </c>
      <c r="Y94" s="85">
        <v>108367500</v>
      </c>
      <c r="Z94" s="35"/>
      <c r="AA94" s="35"/>
      <c r="AB94" s="35"/>
      <c r="AC94" s="35"/>
      <c r="AD94" s="35"/>
      <c r="AE94" s="35"/>
      <c r="AF94" s="36"/>
      <c r="AG94" s="35"/>
      <c r="AH94" s="35"/>
      <c r="AI94" s="35"/>
      <c r="AJ94" s="35"/>
      <c r="AK94" s="35"/>
      <c r="AL94" s="35"/>
      <c r="AM94" s="35"/>
      <c r="AN94" s="85"/>
      <c r="AO94" s="27"/>
      <c r="AP94" s="36"/>
      <c r="AQ94" s="85"/>
      <c r="AR94" s="35"/>
      <c r="AS94" s="35">
        <v>118957200</v>
      </c>
      <c r="AT94" s="35">
        <v>62691300</v>
      </c>
      <c r="AU94" s="35">
        <v>56265900</v>
      </c>
      <c r="AV94" s="35">
        <v>62691300</v>
      </c>
      <c r="AW94" s="35"/>
      <c r="AX94" s="36"/>
      <c r="AY94" s="35">
        <v>118957200</v>
      </c>
      <c r="AZ94" s="35">
        <v>62691300</v>
      </c>
      <c r="BA94" s="35"/>
      <c r="BB94" s="35">
        <v>56265900</v>
      </c>
      <c r="BC94" s="35">
        <v>47.299280000000003</v>
      </c>
      <c r="BD94" s="35"/>
      <c r="BE94" s="35"/>
      <c r="BF94" s="85">
        <v>62691300</v>
      </c>
      <c r="BG94" s="27"/>
      <c r="BH94" s="36">
        <v>62691300</v>
      </c>
      <c r="BI94" s="85">
        <v>62691300</v>
      </c>
      <c r="BJ94" s="35"/>
      <c r="BK94" s="35"/>
      <c r="BL94" s="35"/>
      <c r="BM94" s="35"/>
      <c r="BN94" s="35"/>
      <c r="BO94" s="35"/>
      <c r="BP94" s="36"/>
      <c r="BQ94" s="35"/>
      <c r="BR94" s="35"/>
      <c r="BS94" s="35"/>
      <c r="BT94" s="35"/>
      <c r="BU94" s="35"/>
      <c r="BV94" s="35"/>
      <c r="BW94" s="35"/>
      <c r="BX94" s="85"/>
      <c r="BY94" s="27"/>
      <c r="BZ94" s="36"/>
      <c r="CA94" s="85"/>
      <c r="CB94" s="35"/>
      <c r="CC94" s="35">
        <v>265277800</v>
      </c>
      <c r="CD94" s="35">
        <v>133077800</v>
      </c>
      <c r="CE94" s="35">
        <v>132200000</v>
      </c>
      <c r="CF94" s="35">
        <v>133077800</v>
      </c>
      <c r="CG94" s="35"/>
      <c r="CH94" s="36"/>
      <c r="CI94" s="35">
        <v>265277800</v>
      </c>
      <c r="CJ94" s="35">
        <v>133077800</v>
      </c>
      <c r="CK94" s="35"/>
      <c r="CL94" s="35">
        <v>132200000</v>
      </c>
      <c r="CM94" s="35">
        <v>49.83455</v>
      </c>
      <c r="CN94" s="35"/>
      <c r="CO94" s="35"/>
      <c r="CP94" s="85">
        <v>133077800</v>
      </c>
      <c r="CQ94" s="27"/>
      <c r="CR94" s="36">
        <v>133077800</v>
      </c>
      <c r="CS94" s="85">
        <v>133077800</v>
      </c>
      <c r="CT94" s="35"/>
      <c r="CU94" s="35">
        <v>493951264</v>
      </c>
      <c r="CV94" s="35">
        <v>469253700</v>
      </c>
      <c r="CW94" s="35">
        <v>24697564</v>
      </c>
      <c r="CX94" s="35">
        <v>469253700</v>
      </c>
      <c r="CY94" s="35"/>
      <c r="CZ94" s="36"/>
      <c r="DA94" s="35">
        <v>493951264</v>
      </c>
      <c r="DB94" s="35">
        <v>469253700</v>
      </c>
      <c r="DC94" s="35"/>
      <c r="DD94" s="35">
        <v>24697564</v>
      </c>
      <c r="DE94" s="35">
        <v>5</v>
      </c>
      <c r="DF94" s="35"/>
      <c r="DG94" s="35"/>
      <c r="DH94" s="85">
        <v>469253700</v>
      </c>
      <c r="DI94" s="27"/>
      <c r="DJ94" s="36">
        <v>469253700</v>
      </c>
      <c r="DK94" s="85">
        <v>469253700</v>
      </c>
      <c r="DL94" s="35"/>
      <c r="DM94" s="35"/>
      <c r="DN94" s="35"/>
      <c r="DO94" s="35"/>
      <c r="DP94" s="35"/>
      <c r="DQ94" s="35"/>
      <c r="DR94" s="36"/>
      <c r="DS94" s="35"/>
      <c r="DT94" s="35"/>
      <c r="DU94" s="35"/>
      <c r="DV94" s="35"/>
      <c r="DW94" s="35"/>
      <c r="DX94" s="35"/>
      <c r="DY94" s="35"/>
      <c r="DZ94" s="85"/>
      <c r="EA94" s="27"/>
      <c r="EB94" s="36"/>
      <c r="EC94" s="85"/>
      <c r="ED94" s="35"/>
      <c r="EE94" s="35"/>
      <c r="EF94" s="35"/>
      <c r="EG94" s="35"/>
      <c r="EH94" s="35"/>
      <c r="EI94" s="35"/>
      <c r="EJ94" s="36"/>
      <c r="EK94" s="35"/>
      <c r="EL94" s="35"/>
      <c r="EM94" s="35"/>
      <c r="EN94" s="35"/>
      <c r="EO94" s="35"/>
      <c r="EP94" s="35"/>
      <c r="EQ94" s="35"/>
      <c r="ER94" s="85"/>
      <c r="ES94" s="27"/>
      <c r="ET94" s="36"/>
      <c r="EU94" s="85"/>
      <c r="EV94" s="35"/>
      <c r="EW94" s="35"/>
      <c r="EX94" s="35"/>
      <c r="EY94" s="35"/>
      <c r="EZ94" s="35"/>
      <c r="FA94" s="35"/>
      <c r="FB94" s="36"/>
      <c r="FC94" s="35"/>
      <c r="FD94" s="35"/>
      <c r="FE94" s="35"/>
      <c r="FF94" s="35"/>
      <c r="FG94" s="35"/>
      <c r="FH94" s="35"/>
      <c r="FI94" s="35"/>
      <c r="FJ94" s="85"/>
      <c r="FK94" s="27"/>
      <c r="FL94" s="36"/>
      <c r="FM94" s="85"/>
      <c r="FN94" s="35"/>
      <c r="FO94" s="35"/>
      <c r="FP94" s="35"/>
      <c r="FQ94" s="35"/>
      <c r="FR94" s="35"/>
      <c r="FS94" s="35"/>
      <c r="FT94" s="36"/>
      <c r="FU94" s="35"/>
      <c r="FV94" s="35"/>
      <c r="FW94" s="35"/>
      <c r="FX94" s="35"/>
      <c r="FY94" s="35"/>
      <c r="FZ94" s="35"/>
      <c r="GA94" s="35"/>
      <c r="GB94" s="85"/>
      <c r="GC94" s="27"/>
      <c r="GD94" s="36"/>
      <c r="GE94" s="85"/>
      <c r="GF94" s="35"/>
      <c r="GG94" s="35">
        <v>255683500</v>
      </c>
      <c r="GH94" s="35">
        <v>132050800</v>
      </c>
      <c r="GI94" s="35">
        <v>123632700</v>
      </c>
      <c r="GJ94" s="35">
        <v>132046667.31</v>
      </c>
      <c r="GK94" s="35">
        <v>26421.18</v>
      </c>
      <c r="GL94" s="36"/>
      <c r="GM94" s="35">
        <v>255675500</v>
      </c>
      <c r="GN94" s="35">
        <v>132046667.31</v>
      </c>
      <c r="GO94" s="35"/>
      <c r="GP94" s="35">
        <v>123628832.69</v>
      </c>
      <c r="GQ94" s="35">
        <v>48.3538</v>
      </c>
      <c r="GR94" s="35">
        <v>26421.18</v>
      </c>
      <c r="GS94" s="35"/>
      <c r="GT94" s="85">
        <v>132046667.31</v>
      </c>
      <c r="GU94" s="27"/>
      <c r="GV94" s="36">
        <v>132050800</v>
      </c>
      <c r="GW94" s="85">
        <v>132050800</v>
      </c>
      <c r="GX94" s="35"/>
      <c r="GY94" s="35"/>
      <c r="GZ94" s="35"/>
      <c r="HA94" s="35"/>
      <c r="HB94" s="35"/>
      <c r="HC94" s="35">
        <v>146492.4</v>
      </c>
      <c r="HD94" s="36"/>
      <c r="HE94" s="35"/>
      <c r="HF94" s="35"/>
      <c r="HG94" s="35"/>
      <c r="HH94" s="35"/>
      <c r="HI94" s="35"/>
      <c r="HJ94" s="35">
        <v>146492.4</v>
      </c>
      <c r="HK94" s="35"/>
      <c r="HL94" s="85"/>
      <c r="HM94" s="27"/>
      <c r="HN94" s="36"/>
      <c r="HO94" s="85"/>
      <c r="HP94" s="35"/>
      <c r="HQ94" s="35">
        <v>116258100</v>
      </c>
      <c r="HR94" s="35">
        <v>64710000</v>
      </c>
      <c r="HS94" s="35">
        <v>51548100</v>
      </c>
      <c r="HT94" s="35">
        <v>64678839.939999998</v>
      </c>
      <c r="HU94" s="35"/>
      <c r="HV94" s="36"/>
      <c r="HW94" s="35">
        <v>116201777.52</v>
      </c>
      <c r="HX94" s="35">
        <v>64678816.509999998</v>
      </c>
      <c r="HY94" s="35"/>
      <c r="HZ94" s="35">
        <v>51522961.009999998</v>
      </c>
      <c r="IA94" s="35">
        <v>44.339219999999997</v>
      </c>
      <c r="IB94" s="35"/>
      <c r="IC94" s="35">
        <v>23.43</v>
      </c>
      <c r="ID94" s="85">
        <v>64678816.509999998</v>
      </c>
      <c r="IE94" s="27"/>
      <c r="IF94" s="36">
        <v>64710000</v>
      </c>
      <c r="IG94" s="85">
        <v>64710000</v>
      </c>
      <c r="IH94" s="35"/>
      <c r="II94" s="35"/>
      <c r="IJ94" s="35"/>
      <c r="IK94" s="35"/>
      <c r="IL94" s="35"/>
      <c r="IM94" s="35"/>
      <c r="IN94" s="36"/>
      <c r="IO94" s="35"/>
      <c r="IP94" s="35"/>
      <c r="IQ94" s="35"/>
      <c r="IR94" s="35"/>
      <c r="IS94" s="35"/>
      <c r="IT94" s="35"/>
      <c r="IU94" s="35"/>
      <c r="IV94" s="85"/>
      <c r="IW94" s="27"/>
      <c r="IX94" s="36"/>
      <c r="IY94" s="85"/>
      <c r="IZ94" s="35"/>
      <c r="JA94" s="35">
        <v>153320100</v>
      </c>
      <c r="JB94" s="35">
        <v>56712500</v>
      </c>
      <c r="JC94" s="35">
        <v>96607600</v>
      </c>
      <c r="JD94" s="35">
        <v>56712468.890000001</v>
      </c>
      <c r="JE94" s="35"/>
      <c r="JF94" s="36"/>
      <c r="JG94" s="35">
        <v>153320068.88999999</v>
      </c>
      <c r="JH94" s="35">
        <v>56712468.890000001</v>
      </c>
      <c r="JI94" s="35"/>
      <c r="JJ94" s="35">
        <v>96607600</v>
      </c>
      <c r="JK94" s="35">
        <v>63.01041</v>
      </c>
      <c r="JL94" s="35"/>
      <c r="JM94" s="35"/>
      <c r="JN94" s="85">
        <v>56712468.890000001</v>
      </c>
      <c r="JO94" s="27"/>
      <c r="JP94" s="36">
        <v>56712500</v>
      </c>
      <c r="JQ94" s="85">
        <v>56712500</v>
      </c>
      <c r="JR94" s="35"/>
      <c r="JS94" s="35"/>
      <c r="JT94" s="35"/>
      <c r="JU94" s="35"/>
      <c r="JV94" s="35"/>
      <c r="JW94" s="35"/>
      <c r="JX94" s="36"/>
      <c r="JY94" s="35"/>
      <c r="JZ94" s="35"/>
      <c r="KA94" s="35"/>
      <c r="KB94" s="35"/>
      <c r="KC94" s="35"/>
      <c r="KD94" s="35"/>
      <c r="KE94" s="35"/>
      <c r="KF94" s="85"/>
      <c r="KG94" s="27"/>
      <c r="KH94" s="36"/>
      <c r="KI94" s="85"/>
      <c r="KJ94" s="35"/>
      <c r="KK94" s="35">
        <v>7067100</v>
      </c>
      <c r="KL94" s="35">
        <v>4193000</v>
      </c>
      <c r="KM94" s="35">
        <v>2874100</v>
      </c>
      <c r="KN94" s="35">
        <v>3978728.26</v>
      </c>
      <c r="KO94" s="35"/>
      <c r="KP94" s="36"/>
      <c r="KQ94" s="35">
        <v>6852828.2599999998</v>
      </c>
      <c r="KR94" s="35">
        <v>3978728.26</v>
      </c>
      <c r="KS94" s="35"/>
      <c r="KT94" s="35">
        <v>2874100</v>
      </c>
      <c r="KU94" s="35">
        <v>41.940350000000002</v>
      </c>
      <c r="KV94" s="35"/>
      <c r="KW94" s="35"/>
      <c r="KX94" s="85">
        <v>3978728.26</v>
      </c>
      <c r="KY94" s="27"/>
      <c r="KZ94" s="36">
        <v>4193000</v>
      </c>
      <c r="LA94" s="85">
        <v>4193000</v>
      </c>
      <c r="LB94" s="35"/>
      <c r="LC94" s="35"/>
      <c r="LD94" s="35"/>
      <c r="LE94" s="35"/>
      <c r="LF94" s="35"/>
      <c r="LG94" s="35"/>
      <c r="LH94" s="36"/>
      <c r="LI94" s="35"/>
      <c r="LJ94" s="35"/>
      <c r="LK94" s="35"/>
      <c r="LL94" s="35"/>
      <c r="LM94" s="35"/>
      <c r="LN94" s="35"/>
      <c r="LO94" s="35"/>
      <c r="LP94" s="85"/>
      <c r="LQ94" s="27"/>
      <c r="LR94" s="36"/>
      <c r="LS94" s="85"/>
      <c r="LT94" s="35"/>
      <c r="LU94" s="35">
        <v>7974400</v>
      </c>
      <c r="LV94" s="35">
        <v>3181000</v>
      </c>
      <c r="LW94" s="35">
        <v>4793400</v>
      </c>
      <c r="LX94" s="35">
        <v>1313622.06</v>
      </c>
      <c r="LY94" s="35"/>
      <c r="LZ94" s="36"/>
      <c r="MA94" s="35">
        <v>3293099</v>
      </c>
      <c r="MB94" s="35">
        <v>1313622.06</v>
      </c>
      <c r="MC94" s="35"/>
      <c r="MD94" s="35">
        <v>1979476.94</v>
      </c>
      <c r="ME94" s="35">
        <v>60.109850000000002</v>
      </c>
      <c r="MF94" s="35"/>
      <c r="MG94" s="35"/>
      <c r="MH94" s="85">
        <v>1313622.06</v>
      </c>
      <c r="MI94" s="27"/>
      <c r="MJ94" s="36">
        <v>3181000</v>
      </c>
      <c r="MK94" s="85">
        <v>3181000</v>
      </c>
      <c r="ML94" s="35"/>
      <c r="MM94" s="35"/>
      <c r="MN94" s="35"/>
      <c r="MO94" s="35"/>
      <c r="MP94" s="35"/>
      <c r="MQ94" s="35"/>
      <c r="MR94" s="36"/>
      <c r="MS94" s="35"/>
      <c r="MT94" s="35"/>
      <c r="MU94" s="35"/>
      <c r="MV94" s="35"/>
      <c r="MW94" s="35"/>
      <c r="MX94" s="35"/>
      <c r="MY94" s="35"/>
      <c r="MZ94" s="85"/>
      <c r="NA94" s="27"/>
      <c r="NB94" s="36"/>
      <c r="NC94" s="85"/>
      <c r="ND94" s="35"/>
      <c r="NE94" s="35">
        <v>18960600</v>
      </c>
      <c r="NF94" s="35">
        <v>9789300</v>
      </c>
      <c r="NG94" s="35">
        <v>9171300</v>
      </c>
      <c r="NH94" s="35">
        <v>9789300</v>
      </c>
      <c r="NI94" s="35"/>
      <c r="NJ94" s="36"/>
      <c r="NK94" s="35">
        <v>18960600</v>
      </c>
      <c r="NL94" s="35">
        <v>9789300</v>
      </c>
      <c r="NM94" s="35"/>
      <c r="NN94" s="35">
        <v>9171300</v>
      </c>
      <c r="NO94" s="35">
        <v>48.3703</v>
      </c>
      <c r="NP94" s="35"/>
      <c r="NQ94" s="35"/>
      <c r="NR94" s="85">
        <v>9789300</v>
      </c>
      <c r="NS94" s="27"/>
      <c r="NT94" s="36">
        <v>9789300</v>
      </c>
      <c r="NU94" s="85">
        <v>9789300</v>
      </c>
      <c r="NV94" s="35"/>
      <c r="NW94" s="35"/>
      <c r="NX94" s="35"/>
      <c r="NY94" s="35"/>
      <c r="NZ94" s="35"/>
      <c r="OA94" s="35"/>
      <c r="OB94" s="36"/>
      <c r="OC94" s="35"/>
      <c r="OD94" s="35"/>
      <c r="OE94" s="35"/>
      <c r="OF94" s="35"/>
      <c r="OG94" s="35"/>
      <c r="OH94" s="35"/>
      <c r="OI94" s="35"/>
      <c r="OJ94" s="85"/>
      <c r="OK94" s="27"/>
      <c r="OL94" s="36"/>
      <c r="OM94" s="85"/>
      <c r="ON94" s="35"/>
      <c r="OO94" s="35">
        <v>6266000</v>
      </c>
      <c r="OP94" s="35">
        <v>4050400</v>
      </c>
      <c r="OQ94" s="35">
        <v>2215600</v>
      </c>
      <c r="OR94" s="35">
        <v>4050400</v>
      </c>
      <c r="OS94" s="35"/>
      <c r="OT94" s="36"/>
      <c r="OU94" s="35">
        <v>6266000</v>
      </c>
      <c r="OV94" s="35">
        <v>4050400</v>
      </c>
      <c r="OW94" s="35"/>
      <c r="OX94" s="35">
        <v>2215600</v>
      </c>
      <c r="OY94" s="35">
        <v>35.359079999999999</v>
      </c>
      <c r="OZ94" s="35"/>
      <c r="PA94" s="35"/>
      <c r="PB94" s="85">
        <v>4050400</v>
      </c>
      <c r="PC94" s="27"/>
      <c r="PD94" s="36">
        <v>4050400</v>
      </c>
      <c r="PE94" s="85">
        <v>4050400</v>
      </c>
      <c r="PF94" s="35"/>
      <c r="PG94" s="35"/>
      <c r="PH94" s="35"/>
      <c r="PI94" s="35"/>
      <c r="PJ94" s="35"/>
      <c r="PK94" s="35"/>
      <c r="PL94" s="36"/>
      <c r="PM94" s="35"/>
      <c r="PN94" s="35"/>
      <c r="PO94" s="35"/>
      <c r="PP94" s="35"/>
      <c r="PQ94" s="35"/>
      <c r="PR94" s="35"/>
      <c r="PS94" s="35"/>
      <c r="PT94" s="85"/>
      <c r="PU94" s="27"/>
      <c r="PV94" s="36"/>
      <c r="PW94" s="85"/>
      <c r="PX94" s="35"/>
      <c r="PY94" s="35"/>
      <c r="PZ94" s="35"/>
      <c r="QA94" s="35"/>
      <c r="QB94" s="35"/>
      <c r="QC94" s="35">
        <v>8515754.7400000002</v>
      </c>
      <c r="QD94" s="36"/>
      <c r="QE94" s="35"/>
      <c r="QF94" s="35"/>
      <c r="QG94" s="35"/>
      <c r="QH94" s="35"/>
      <c r="QI94" s="35"/>
      <c r="QJ94" s="35">
        <v>8515754.7400000002</v>
      </c>
      <c r="QK94" s="35"/>
      <c r="QL94" s="85"/>
      <c r="QM94" s="27"/>
      <c r="QN94" s="36"/>
      <c r="QO94" s="85"/>
    </row>
    <row r="95" spans="1:457" x14ac:dyDescent="0.25">
      <c r="A95" s="8" t="s">
        <v>217</v>
      </c>
      <c r="B95" s="172">
        <v>81</v>
      </c>
      <c r="C95" s="13" t="s">
        <v>219</v>
      </c>
      <c r="F95" s="36">
        <v>643463100</v>
      </c>
      <c r="G95" s="85"/>
      <c r="H95" s="35"/>
      <c r="I95" s="35">
        <v>140282315.78999999</v>
      </c>
      <c r="J95" s="35">
        <v>133268200</v>
      </c>
      <c r="K95" s="35">
        <v>7014115.79</v>
      </c>
      <c r="L95" s="35">
        <v>133268097.89</v>
      </c>
      <c r="M95" s="35"/>
      <c r="N95" s="36"/>
      <c r="O95" s="35">
        <v>140282213.68000001</v>
      </c>
      <c r="P95" s="35">
        <v>133268097.89</v>
      </c>
      <c r="Q95" s="35"/>
      <c r="R95" s="35">
        <v>7014115.79</v>
      </c>
      <c r="S95" s="35">
        <v>5</v>
      </c>
      <c r="T95" s="35"/>
      <c r="U95" s="35"/>
      <c r="V95" s="85">
        <v>133268097.89</v>
      </c>
      <c r="W95" s="27"/>
      <c r="X95" s="36">
        <v>133268200</v>
      </c>
      <c r="Y95" s="85">
        <v>133268200</v>
      </c>
      <c r="Z95" s="35"/>
      <c r="AA95" s="35">
        <v>15350631.58</v>
      </c>
      <c r="AB95" s="35">
        <v>14583100</v>
      </c>
      <c r="AC95" s="35">
        <v>767531.58</v>
      </c>
      <c r="AD95" s="35">
        <v>14583100</v>
      </c>
      <c r="AE95" s="35"/>
      <c r="AF95" s="36"/>
      <c r="AG95" s="35">
        <v>15350631.58</v>
      </c>
      <c r="AH95" s="35">
        <v>14583100</v>
      </c>
      <c r="AI95" s="35"/>
      <c r="AJ95" s="35">
        <v>767531.58</v>
      </c>
      <c r="AK95" s="35">
        <v>5</v>
      </c>
      <c r="AL95" s="35"/>
      <c r="AM95" s="35"/>
      <c r="AN95" s="85">
        <v>14583100</v>
      </c>
      <c r="AO95" s="27"/>
      <c r="AP95" s="36">
        <v>14583100</v>
      </c>
      <c r="AQ95" s="85">
        <v>14583100</v>
      </c>
      <c r="AR95" s="35"/>
      <c r="AS95" s="35">
        <v>62257700</v>
      </c>
      <c r="AT95" s="35">
        <v>59144700</v>
      </c>
      <c r="AU95" s="35">
        <v>3113000</v>
      </c>
      <c r="AV95" s="35">
        <v>59144352.299999997</v>
      </c>
      <c r="AW95" s="35"/>
      <c r="AX95" s="36"/>
      <c r="AY95" s="35">
        <v>62257334</v>
      </c>
      <c r="AZ95" s="35">
        <v>59144352.299999997</v>
      </c>
      <c r="BA95" s="35"/>
      <c r="BB95" s="35">
        <v>3112981.7</v>
      </c>
      <c r="BC95" s="35">
        <v>5.0001800000000003</v>
      </c>
      <c r="BD95" s="35"/>
      <c r="BE95" s="35"/>
      <c r="BF95" s="85">
        <v>59144352.299999997</v>
      </c>
      <c r="BG95" s="27"/>
      <c r="BH95" s="36">
        <v>59144700</v>
      </c>
      <c r="BI95" s="85">
        <v>59144700</v>
      </c>
      <c r="BJ95" s="35"/>
      <c r="BK95" s="35"/>
      <c r="BL95" s="35"/>
      <c r="BM95" s="35"/>
      <c r="BN95" s="35"/>
      <c r="BO95" s="35"/>
      <c r="BP95" s="36"/>
      <c r="BQ95" s="35"/>
      <c r="BR95" s="35"/>
      <c r="BS95" s="35"/>
      <c r="BT95" s="35"/>
      <c r="BU95" s="35"/>
      <c r="BV95" s="35"/>
      <c r="BW95" s="35"/>
      <c r="BX95" s="85"/>
      <c r="BY95" s="27"/>
      <c r="BZ95" s="36"/>
      <c r="CA95" s="85"/>
      <c r="CB95" s="35"/>
      <c r="CC95" s="35">
        <v>176480900</v>
      </c>
      <c r="CD95" s="35">
        <v>167656800</v>
      </c>
      <c r="CE95" s="35">
        <v>8824100</v>
      </c>
      <c r="CF95" s="35">
        <v>167656800</v>
      </c>
      <c r="CG95" s="35">
        <v>1678697.2</v>
      </c>
      <c r="CH95" s="36"/>
      <c r="CI95" s="35">
        <v>176480900</v>
      </c>
      <c r="CJ95" s="35">
        <v>167656800</v>
      </c>
      <c r="CK95" s="35"/>
      <c r="CL95" s="35">
        <v>8824100</v>
      </c>
      <c r="CM95" s="35">
        <v>5.0000299999999998</v>
      </c>
      <c r="CN95" s="35">
        <v>1678697.2</v>
      </c>
      <c r="CO95" s="35"/>
      <c r="CP95" s="85">
        <v>167656800</v>
      </c>
      <c r="CQ95" s="27"/>
      <c r="CR95" s="36">
        <v>167656800</v>
      </c>
      <c r="CS95" s="85">
        <v>167656800</v>
      </c>
      <c r="CT95" s="35"/>
      <c r="CU95" s="35">
        <v>203746631.58000001</v>
      </c>
      <c r="CV95" s="35">
        <v>193559300</v>
      </c>
      <c r="CW95" s="35">
        <v>10187331.58</v>
      </c>
      <c r="CX95" s="35">
        <v>193559299.97999999</v>
      </c>
      <c r="CY95" s="35"/>
      <c r="CZ95" s="36"/>
      <c r="DA95" s="35">
        <v>203746631.56</v>
      </c>
      <c r="DB95" s="35">
        <v>193559299.97999999</v>
      </c>
      <c r="DC95" s="35"/>
      <c r="DD95" s="35">
        <v>10187331.58</v>
      </c>
      <c r="DE95" s="35">
        <v>5</v>
      </c>
      <c r="DF95" s="35"/>
      <c r="DG95" s="35"/>
      <c r="DH95" s="85">
        <v>193559299.97999999</v>
      </c>
      <c r="DI95" s="27"/>
      <c r="DJ95" s="36">
        <v>193559300</v>
      </c>
      <c r="DK95" s="85">
        <v>193559300</v>
      </c>
      <c r="DL95" s="35"/>
      <c r="DM95" s="35"/>
      <c r="DN95" s="35"/>
      <c r="DO95" s="35"/>
      <c r="DP95" s="35"/>
      <c r="DQ95" s="35"/>
      <c r="DR95" s="36"/>
      <c r="DS95" s="35"/>
      <c r="DT95" s="35"/>
      <c r="DU95" s="35"/>
      <c r="DV95" s="35"/>
      <c r="DW95" s="35"/>
      <c r="DX95" s="35"/>
      <c r="DY95" s="35"/>
      <c r="DZ95" s="85"/>
      <c r="EA95" s="27"/>
      <c r="EB95" s="36"/>
      <c r="EC95" s="85"/>
      <c r="ED95" s="35"/>
      <c r="EE95" s="35"/>
      <c r="EF95" s="35"/>
      <c r="EG95" s="35"/>
      <c r="EH95" s="35"/>
      <c r="EI95" s="35"/>
      <c r="EJ95" s="36"/>
      <c r="EK95" s="35"/>
      <c r="EL95" s="35"/>
      <c r="EM95" s="35"/>
      <c r="EN95" s="35"/>
      <c r="EO95" s="35"/>
      <c r="EP95" s="35"/>
      <c r="EQ95" s="35"/>
      <c r="ER95" s="85"/>
      <c r="ES95" s="27"/>
      <c r="ET95" s="36"/>
      <c r="EU95" s="85"/>
      <c r="EV95" s="35"/>
      <c r="EW95" s="35"/>
      <c r="EX95" s="35"/>
      <c r="EY95" s="35"/>
      <c r="EZ95" s="35"/>
      <c r="FA95" s="35"/>
      <c r="FB95" s="36"/>
      <c r="FC95" s="35"/>
      <c r="FD95" s="35"/>
      <c r="FE95" s="35"/>
      <c r="FF95" s="35"/>
      <c r="FG95" s="35"/>
      <c r="FH95" s="35"/>
      <c r="FI95" s="35"/>
      <c r="FJ95" s="85"/>
      <c r="FK95" s="27"/>
      <c r="FL95" s="36"/>
      <c r="FM95" s="85"/>
      <c r="FN95" s="35"/>
      <c r="FO95" s="35"/>
      <c r="FP95" s="35"/>
      <c r="FQ95" s="35"/>
      <c r="FR95" s="35"/>
      <c r="FS95" s="35"/>
      <c r="FT95" s="36"/>
      <c r="FU95" s="35"/>
      <c r="FV95" s="35"/>
      <c r="FW95" s="35"/>
      <c r="FX95" s="35"/>
      <c r="FY95" s="35"/>
      <c r="FZ95" s="35"/>
      <c r="GA95" s="35"/>
      <c r="GB95" s="85"/>
      <c r="GC95" s="27"/>
      <c r="GD95" s="36"/>
      <c r="GE95" s="85"/>
      <c r="GF95" s="35"/>
      <c r="GG95" s="35">
        <v>28019860</v>
      </c>
      <c r="GH95" s="35">
        <v>19613900</v>
      </c>
      <c r="GI95" s="35">
        <v>8405960</v>
      </c>
      <c r="GJ95" s="35">
        <v>19613900</v>
      </c>
      <c r="GK95" s="35">
        <v>28864.48</v>
      </c>
      <c r="GL95" s="36"/>
      <c r="GM95" s="35">
        <v>28019860</v>
      </c>
      <c r="GN95" s="35">
        <v>19613900</v>
      </c>
      <c r="GO95" s="35"/>
      <c r="GP95" s="35">
        <v>8405960</v>
      </c>
      <c r="GQ95" s="35">
        <v>30.00001</v>
      </c>
      <c r="GR95" s="35">
        <v>28864.48</v>
      </c>
      <c r="GS95" s="35"/>
      <c r="GT95" s="85">
        <v>19613900</v>
      </c>
      <c r="GU95" s="27"/>
      <c r="GV95" s="36">
        <v>19613900</v>
      </c>
      <c r="GW95" s="85">
        <v>19613900</v>
      </c>
      <c r="GX95" s="35"/>
      <c r="GY95" s="35"/>
      <c r="GZ95" s="35"/>
      <c r="HA95" s="35"/>
      <c r="HB95" s="35"/>
      <c r="HC95" s="35"/>
      <c r="HD95" s="36"/>
      <c r="HE95" s="35"/>
      <c r="HF95" s="35"/>
      <c r="HG95" s="35"/>
      <c r="HH95" s="35"/>
      <c r="HI95" s="35"/>
      <c r="HJ95" s="35"/>
      <c r="HK95" s="35"/>
      <c r="HL95" s="85"/>
      <c r="HM95" s="27"/>
      <c r="HN95" s="36"/>
      <c r="HO95" s="85"/>
      <c r="HP95" s="35"/>
      <c r="HQ95" s="35">
        <v>64433300</v>
      </c>
      <c r="HR95" s="35">
        <v>44854300</v>
      </c>
      <c r="HS95" s="35">
        <v>19579000</v>
      </c>
      <c r="HT95" s="35">
        <v>44854300</v>
      </c>
      <c r="HU95" s="35"/>
      <c r="HV95" s="36"/>
      <c r="HW95" s="35">
        <v>64433300</v>
      </c>
      <c r="HX95" s="35">
        <v>44854300</v>
      </c>
      <c r="HY95" s="35"/>
      <c r="HZ95" s="35">
        <v>19579000</v>
      </c>
      <c r="IA95" s="35">
        <v>30.38646</v>
      </c>
      <c r="IB95" s="35"/>
      <c r="IC95" s="35"/>
      <c r="ID95" s="85">
        <v>44854300</v>
      </c>
      <c r="IE95" s="27"/>
      <c r="IF95" s="36">
        <v>44854300</v>
      </c>
      <c r="IG95" s="85">
        <v>44854300</v>
      </c>
      <c r="IH95" s="35"/>
      <c r="II95" s="35"/>
      <c r="IJ95" s="35"/>
      <c r="IK95" s="35"/>
      <c r="IL95" s="35"/>
      <c r="IM95" s="35"/>
      <c r="IN95" s="36"/>
      <c r="IO95" s="35"/>
      <c r="IP95" s="35"/>
      <c r="IQ95" s="35"/>
      <c r="IR95" s="35"/>
      <c r="IS95" s="35"/>
      <c r="IT95" s="35"/>
      <c r="IU95" s="35"/>
      <c r="IV95" s="85"/>
      <c r="IW95" s="27"/>
      <c r="IX95" s="36"/>
      <c r="IY95" s="85"/>
      <c r="IZ95" s="35"/>
      <c r="JA95" s="35">
        <v>11916600</v>
      </c>
      <c r="JB95" s="35">
        <v>8341600</v>
      </c>
      <c r="JC95" s="35">
        <v>3575000</v>
      </c>
      <c r="JD95" s="35">
        <v>8341600</v>
      </c>
      <c r="JE95" s="35"/>
      <c r="JF95" s="36"/>
      <c r="JG95" s="35">
        <v>11916600</v>
      </c>
      <c r="JH95" s="35">
        <v>8341600</v>
      </c>
      <c r="JI95" s="35"/>
      <c r="JJ95" s="35">
        <v>3575000</v>
      </c>
      <c r="JK95" s="35">
        <v>30.000170000000001</v>
      </c>
      <c r="JL95" s="35"/>
      <c r="JM95" s="35"/>
      <c r="JN95" s="85">
        <v>8341600</v>
      </c>
      <c r="JO95" s="27"/>
      <c r="JP95" s="36">
        <v>8341600</v>
      </c>
      <c r="JQ95" s="85">
        <v>8341600</v>
      </c>
      <c r="JR95" s="35"/>
      <c r="JS95" s="35"/>
      <c r="JT95" s="35"/>
      <c r="JU95" s="35"/>
      <c r="JV95" s="35"/>
      <c r="JW95" s="35"/>
      <c r="JX95" s="36"/>
      <c r="JY95" s="35"/>
      <c r="JZ95" s="35"/>
      <c r="KA95" s="35"/>
      <c r="KB95" s="35"/>
      <c r="KC95" s="35"/>
      <c r="KD95" s="35"/>
      <c r="KE95" s="35"/>
      <c r="KF95" s="85"/>
      <c r="KG95" s="27"/>
      <c r="KH95" s="36"/>
      <c r="KI95" s="85"/>
      <c r="KJ95" s="35"/>
      <c r="KK95" s="35">
        <v>2332900</v>
      </c>
      <c r="KL95" s="35">
        <v>1633000</v>
      </c>
      <c r="KM95" s="35">
        <v>699900</v>
      </c>
      <c r="KN95" s="35">
        <v>1633000</v>
      </c>
      <c r="KO95" s="35"/>
      <c r="KP95" s="36"/>
      <c r="KQ95" s="35">
        <v>2332900</v>
      </c>
      <c r="KR95" s="35">
        <v>1633000</v>
      </c>
      <c r="KS95" s="35"/>
      <c r="KT95" s="35">
        <v>699900</v>
      </c>
      <c r="KU95" s="35">
        <v>30.001290000000001</v>
      </c>
      <c r="KV95" s="35"/>
      <c r="KW95" s="35"/>
      <c r="KX95" s="85">
        <v>1633000</v>
      </c>
      <c r="KY95" s="27"/>
      <c r="KZ95" s="36">
        <v>1633000</v>
      </c>
      <c r="LA95" s="85">
        <v>1633000</v>
      </c>
      <c r="LB95" s="35"/>
      <c r="LC95" s="35"/>
      <c r="LD95" s="35"/>
      <c r="LE95" s="35"/>
      <c r="LF95" s="35"/>
      <c r="LG95" s="35"/>
      <c r="LH95" s="36"/>
      <c r="LI95" s="35"/>
      <c r="LJ95" s="35"/>
      <c r="LK95" s="35"/>
      <c r="LL95" s="35"/>
      <c r="LM95" s="35"/>
      <c r="LN95" s="35"/>
      <c r="LO95" s="35"/>
      <c r="LP95" s="85"/>
      <c r="LQ95" s="27"/>
      <c r="LR95" s="36"/>
      <c r="LS95" s="85"/>
      <c r="LT95" s="35"/>
      <c r="LU95" s="35">
        <v>674300</v>
      </c>
      <c r="LV95" s="35">
        <v>472000</v>
      </c>
      <c r="LW95" s="35">
        <v>202300</v>
      </c>
      <c r="LX95" s="35">
        <v>472000</v>
      </c>
      <c r="LY95" s="35"/>
      <c r="LZ95" s="36"/>
      <c r="MA95" s="35">
        <v>674300</v>
      </c>
      <c r="MB95" s="35">
        <v>472000</v>
      </c>
      <c r="MC95" s="35"/>
      <c r="MD95" s="35">
        <v>202300</v>
      </c>
      <c r="ME95" s="35">
        <v>30.001480000000001</v>
      </c>
      <c r="MF95" s="35"/>
      <c r="MG95" s="35"/>
      <c r="MH95" s="85">
        <v>472000</v>
      </c>
      <c r="MI95" s="27"/>
      <c r="MJ95" s="36">
        <v>472000</v>
      </c>
      <c r="MK95" s="85">
        <v>472000</v>
      </c>
      <c r="ML95" s="35"/>
      <c r="MM95" s="35"/>
      <c r="MN95" s="35"/>
      <c r="MO95" s="35"/>
      <c r="MP95" s="35"/>
      <c r="MQ95" s="35"/>
      <c r="MR95" s="36"/>
      <c r="MS95" s="35"/>
      <c r="MT95" s="35"/>
      <c r="MU95" s="35"/>
      <c r="MV95" s="35"/>
      <c r="MW95" s="35"/>
      <c r="MX95" s="35"/>
      <c r="MY95" s="35"/>
      <c r="MZ95" s="85"/>
      <c r="NA95" s="27"/>
      <c r="NB95" s="36"/>
      <c r="NC95" s="85"/>
      <c r="ND95" s="35"/>
      <c r="NE95" s="35"/>
      <c r="NF95" s="35"/>
      <c r="NG95" s="35"/>
      <c r="NH95" s="35"/>
      <c r="NI95" s="35"/>
      <c r="NJ95" s="36"/>
      <c r="NK95" s="35"/>
      <c r="NL95" s="35"/>
      <c r="NM95" s="35"/>
      <c r="NN95" s="35"/>
      <c r="NO95" s="35"/>
      <c r="NP95" s="35"/>
      <c r="NQ95" s="35"/>
      <c r="NR95" s="85"/>
      <c r="NS95" s="27"/>
      <c r="NT95" s="36"/>
      <c r="NU95" s="85"/>
      <c r="NV95" s="35"/>
      <c r="NW95" s="35"/>
      <c r="NX95" s="35"/>
      <c r="NY95" s="35"/>
      <c r="NZ95" s="35"/>
      <c r="OA95" s="35"/>
      <c r="OB95" s="36"/>
      <c r="OC95" s="35"/>
      <c r="OD95" s="35"/>
      <c r="OE95" s="35"/>
      <c r="OF95" s="35"/>
      <c r="OG95" s="35"/>
      <c r="OH95" s="35"/>
      <c r="OI95" s="35"/>
      <c r="OJ95" s="85"/>
      <c r="OK95" s="27"/>
      <c r="OL95" s="36"/>
      <c r="OM95" s="85"/>
      <c r="ON95" s="35"/>
      <c r="OO95" s="35">
        <v>480300</v>
      </c>
      <c r="OP95" s="35">
        <v>336200</v>
      </c>
      <c r="OQ95" s="35">
        <v>144100</v>
      </c>
      <c r="OR95" s="35">
        <v>336200</v>
      </c>
      <c r="OS95" s="35"/>
      <c r="OT95" s="36"/>
      <c r="OU95" s="35">
        <v>480300</v>
      </c>
      <c r="OV95" s="35">
        <v>336200</v>
      </c>
      <c r="OW95" s="35"/>
      <c r="OX95" s="35">
        <v>144100</v>
      </c>
      <c r="OY95" s="35">
        <v>30.002079999999999</v>
      </c>
      <c r="OZ95" s="35"/>
      <c r="PA95" s="35"/>
      <c r="PB95" s="85">
        <v>336200</v>
      </c>
      <c r="PC95" s="27"/>
      <c r="PD95" s="36">
        <v>336200</v>
      </c>
      <c r="PE95" s="85">
        <v>336200</v>
      </c>
      <c r="PF95" s="35"/>
      <c r="PG95" s="35"/>
      <c r="PH95" s="35"/>
      <c r="PI95" s="35"/>
      <c r="PJ95" s="35"/>
      <c r="PK95" s="35"/>
      <c r="PL95" s="36"/>
      <c r="PM95" s="35"/>
      <c r="PN95" s="35"/>
      <c r="PO95" s="35"/>
      <c r="PP95" s="35"/>
      <c r="PQ95" s="35"/>
      <c r="PR95" s="35"/>
      <c r="PS95" s="35"/>
      <c r="PT95" s="85"/>
      <c r="PU95" s="27"/>
      <c r="PV95" s="36"/>
      <c r="PW95" s="85"/>
      <c r="PX95" s="35"/>
      <c r="PY95" s="35"/>
      <c r="PZ95" s="35"/>
      <c r="QA95" s="35"/>
      <c r="QB95" s="35"/>
      <c r="QC95" s="35">
        <v>7118084.3899999997</v>
      </c>
      <c r="QD95" s="36"/>
      <c r="QE95" s="35"/>
      <c r="QF95" s="35"/>
      <c r="QG95" s="35"/>
      <c r="QH95" s="35"/>
      <c r="QI95" s="35"/>
      <c r="QJ95" s="35">
        <v>7118084.3899999997</v>
      </c>
      <c r="QK95" s="35"/>
      <c r="QL95" s="85"/>
      <c r="QM95" s="27"/>
      <c r="QN95" s="36"/>
      <c r="QO95" s="85"/>
    </row>
    <row r="96" spans="1:457" x14ac:dyDescent="0.25">
      <c r="A96" s="8" t="s">
        <v>220</v>
      </c>
      <c r="B96" s="174">
        <v>82</v>
      </c>
      <c r="C96" s="13" t="s">
        <v>222</v>
      </c>
      <c r="F96" s="36">
        <v>2483283400</v>
      </c>
      <c r="G96" s="85"/>
      <c r="H96" s="35"/>
      <c r="I96" s="35">
        <v>525086990</v>
      </c>
      <c r="J96" s="35">
        <v>405629700</v>
      </c>
      <c r="K96" s="35">
        <v>119457290</v>
      </c>
      <c r="L96" s="35">
        <v>405629700</v>
      </c>
      <c r="M96" s="35"/>
      <c r="N96" s="36"/>
      <c r="O96" s="35">
        <v>525086990</v>
      </c>
      <c r="P96" s="35">
        <v>405629700</v>
      </c>
      <c r="Q96" s="35"/>
      <c r="R96" s="35">
        <v>119457290</v>
      </c>
      <c r="S96" s="35">
        <v>22.75</v>
      </c>
      <c r="T96" s="35"/>
      <c r="U96" s="35"/>
      <c r="V96" s="85">
        <v>405629700</v>
      </c>
      <c r="W96" s="27"/>
      <c r="X96" s="36">
        <v>405629700</v>
      </c>
      <c r="Y96" s="85">
        <v>405629700</v>
      </c>
      <c r="Z96" s="35"/>
      <c r="AA96" s="35"/>
      <c r="AB96" s="35"/>
      <c r="AC96" s="35"/>
      <c r="AD96" s="35"/>
      <c r="AE96" s="35"/>
      <c r="AF96" s="36"/>
      <c r="AG96" s="35"/>
      <c r="AH96" s="35"/>
      <c r="AI96" s="35"/>
      <c r="AJ96" s="35"/>
      <c r="AK96" s="35"/>
      <c r="AL96" s="35"/>
      <c r="AM96" s="35"/>
      <c r="AN96" s="85"/>
      <c r="AO96" s="27"/>
      <c r="AP96" s="36"/>
      <c r="AQ96" s="85"/>
      <c r="AR96" s="35"/>
      <c r="AS96" s="35">
        <v>308215800</v>
      </c>
      <c r="AT96" s="35">
        <v>200215800</v>
      </c>
      <c r="AU96" s="35">
        <v>108000000</v>
      </c>
      <c r="AV96" s="35">
        <v>198518702.22999999</v>
      </c>
      <c r="AW96" s="35"/>
      <c r="AX96" s="36"/>
      <c r="AY96" s="35">
        <v>305603257</v>
      </c>
      <c r="AZ96" s="35">
        <v>198518702.22999999</v>
      </c>
      <c r="BA96" s="35"/>
      <c r="BB96" s="35">
        <v>107084554.77</v>
      </c>
      <c r="BC96" s="35">
        <v>35.040379999999999</v>
      </c>
      <c r="BD96" s="35"/>
      <c r="BE96" s="35">
        <v>0</v>
      </c>
      <c r="BF96" s="85">
        <v>198518702.22999999</v>
      </c>
      <c r="BG96" s="27"/>
      <c r="BH96" s="36">
        <v>200215800</v>
      </c>
      <c r="BI96" s="85">
        <v>200215800</v>
      </c>
      <c r="BJ96" s="35"/>
      <c r="BK96" s="35"/>
      <c r="BL96" s="35"/>
      <c r="BM96" s="35"/>
      <c r="BN96" s="35"/>
      <c r="BO96" s="35"/>
      <c r="BP96" s="36"/>
      <c r="BQ96" s="35"/>
      <c r="BR96" s="35"/>
      <c r="BS96" s="35"/>
      <c r="BT96" s="35"/>
      <c r="BU96" s="35"/>
      <c r="BV96" s="35"/>
      <c r="BW96" s="35"/>
      <c r="BX96" s="85"/>
      <c r="BY96" s="27"/>
      <c r="BZ96" s="36"/>
      <c r="CA96" s="85"/>
      <c r="CB96" s="35"/>
      <c r="CC96" s="35">
        <v>534193600</v>
      </c>
      <c r="CD96" s="35">
        <v>416671600</v>
      </c>
      <c r="CE96" s="35">
        <v>117522000</v>
      </c>
      <c r="CF96" s="35">
        <v>416671600</v>
      </c>
      <c r="CG96" s="35"/>
      <c r="CH96" s="36"/>
      <c r="CI96" s="35">
        <v>534193600</v>
      </c>
      <c r="CJ96" s="35">
        <v>416671600</v>
      </c>
      <c r="CK96" s="35"/>
      <c r="CL96" s="35">
        <v>117522000</v>
      </c>
      <c r="CM96" s="35">
        <v>21.999890000000001</v>
      </c>
      <c r="CN96" s="35"/>
      <c r="CO96" s="35"/>
      <c r="CP96" s="85">
        <v>416671600</v>
      </c>
      <c r="CQ96" s="27"/>
      <c r="CR96" s="36">
        <v>416671600</v>
      </c>
      <c r="CS96" s="85">
        <v>416671600</v>
      </c>
      <c r="CT96" s="35"/>
      <c r="CU96" s="35">
        <v>627260800</v>
      </c>
      <c r="CV96" s="35">
        <v>487486800</v>
      </c>
      <c r="CW96" s="35">
        <v>139774000</v>
      </c>
      <c r="CX96" s="35">
        <v>477962793.55000001</v>
      </c>
      <c r="CY96" s="35"/>
      <c r="CZ96" s="36"/>
      <c r="DA96" s="35">
        <v>614689033.21000004</v>
      </c>
      <c r="DB96" s="35">
        <v>477716431.39999998</v>
      </c>
      <c r="DC96" s="35"/>
      <c r="DD96" s="35">
        <v>136972601.81</v>
      </c>
      <c r="DE96" s="35">
        <v>22.283239999999999</v>
      </c>
      <c r="DF96" s="35"/>
      <c r="DG96" s="35">
        <v>246362.15</v>
      </c>
      <c r="DH96" s="85">
        <v>477716431.39999998</v>
      </c>
      <c r="DI96" s="27"/>
      <c r="DJ96" s="36">
        <v>487486800</v>
      </c>
      <c r="DK96" s="85">
        <v>487486800</v>
      </c>
      <c r="DL96" s="35"/>
      <c r="DM96" s="35"/>
      <c r="DN96" s="35"/>
      <c r="DO96" s="35"/>
      <c r="DP96" s="35"/>
      <c r="DQ96" s="35"/>
      <c r="DR96" s="36"/>
      <c r="DS96" s="35"/>
      <c r="DT96" s="35"/>
      <c r="DU96" s="35"/>
      <c r="DV96" s="35"/>
      <c r="DW96" s="35"/>
      <c r="DX96" s="35"/>
      <c r="DY96" s="35"/>
      <c r="DZ96" s="85"/>
      <c r="EA96" s="27"/>
      <c r="EB96" s="36"/>
      <c r="EC96" s="85"/>
      <c r="ED96" s="35"/>
      <c r="EE96" s="35">
        <v>912017000</v>
      </c>
      <c r="EF96" s="35">
        <v>866405700</v>
      </c>
      <c r="EG96" s="35">
        <v>45611300</v>
      </c>
      <c r="EH96" s="35">
        <v>866405700</v>
      </c>
      <c r="EI96" s="35"/>
      <c r="EJ96" s="36"/>
      <c r="EK96" s="35">
        <v>912017000</v>
      </c>
      <c r="EL96" s="35">
        <v>866405700</v>
      </c>
      <c r="EM96" s="35"/>
      <c r="EN96" s="35">
        <v>45611300</v>
      </c>
      <c r="EO96" s="35">
        <v>5.00115</v>
      </c>
      <c r="EP96" s="35"/>
      <c r="EQ96" s="35"/>
      <c r="ER96" s="85">
        <v>866405700</v>
      </c>
      <c r="ES96" s="27"/>
      <c r="ET96" s="36">
        <v>866405700</v>
      </c>
      <c r="EU96" s="85">
        <v>866405700</v>
      </c>
      <c r="EV96" s="35"/>
      <c r="EW96" s="35"/>
      <c r="EX96" s="35"/>
      <c r="EY96" s="35"/>
      <c r="EZ96" s="35"/>
      <c r="FA96" s="35"/>
      <c r="FB96" s="36"/>
      <c r="FC96" s="35"/>
      <c r="FD96" s="35"/>
      <c r="FE96" s="35"/>
      <c r="FF96" s="35"/>
      <c r="FG96" s="35"/>
      <c r="FH96" s="35"/>
      <c r="FI96" s="35"/>
      <c r="FJ96" s="85"/>
      <c r="FK96" s="27"/>
      <c r="FL96" s="36"/>
      <c r="FM96" s="85"/>
      <c r="FN96" s="35"/>
      <c r="FO96" s="35">
        <v>44443900</v>
      </c>
      <c r="FP96" s="35">
        <v>24443900</v>
      </c>
      <c r="FQ96" s="35">
        <v>20000000</v>
      </c>
      <c r="FR96" s="35">
        <v>12098605.029999999</v>
      </c>
      <c r="FS96" s="35"/>
      <c r="FT96" s="36"/>
      <c r="FU96" s="35">
        <v>21997684.07</v>
      </c>
      <c r="FV96" s="35">
        <v>12098605.029999999</v>
      </c>
      <c r="FW96" s="35"/>
      <c r="FX96" s="35">
        <v>9899079.0399999991</v>
      </c>
      <c r="FY96" s="35">
        <v>45.000549999999997</v>
      </c>
      <c r="FZ96" s="35"/>
      <c r="GA96" s="35"/>
      <c r="GB96" s="85">
        <v>12098605.029999999</v>
      </c>
      <c r="GC96" s="27"/>
      <c r="GD96" s="36">
        <v>24443900</v>
      </c>
      <c r="GE96" s="85">
        <v>24443900</v>
      </c>
      <c r="GF96" s="35"/>
      <c r="GG96" s="35">
        <v>67267900</v>
      </c>
      <c r="GH96" s="35">
        <v>40767900</v>
      </c>
      <c r="GI96" s="35">
        <v>26500000</v>
      </c>
      <c r="GJ96" s="35">
        <v>37642546.700000003</v>
      </c>
      <c r="GK96" s="35">
        <v>519355.49</v>
      </c>
      <c r="GL96" s="36"/>
      <c r="GM96" s="35">
        <v>62111000</v>
      </c>
      <c r="GN96" s="35">
        <v>37642546.700000003</v>
      </c>
      <c r="GO96" s="35"/>
      <c r="GP96" s="35">
        <v>24468453.300000001</v>
      </c>
      <c r="GQ96" s="35">
        <v>39.39472</v>
      </c>
      <c r="GR96" s="35">
        <v>443615.27</v>
      </c>
      <c r="GS96" s="35">
        <v>75740.22</v>
      </c>
      <c r="GT96" s="85">
        <v>37642546.700000003</v>
      </c>
      <c r="GU96" s="27"/>
      <c r="GV96" s="36">
        <v>40767900</v>
      </c>
      <c r="GW96" s="85">
        <v>40767900</v>
      </c>
      <c r="GX96" s="35"/>
      <c r="GY96" s="35"/>
      <c r="GZ96" s="35"/>
      <c r="HA96" s="35"/>
      <c r="HB96" s="35"/>
      <c r="HC96" s="35"/>
      <c r="HD96" s="36"/>
      <c r="HE96" s="35"/>
      <c r="HF96" s="35"/>
      <c r="HG96" s="35"/>
      <c r="HH96" s="35"/>
      <c r="HI96" s="35"/>
      <c r="HJ96" s="35"/>
      <c r="HK96" s="35"/>
      <c r="HL96" s="85"/>
      <c r="HM96" s="27"/>
      <c r="HN96" s="36"/>
      <c r="HO96" s="85"/>
      <c r="HP96" s="35"/>
      <c r="HQ96" s="35">
        <v>96351530</v>
      </c>
      <c r="HR96" s="35">
        <v>41662000</v>
      </c>
      <c r="HS96" s="35">
        <v>54689530</v>
      </c>
      <c r="HT96" s="35">
        <v>40070712.710000001</v>
      </c>
      <c r="HU96" s="35">
        <v>0</v>
      </c>
      <c r="HV96" s="36"/>
      <c r="HW96" s="35">
        <v>92887898.25</v>
      </c>
      <c r="HX96" s="35">
        <v>40070712.710000001</v>
      </c>
      <c r="HY96" s="35"/>
      <c r="HZ96" s="35">
        <v>52817185.539999999</v>
      </c>
      <c r="IA96" s="35">
        <v>56.86121</v>
      </c>
      <c r="IB96" s="35">
        <v>0</v>
      </c>
      <c r="IC96" s="35"/>
      <c r="ID96" s="85">
        <v>40070712.710000001</v>
      </c>
      <c r="IE96" s="27"/>
      <c r="IF96" s="36">
        <v>41662000</v>
      </c>
      <c r="IG96" s="85">
        <v>41662000</v>
      </c>
      <c r="IH96" s="35"/>
      <c r="II96" s="35"/>
      <c r="IJ96" s="35"/>
      <c r="IK96" s="35"/>
      <c r="IL96" s="35"/>
      <c r="IM96" s="35"/>
      <c r="IN96" s="36"/>
      <c r="IO96" s="35"/>
      <c r="IP96" s="35"/>
      <c r="IQ96" s="35"/>
      <c r="IR96" s="35"/>
      <c r="IS96" s="35"/>
      <c r="IT96" s="35"/>
      <c r="IU96" s="35"/>
      <c r="IV96" s="85"/>
      <c r="IW96" s="27"/>
      <c r="IX96" s="36"/>
      <c r="IY96" s="85"/>
      <c r="IZ96" s="35"/>
      <c r="JA96" s="35"/>
      <c r="JB96" s="35"/>
      <c r="JC96" s="35"/>
      <c r="JD96" s="35"/>
      <c r="JE96" s="35"/>
      <c r="JF96" s="36"/>
      <c r="JG96" s="35"/>
      <c r="JH96" s="35"/>
      <c r="JI96" s="35"/>
      <c r="JJ96" s="35"/>
      <c r="JK96" s="35"/>
      <c r="JL96" s="35"/>
      <c r="JM96" s="35"/>
      <c r="JN96" s="85"/>
      <c r="JO96" s="27"/>
      <c r="JP96" s="36"/>
      <c r="JQ96" s="85"/>
      <c r="JR96" s="35"/>
      <c r="JS96" s="35"/>
      <c r="JT96" s="35"/>
      <c r="JU96" s="35"/>
      <c r="JV96" s="35"/>
      <c r="JW96" s="35"/>
      <c r="JX96" s="36"/>
      <c r="JY96" s="35"/>
      <c r="JZ96" s="35"/>
      <c r="KA96" s="35"/>
      <c r="KB96" s="35"/>
      <c r="KC96" s="35"/>
      <c r="KD96" s="35"/>
      <c r="KE96" s="35"/>
      <c r="KF96" s="85"/>
      <c r="KG96" s="27"/>
      <c r="KH96" s="36"/>
      <c r="KI96" s="85"/>
      <c r="KJ96" s="35"/>
      <c r="KK96" s="35"/>
      <c r="KL96" s="35"/>
      <c r="KM96" s="35"/>
      <c r="KN96" s="35"/>
      <c r="KO96" s="35"/>
      <c r="KP96" s="36"/>
      <c r="KQ96" s="35"/>
      <c r="KR96" s="35"/>
      <c r="KS96" s="35"/>
      <c r="KT96" s="35"/>
      <c r="KU96" s="35"/>
      <c r="KV96" s="35"/>
      <c r="KW96" s="35"/>
      <c r="KX96" s="85"/>
      <c r="KY96" s="27"/>
      <c r="KZ96" s="36"/>
      <c r="LA96" s="85"/>
      <c r="LB96" s="35"/>
      <c r="LC96" s="35"/>
      <c r="LD96" s="35"/>
      <c r="LE96" s="35"/>
      <c r="LF96" s="35"/>
      <c r="LG96" s="35"/>
      <c r="LH96" s="36"/>
      <c r="LI96" s="35"/>
      <c r="LJ96" s="35"/>
      <c r="LK96" s="35"/>
      <c r="LL96" s="35"/>
      <c r="LM96" s="35"/>
      <c r="LN96" s="35"/>
      <c r="LO96" s="35"/>
      <c r="LP96" s="85"/>
      <c r="LQ96" s="27"/>
      <c r="LR96" s="36"/>
      <c r="LS96" s="85"/>
      <c r="LT96" s="35"/>
      <c r="LU96" s="35"/>
      <c r="LV96" s="35"/>
      <c r="LW96" s="35"/>
      <c r="LX96" s="35"/>
      <c r="LY96" s="35"/>
      <c r="LZ96" s="36"/>
      <c r="MA96" s="35"/>
      <c r="MB96" s="35"/>
      <c r="MC96" s="35"/>
      <c r="MD96" s="35"/>
      <c r="ME96" s="35"/>
      <c r="MF96" s="35"/>
      <c r="MG96" s="35"/>
      <c r="MH96" s="85"/>
      <c r="MI96" s="27"/>
      <c r="MJ96" s="36"/>
      <c r="MK96" s="85"/>
      <c r="ML96" s="35"/>
      <c r="MM96" s="35"/>
      <c r="MN96" s="35"/>
      <c r="MO96" s="35"/>
      <c r="MP96" s="35"/>
      <c r="MQ96" s="35"/>
      <c r="MR96" s="36"/>
      <c r="MS96" s="35"/>
      <c r="MT96" s="35"/>
      <c r="MU96" s="35"/>
      <c r="MV96" s="35"/>
      <c r="MW96" s="35"/>
      <c r="MX96" s="35"/>
      <c r="MY96" s="35"/>
      <c r="MZ96" s="85"/>
      <c r="NA96" s="27"/>
      <c r="NB96" s="36"/>
      <c r="NC96" s="85"/>
      <c r="ND96" s="35"/>
      <c r="NE96" s="35"/>
      <c r="NF96" s="35"/>
      <c r="NG96" s="35"/>
      <c r="NH96" s="35"/>
      <c r="NI96" s="35"/>
      <c r="NJ96" s="36"/>
      <c r="NK96" s="35"/>
      <c r="NL96" s="35"/>
      <c r="NM96" s="35"/>
      <c r="NN96" s="35"/>
      <c r="NO96" s="35"/>
      <c r="NP96" s="35"/>
      <c r="NQ96" s="35"/>
      <c r="NR96" s="85"/>
      <c r="NS96" s="27"/>
      <c r="NT96" s="36"/>
      <c r="NU96" s="85"/>
      <c r="NV96" s="35"/>
      <c r="NW96" s="35"/>
      <c r="NX96" s="35"/>
      <c r="NY96" s="35"/>
      <c r="NZ96" s="35"/>
      <c r="OA96" s="35"/>
      <c r="OB96" s="36"/>
      <c r="OC96" s="35"/>
      <c r="OD96" s="35"/>
      <c r="OE96" s="35"/>
      <c r="OF96" s="35"/>
      <c r="OG96" s="35"/>
      <c r="OH96" s="35"/>
      <c r="OI96" s="35"/>
      <c r="OJ96" s="85"/>
      <c r="OK96" s="27"/>
      <c r="OL96" s="36"/>
      <c r="OM96" s="85"/>
      <c r="ON96" s="35"/>
      <c r="OO96" s="35"/>
      <c r="OP96" s="35"/>
      <c r="OQ96" s="35"/>
      <c r="OR96" s="35"/>
      <c r="OS96" s="35"/>
      <c r="OT96" s="36"/>
      <c r="OU96" s="35"/>
      <c r="OV96" s="35"/>
      <c r="OW96" s="35"/>
      <c r="OX96" s="35"/>
      <c r="OY96" s="35"/>
      <c r="OZ96" s="35"/>
      <c r="PA96" s="35"/>
      <c r="PB96" s="85"/>
      <c r="PC96" s="27"/>
      <c r="PD96" s="36"/>
      <c r="PE96" s="85"/>
      <c r="PF96" s="35"/>
      <c r="PG96" s="35"/>
      <c r="PH96" s="35"/>
      <c r="PI96" s="35"/>
      <c r="PJ96" s="35"/>
      <c r="PK96" s="35"/>
      <c r="PL96" s="36"/>
      <c r="PM96" s="35"/>
      <c r="PN96" s="35"/>
      <c r="PO96" s="35"/>
      <c r="PP96" s="35"/>
      <c r="PQ96" s="35"/>
      <c r="PR96" s="35"/>
      <c r="PS96" s="35"/>
      <c r="PT96" s="85"/>
      <c r="PU96" s="27"/>
      <c r="PV96" s="36"/>
      <c r="PW96" s="85"/>
      <c r="PX96" s="35"/>
      <c r="PY96" s="35"/>
      <c r="PZ96" s="35"/>
      <c r="QA96" s="35"/>
      <c r="QB96" s="35"/>
      <c r="QC96" s="35">
        <v>934827.73</v>
      </c>
      <c r="QD96" s="36"/>
      <c r="QE96" s="35"/>
      <c r="QF96" s="35"/>
      <c r="QG96" s="35"/>
      <c r="QH96" s="35"/>
      <c r="QI96" s="35"/>
      <c r="QJ96" s="35">
        <v>934827.73</v>
      </c>
      <c r="QK96" s="35"/>
      <c r="QL96" s="85"/>
      <c r="QM96" s="27"/>
      <c r="QN96" s="36"/>
      <c r="QO96" s="85"/>
    </row>
    <row r="97" spans="1:457" x14ac:dyDescent="0.25">
      <c r="A97" s="8" t="s">
        <v>223</v>
      </c>
      <c r="B97" s="174">
        <v>83</v>
      </c>
      <c r="C97" s="13" t="s">
        <v>225</v>
      </c>
      <c r="F97" s="36">
        <v>2586033700</v>
      </c>
      <c r="G97" s="85"/>
      <c r="H97" s="35"/>
      <c r="I97" s="35">
        <v>763311474</v>
      </c>
      <c r="J97" s="35">
        <v>725145900</v>
      </c>
      <c r="K97" s="35">
        <v>38165574</v>
      </c>
      <c r="L97" s="35">
        <v>725145900</v>
      </c>
      <c r="M97" s="35"/>
      <c r="N97" s="36"/>
      <c r="O97" s="35">
        <v>763298947.80999994</v>
      </c>
      <c r="P97" s="35">
        <v>725134000.41999996</v>
      </c>
      <c r="Q97" s="35"/>
      <c r="R97" s="35">
        <v>38164947.390000001</v>
      </c>
      <c r="S97" s="35">
        <v>5</v>
      </c>
      <c r="T97" s="35"/>
      <c r="U97" s="35">
        <v>11899.58</v>
      </c>
      <c r="V97" s="85">
        <v>725134000.41999996</v>
      </c>
      <c r="W97" s="27"/>
      <c r="X97" s="36">
        <v>725145900</v>
      </c>
      <c r="Y97" s="85">
        <v>725145900</v>
      </c>
      <c r="Z97" s="35"/>
      <c r="AA97" s="35">
        <v>385515895</v>
      </c>
      <c r="AB97" s="35">
        <v>366240100</v>
      </c>
      <c r="AC97" s="35">
        <v>19275795</v>
      </c>
      <c r="AD97" s="35">
        <v>366240100</v>
      </c>
      <c r="AE97" s="35"/>
      <c r="AF97" s="36"/>
      <c r="AG97" s="35">
        <v>385515895</v>
      </c>
      <c r="AH97" s="35">
        <v>366240100</v>
      </c>
      <c r="AI97" s="35"/>
      <c r="AJ97" s="35">
        <v>19275795</v>
      </c>
      <c r="AK97" s="35">
        <v>5</v>
      </c>
      <c r="AL97" s="35"/>
      <c r="AM97" s="35"/>
      <c r="AN97" s="85">
        <v>366240100</v>
      </c>
      <c r="AO97" s="27"/>
      <c r="AP97" s="36">
        <v>366240100</v>
      </c>
      <c r="AQ97" s="85">
        <v>366240100</v>
      </c>
      <c r="AR97" s="35"/>
      <c r="AS97" s="35">
        <v>189729300</v>
      </c>
      <c r="AT97" s="35">
        <v>106229300</v>
      </c>
      <c r="AU97" s="35">
        <v>83500000</v>
      </c>
      <c r="AV97" s="35">
        <v>106229300</v>
      </c>
      <c r="AW97" s="35"/>
      <c r="AX97" s="36"/>
      <c r="AY97" s="35">
        <v>189729299.5</v>
      </c>
      <c r="AZ97" s="35">
        <v>106229300</v>
      </c>
      <c r="BA97" s="35"/>
      <c r="BB97" s="35">
        <v>83499999.5</v>
      </c>
      <c r="BC97" s="35">
        <v>44.010069999999999</v>
      </c>
      <c r="BD97" s="35"/>
      <c r="BE97" s="35"/>
      <c r="BF97" s="85">
        <v>106229300</v>
      </c>
      <c r="BG97" s="27"/>
      <c r="BH97" s="36">
        <v>106229300</v>
      </c>
      <c r="BI97" s="85">
        <v>106229300</v>
      </c>
      <c r="BJ97" s="35"/>
      <c r="BK97" s="35"/>
      <c r="BL97" s="35"/>
      <c r="BM97" s="35"/>
      <c r="BN97" s="35"/>
      <c r="BO97" s="35"/>
      <c r="BP97" s="36"/>
      <c r="BQ97" s="35"/>
      <c r="BR97" s="35"/>
      <c r="BS97" s="35"/>
      <c r="BT97" s="35"/>
      <c r="BU97" s="35"/>
      <c r="BV97" s="35"/>
      <c r="BW97" s="35"/>
      <c r="BX97" s="85"/>
      <c r="BY97" s="27"/>
      <c r="BZ97" s="36"/>
      <c r="CA97" s="85"/>
      <c r="CB97" s="35"/>
      <c r="CC97" s="35">
        <v>690670865</v>
      </c>
      <c r="CD97" s="35">
        <v>562986800</v>
      </c>
      <c r="CE97" s="35">
        <v>127684065</v>
      </c>
      <c r="CF97" s="35">
        <v>562873344.59000003</v>
      </c>
      <c r="CG97" s="35"/>
      <c r="CH97" s="36"/>
      <c r="CI97" s="35">
        <v>690557409.59000003</v>
      </c>
      <c r="CJ97" s="35">
        <v>562873344.59000003</v>
      </c>
      <c r="CK97" s="35"/>
      <c r="CL97" s="35">
        <v>127684065</v>
      </c>
      <c r="CM97" s="35">
        <v>18.489999999999998</v>
      </c>
      <c r="CN97" s="35"/>
      <c r="CO97" s="35"/>
      <c r="CP97" s="85">
        <v>562873344.59000003</v>
      </c>
      <c r="CQ97" s="27"/>
      <c r="CR97" s="36">
        <v>562986800</v>
      </c>
      <c r="CS97" s="85">
        <v>562986800</v>
      </c>
      <c r="CT97" s="35"/>
      <c r="CU97" s="35">
        <v>672387264</v>
      </c>
      <c r="CV97" s="35">
        <v>638767900</v>
      </c>
      <c r="CW97" s="35">
        <v>33619364</v>
      </c>
      <c r="CX97" s="35">
        <v>636358695.60000002</v>
      </c>
      <c r="CY97" s="35"/>
      <c r="CZ97" s="36"/>
      <c r="DA97" s="35">
        <v>669851258.51999998</v>
      </c>
      <c r="DB97" s="35">
        <v>636358695.60000002</v>
      </c>
      <c r="DC97" s="35"/>
      <c r="DD97" s="35">
        <v>33492562.920000002</v>
      </c>
      <c r="DE97" s="35">
        <v>5</v>
      </c>
      <c r="DF97" s="35"/>
      <c r="DG97" s="35"/>
      <c r="DH97" s="85">
        <v>636358695.60000002</v>
      </c>
      <c r="DI97" s="27"/>
      <c r="DJ97" s="36">
        <v>638767900</v>
      </c>
      <c r="DK97" s="85">
        <v>638767900</v>
      </c>
      <c r="DL97" s="35"/>
      <c r="DM97" s="35"/>
      <c r="DN97" s="35"/>
      <c r="DO97" s="35"/>
      <c r="DP97" s="35"/>
      <c r="DQ97" s="35"/>
      <c r="DR97" s="36"/>
      <c r="DS97" s="35"/>
      <c r="DT97" s="35"/>
      <c r="DU97" s="35"/>
      <c r="DV97" s="35"/>
      <c r="DW97" s="35"/>
      <c r="DX97" s="35"/>
      <c r="DY97" s="35"/>
      <c r="DZ97" s="85"/>
      <c r="EA97" s="27"/>
      <c r="EB97" s="36"/>
      <c r="EC97" s="85"/>
      <c r="ED97" s="35"/>
      <c r="EE97" s="35">
        <v>56260393.560000002</v>
      </c>
      <c r="EF97" s="35">
        <v>42195300</v>
      </c>
      <c r="EG97" s="35">
        <v>14065093.560000001</v>
      </c>
      <c r="EH97" s="35">
        <v>42195280.689999998</v>
      </c>
      <c r="EI97" s="35"/>
      <c r="EJ97" s="36"/>
      <c r="EK97" s="35">
        <v>56260374.25</v>
      </c>
      <c r="EL97" s="35">
        <v>42195280.689999998</v>
      </c>
      <c r="EM97" s="35"/>
      <c r="EN97" s="35">
        <v>14065093.560000001</v>
      </c>
      <c r="EO97" s="35">
        <v>25</v>
      </c>
      <c r="EP97" s="35"/>
      <c r="EQ97" s="35"/>
      <c r="ER97" s="85">
        <v>42195280.689999998</v>
      </c>
      <c r="ES97" s="27"/>
      <c r="ET97" s="36">
        <v>42195300</v>
      </c>
      <c r="EU97" s="85">
        <v>42195300</v>
      </c>
      <c r="EV97" s="35"/>
      <c r="EW97" s="35">
        <v>60958842.100000001</v>
      </c>
      <c r="EX97" s="35">
        <v>57910900</v>
      </c>
      <c r="EY97" s="35">
        <v>3047942.1</v>
      </c>
      <c r="EZ97" s="35">
        <v>57910900</v>
      </c>
      <c r="FA97" s="35"/>
      <c r="FB97" s="36"/>
      <c r="FC97" s="35">
        <v>56758115.939999998</v>
      </c>
      <c r="FD97" s="35">
        <v>53920210.140000001</v>
      </c>
      <c r="FE97" s="35"/>
      <c r="FF97" s="35">
        <v>2837905.8</v>
      </c>
      <c r="FG97" s="35">
        <v>5</v>
      </c>
      <c r="FH97" s="35"/>
      <c r="FI97" s="35">
        <v>3990689.86</v>
      </c>
      <c r="FJ97" s="85">
        <v>53920210.140000001</v>
      </c>
      <c r="FK97" s="27"/>
      <c r="FL97" s="36">
        <v>57910900</v>
      </c>
      <c r="FM97" s="85">
        <v>57910900</v>
      </c>
      <c r="FN97" s="35"/>
      <c r="FO97" s="35">
        <v>27034500</v>
      </c>
      <c r="FP97" s="35">
        <v>11534500</v>
      </c>
      <c r="FQ97" s="35">
        <v>15500000</v>
      </c>
      <c r="FR97" s="35">
        <v>11283433.289999999</v>
      </c>
      <c r="FS97" s="35">
        <v>280831.25</v>
      </c>
      <c r="FT97" s="36"/>
      <c r="FU97" s="35">
        <v>26445981.800000001</v>
      </c>
      <c r="FV97" s="35">
        <v>11283433.289999999</v>
      </c>
      <c r="FW97" s="35"/>
      <c r="FX97" s="35">
        <v>15162548.51</v>
      </c>
      <c r="FY97" s="35">
        <v>57.334040000000002</v>
      </c>
      <c r="FZ97" s="35">
        <v>280831.25</v>
      </c>
      <c r="GA97" s="35"/>
      <c r="GB97" s="85">
        <v>11283433.289999999</v>
      </c>
      <c r="GC97" s="27"/>
      <c r="GD97" s="36">
        <v>11534500</v>
      </c>
      <c r="GE97" s="85">
        <v>11534500</v>
      </c>
      <c r="GF97" s="35"/>
      <c r="GG97" s="35">
        <v>33598800</v>
      </c>
      <c r="GH97" s="35">
        <v>19598800</v>
      </c>
      <c r="GI97" s="35">
        <v>14000000</v>
      </c>
      <c r="GJ97" s="35">
        <v>19597312.300000001</v>
      </c>
      <c r="GK97" s="35"/>
      <c r="GL97" s="36"/>
      <c r="GM97" s="35">
        <v>33597312.299999997</v>
      </c>
      <c r="GN97" s="35">
        <v>19597312.300000001</v>
      </c>
      <c r="GO97" s="35"/>
      <c r="GP97" s="35">
        <v>14000000</v>
      </c>
      <c r="GQ97" s="35">
        <v>41.67</v>
      </c>
      <c r="GR97" s="35"/>
      <c r="GS97" s="35"/>
      <c r="GT97" s="85">
        <v>19597312.300000001</v>
      </c>
      <c r="GU97" s="27"/>
      <c r="GV97" s="36">
        <v>19598800</v>
      </c>
      <c r="GW97" s="85">
        <v>19598800</v>
      </c>
      <c r="GX97" s="35"/>
      <c r="GY97" s="35"/>
      <c r="GZ97" s="35"/>
      <c r="HA97" s="35"/>
      <c r="HB97" s="35"/>
      <c r="HC97" s="35">
        <v>180000</v>
      </c>
      <c r="HD97" s="36"/>
      <c r="HE97" s="35"/>
      <c r="HF97" s="35"/>
      <c r="HG97" s="35"/>
      <c r="HH97" s="35"/>
      <c r="HI97" s="35"/>
      <c r="HJ97" s="35">
        <v>180000</v>
      </c>
      <c r="HK97" s="35"/>
      <c r="HL97" s="85"/>
      <c r="HM97" s="27"/>
      <c r="HN97" s="36"/>
      <c r="HO97" s="85"/>
      <c r="HP97" s="35"/>
      <c r="HQ97" s="35">
        <v>91089000</v>
      </c>
      <c r="HR97" s="35">
        <v>55289000</v>
      </c>
      <c r="HS97" s="35">
        <v>35800000</v>
      </c>
      <c r="HT97" s="35">
        <v>51243590.310000002</v>
      </c>
      <c r="HU97" s="35"/>
      <c r="HV97" s="36"/>
      <c r="HW97" s="35">
        <v>84613475.099999994</v>
      </c>
      <c r="HX97" s="35">
        <v>51243590.310000002</v>
      </c>
      <c r="HY97" s="35"/>
      <c r="HZ97" s="35">
        <v>33369884.789999999</v>
      </c>
      <c r="IA97" s="35">
        <v>39.438029999999998</v>
      </c>
      <c r="IB97" s="35"/>
      <c r="IC97" s="35"/>
      <c r="ID97" s="85">
        <v>51243590.310000002</v>
      </c>
      <c r="IE97" s="27"/>
      <c r="IF97" s="36">
        <v>55289000</v>
      </c>
      <c r="IG97" s="85">
        <v>55289000</v>
      </c>
      <c r="IH97" s="35"/>
      <c r="II97" s="35"/>
      <c r="IJ97" s="35"/>
      <c r="IK97" s="35"/>
      <c r="IL97" s="35"/>
      <c r="IM97" s="35"/>
      <c r="IN97" s="36"/>
      <c r="IO97" s="35"/>
      <c r="IP97" s="35"/>
      <c r="IQ97" s="35"/>
      <c r="IR97" s="35"/>
      <c r="IS97" s="35"/>
      <c r="IT97" s="35"/>
      <c r="IU97" s="35"/>
      <c r="IV97" s="85"/>
      <c r="IW97" s="27"/>
      <c r="IX97" s="36"/>
      <c r="IY97" s="85"/>
      <c r="IZ97" s="35"/>
      <c r="JA97" s="35"/>
      <c r="JB97" s="35"/>
      <c r="JC97" s="35"/>
      <c r="JD97" s="35"/>
      <c r="JE97" s="35"/>
      <c r="JF97" s="36"/>
      <c r="JG97" s="35"/>
      <c r="JH97" s="35"/>
      <c r="JI97" s="35"/>
      <c r="JJ97" s="35"/>
      <c r="JK97" s="35"/>
      <c r="JL97" s="35"/>
      <c r="JM97" s="35"/>
      <c r="JN97" s="85"/>
      <c r="JO97" s="27"/>
      <c r="JP97" s="36"/>
      <c r="JQ97" s="85"/>
      <c r="JR97" s="35"/>
      <c r="JS97" s="35"/>
      <c r="JT97" s="35"/>
      <c r="JU97" s="35"/>
      <c r="JV97" s="35"/>
      <c r="JW97" s="35"/>
      <c r="JX97" s="36"/>
      <c r="JY97" s="35"/>
      <c r="JZ97" s="35"/>
      <c r="KA97" s="35"/>
      <c r="KB97" s="35"/>
      <c r="KC97" s="35"/>
      <c r="KD97" s="35"/>
      <c r="KE97" s="35"/>
      <c r="KF97" s="85"/>
      <c r="KG97" s="27"/>
      <c r="KH97" s="36"/>
      <c r="KI97" s="85"/>
      <c r="KJ97" s="35"/>
      <c r="KK97" s="35"/>
      <c r="KL97" s="35"/>
      <c r="KM97" s="35"/>
      <c r="KN97" s="35"/>
      <c r="KO97" s="35"/>
      <c r="KP97" s="36"/>
      <c r="KQ97" s="35"/>
      <c r="KR97" s="35"/>
      <c r="KS97" s="35"/>
      <c r="KT97" s="35"/>
      <c r="KU97" s="35"/>
      <c r="KV97" s="35"/>
      <c r="KW97" s="35"/>
      <c r="KX97" s="85"/>
      <c r="KY97" s="27"/>
      <c r="KZ97" s="36"/>
      <c r="LA97" s="85"/>
      <c r="LB97" s="35"/>
      <c r="LC97" s="35"/>
      <c r="LD97" s="35"/>
      <c r="LE97" s="35"/>
      <c r="LF97" s="35"/>
      <c r="LG97" s="35"/>
      <c r="LH97" s="36"/>
      <c r="LI97" s="35"/>
      <c r="LJ97" s="35"/>
      <c r="LK97" s="35"/>
      <c r="LL97" s="35"/>
      <c r="LM97" s="35"/>
      <c r="LN97" s="35"/>
      <c r="LO97" s="35"/>
      <c r="LP97" s="85"/>
      <c r="LQ97" s="27"/>
      <c r="LR97" s="36"/>
      <c r="LS97" s="85"/>
      <c r="LT97" s="35"/>
      <c r="LU97" s="35"/>
      <c r="LV97" s="35"/>
      <c r="LW97" s="35"/>
      <c r="LX97" s="35"/>
      <c r="LY97" s="35"/>
      <c r="LZ97" s="36"/>
      <c r="MA97" s="35"/>
      <c r="MB97" s="35"/>
      <c r="MC97" s="35"/>
      <c r="MD97" s="35"/>
      <c r="ME97" s="35"/>
      <c r="MF97" s="35"/>
      <c r="MG97" s="35"/>
      <c r="MH97" s="85"/>
      <c r="MI97" s="27"/>
      <c r="MJ97" s="36"/>
      <c r="MK97" s="85"/>
      <c r="ML97" s="35"/>
      <c r="MM97" s="35"/>
      <c r="MN97" s="35"/>
      <c r="MO97" s="35"/>
      <c r="MP97" s="35"/>
      <c r="MQ97" s="35"/>
      <c r="MR97" s="36"/>
      <c r="MS97" s="35"/>
      <c r="MT97" s="35"/>
      <c r="MU97" s="35"/>
      <c r="MV97" s="35"/>
      <c r="MW97" s="35"/>
      <c r="MX97" s="35"/>
      <c r="MY97" s="35"/>
      <c r="MZ97" s="85"/>
      <c r="NA97" s="27"/>
      <c r="NB97" s="36"/>
      <c r="NC97" s="85"/>
      <c r="ND97" s="35"/>
      <c r="NE97" s="35"/>
      <c r="NF97" s="35"/>
      <c r="NG97" s="35"/>
      <c r="NH97" s="35"/>
      <c r="NI97" s="35"/>
      <c r="NJ97" s="36"/>
      <c r="NK97" s="35"/>
      <c r="NL97" s="35"/>
      <c r="NM97" s="35"/>
      <c r="NN97" s="35"/>
      <c r="NO97" s="35"/>
      <c r="NP97" s="35"/>
      <c r="NQ97" s="35"/>
      <c r="NR97" s="85"/>
      <c r="NS97" s="27"/>
      <c r="NT97" s="36"/>
      <c r="NU97" s="85"/>
      <c r="NV97" s="35"/>
      <c r="NW97" s="35"/>
      <c r="NX97" s="35"/>
      <c r="NY97" s="35"/>
      <c r="NZ97" s="35"/>
      <c r="OA97" s="35"/>
      <c r="OB97" s="36"/>
      <c r="OC97" s="35"/>
      <c r="OD97" s="35"/>
      <c r="OE97" s="35"/>
      <c r="OF97" s="35"/>
      <c r="OG97" s="35"/>
      <c r="OH97" s="35"/>
      <c r="OI97" s="35"/>
      <c r="OJ97" s="85"/>
      <c r="OK97" s="27"/>
      <c r="OL97" s="36"/>
      <c r="OM97" s="85"/>
      <c r="ON97" s="35"/>
      <c r="OO97" s="35">
        <v>335200</v>
      </c>
      <c r="OP97" s="35">
        <v>135200</v>
      </c>
      <c r="OQ97" s="35">
        <v>200000</v>
      </c>
      <c r="OR97" s="35">
        <v>135200</v>
      </c>
      <c r="OS97" s="35"/>
      <c r="OT97" s="36"/>
      <c r="OU97" s="35">
        <v>335200</v>
      </c>
      <c r="OV97" s="35">
        <v>135200</v>
      </c>
      <c r="OW97" s="35"/>
      <c r="OX97" s="35">
        <v>200000</v>
      </c>
      <c r="OY97" s="35">
        <v>59.665869999999998</v>
      </c>
      <c r="OZ97" s="35"/>
      <c r="PA97" s="35"/>
      <c r="PB97" s="85">
        <v>135200</v>
      </c>
      <c r="PC97" s="27"/>
      <c r="PD97" s="36">
        <v>135200</v>
      </c>
      <c r="PE97" s="85">
        <v>135200</v>
      </c>
      <c r="PF97" s="35"/>
      <c r="PG97" s="35"/>
      <c r="PH97" s="35"/>
      <c r="PI97" s="35"/>
      <c r="PJ97" s="35"/>
      <c r="PK97" s="35"/>
      <c r="PL97" s="36"/>
      <c r="PM97" s="35"/>
      <c r="PN97" s="35"/>
      <c r="PO97" s="35"/>
      <c r="PP97" s="35"/>
      <c r="PQ97" s="35"/>
      <c r="PR97" s="35"/>
      <c r="PS97" s="35"/>
      <c r="PT97" s="85"/>
      <c r="PU97" s="27"/>
      <c r="PV97" s="36"/>
      <c r="PW97" s="85"/>
      <c r="PX97" s="35"/>
      <c r="PY97" s="35"/>
      <c r="PZ97" s="35"/>
      <c r="QA97" s="35"/>
      <c r="QB97" s="35"/>
      <c r="QC97" s="35">
        <v>306338.63</v>
      </c>
      <c r="QD97" s="36"/>
      <c r="QE97" s="35"/>
      <c r="QF97" s="35"/>
      <c r="QG97" s="35"/>
      <c r="QH97" s="35"/>
      <c r="QI97" s="35"/>
      <c r="QJ97" s="35">
        <v>306338.63</v>
      </c>
      <c r="QK97" s="35"/>
      <c r="QL97" s="85"/>
      <c r="QM97" s="27"/>
      <c r="QN97" s="36"/>
      <c r="QO97" s="85"/>
    </row>
    <row r="98" spans="1:457" x14ac:dyDescent="0.25">
      <c r="A98" s="8" t="s">
        <v>226</v>
      </c>
      <c r="B98" s="172">
        <v>84</v>
      </c>
      <c r="C98" s="13" t="s">
        <v>228</v>
      </c>
      <c r="F98" s="36">
        <v>683729700</v>
      </c>
      <c r="G98" s="85"/>
      <c r="H98" s="35"/>
      <c r="I98" s="35">
        <v>228711369</v>
      </c>
      <c r="J98" s="35">
        <v>217275800</v>
      </c>
      <c r="K98" s="35">
        <v>11435569</v>
      </c>
      <c r="L98" s="35">
        <v>217275800</v>
      </c>
      <c r="M98" s="35">
        <v>5922310.5800000001</v>
      </c>
      <c r="N98" s="36"/>
      <c r="O98" s="35">
        <v>228711368.59</v>
      </c>
      <c r="P98" s="35">
        <v>217275800</v>
      </c>
      <c r="Q98" s="35"/>
      <c r="R98" s="35">
        <v>11435568.59</v>
      </c>
      <c r="S98" s="35">
        <v>5</v>
      </c>
      <c r="T98" s="35">
        <v>5922310.5800000001</v>
      </c>
      <c r="U98" s="35"/>
      <c r="V98" s="85">
        <v>217275800</v>
      </c>
      <c r="W98" s="27"/>
      <c r="X98" s="36">
        <v>217275800</v>
      </c>
      <c r="Y98" s="85">
        <v>217275800</v>
      </c>
      <c r="Z98" s="35"/>
      <c r="AA98" s="35">
        <v>57078316</v>
      </c>
      <c r="AB98" s="35">
        <v>54224400</v>
      </c>
      <c r="AC98" s="35">
        <v>2853916</v>
      </c>
      <c r="AD98" s="35">
        <v>54224400</v>
      </c>
      <c r="AE98" s="35"/>
      <c r="AF98" s="36"/>
      <c r="AG98" s="35">
        <v>57078316</v>
      </c>
      <c r="AH98" s="35">
        <v>54224400</v>
      </c>
      <c r="AI98" s="35"/>
      <c r="AJ98" s="35">
        <v>2853916</v>
      </c>
      <c r="AK98" s="35">
        <v>5</v>
      </c>
      <c r="AL98" s="35"/>
      <c r="AM98" s="35"/>
      <c r="AN98" s="85">
        <v>54224400</v>
      </c>
      <c r="AO98" s="27"/>
      <c r="AP98" s="36">
        <v>54224400</v>
      </c>
      <c r="AQ98" s="85">
        <v>54224400</v>
      </c>
      <c r="AR98" s="35"/>
      <c r="AS98" s="35">
        <v>330181500</v>
      </c>
      <c r="AT98" s="35">
        <v>43281500</v>
      </c>
      <c r="AU98" s="35">
        <v>286900000</v>
      </c>
      <c r="AV98" s="35">
        <v>43281500</v>
      </c>
      <c r="AW98" s="35"/>
      <c r="AX98" s="36"/>
      <c r="AY98" s="35">
        <v>330181500</v>
      </c>
      <c r="AZ98" s="35">
        <v>43281500</v>
      </c>
      <c r="BA98" s="35"/>
      <c r="BB98" s="35">
        <v>286900000</v>
      </c>
      <c r="BC98" s="35">
        <v>86.891599999999997</v>
      </c>
      <c r="BD98" s="35"/>
      <c r="BE98" s="35"/>
      <c r="BF98" s="85">
        <v>43281500</v>
      </c>
      <c r="BG98" s="27"/>
      <c r="BH98" s="36">
        <v>43281500</v>
      </c>
      <c r="BI98" s="85">
        <v>43281500</v>
      </c>
      <c r="BJ98" s="35"/>
      <c r="BK98" s="35"/>
      <c r="BL98" s="35"/>
      <c r="BM98" s="35"/>
      <c r="BN98" s="35"/>
      <c r="BO98" s="35"/>
      <c r="BP98" s="36"/>
      <c r="BQ98" s="35"/>
      <c r="BR98" s="35"/>
      <c r="BS98" s="35"/>
      <c r="BT98" s="35"/>
      <c r="BU98" s="35"/>
      <c r="BV98" s="35"/>
      <c r="BW98" s="35"/>
      <c r="BX98" s="85"/>
      <c r="BY98" s="27"/>
      <c r="BZ98" s="36"/>
      <c r="CA98" s="85"/>
      <c r="CB98" s="35"/>
      <c r="CC98" s="35">
        <v>138199800</v>
      </c>
      <c r="CD98" s="35">
        <v>90399800</v>
      </c>
      <c r="CE98" s="35">
        <v>47800000</v>
      </c>
      <c r="CF98" s="35">
        <v>90399800</v>
      </c>
      <c r="CG98" s="35">
        <v>18939.419999999998</v>
      </c>
      <c r="CH98" s="36"/>
      <c r="CI98" s="35">
        <v>138199800</v>
      </c>
      <c r="CJ98" s="35">
        <v>90399800</v>
      </c>
      <c r="CK98" s="35"/>
      <c r="CL98" s="35">
        <v>47800000</v>
      </c>
      <c r="CM98" s="35">
        <v>34.587600000000002</v>
      </c>
      <c r="CN98" s="35">
        <v>18939.419999999998</v>
      </c>
      <c r="CO98" s="35"/>
      <c r="CP98" s="85">
        <v>90399800</v>
      </c>
      <c r="CQ98" s="27"/>
      <c r="CR98" s="36">
        <v>90399800</v>
      </c>
      <c r="CS98" s="85">
        <v>90399800</v>
      </c>
      <c r="CT98" s="35"/>
      <c r="CU98" s="35">
        <v>238763790.31999999</v>
      </c>
      <c r="CV98" s="35">
        <v>226825600</v>
      </c>
      <c r="CW98" s="35">
        <v>11938190.32</v>
      </c>
      <c r="CX98" s="35">
        <v>226825599.44</v>
      </c>
      <c r="CY98" s="35">
        <v>945452.55</v>
      </c>
      <c r="CZ98" s="36"/>
      <c r="DA98" s="35">
        <v>238759217.56999999</v>
      </c>
      <c r="DB98" s="35">
        <v>226821244.56</v>
      </c>
      <c r="DC98" s="35"/>
      <c r="DD98" s="35">
        <v>11937973.01</v>
      </c>
      <c r="DE98" s="35">
        <v>5.0000099999999996</v>
      </c>
      <c r="DF98" s="35">
        <v>945452.55</v>
      </c>
      <c r="DG98" s="35">
        <v>4354.88</v>
      </c>
      <c r="DH98" s="85">
        <v>226821244.56</v>
      </c>
      <c r="DI98" s="27"/>
      <c r="DJ98" s="36">
        <v>226825600</v>
      </c>
      <c r="DK98" s="85">
        <v>226825600</v>
      </c>
      <c r="DL98" s="35"/>
      <c r="DM98" s="35"/>
      <c r="DN98" s="35"/>
      <c r="DO98" s="35"/>
      <c r="DP98" s="35"/>
      <c r="DQ98" s="35"/>
      <c r="DR98" s="36"/>
      <c r="DS98" s="35"/>
      <c r="DT98" s="35"/>
      <c r="DU98" s="35"/>
      <c r="DV98" s="35"/>
      <c r="DW98" s="35"/>
      <c r="DX98" s="35"/>
      <c r="DY98" s="35"/>
      <c r="DZ98" s="85"/>
      <c r="EA98" s="27"/>
      <c r="EB98" s="36"/>
      <c r="EC98" s="85"/>
      <c r="ED98" s="35"/>
      <c r="EE98" s="35"/>
      <c r="EF98" s="35"/>
      <c r="EG98" s="35"/>
      <c r="EH98" s="35"/>
      <c r="EI98" s="35"/>
      <c r="EJ98" s="36"/>
      <c r="EK98" s="35"/>
      <c r="EL98" s="35"/>
      <c r="EM98" s="35"/>
      <c r="EN98" s="35"/>
      <c r="EO98" s="35"/>
      <c r="EP98" s="35"/>
      <c r="EQ98" s="35"/>
      <c r="ER98" s="85"/>
      <c r="ES98" s="27"/>
      <c r="ET98" s="36"/>
      <c r="EU98" s="85"/>
      <c r="EV98" s="35"/>
      <c r="EW98" s="35"/>
      <c r="EX98" s="35"/>
      <c r="EY98" s="35"/>
      <c r="EZ98" s="35"/>
      <c r="FA98" s="35"/>
      <c r="FB98" s="36"/>
      <c r="FC98" s="35"/>
      <c r="FD98" s="35"/>
      <c r="FE98" s="35"/>
      <c r="FF98" s="35"/>
      <c r="FG98" s="35"/>
      <c r="FH98" s="35"/>
      <c r="FI98" s="35"/>
      <c r="FJ98" s="85"/>
      <c r="FK98" s="27"/>
      <c r="FL98" s="36"/>
      <c r="FM98" s="85"/>
      <c r="FN98" s="35"/>
      <c r="FO98" s="35">
        <v>18376900</v>
      </c>
      <c r="FP98" s="35">
        <v>13276900</v>
      </c>
      <c r="FQ98" s="35">
        <v>5100000</v>
      </c>
      <c r="FR98" s="35">
        <v>13276900</v>
      </c>
      <c r="FS98" s="35"/>
      <c r="FT98" s="36"/>
      <c r="FU98" s="35">
        <v>18376900</v>
      </c>
      <c r="FV98" s="35">
        <v>13276900</v>
      </c>
      <c r="FW98" s="35"/>
      <c r="FX98" s="35">
        <v>5100000</v>
      </c>
      <c r="FY98" s="35">
        <v>27.752230000000001</v>
      </c>
      <c r="FZ98" s="35"/>
      <c r="GA98" s="35"/>
      <c r="GB98" s="85">
        <v>13276900</v>
      </c>
      <c r="GC98" s="27"/>
      <c r="GD98" s="36">
        <v>13276900</v>
      </c>
      <c r="GE98" s="85">
        <v>13276900</v>
      </c>
      <c r="GF98" s="35"/>
      <c r="GG98" s="35">
        <v>49558200</v>
      </c>
      <c r="GH98" s="35">
        <v>22910700</v>
      </c>
      <c r="GI98" s="35">
        <v>26647500</v>
      </c>
      <c r="GJ98" s="35">
        <v>22910700</v>
      </c>
      <c r="GK98" s="35">
        <v>0</v>
      </c>
      <c r="GL98" s="36"/>
      <c r="GM98" s="35">
        <v>49558200</v>
      </c>
      <c r="GN98" s="35">
        <v>22910700</v>
      </c>
      <c r="GO98" s="35"/>
      <c r="GP98" s="35">
        <v>26647500</v>
      </c>
      <c r="GQ98" s="35">
        <v>53.770110000000003</v>
      </c>
      <c r="GR98" s="35">
        <v>0</v>
      </c>
      <c r="GS98" s="35">
        <v>0</v>
      </c>
      <c r="GT98" s="85">
        <v>22910700</v>
      </c>
      <c r="GU98" s="27"/>
      <c r="GV98" s="36">
        <v>22910700</v>
      </c>
      <c r="GW98" s="85">
        <v>22910700</v>
      </c>
      <c r="GX98" s="35"/>
      <c r="GY98" s="35"/>
      <c r="GZ98" s="35"/>
      <c r="HA98" s="35"/>
      <c r="HB98" s="35"/>
      <c r="HC98" s="35">
        <v>448287.2</v>
      </c>
      <c r="HD98" s="36"/>
      <c r="HE98" s="35"/>
      <c r="HF98" s="35"/>
      <c r="HG98" s="35"/>
      <c r="HH98" s="35"/>
      <c r="HI98" s="35"/>
      <c r="HJ98" s="35">
        <v>267308.2</v>
      </c>
      <c r="HK98" s="35">
        <v>180979</v>
      </c>
      <c r="HL98" s="85"/>
      <c r="HM98" s="27"/>
      <c r="HN98" s="36"/>
      <c r="HO98" s="85"/>
      <c r="HP98" s="35"/>
      <c r="HQ98" s="35">
        <v>28512275.539999999</v>
      </c>
      <c r="HR98" s="35">
        <v>15535000</v>
      </c>
      <c r="HS98" s="35">
        <v>12977275.539999999</v>
      </c>
      <c r="HT98" s="35">
        <v>15535000</v>
      </c>
      <c r="HU98" s="35"/>
      <c r="HV98" s="36"/>
      <c r="HW98" s="35">
        <v>28512275.539999999</v>
      </c>
      <c r="HX98" s="35">
        <v>15535000</v>
      </c>
      <c r="HY98" s="35"/>
      <c r="HZ98" s="35">
        <v>12977275.539999999</v>
      </c>
      <c r="IA98" s="35">
        <v>45.514699999999998</v>
      </c>
      <c r="IB98" s="35"/>
      <c r="IC98" s="35"/>
      <c r="ID98" s="85">
        <v>15535000</v>
      </c>
      <c r="IE98" s="27"/>
      <c r="IF98" s="36">
        <v>15535000</v>
      </c>
      <c r="IG98" s="85">
        <v>15535000</v>
      </c>
      <c r="IH98" s="35"/>
      <c r="II98" s="35"/>
      <c r="IJ98" s="35"/>
      <c r="IK98" s="35"/>
      <c r="IL98" s="35"/>
      <c r="IM98" s="35"/>
      <c r="IN98" s="36"/>
      <c r="IO98" s="35"/>
      <c r="IP98" s="35"/>
      <c r="IQ98" s="35"/>
      <c r="IR98" s="35"/>
      <c r="IS98" s="35"/>
      <c r="IT98" s="35"/>
      <c r="IU98" s="35"/>
      <c r="IV98" s="85"/>
      <c r="IW98" s="27"/>
      <c r="IX98" s="36"/>
      <c r="IY98" s="85"/>
      <c r="IZ98" s="35"/>
      <c r="JA98" s="35"/>
      <c r="JB98" s="35"/>
      <c r="JC98" s="35"/>
      <c r="JD98" s="35"/>
      <c r="JE98" s="35"/>
      <c r="JF98" s="36"/>
      <c r="JG98" s="35"/>
      <c r="JH98" s="35"/>
      <c r="JI98" s="35"/>
      <c r="JJ98" s="35"/>
      <c r="JK98" s="35"/>
      <c r="JL98" s="35"/>
      <c r="JM98" s="35"/>
      <c r="JN98" s="85"/>
      <c r="JO98" s="27"/>
      <c r="JP98" s="36"/>
      <c r="JQ98" s="85"/>
      <c r="JR98" s="35"/>
      <c r="JS98" s="35"/>
      <c r="JT98" s="35"/>
      <c r="JU98" s="35"/>
      <c r="JV98" s="35"/>
      <c r="JW98" s="35"/>
      <c r="JX98" s="36"/>
      <c r="JY98" s="35"/>
      <c r="JZ98" s="35"/>
      <c r="KA98" s="35"/>
      <c r="KB98" s="35"/>
      <c r="KC98" s="35"/>
      <c r="KD98" s="35"/>
      <c r="KE98" s="35"/>
      <c r="KF98" s="85"/>
      <c r="KG98" s="27"/>
      <c r="KH98" s="36"/>
      <c r="KI98" s="85"/>
      <c r="KJ98" s="35"/>
      <c r="KK98" s="35"/>
      <c r="KL98" s="35"/>
      <c r="KM98" s="35"/>
      <c r="KN98" s="35"/>
      <c r="KO98" s="35"/>
      <c r="KP98" s="36"/>
      <c r="KQ98" s="35"/>
      <c r="KR98" s="35"/>
      <c r="KS98" s="35"/>
      <c r="KT98" s="35"/>
      <c r="KU98" s="35"/>
      <c r="KV98" s="35"/>
      <c r="KW98" s="35"/>
      <c r="KX98" s="85"/>
      <c r="KY98" s="27"/>
      <c r="KZ98" s="36"/>
      <c r="LA98" s="85"/>
      <c r="LB98" s="35"/>
      <c r="LC98" s="35"/>
      <c r="LD98" s="35"/>
      <c r="LE98" s="35"/>
      <c r="LF98" s="35"/>
      <c r="LG98" s="35"/>
      <c r="LH98" s="36"/>
      <c r="LI98" s="35"/>
      <c r="LJ98" s="35"/>
      <c r="LK98" s="35"/>
      <c r="LL98" s="35"/>
      <c r="LM98" s="35"/>
      <c r="LN98" s="35"/>
      <c r="LO98" s="35"/>
      <c r="LP98" s="85"/>
      <c r="LQ98" s="27"/>
      <c r="LR98" s="36"/>
      <c r="LS98" s="85"/>
      <c r="LT98" s="35"/>
      <c r="LU98" s="35"/>
      <c r="LV98" s="35"/>
      <c r="LW98" s="35"/>
      <c r="LX98" s="35"/>
      <c r="LY98" s="35"/>
      <c r="LZ98" s="36"/>
      <c r="MA98" s="35"/>
      <c r="MB98" s="35"/>
      <c r="MC98" s="35"/>
      <c r="MD98" s="35"/>
      <c r="ME98" s="35"/>
      <c r="MF98" s="35"/>
      <c r="MG98" s="35"/>
      <c r="MH98" s="85"/>
      <c r="MI98" s="27"/>
      <c r="MJ98" s="36"/>
      <c r="MK98" s="85"/>
      <c r="ML98" s="35"/>
      <c r="MM98" s="35"/>
      <c r="MN98" s="35"/>
      <c r="MO98" s="35"/>
      <c r="MP98" s="35"/>
      <c r="MQ98" s="35"/>
      <c r="MR98" s="36"/>
      <c r="MS98" s="35"/>
      <c r="MT98" s="35"/>
      <c r="MU98" s="35"/>
      <c r="MV98" s="35"/>
      <c r="MW98" s="35"/>
      <c r="MX98" s="35"/>
      <c r="MY98" s="35"/>
      <c r="MZ98" s="85"/>
      <c r="NA98" s="27"/>
      <c r="NB98" s="36"/>
      <c r="NC98" s="85"/>
      <c r="ND98" s="35"/>
      <c r="NE98" s="35"/>
      <c r="NF98" s="35"/>
      <c r="NG98" s="35"/>
      <c r="NH98" s="35"/>
      <c r="NI98" s="35"/>
      <c r="NJ98" s="36"/>
      <c r="NK98" s="35"/>
      <c r="NL98" s="35"/>
      <c r="NM98" s="35"/>
      <c r="NN98" s="35"/>
      <c r="NO98" s="35"/>
      <c r="NP98" s="35"/>
      <c r="NQ98" s="35"/>
      <c r="NR98" s="85"/>
      <c r="NS98" s="27"/>
      <c r="NT98" s="36"/>
      <c r="NU98" s="85"/>
      <c r="NV98" s="35"/>
      <c r="NW98" s="35"/>
      <c r="NX98" s="35"/>
      <c r="NY98" s="35"/>
      <c r="NZ98" s="35"/>
      <c r="OA98" s="35"/>
      <c r="OB98" s="36"/>
      <c r="OC98" s="35"/>
      <c r="OD98" s="35"/>
      <c r="OE98" s="35"/>
      <c r="OF98" s="35"/>
      <c r="OG98" s="35"/>
      <c r="OH98" s="35"/>
      <c r="OI98" s="35"/>
      <c r="OJ98" s="85"/>
      <c r="OK98" s="27"/>
      <c r="OL98" s="36"/>
      <c r="OM98" s="85"/>
      <c r="ON98" s="35"/>
      <c r="OO98" s="35"/>
      <c r="OP98" s="35"/>
      <c r="OQ98" s="35"/>
      <c r="OR98" s="35"/>
      <c r="OS98" s="35"/>
      <c r="OT98" s="36"/>
      <c r="OU98" s="35"/>
      <c r="OV98" s="35"/>
      <c r="OW98" s="35"/>
      <c r="OX98" s="35"/>
      <c r="OY98" s="35"/>
      <c r="OZ98" s="35"/>
      <c r="PA98" s="35"/>
      <c r="PB98" s="85"/>
      <c r="PC98" s="27"/>
      <c r="PD98" s="36"/>
      <c r="PE98" s="85"/>
      <c r="PF98" s="35"/>
      <c r="PG98" s="35"/>
      <c r="PH98" s="35"/>
      <c r="PI98" s="35"/>
      <c r="PJ98" s="35"/>
      <c r="PK98" s="35"/>
      <c r="PL98" s="36"/>
      <c r="PM98" s="35"/>
      <c r="PN98" s="35"/>
      <c r="PO98" s="35"/>
      <c r="PP98" s="35"/>
      <c r="PQ98" s="35"/>
      <c r="PR98" s="35"/>
      <c r="PS98" s="35"/>
      <c r="PT98" s="85"/>
      <c r="PU98" s="27"/>
      <c r="PV98" s="36"/>
      <c r="PW98" s="85"/>
      <c r="PX98" s="35"/>
      <c r="PY98" s="35"/>
      <c r="PZ98" s="35"/>
      <c r="QA98" s="35"/>
      <c r="QB98" s="35"/>
      <c r="QC98" s="35">
        <v>182730.7</v>
      </c>
      <c r="QD98" s="36"/>
      <c r="QE98" s="35"/>
      <c r="QF98" s="35"/>
      <c r="QG98" s="35"/>
      <c r="QH98" s="35"/>
      <c r="QI98" s="35"/>
      <c r="QJ98" s="35">
        <v>182730.7</v>
      </c>
      <c r="QK98" s="35"/>
      <c r="QL98" s="85"/>
      <c r="QM98" s="27"/>
      <c r="QN98" s="36"/>
      <c r="QO98" s="85"/>
    </row>
    <row r="99" spans="1:457" x14ac:dyDescent="0.25">
      <c r="A99" s="8" t="s">
        <v>229</v>
      </c>
      <c r="B99" s="174">
        <v>85</v>
      </c>
      <c r="C99" s="12" t="s">
        <v>231</v>
      </c>
      <c r="F99" s="32"/>
      <c r="G99" s="33"/>
      <c r="H99" s="32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86"/>
      <c r="Z99" s="148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86"/>
      <c r="AR99" s="148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86"/>
      <c r="BJ99" s="148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86"/>
      <c r="CB99" s="148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86"/>
      <c r="CT99" s="148"/>
      <c r="CU99" s="33"/>
      <c r="CV99" s="33"/>
      <c r="CW99" s="33"/>
      <c r="CX99" s="33"/>
      <c r="CY99" s="33"/>
      <c r="CZ99" s="33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86"/>
      <c r="DL99" s="148"/>
      <c r="DM99" s="33"/>
      <c r="DN99" s="33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86"/>
      <c r="ED99" s="148"/>
      <c r="EE99" s="33"/>
      <c r="EF99" s="33"/>
      <c r="EG99" s="33"/>
      <c r="EH99" s="33"/>
      <c r="EI99" s="33"/>
      <c r="EJ99" s="33"/>
      <c r="EK99" s="33"/>
      <c r="EL99" s="33"/>
      <c r="EM99" s="33"/>
      <c r="EN99" s="33"/>
      <c r="EO99" s="33"/>
      <c r="EP99" s="33"/>
      <c r="EQ99" s="33"/>
      <c r="ER99" s="33"/>
      <c r="ES99" s="33"/>
      <c r="ET99" s="33"/>
      <c r="EU99" s="86"/>
      <c r="EV99" s="148"/>
      <c r="EW99" s="33"/>
      <c r="EX99" s="33"/>
      <c r="EY99" s="33"/>
      <c r="EZ99" s="33"/>
      <c r="FA99" s="33"/>
      <c r="FB99" s="33"/>
      <c r="FC99" s="33"/>
      <c r="FD99" s="33"/>
      <c r="FE99" s="33"/>
      <c r="FF99" s="33"/>
      <c r="FG99" s="33"/>
      <c r="FH99" s="33"/>
      <c r="FI99" s="33"/>
      <c r="FJ99" s="33"/>
      <c r="FK99" s="33"/>
      <c r="FL99" s="33"/>
      <c r="FM99" s="86"/>
      <c r="FN99" s="148"/>
      <c r="FO99" s="33"/>
      <c r="FP99" s="33"/>
      <c r="FQ99" s="33"/>
      <c r="FR99" s="33"/>
      <c r="FS99" s="33"/>
      <c r="FT99" s="33"/>
      <c r="FU99" s="33"/>
      <c r="FV99" s="33"/>
      <c r="FW99" s="33"/>
      <c r="FX99" s="33"/>
      <c r="FY99" s="33"/>
      <c r="FZ99" s="33"/>
      <c r="GA99" s="33"/>
      <c r="GB99" s="33"/>
      <c r="GC99" s="33"/>
      <c r="GD99" s="33"/>
      <c r="GE99" s="86"/>
      <c r="GF99" s="148"/>
      <c r="GG99" s="33"/>
      <c r="GH99" s="33"/>
      <c r="GI99" s="33"/>
      <c r="GJ99" s="33"/>
      <c r="GK99" s="33"/>
      <c r="GL99" s="33"/>
      <c r="GM99" s="33"/>
      <c r="GN99" s="33"/>
      <c r="GO99" s="33"/>
      <c r="GP99" s="33"/>
      <c r="GQ99" s="33"/>
      <c r="GR99" s="33"/>
      <c r="GS99" s="33"/>
      <c r="GT99" s="33"/>
      <c r="GU99" s="33"/>
      <c r="GV99" s="33"/>
      <c r="GW99" s="86"/>
      <c r="GX99" s="148"/>
      <c r="GY99" s="33"/>
      <c r="GZ99" s="33"/>
      <c r="HA99" s="33"/>
      <c r="HB99" s="33"/>
      <c r="HC99" s="33"/>
      <c r="HD99" s="33"/>
      <c r="HE99" s="33"/>
      <c r="HF99" s="33"/>
      <c r="HG99" s="33"/>
      <c r="HH99" s="33"/>
      <c r="HI99" s="33"/>
      <c r="HJ99" s="33"/>
      <c r="HK99" s="33"/>
      <c r="HL99" s="33"/>
      <c r="HM99" s="33"/>
      <c r="HN99" s="33"/>
      <c r="HO99" s="86"/>
      <c r="HP99" s="148"/>
      <c r="HQ99" s="33"/>
      <c r="HR99" s="33"/>
      <c r="HS99" s="33"/>
      <c r="HT99" s="33"/>
      <c r="HU99" s="33"/>
      <c r="HV99" s="33"/>
      <c r="HW99" s="33"/>
      <c r="HX99" s="33"/>
      <c r="HY99" s="33"/>
      <c r="HZ99" s="33"/>
      <c r="IA99" s="33"/>
      <c r="IB99" s="33"/>
      <c r="IC99" s="33"/>
      <c r="ID99" s="33"/>
      <c r="IE99" s="33"/>
      <c r="IF99" s="33"/>
      <c r="IG99" s="86"/>
      <c r="IH99" s="148"/>
      <c r="II99" s="33"/>
      <c r="IJ99" s="33"/>
      <c r="IK99" s="33"/>
      <c r="IL99" s="33"/>
      <c r="IM99" s="33"/>
      <c r="IN99" s="33"/>
      <c r="IO99" s="33"/>
      <c r="IP99" s="33"/>
      <c r="IQ99" s="33"/>
      <c r="IR99" s="33"/>
      <c r="IS99" s="33"/>
      <c r="IT99" s="33"/>
      <c r="IU99" s="33"/>
      <c r="IV99" s="33"/>
      <c r="IW99" s="33"/>
      <c r="IX99" s="33"/>
      <c r="IY99" s="86"/>
      <c r="IZ99" s="148"/>
      <c r="JA99" s="33"/>
      <c r="JB99" s="33"/>
      <c r="JC99" s="33"/>
      <c r="JD99" s="33"/>
      <c r="JE99" s="33"/>
      <c r="JF99" s="33"/>
      <c r="JG99" s="33"/>
      <c r="JH99" s="33"/>
      <c r="JI99" s="33"/>
      <c r="JJ99" s="33"/>
      <c r="JK99" s="33"/>
      <c r="JL99" s="33"/>
      <c r="JM99" s="33"/>
      <c r="JN99" s="33"/>
      <c r="JO99" s="33"/>
      <c r="JP99" s="33"/>
      <c r="JQ99" s="86"/>
      <c r="JR99" s="148"/>
      <c r="JS99" s="33"/>
      <c r="JT99" s="33"/>
      <c r="JU99" s="33"/>
      <c r="JV99" s="33"/>
      <c r="JW99" s="33"/>
      <c r="JX99" s="33"/>
      <c r="JY99" s="33"/>
      <c r="JZ99" s="33"/>
      <c r="KA99" s="33"/>
      <c r="KB99" s="33"/>
      <c r="KC99" s="33"/>
      <c r="KD99" s="33"/>
      <c r="KE99" s="33"/>
      <c r="KF99" s="33"/>
      <c r="KG99" s="33"/>
      <c r="KH99" s="33"/>
      <c r="KI99" s="86"/>
      <c r="KJ99" s="148"/>
      <c r="KK99" s="33"/>
      <c r="KL99" s="33"/>
      <c r="KM99" s="33"/>
      <c r="KN99" s="33"/>
      <c r="KO99" s="33"/>
      <c r="KP99" s="33"/>
      <c r="KQ99" s="33"/>
      <c r="KR99" s="33"/>
      <c r="KS99" s="33"/>
      <c r="KT99" s="33"/>
      <c r="KU99" s="33"/>
      <c r="KV99" s="33"/>
      <c r="KW99" s="33"/>
      <c r="KX99" s="33"/>
      <c r="KY99" s="33"/>
      <c r="KZ99" s="33"/>
      <c r="LA99" s="86"/>
      <c r="LB99" s="148"/>
      <c r="LC99" s="33"/>
      <c r="LD99" s="33"/>
      <c r="LE99" s="33"/>
      <c r="LF99" s="33"/>
      <c r="LG99" s="33"/>
      <c r="LH99" s="33"/>
      <c r="LI99" s="33"/>
      <c r="LJ99" s="33"/>
      <c r="LK99" s="33"/>
      <c r="LL99" s="33"/>
      <c r="LM99" s="33"/>
      <c r="LN99" s="33"/>
      <c r="LO99" s="33"/>
      <c r="LP99" s="33"/>
      <c r="LQ99" s="33"/>
      <c r="LR99" s="33"/>
      <c r="LS99" s="86"/>
      <c r="LT99" s="148"/>
      <c r="LU99" s="33"/>
      <c r="LV99" s="33"/>
      <c r="LW99" s="33"/>
      <c r="LX99" s="33"/>
      <c r="LY99" s="33"/>
      <c r="LZ99" s="33"/>
      <c r="MA99" s="33"/>
      <c r="MB99" s="33"/>
      <c r="MC99" s="33"/>
      <c r="MD99" s="33"/>
      <c r="ME99" s="33"/>
      <c r="MF99" s="33"/>
      <c r="MG99" s="33"/>
      <c r="MH99" s="33"/>
      <c r="MI99" s="33"/>
      <c r="MJ99" s="33"/>
      <c r="MK99" s="86"/>
      <c r="ML99" s="148"/>
      <c r="MM99" s="33"/>
      <c r="MN99" s="33"/>
      <c r="MO99" s="33"/>
      <c r="MP99" s="33"/>
      <c r="MQ99" s="33"/>
      <c r="MR99" s="33"/>
      <c r="MS99" s="33"/>
      <c r="MT99" s="33"/>
      <c r="MU99" s="33"/>
      <c r="MV99" s="33"/>
      <c r="MW99" s="33"/>
      <c r="MX99" s="33"/>
      <c r="MY99" s="33"/>
      <c r="MZ99" s="33"/>
      <c r="NA99" s="33"/>
      <c r="NB99" s="33"/>
      <c r="NC99" s="86"/>
      <c r="ND99" s="148"/>
      <c r="NE99" s="33"/>
      <c r="NF99" s="33"/>
      <c r="NG99" s="33"/>
      <c r="NH99" s="33"/>
      <c r="NI99" s="33"/>
      <c r="NJ99" s="33"/>
      <c r="NK99" s="33"/>
      <c r="NL99" s="33"/>
      <c r="NM99" s="33"/>
      <c r="NN99" s="33"/>
      <c r="NO99" s="33"/>
      <c r="NP99" s="33"/>
      <c r="NQ99" s="33"/>
      <c r="NR99" s="33"/>
      <c r="NS99" s="33"/>
      <c r="NT99" s="33"/>
      <c r="NU99" s="86"/>
      <c r="NV99" s="148"/>
      <c r="NW99" s="33"/>
      <c r="NX99" s="33"/>
      <c r="NY99" s="33"/>
      <c r="NZ99" s="33"/>
      <c r="OA99" s="33"/>
      <c r="OB99" s="33"/>
      <c r="OC99" s="33"/>
      <c r="OD99" s="33"/>
      <c r="OE99" s="33"/>
      <c r="OF99" s="33"/>
      <c r="OG99" s="33"/>
      <c r="OH99" s="33"/>
      <c r="OI99" s="33"/>
      <c r="OJ99" s="33"/>
      <c r="OK99" s="33"/>
      <c r="OL99" s="33"/>
      <c r="OM99" s="86"/>
      <c r="ON99" s="148"/>
      <c r="OO99" s="33"/>
      <c r="OP99" s="33"/>
      <c r="OQ99" s="33"/>
      <c r="OR99" s="33"/>
      <c r="OS99" s="33"/>
      <c r="OT99" s="33"/>
      <c r="OU99" s="33"/>
      <c r="OV99" s="33"/>
      <c r="OW99" s="33"/>
      <c r="OX99" s="33"/>
      <c r="OY99" s="33"/>
      <c r="OZ99" s="33"/>
      <c r="PA99" s="33"/>
      <c r="PB99" s="33"/>
      <c r="PC99" s="33"/>
      <c r="PD99" s="33"/>
      <c r="PE99" s="86"/>
      <c r="PF99" s="148"/>
      <c r="PG99" s="33"/>
      <c r="PH99" s="33"/>
      <c r="PI99" s="33"/>
      <c r="PJ99" s="33"/>
      <c r="PK99" s="33"/>
      <c r="PL99" s="33"/>
      <c r="PM99" s="33"/>
      <c r="PN99" s="33"/>
      <c r="PO99" s="33"/>
      <c r="PP99" s="33"/>
      <c r="PQ99" s="33"/>
      <c r="PR99" s="33"/>
      <c r="PS99" s="33"/>
      <c r="PT99" s="33"/>
      <c r="PU99" s="33"/>
      <c r="PV99" s="33"/>
      <c r="PW99" s="86"/>
      <c r="PX99" s="148"/>
      <c r="PY99" s="33"/>
      <c r="PZ99" s="33"/>
      <c r="QA99" s="33"/>
      <c r="QB99" s="33"/>
      <c r="QC99" s="33"/>
      <c r="QD99" s="33"/>
      <c r="QE99" s="33"/>
      <c r="QF99" s="33"/>
      <c r="QG99" s="33"/>
      <c r="QH99" s="33"/>
      <c r="QI99" s="33"/>
      <c r="QJ99" s="33"/>
      <c r="QK99" s="33"/>
      <c r="QL99" s="33"/>
      <c r="QM99" s="33"/>
      <c r="QN99" s="33"/>
      <c r="QO99" s="86"/>
    </row>
    <row r="100" spans="1:457" x14ac:dyDescent="0.25">
      <c r="A100" s="8" t="s">
        <v>232</v>
      </c>
      <c r="B100" s="174">
        <v>86</v>
      </c>
      <c r="C100" s="13" t="s">
        <v>234</v>
      </c>
      <c r="F100" s="36">
        <v>1171401200</v>
      </c>
      <c r="G100" s="85"/>
      <c r="H100" s="35"/>
      <c r="I100" s="35">
        <v>22143760</v>
      </c>
      <c r="J100" s="35">
        <v>17792500</v>
      </c>
      <c r="K100" s="35">
        <v>4351260</v>
      </c>
      <c r="L100" s="35">
        <v>17792500</v>
      </c>
      <c r="M100" s="35"/>
      <c r="N100" s="36"/>
      <c r="O100" s="35">
        <v>22143760</v>
      </c>
      <c r="P100" s="35">
        <v>17792500</v>
      </c>
      <c r="Q100" s="35"/>
      <c r="R100" s="35">
        <v>4351260</v>
      </c>
      <c r="S100" s="35">
        <v>19.65005</v>
      </c>
      <c r="T100" s="35"/>
      <c r="U100" s="35"/>
      <c r="V100" s="85">
        <v>17792500</v>
      </c>
      <c r="W100" s="27"/>
      <c r="X100" s="36">
        <v>17792500</v>
      </c>
      <c r="Y100" s="85">
        <v>17792500</v>
      </c>
      <c r="Z100" s="35"/>
      <c r="AA100" s="35"/>
      <c r="AB100" s="35"/>
      <c r="AC100" s="35"/>
      <c r="AD100" s="35"/>
      <c r="AE100" s="35"/>
      <c r="AF100" s="36"/>
      <c r="AG100" s="35"/>
      <c r="AH100" s="35"/>
      <c r="AI100" s="35"/>
      <c r="AJ100" s="35"/>
      <c r="AK100" s="35"/>
      <c r="AL100" s="35"/>
      <c r="AM100" s="35"/>
      <c r="AN100" s="85"/>
      <c r="AO100" s="27"/>
      <c r="AP100" s="36"/>
      <c r="AQ100" s="85"/>
      <c r="AR100" s="35"/>
      <c r="AS100" s="35">
        <v>33907230</v>
      </c>
      <c r="AT100" s="35">
        <v>28416300</v>
      </c>
      <c r="AU100" s="35">
        <v>5490930</v>
      </c>
      <c r="AV100" s="35">
        <v>28416300</v>
      </c>
      <c r="AW100" s="35">
        <v>6138145</v>
      </c>
      <c r="AX100" s="36"/>
      <c r="AY100" s="35">
        <v>33907230</v>
      </c>
      <c r="AZ100" s="35">
        <v>28416300</v>
      </c>
      <c r="BA100" s="35"/>
      <c r="BB100" s="35">
        <v>5490930</v>
      </c>
      <c r="BC100" s="35">
        <v>16.19398</v>
      </c>
      <c r="BD100" s="35">
        <v>6138145</v>
      </c>
      <c r="BE100" s="35"/>
      <c r="BF100" s="85">
        <v>28416300</v>
      </c>
      <c r="BG100" s="27"/>
      <c r="BH100" s="36">
        <v>28416300</v>
      </c>
      <c r="BI100" s="85">
        <v>28416300</v>
      </c>
      <c r="BJ100" s="35"/>
      <c r="BK100" s="35"/>
      <c r="BL100" s="35"/>
      <c r="BM100" s="35"/>
      <c r="BN100" s="35"/>
      <c r="BO100" s="35"/>
      <c r="BP100" s="36"/>
      <c r="BQ100" s="35"/>
      <c r="BR100" s="35"/>
      <c r="BS100" s="35"/>
      <c r="BT100" s="35"/>
      <c r="BU100" s="35"/>
      <c r="BV100" s="35"/>
      <c r="BW100" s="35"/>
      <c r="BX100" s="85"/>
      <c r="BY100" s="27"/>
      <c r="BZ100" s="36"/>
      <c r="CA100" s="85"/>
      <c r="CB100" s="35"/>
      <c r="CC100" s="35">
        <v>43468800</v>
      </c>
      <c r="CD100" s="35">
        <v>13438800</v>
      </c>
      <c r="CE100" s="35">
        <v>30030000</v>
      </c>
      <c r="CF100" s="35">
        <v>13438800</v>
      </c>
      <c r="CG100" s="35"/>
      <c r="CH100" s="36"/>
      <c r="CI100" s="35">
        <v>43468800</v>
      </c>
      <c r="CJ100" s="35">
        <v>13438800</v>
      </c>
      <c r="CK100" s="35"/>
      <c r="CL100" s="35">
        <v>30030000</v>
      </c>
      <c r="CM100" s="35">
        <v>69.084029999999998</v>
      </c>
      <c r="CN100" s="35"/>
      <c r="CO100" s="35"/>
      <c r="CP100" s="85">
        <v>13438800</v>
      </c>
      <c r="CQ100" s="27"/>
      <c r="CR100" s="36">
        <v>13438800</v>
      </c>
      <c r="CS100" s="85">
        <v>13438800</v>
      </c>
      <c r="CT100" s="35"/>
      <c r="CU100" s="35">
        <v>1242244909</v>
      </c>
      <c r="CV100" s="35">
        <v>376461400</v>
      </c>
      <c r="CW100" s="35">
        <v>865783509</v>
      </c>
      <c r="CX100" s="35">
        <v>375881605.95999998</v>
      </c>
      <c r="CY100" s="35">
        <v>310658.90999999997</v>
      </c>
      <c r="CZ100" s="36"/>
      <c r="DA100" s="35">
        <v>1238894109.6199999</v>
      </c>
      <c r="DB100" s="35">
        <v>375445930.77999997</v>
      </c>
      <c r="DC100" s="35"/>
      <c r="DD100" s="35">
        <v>863448178.84000003</v>
      </c>
      <c r="DE100" s="35">
        <v>69.695070000000001</v>
      </c>
      <c r="DF100" s="35">
        <v>310658.90999999997</v>
      </c>
      <c r="DG100" s="35">
        <v>435675.18</v>
      </c>
      <c r="DH100" s="85">
        <v>375445930.77999997</v>
      </c>
      <c r="DI100" s="27"/>
      <c r="DJ100" s="36">
        <v>376461400</v>
      </c>
      <c r="DK100" s="85">
        <v>376461400</v>
      </c>
      <c r="DL100" s="35"/>
      <c r="DM100" s="35"/>
      <c r="DN100" s="35"/>
      <c r="DO100" s="35"/>
      <c r="DP100" s="35"/>
      <c r="DQ100" s="35"/>
      <c r="DR100" s="36"/>
      <c r="DS100" s="35"/>
      <c r="DT100" s="35"/>
      <c r="DU100" s="35"/>
      <c r="DV100" s="35"/>
      <c r="DW100" s="35"/>
      <c r="DX100" s="35"/>
      <c r="DY100" s="35"/>
      <c r="DZ100" s="85"/>
      <c r="EA100" s="27"/>
      <c r="EB100" s="36"/>
      <c r="EC100" s="85"/>
      <c r="ED100" s="35"/>
      <c r="EE100" s="35">
        <v>171758007</v>
      </c>
      <c r="EF100" s="35">
        <v>162867200</v>
      </c>
      <c r="EG100" s="35">
        <v>8890807</v>
      </c>
      <c r="EH100" s="35">
        <v>162867200</v>
      </c>
      <c r="EI100" s="35"/>
      <c r="EJ100" s="36"/>
      <c r="EK100" s="35">
        <v>171758007</v>
      </c>
      <c r="EL100" s="35">
        <v>162867200</v>
      </c>
      <c r="EM100" s="35"/>
      <c r="EN100" s="35">
        <v>8890807</v>
      </c>
      <c r="EO100" s="35">
        <v>5.1763599999999999</v>
      </c>
      <c r="EP100" s="35"/>
      <c r="EQ100" s="35"/>
      <c r="ER100" s="85">
        <v>162867200</v>
      </c>
      <c r="ES100" s="27"/>
      <c r="ET100" s="36">
        <v>162867200</v>
      </c>
      <c r="EU100" s="85">
        <v>162867200</v>
      </c>
      <c r="EV100" s="35"/>
      <c r="EW100" s="35"/>
      <c r="EX100" s="35"/>
      <c r="EY100" s="35"/>
      <c r="EZ100" s="35"/>
      <c r="FA100" s="35"/>
      <c r="FB100" s="36"/>
      <c r="FC100" s="35"/>
      <c r="FD100" s="35"/>
      <c r="FE100" s="35"/>
      <c r="FF100" s="35"/>
      <c r="FG100" s="35"/>
      <c r="FH100" s="35"/>
      <c r="FI100" s="35"/>
      <c r="FJ100" s="85"/>
      <c r="FK100" s="27"/>
      <c r="FL100" s="36"/>
      <c r="FM100" s="85"/>
      <c r="FN100" s="35"/>
      <c r="FO100" s="35">
        <v>46322800</v>
      </c>
      <c r="FP100" s="35">
        <v>23177800</v>
      </c>
      <c r="FQ100" s="35">
        <v>23145000</v>
      </c>
      <c r="FR100" s="35">
        <v>23177800</v>
      </c>
      <c r="FS100" s="35"/>
      <c r="FT100" s="36"/>
      <c r="FU100" s="35">
        <v>46322800</v>
      </c>
      <c r="FV100" s="35">
        <v>23177800</v>
      </c>
      <c r="FW100" s="35"/>
      <c r="FX100" s="35">
        <v>23145000</v>
      </c>
      <c r="FY100" s="35">
        <v>49.964599999999997</v>
      </c>
      <c r="FZ100" s="35"/>
      <c r="GA100" s="35"/>
      <c r="GB100" s="85">
        <v>23177800</v>
      </c>
      <c r="GC100" s="27"/>
      <c r="GD100" s="36">
        <v>23177800</v>
      </c>
      <c r="GE100" s="85">
        <v>23177800</v>
      </c>
      <c r="GF100" s="35"/>
      <c r="GG100" s="35">
        <v>419433100</v>
      </c>
      <c r="GH100" s="35">
        <v>247433100</v>
      </c>
      <c r="GI100" s="35">
        <v>172000000</v>
      </c>
      <c r="GJ100" s="35">
        <v>247433100</v>
      </c>
      <c r="GK100" s="35"/>
      <c r="GL100" s="36"/>
      <c r="GM100" s="35">
        <v>419433100</v>
      </c>
      <c r="GN100" s="35">
        <v>247433100</v>
      </c>
      <c r="GO100" s="35"/>
      <c r="GP100" s="35">
        <v>172000000</v>
      </c>
      <c r="GQ100" s="35">
        <v>41.007730000000002</v>
      </c>
      <c r="GR100" s="35"/>
      <c r="GS100" s="35"/>
      <c r="GT100" s="85">
        <v>247433100</v>
      </c>
      <c r="GU100" s="27"/>
      <c r="GV100" s="36">
        <v>247433100</v>
      </c>
      <c r="GW100" s="85">
        <v>247433100</v>
      </c>
      <c r="GX100" s="35"/>
      <c r="GY100" s="35"/>
      <c r="GZ100" s="35"/>
      <c r="HA100" s="35"/>
      <c r="HB100" s="35"/>
      <c r="HC100" s="35"/>
      <c r="HD100" s="36"/>
      <c r="HE100" s="35"/>
      <c r="HF100" s="35"/>
      <c r="HG100" s="35"/>
      <c r="HH100" s="35"/>
      <c r="HI100" s="35"/>
      <c r="HJ100" s="35"/>
      <c r="HK100" s="35"/>
      <c r="HL100" s="85"/>
      <c r="HM100" s="27"/>
      <c r="HN100" s="36"/>
      <c r="HO100" s="85"/>
      <c r="HP100" s="35"/>
      <c r="HQ100" s="35">
        <v>297506860</v>
      </c>
      <c r="HR100" s="35">
        <v>193900000</v>
      </c>
      <c r="HS100" s="35">
        <v>103606860</v>
      </c>
      <c r="HT100" s="35">
        <v>193900000</v>
      </c>
      <c r="HU100" s="35"/>
      <c r="HV100" s="36"/>
      <c r="HW100" s="35">
        <v>297506860</v>
      </c>
      <c r="HX100" s="35">
        <v>193900000</v>
      </c>
      <c r="HY100" s="35"/>
      <c r="HZ100" s="35">
        <v>103606860</v>
      </c>
      <c r="IA100" s="35">
        <v>34.825029999999998</v>
      </c>
      <c r="IB100" s="35"/>
      <c r="IC100" s="35"/>
      <c r="ID100" s="85">
        <v>193900000</v>
      </c>
      <c r="IE100" s="27"/>
      <c r="IF100" s="36">
        <v>193900000</v>
      </c>
      <c r="IG100" s="85">
        <v>193900000</v>
      </c>
      <c r="IH100" s="35"/>
      <c r="II100" s="35"/>
      <c r="IJ100" s="35"/>
      <c r="IK100" s="35"/>
      <c r="IL100" s="35"/>
      <c r="IM100" s="35"/>
      <c r="IN100" s="36"/>
      <c r="IO100" s="35"/>
      <c r="IP100" s="35"/>
      <c r="IQ100" s="35"/>
      <c r="IR100" s="35"/>
      <c r="IS100" s="35"/>
      <c r="IT100" s="35"/>
      <c r="IU100" s="35"/>
      <c r="IV100" s="85"/>
      <c r="IW100" s="27"/>
      <c r="IX100" s="36"/>
      <c r="IY100" s="85"/>
      <c r="IZ100" s="35"/>
      <c r="JA100" s="35"/>
      <c r="JB100" s="35"/>
      <c r="JC100" s="35"/>
      <c r="JD100" s="35"/>
      <c r="JE100" s="35"/>
      <c r="JF100" s="36"/>
      <c r="JG100" s="35"/>
      <c r="JH100" s="35"/>
      <c r="JI100" s="35"/>
      <c r="JJ100" s="35"/>
      <c r="JK100" s="35"/>
      <c r="JL100" s="35"/>
      <c r="JM100" s="35"/>
      <c r="JN100" s="85"/>
      <c r="JO100" s="27"/>
      <c r="JP100" s="36"/>
      <c r="JQ100" s="85"/>
      <c r="JR100" s="35"/>
      <c r="JS100" s="35"/>
      <c r="JT100" s="35"/>
      <c r="JU100" s="35"/>
      <c r="JV100" s="35"/>
      <c r="JW100" s="35"/>
      <c r="JX100" s="36"/>
      <c r="JY100" s="35"/>
      <c r="JZ100" s="35"/>
      <c r="KA100" s="35"/>
      <c r="KB100" s="35"/>
      <c r="KC100" s="35"/>
      <c r="KD100" s="35"/>
      <c r="KE100" s="35"/>
      <c r="KF100" s="85"/>
      <c r="KG100" s="27"/>
      <c r="KH100" s="36"/>
      <c r="KI100" s="85"/>
      <c r="KJ100" s="35"/>
      <c r="KK100" s="35">
        <v>9748000</v>
      </c>
      <c r="KL100" s="35">
        <v>4748000</v>
      </c>
      <c r="KM100" s="35">
        <v>5000000</v>
      </c>
      <c r="KN100" s="35">
        <v>4748000</v>
      </c>
      <c r="KO100" s="35"/>
      <c r="KP100" s="36"/>
      <c r="KQ100" s="35">
        <v>9748000</v>
      </c>
      <c r="KR100" s="35">
        <v>4748000</v>
      </c>
      <c r="KS100" s="35"/>
      <c r="KT100" s="35">
        <v>5000000</v>
      </c>
      <c r="KU100" s="35">
        <v>51.292569999999998</v>
      </c>
      <c r="KV100" s="35"/>
      <c r="KW100" s="35"/>
      <c r="KX100" s="85">
        <v>4748000</v>
      </c>
      <c r="KY100" s="27"/>
      <c r="KZ100" s="36">
        <v>4748000</v>
      </c>
      <c r="LA100" s="85">
        <v>4748000</v>
      </c>
      <c r="LB100" s="35"/>
      <c r="LC100" s="35"/>
      <c r="LD100" s="35"/>
      <c r="LE100" s="35"/>
      <c r="LF100" s="35"/>
      <c r="LG100" s="35"/>
      <c r="LH100" s="36"/>
      <c r="LI100" s="35"/>
      <c r="LJ100" s="35"/>
      <c r="LK100" s="35"/>
      <c r="LL100" s="35"/>
      <c r="LM100" s="35"/>
      <c r="LN100" s="35"/>
      <c r="LO100" s="35"/>
      <c r="LP100" s="85"/>
      <c r="LQ100" s="27"/>
      <c r="LR100" s="36"/>
      <c r="LS100" s="85"/>
      <c r="LT100" s="35"/>
      <c r="LU100" s="35"/>
      <c r="LV100" s="35"/>
      <c r="LW100" s="35"/>
      <c r="LX100" s="35"/>
      <c r="LY100" s="35"/>
      <c r="LZ100" s="36"/>
      <c r="MA100" s="35"/>
      <c r="MB100" s="35"/>
      <c r="MC100" s="35"/>
      <c r="MD100" s="35"/>
      <c r="ME100" s="35"/>
      <c r="MF100" s="35"/>
      <c r="MG100" s="35"/>
      <c r="MH100" s="85"/>
      <c r="MI100" s="27"/>
      <c r="MJ100" s="36"/>
      <c r="MK100" s="85"/>
      <c r="ML100" s="35"/>
      <c r="MM100" s="35"/>
      <c r="MN100" s="35"/>
      <c r="MO100" s="35"/>
      <c r="MP100" s="35"/>
      <c r="MQ100" s="35"/>
      <c r="MR100" s="36"/>
      <c r="MS100" s="35"/>
      <c r="MT100" s="35"/>
      <c r="MU100" s="35"/>
      <c r="MV100" s="35"/>
      <c r="MW100" s="35"/>
      <c r="MX100" s="35"/>
      <c r="MY100" s="35"/>
      <c r="MZ100" s="85"/>
      <c r="NA100" s="27"/>
      <c r="NB100" s="36"/>
      <c r="NC100" s="85"/>
      <c r="ND100" s="35"/>
      <c r="NE100" s="35">
        <v>185617300</v>
      </c>
      <c r="NF100" s="35">
        <v>97674300</v>
      </c>
      <c r="NG100" s="35">
        <v>87943000</v>
      </c>
      <c r="NH100" s="35">
        <v>97674300</v>
      </c>
      <c r="NI100" s="35"/>
      <c r="NJ100" s="36"/>
      <c r="NK100" s="35">
        <v>185617300</v>
      </c>
      <c r="NL100" s="35">
        <v>97674300</v>
      </c>
      <c r="NM100" s="35"/>
      <c r="NN100" s="35">
        <v>87943000</v>
      </c>
      <c r="NO100" s="35">
        <v>47.37867</v>
      </c>
      <c r="NP100" s="35"/>
      <c r="NQ100" s="35"/>
      <c r="NR100" s="85">
        <v>97674300</v>
      </c>
      <c r="NS100" s="27"/>
      <c r="NT100" s="36">
        <v>97674300</v>
      </c>
      <c r="NU100" s="85">
        <v>97674300</v>
      </c>
      <c r="NV100" s="35"/>
      <c r="NW100" s="35"/>
      <c r="NX100" s="35"/>
      <c r="NY100" s="35"/>
      <c r="NZ100" s="35"/>
      <c r="OA100" s="35"/>
      <c r="OB100" s="36"/>
      <c r="OC100" s="35"/>
      <c r="OD100" s="35"/>
      <c r="OE100" s="35"/>
      <c r="OF100" s="35"/>
      <c r="OG100" s="35"/>
      <c r="OH100" s="35"/>
      <c r="OI100" s="35"/>
      <c r="OJ100" s="85"/>
      <c r="OK100" s="27"/>
      <c r="OL100" s="36"/>
      <c r="OM100" s="85"/>
      <c r="ON100" s="35"/>
      <c r="OO100" s="35">
        <v>12491800</v>
      </c>
      <c r="OP100" s="35">
        <v>5491800</v>
      </c>
      <c r="OQ100" s="35">
        <v>7000000</v>
      </c>
      <c r="OR100" s="35">
        <v>5491800</v>
      </c>
      <c r="OS100" s="35"/>
      <c r="OT100" s="36"/>
      <c r="OU100" s="35">
        <v>12491800</v>
      </c>
      <c r="OV100" s="35">
        <v>5491800</v>
      </c>
      <c r="OW100" s="35"/>
      <c r="OX100" s="35">
        <v>7000000</v>
      </c>
      <c r="OY100" s="35">
        <v>56.036760000000001</v>
      </c>
      <c r="OZ100" s="35"/>
      <c r="PA100" s="35"/>
      <c r="PB100" s="85">
        <v>5491800</v>
      </c>
      <c r="PC100" s="27"/>
      <c r="PD100" s="36">
        <v>5491800</v>
      </c>
      <c r="PE100" s="85">
        <v>5491800</v>
      </c>
      <c r="PF100" s="35"/>
      <c r="PG100" s="35"/>
      <c r="PH100" s="35"/>
      <c r="PI100" s="35"/>
      <c r="PJ100" s="35"/>
      <c r="PK100" s="35"/>
      <c r="PL100" s="36"/>
      <c r="PM100" s="35"/>
      <c r="PN100" s="35"/>
      <c r="PO100" s="35"/>
      <c r="PP100" s="35"/>
      <c r="PQ100" s="35"/>
      <c r="PR100" s="35"/>
      <c r="PS100" s="35"/>
      <c r="PT100" s="85"/>
      <c r="PU100" s="27"/>
      <c r="PV100" s="36"/>
      <c r="PW100" s="85"/>
      <c r="PX100" s="35"/>
      <c r="PY100" s="35"/>
      <c r="PZ100" s="35"/>
      <c r="QA100" s="35"/>
      <c r="QB100" s="35"/>
      <c r="QC100" s="35"/>
      <c r="QD100" s="36"/>
      <c r="QE100" s="35"/>
      <c r="QF100" s="35"/>
      <c r="QG100" s="35"/>
      <c r="QH100" s="35"/>
      <c r="QI100" s="35"/>
      <c r="QJ100" s="35"/>
      <c r="QK100" s="35"/>
      <c r="QL100" s="85"/>
      <c r="QM100" s="27"/>
      <c r="QN100" s="36"/>
      <c r="QO100" s="85"/>
    </row>
    <row r="101" spans="1:457" x14ac:dyDescent="0.25">
      <c r="A101" s="8" t="s">
        <v>235</v>
      </c>
      <c r="B101" s="172">
        <v>87</v>
      </c>
      <c r="C101" s="13" t="s">
        <v>237</v>
      </c>
      <c r="F101" s="36">
        <v>121240900</v>
      </c>
      <c r="G101" s="85"/>
      <c r="H101" s="35"/>
      <c r="I101" s="35">
        <v>32973664.41</v>
      </c>
      <c r="J101" s="35">
        <v>30675400</v>
      </c>
      <c r="K101" s="35">
        <v>2298264.41</v>
      </c>
      <c r="L101" s="35">
        <v>29085571</v>
      </c>
      <c r="M101" s="35">
        <v>0</v>
      </c>
      <c r="N101" s="36"/>
      <c r="O101" s="35">
        <v>31264722.109999999</v>
      </c>
      <c r="P101" s="35">
        <v>29085570.98</v>
      </c>
      <c r="Q101" s="35"/>
      <c r="R101" s="35">
        <v>2179151.13</v>
      </c>
      <c r="S101" s="35">
        <v>6.97</v>
      </c>
      <c r="T101" s="35">
        <v>0</v>
      </c>
      <c r="U101" s="35">
        <v>0.02</v>
      </c>
      <c r="V101" s="85">
        <v>29085570.98</v>
      </c>
      <c r="W101" s="27"/>
      <c r="X101" s="36">
        <v>30675400</v>
      </c>
      <c r="Y101" s="85">
        <v>30675400</v>
      </c>
      <c r="Z101" s="35"/>
      <c r="AA101" s="35"/>
      <c r="AB101" s="35"/>
      <c r="AC101" s="35"/>
      <c r="AD101" s="35"/>
      <c r="AE101" s="35"/>
      <c r="AF101" s="36"/>
      <c r="AG101" s="35"/>
      <c r="AH101" s="35"/>
      <c r="AI101" s="35"/>
      <c r="AJ101" s="35"/>
      <c r="AK101" s="35"/>
      <c r="AL101" s="35"/>
      <c r="AM101" s="35"/>
      <c r="AN101" s="85"/>
      <c r="AO101" s="27"/>
      <c r="AP101" s="36"/>
      <c r="AQ101" s="85"/>
      <c r="AR101" s="35"/>
      <c r="AS101" s="35">
        <v>5768000</v>
      </c>
      <c r="AT101" s="35">
        <v>4459000</v>
      </c>
      <c r="AU101" s="35">
        <v>1309000</v>
      </c>
      <c r="AV101" s="35">
        <v>4459000</v>
      </c>
      <c r="AW101" s="35"/>
      <c r="AX101" s="36"/>
      <c r="AY101" s="35">
        <v>5768000</v>
      </c>
      <c r="AZ101" s="35">
        <v>4459000</v>
      </c>
      <c r="BA101" s="35"/>
      <c r="BB101" s="35">
        <v>1309000</v>
      </c>
      <c r="BC101" s="35">
        <v>22.69417</v>
      </c>
      <c r="BD101" s="35"/>
      <c r="BE101" s="35"/>
      <c r="BF101" s="85">
        <v>4459000</v>
      </c>
      <c r="BG101" s="27"/>
      <c r="BH101" s="36">
        <v>4459000</v>
      </c>
      <c r="BI101" s="85">
        <v>4459000</v>
      </c>
      <c r="BJ101" s="35"/>
      <c r="BK101" s="35"/>
      <c r="BL101" s="35"/>
      <c r="BM101" s="35"/>
      <c r="BN101" s="35"/>
      <c r="BO101" s="35"/>
      <c r="BP101" s="36"/>
      <c r="BQ101" s="35"/>
      <c r="BR101" s="35"/>
      <c r="BS101" s="35"/>
      <c r="BT101" s="35"/>
      <c r="BU101" s="35"/>
      <c r="BV101" s="35"/>
      <c r="BW101" s="35"/>
      <c r="BX101" s="85"/>
      <c r="BY101" s="27"/>
      <c r="BZ101" s="36"/>
      <c r="CA101" s="85"/>
      <c r="CB101" s="35"/>
      <c r="CC101" s="35">
        <v>8854700</v>
      </c>
      <c r="CD101" s="35">
        <v>7394700</v>
      </c>
      <c r="CE101" s="35">
        <v>1460000</v>
      </c>
      <c r="CF101" s="35">
        <v>7394699.9800000004</v>
      </c>
      <c r="CG101" s="35">
        <v>922500</v>
      </c>
      <c r="CH101" s="36"/>
      <c r="CI101" s="35">
        <v>8854699.9800000004</v>
      </c>
      <c r="CJ101" s="35">
        <v>7394699.9800000004</v>
      </c>
      <c r="CK101" s="35"/>
      <c r="CL101" s="35">
        <v>1460000</v>
      </c>
      <c r="CM101" s="35">
        <v>16.488420000000001</v>
      </c>
      <c r="CN101" s="35">
        <v>922500</v>
      </c>
      <c r="CO101" s="35"/>
      <c r="CP101" s="85">
        <v>7394699.9800000004</v>
      </c>
      <c r="CQ101" s="27"/>
      <c r="CR101" s="36">
        <v>7394700</v>
      </c>
      <c r="CS101" s="85">
        <v>7394700</v>
      </c>
      <c r="CT101" s="35"/>
      <c r="CU101" s="35">
        <v>109106000</v>
      </c>
      <c r="CV101" s="35">
        <v>71106000</v>
      </c>
      <c r="CW101" s="35">
        <v>38000000</v>
      </c>
      <c r="CX101" s="35">
        <v>71105998.420000002</v>
      </c>
      <c r="CY101" s="35"/>
      <c r="CZ101" s="36"/>
      <c r="DA101" s="35">
        <v>109105997.58</v>
      </c>
      <c r="DB101" s="35">
        <v>71105998.420000002</v>
      </c>
      <c r="DC101" s="35"/>
      <c r="DD101" s="35">
        <v>37999999.159999996</v>
      </c>
      <c r="DE101" s="35">
        <v>34.828519999999997</v>
      </c>
      <c r="DF101" s="35"/>
      <c r="DG101" s="35">
        <v>0</v>
      </c>
      <c r="DH101" s="85">
        <v>71105998.420000002</v>
      </c>
      <c r="DI101" s="27"/>
      <c r="DJ101" s="36">
        <v>71106000</v>
      </c>
      <c r="DK101" s="85">
        <v>71106000</v>
      </c>
      <c r="DL101" s="35"/>
      <c r="DM101" s="35"/>
      <c r="DN101" s="35"/>
      <c r="DO101" s="35"/>
      <c r="DP101" s="35"/>
      <c r="DQ101" s="35"/>
      <c r="DR101" s="36"/>
      <c r="DS101" s="35"/>
      <c r="DT101" s="35"/>
      <c r="DU101" s="35"/>
      <c r="DV101" s="35"/>
      <c r="DW101" s="35"/>
      <c r="DX101" s="35"/>
      <c r="DY101" s="35"/>
      <c r="DZ101" s="85"/>
      <c r="EA101" s="27"/>
      <c r="EB101" s="36"/>
      <c r="EC101" s="85"/>
      <c r="ED101" s="35"/>
      <c r="EE101" s="35"/>
      <c r="EF101" s="35"/>
      <c r="EG101" s="35"/>
      <c r="EH101" s="35"/>
      <c r="EI101" s="35"/>
      <c r="EJ101" s="36"/>
      <c r="EK101" s="35"/>
      <c r="EL101" s="35"/>
      <c r="EM101" s="35"/>
      <c r="EN101" s="35"/>
      <c r="EO101" s="35"/>
      <c r="EP101" s="35"/>
      <c r="EQ101" s="35"/>
      <c r="ER101" s="85"/>
      <c r="ES101" s="27"/>
      <c r="ET101" s="36"/>
      <c r="EU101" s="85"/>
      <c r="EV101" s="35"/>
      <c r="EW101" s="35"/>
      <c r="EX101" s="35"/>
      <c r="EY101" s="35"/>
      <c r="EZ101" s="35"/>
      <c r="FA101" s="35"/>
      <c r="FB101" s="36"/>
      <c r="FC101" s="35"/>
      <c r="FD101" s="35"/>
      <c r="FE101" s="35"/>
      <c r="FF101" s="35"/>
      <c r="FG101" s="35"/>
      <c r="FH101" s="35"/>
      <c r="FI101" s="35"/>
      <c r="FJ101" s="85"/>
      <c r="FK101" s="27"/>
      <c r="FL101" s="36"/>
      <c r="FM101" s="85"/>
      <c r="FN101" s="35"/>
      <c r="FO101" s="35"/>
      <c r="FP101" s="35"/>
      <c r="FQ101" s="35"/>
      <c r="FR101" s="35"/>
      <c r="FS101" s="35"/>
      <c r="FT101" s="36"/>
      <c r="FU101" s="35"/>
      <c r="FV101" s="35"/>
      <c r="FW101" s="35"/>
      <c r="FX101" s="35"/>
      <c r="FY101" s="35"/>
      <c r="FZ101" s="35"/>
      <c r="GA101" s="35"/>
      <c r="GB101" s="85"/>
      <c r="GC101" s="27"/>
      <c r="GD101" s="36"/>
      <c r="GE101" s="85"/>
      <c r="GF101" s="35"/>
      <c r="GG101" s="35">
        <v>8006105.2599999998</v>
      </c>
      <c r="GH101" s="35">
        <v>7605800</v>
      </c>
      <c r="GI101" s="35">
        <v>400305.26</v>
      </c>
      <c r="GJ101" s="35">
        <v>7605800</v>
      </c>
      <c r="GK101" s="35"/>
      <c r="GL101" s="36"/>
      <c r="GM101" s="35">
        <v>8006105.2599999998</v>
      </c>
      <c r="GN101" s="35">
        <v>7605800</v>
      </c>
      <c r="GO101" s="35"/>
      <c r="GP101" s="35">
        <v>400305.26</v>
      </c>
      <c r="GQ101" s="35">
        <v>5</v>
      </c>
      <c r="GR101" s="35"/>
      <c r="GS101" s="35"/>
      <c r="GT101" s="85">
        <v>7605800</v>
      </c>
      <c r="GU101" s="27"/>
      <c r="GV101" s="36">
        <v>7605800</v>
      </c>
      <c r="GW101" s="85">
        <v>7605800</v>
      </c>
      <c r="GX101" s="35"/>
      <c r="GY101" s="35"/>
      <c r="GZ101" s="35"/>
      <c r="HA101" s="35"/>
      <c r="HB101" s="35"/>
      <c r="HC101" s="35"/>
      <c r="HD101" s="36"/>
      <c r="HE101" s="35"/>
      <c r="HF101" s="35"/>
      <c r="HG101" s="35"/>
      <c r="HH101" s="35"/>
      <c r="HI101" s="35"/>
      <c r="HJ101" s="35"/>
      <c r="HK101" s="35"/>
      <c r="HL101" s="85"/>
      <c r="HM101" s="27"/>
      <c r="HN101" s="36"/>
      <c r="HO101" s="85"/>
      <c r="HP101" s="35"/>
      <c r="HQ101" s="35"/>
      <c r="HR101" s="35"/>
      <c r="HS101" s="35"/>
      <c r="HT101" s="35"/>
      <c r="HU101" s="35"/>
      <c r="HV101" s="36"/>
      <c r="HW101" s="35"/>
      <c r="HX101" s="35"/>
      <c r="HY101" s="35"/>
      <c r="HZ101" s="35"/>
      <c r="IA101" s="35"/>
      <c r="IB101" s="35"/>
      <c r="IC101" s="35"/>
      <c r="ID101" s="85"/>
      <c r="IE101" s="27"/>
      <c r="IF101" s="36"/>
      <c r="IG101" s="85"/>
      <c r="IH101" s="35"/>
      <c r="II101" s="35"/>
      <c r="IJ101" s="35"/>
      <c r="IK101" s="35"/>
      <c r="IL101" s="35"/>
      <c r="IM101" s="35"/>
      <c r="IN101" s="36"/>
      <c r="IO101" s="35"/>
      <c r="IP101" s="35"/>
      <c r="IQ101" s="35"/>
      <c r="IR101" s="35"/>
      <c r="IS101" s="35"/>
      <c r="IT101" s="35"/>
      <c r="IU101" s="35"/>
      <c r="IV101" s="85"/>
      <c r="IW101" s="27"/>
      <c r="IX101" s="36"/>
      <c r="IY101" s="85"/>
      <c r="IZ101" s="35"/>
      <c r="JA101" s="35"/>
      <c r="JB101" s="35"/>
      <c r="JC101" s="35"/>
      <c r="JD101" s="35"/>
      <c r="JE101" s="35"/>
      <c r="JF101" s="36"/>
      <c r="JG101" s="35"/>
      <c r="JH101" s="35"/>
      <c r="JI101" s="35"/>
      <c r="JJ101" s="35"/>
      <c r="JK101" s="35"/>
      <c r="JL101" s="35"/>
      <c r="JM101" s="35"/>
      <c r="JN101" s="85"/>
      <c r="JO101" s="27"/>
      <c r="JP101" s="36"/>
      <c r="JQ101" s="85"/>
      <c r="JR101" s="35"/>
      <c r="JS101" s="35"/>
      <c r="JT101" s="35"/>
      <c r="JU101" s="35"/>
      <c r="JV101" s="35"/>
      <c r="JW101" s="35"/>
      <c r="JX101" s="36"/>
      <c r="JY101" s="35"/>
      <c r="JZ101" s="35"/>
      <c r="KA101" s="35"/>
      <c r="KB101" s="35"/>
      <c r="KC101" s="35"/>
      <c r="KD101" s="35"/>
      <c r="KE101" s="35"/>
      <c r="KF101" s="85"/>
      <c r="KG101" s="27"/>
      <c r="KH101" s="36"/>
      <c r="KI101" s="85"/>
      <c r="KJ101" s="35"/>
      <c r="KK101" s="35"/>
      <c r="KL101" s="35"/>
      <c r="KM101" s="35"/>
      <c r="KN101" s="35"/>
      <c r="KO101" s="35"/>
      <c r="KP101" s="36"/>
      <c r="KQ101" s="35"/>
      <c r="KR101" s="35"/>
      <c r="KS101" s="35"/>
      <c r="KT101" s="35"/>
      <c r="KU101" s="35"/>
      <c r="KV101" s="35"/>
      <c r="KW101" s="35"/>
      <c r="KX101" s="85"/>
      <c r="KY101" s="27"/>
      <c r="KZ101" s="36"/>
      <c r="LA101" s="85"/>
      <c r="LB101" s="35"/>
      <c r="LC101" s="35"/>
      <c r="LD101" s="35"/>
      <c r="LE101" s="35"/>
      <c r="LF101" s="35"/>
      <c r="LG101" s="35"/>
      <c r="LH101" s="36"/>
      <c r="LI101" s="35"/>
      <c r="LJ101" s="35"/>
      <c r="LK101" s="35"/>
      <c r="LL101" s="35"/>
      <c r="LM101" s="35"/>
      <c r="LN101" s="35"/>
      <c r="LO101" s="35"/>
      <c r="LP101" s="85"/>
      <c r="LQ101" s="27"/>
      <c r="LR101" s="36"/>
      <c r="LS101" s="85"/>
      <c r="LT101" s="35"/>
      <c r="LU101" s="35"/>
      <c r="LV101" s="35"/>
      <c r="LW101" s="35"/>
      <c r="LX101" s="35"/>
      <c r="LY101" s="35"/>
      <c r="LZ101" s="36"/>
      <c r="MA101" s="35"/>
      <c r="MB101" s="35"/>
      <c r="MC101" s="35"/>
      <c r="MD101" s="35"/>
      <c r="ME101" s="35"/>
      <c r="MF101" s="35"/>
      <c r="MG101" s="35"/>
      <c r="MH101" s="85"/>
      <c r="MI101" s="27"/>
      <c r="MJ101" s="36"/>
      <c r="MK101" s="85"/>
      <c r="ML101" s="35"/>
      <c r="MM101" s="35"/>
      <c r="MN101" s="35"/>
      <c r="MO101" s="35"/>
      <c r="MP101" s="35"/>
      <c r="MQ101" s="35"/>
      <c r="MR101" s="36"/>
      <c r="MS101" s="35"/>
      <c r="MT101" s="35"/>
      <c r="MU101" s="35"/>
      <c r="MV101" s="35"/>
      <c r="MW101" s="35"/>
      <c r="MX101" s="35"/>
      <c r="MY101" s="35"/>
      <c r="MZ101" s="85"/>
      <c r="NA101" s="27"/>
      <c r="NB101" s="36"/>
      <c r="NC101" s="85"/>
      <c r="ND101" s="35"/>
      <c r="NE101" s="35"/>
      <c r="NF101" s="35"/>
      <c r="NG101" s="35"/>
      <c r="NH101" s="35"/>
      <c r="NI101" s="35"/>
      <c r="NJ101" s="36"/>
      <c r="NK101" s="35"/>
      <c r="NL101" s="35"/>
      <c r="NM101" s="35"/>
      <c r="NN101" s="35"/>
      <c r="NO101" s="35"/>
      <c r="NP101" s="35"/>
      <c r="NQ101" s="35"/>
      <c r="NR101" s="85"/>
      <c r="NS101" s="27"/>
      <c r="NT101" s="36"/>
      <c r="NU101" s="85"/>
      <c r="NV101" s="35"/>
      <c r="NW101" s="35"/>
      <c r="NX101" s="35"/>
      <c r="NY101" s="35"/>
      <c r="NZ101" s="35"/>
      <c r="OA101" s="35"/>
      <c r="OB101" s="36"/>
      <c r="OC101" s="35"/>
      <c r="OD101" s="35"/>
      <c r="OE101" s="35"/>
      <c r="OF101" s="35"/>
      <c r="OG101" s="35"/>
      <c r="OH101" s="35"/>
      <c r="OI101" s="35"/>
      <c r="OJ101" s="85"/>
      <c r="OK101" s="27"/>
      <c r="OL101" s="36"/>
      <c r="OM101" s="85"/>
      <c r="ON101" s="35"/>
      <c r="OO101" s="35"/>
      <c r="OP101" s="35"/>
      <c r="OQ101" s="35"/>
      <c r="OR101" s="35"/>
      <c r="OS101" s="35"/>
      <c r="OT101" s="36"/>
      <c r="OU101" s="35"/>
      <c r="OV101" s="35"/>
      <c r="OW101" s="35"/>
      <c r="OX101" s="35"/>
      <c r="OY101" s="35"/>
      <c r="OZ101" s="35"/>
      <c r="PA101" s="35"/>
      <c r="PB101" s="85"/>
      <c r="PC101" s="27"/>
      <c r="PD101" s="36"/>
      <c r="PE101" s="85"/>
      <c r="PF101" s="35"/>
      <c r="PG101" s="35"/>
      <c r="PH101" s="35"/>
      <c r="PI101" s="35"/>
      <c r="PJ101" s="35"/>
      <c r="PK101" s="35"/>
      <c r="PL101" s="36"/>
      <c r="PM101" s="35"/>
      <c r="PN101" s="35"/>
      <c r="PO101" s="35"/>
      <c r="PP101" s="35"/>
      <c r="PQ101" s="35"/>
      <c r="PR101" s="35"/>
      <c r="PS101" s="35"/>
      <c r="PT101" s="85"/>
      <c r="PU101" s="27"/>
      <c r="PV101" s="36"/>
      <c r="PW101" s="85"/>
      <c r="PX101" s="35"/>
      <c r="PY101" s="35"/>
      <c r="PZ101" s="35"/>
      <c r="QA101" s="35"/>
      <c r="QB101" s="35"/>
      <c r="QC101" s="35">
        <v>4735483</v>
      </c>
      <c r="QD101" s="36"/>
      <c r="QE101" s="35"/>
      <c r="QF101" s="35"/>
      <c r="QG101" s="35"/>
      <c r="QH101" s="35"/>
      <c r="QI101" s="35"/>
      <c r="QJ101" s="35">
        <v>1401109</v>
      </c>
      <c r="QK101" s="35">
        <v>3334374</v>
      </c>
      <c r="QL101" s="85"/>
      <c r="QM101" s="27"/>
      <c r="QN101" s="36"/>
      <c r="QO101" s="85"/>
    </row>
    <row r="102" spans="1:457" x14ac:dyDescent="0.25">
      <c r="A102" s="8" t="s">
        <v>238</v>
      </c>
      <c r="B102" s="174">
        <v>88</v>
      </c>
      <c r="C102" s="13" t="s">
        <v>240</v>
      </c>
      <c r="F102" s="36">
        <v>974951500</v>
      </c>
      <c r="G102" s="85"/>
      <c r="H102" s="35"/>
      <c r="I102" s="35">
        <v>944433391.34000003</v>
      </c>
      <c r="J102" s="35">
        <v>640817300</v>
      </c>
      <c r="K102" s="35">
        <v>303616091.33999997</v>
      </c>
      <c r="L102" s="35">
        <v>640747979.66999996</v>
      </c>
      <c r="M102" s="35"/>
      <c r="N102" s="36"/>
      <c r="O102" s="35">
        <v>944336846.97000003</v>
      </c>
      <c r="P102" s="35">
        <v>640747979.66999996</v>
      </c>
      <c r="Q102" s="35"/>
      <c r="R102" s="35">
        <v>303588867.30000001</v>
      </c>
      <c r="S102" s="35">
        <v>32.14837</v>
      </c>
      <c r="T102" s="35"/>
      <c r="U102" s="35"/>
      <c r="V102" s="85">
        <v>640747979.66999996</v>
      </c>
      <c r="W102" s="27"/>
      <c r="X102" s="36">
        <v>640817300</v>
      </c>
      <c r="Y102" s="85">
        <v>640817300</v>
      </c>
      <c r="Z102" s="35"/>
      <c r="AA102" s="35"/>
      <c r="AB102" s="35"/>
      <c r="AC102" s="35"/>
      <c r="AD102" s="35"/>
      <c r="AE102" s="35"/>
      <c r="AF102" s="36"/>
      <c r="AG102" s="35"/>
      <c r="AH102" s="35"/>
      <c r="AI102" s="35"/>
      <c r="AJ102" s="35"/>
      <c r="AK102" s="35"/>
      <c r="AL102" s="35"/>
      <c r="AM102" s="35"/>
      <c r="AN102" s="85"/>
      <c r="AO102" s="27"/>
      <c r="AP102" s="36"/>
      <c r="AQ102" s="85"/>
      <c r="AR102" s="35"/>
      <c r="AS102" s="35">
        <v>44513400</v>
      </c>
      <c r="AT102" s="35">
        <v>24373400</v>
      </c>
      <c r="AU102" s="35">
        <v>20140000</v>
      </c>
      <c r="AV102" s="35">
        <v>24373400</v>
      </c>
      <c r="AW102" s="35"/>
      <c r="AX102" s="36"/>
      <c r="AY102" s="35">
        <v>44513400</v>
      </c>
      <c r="AZ102" s="35">
        <v>24373400</v>
      </c>
      <c r="BA102" s="35"/>
      <c r="BB102" s="35">
        <v>20140000</v>
      </c>
      <c r="BC102" s="35">
        <v>45.244799999999998</v>
      </c>
      <c r="BD102" s="35"/>
      <c r="BE102" s="35"/>
      <c r="BF102" s="85">
        <v>24373400</v>
      </c>
      <c r="BG102" s="27"/>
      <c r="BH102" s="36">
        <v>24373400</v>
      </c>
      <c r="BI102" s="85">
        <v>24373400</v>
      </c>
      <c r="BJ102" s="35"/>
      <c r="BK102" s="35"/>
      <c r="BL102" s="35"/>
      <c r="BM102" s="35"/>
      <c r="BN102" s="35"/>
      <c r="BO102" s="35"/>
      <c r="BP102" s="36"/>
      <c r="BQ102" s="35"/>
      <c r="BR102" s="35"/>
      <c r="BS102" s="35"/>
      <c r="BT102" s="35"/>
      <c r="BU102" s="35"/>
      <c r="BV102" s="35"/>
      <c r="BW102" s="35"/>
      <c r="BX102" s="85"/>
      <c r="BY102" s="27"/>
      <c r="BZ102" s="36"/>
      <c r="CA102" s="85"/>
      <c r="CB102" s="35"/>
      <c r="CC102" s="35">
        <v>118219582</v>
      </c>
      <c r="CD102" s="35">
        <v>56510500</v>
      </c>
      <c r="CE102" s="35">
        <v>61709082</v>
      </c>
      <c r="CF102" s="35">
        <v>56510500</v>
      </c>
      <c r="CG102" s="35"/>
      <c r="CH102" s="36"/>
      <c r="CI102" s="35">
        <v>118219582</v>
      </c>
      <c r="CJ102" s="35">
        <v>56510500</v>
      </c>
      <c r="CK102" s="35"/>
      <c r="CL102" s="35">
        <v>61709082</v>
      </c>
      <c r="CM102" s="35">
        <v>52.198700000000002</v>
      </c>
      <c r="CN102" s="35"/>
      <c r="CO102" s="35"/>
      <c r="CP102" s="85">
        <v>56510500</v>
      </c>
      <c r="CQ102" s="27"/>
      <c r="CR102" s="36">
        <v>56510500</v>
      </c>
      <c r="CS102" s="85">
        <v>56510500</v>
      </c>
      <c r="CT102" s="35"/>
      <c r="CU102" s="35">
        <v>378104200</v>
      </c>
      <c r="CV102" s="35">
        <v>234314200</v>
      </c>
      <c r="CW102" s="35">
        <v>143790000</v>
      </c>
      <c r="CX102" s="35">
        <v>208618591.75</v>
      </c>
      <c r="CY102" s="35"/>
      <c r="CZ102" s="36"/>
      <c r="DA102" s="35">
        <v>336640146.25</v>
      </c>
      <c r="DB102" s="35">
        <v>208618591.75</v>
      </c>
      <c r="DC102" s="35"/>
      <c r="DD102" s="35">
        <v>128021554.5</v>
      </c>
      <c r="DE102" s="35">
        <v>38.029200000000003</v>
      </c>
      <c r="DF102" s="35"/>
      <c r="DG102" s="35"/>
      <c r="DH102" s="85">
        <v>208618591.75</v>
      </c>
      <c r="DI102" s="27"/>
      <c r="DJ102" s="36">
        <v>234314200</v>
      </c>
      <c r="DK102" s="85">
        <v>234314200</v>
      </c>
      <c r="DL102" s="35"/>
      <c r="DM102" s="35"/>
      <c r="DN102" s="35"/>
      <c r="DO102" s="35"/>
      <c r="DP102" s="35"/>
      <c r="DQ102" s="35"/>
      <c r="DR102" s="36"/>
      <c r="DS102" s="35"/>
      <c r="DT102" s="35"/>
      <c r="DU102" s="35"/>
      <c r="DV102" s="35"/>
      <c r="DW102" s="35"/>
      <c r="DX102" s="35"/>
      <c r="DY102" s="35"/>
      <c r="DZ102" s="85"/>
      <c r="EA102" s="27"/>
      <c r="EB102" s="36"/>
      <c r="EC102" s="85"/>
      <c r="ED102" s="35"/>
      <c r="EE102" s="35"/>
      <c r="EF102" s="35"/>
      <c r="EG102" s="35"/>
      <c r="EH102" s="35"/>
      <c r="EI102" s="35"/>
      <c r="EJ102" s="36"/>
      <c r="EK102" s="35"/>
      <c r="EL102" s="35"/>
      <c r="EM102" s="35"/>
      <c r="EN102" s="35"/>
      <c r="EO102" s="35"/>
      <c r="EP102" s="35"/>
      <c r="EQ102" s="35"/>
      <c r="ER102" s="85"/>
      <c r="ES102" s="27"/>
      <c r="ET102" s="36"/>
      <c r="EU102" s="85"/>
      <c r="EV102" s="35"/>
      <c r="EW102" s="35"/>
      <c r="EX102" s="35"/>
      <c r="EY102" s="35"/>
      <c r="EZ102" s="35"/>
      <c r="FA102" s="35"/>
      <c r="FB102" s="36"/>
      <c r="FC102" s="35"/>
      <c r="FD102" s="35"/>
      <c r="FE102" s="35"/>
      <c r="FF102" s="35"/>
      <c r="FG102" s="35"/>
      <c r="FH102" s="35"/>
      <c r="FI102" s="35"/>
      <c r="FJ102" s="85"/>
      <c r="FK102" s="27"/>
      <c r="FL102" s="36"/>
      <c r="FM102" s="85"/>
      <c r="FN102" s="35"/>
      <c r="FO102" s="35"/>
      <c r="FP102" s="35"/>
      <c r="FQ102" s="35"/>
      <c r="FR102" s="35"/>
      <c r="FS102" s="35"/>
      <c r="FT102" s="36"/>
      <c r="FU102" s="35"/>
      <c r="FV102" s="35"/>
      <c r="FW102" s="35"/>
      <c r="FX102" s="35"/>
      <c r="FY102" s="35"/>
      <c r="FZ102" s="35"/>
      <c r="GA102" s="35"/>
      <c r="GB102" s="85"/>
      <c r="GC102" s="27"/>
      <c r="GD102" s="36"/>
      <c r="GE102" s="85"/>
      <c r="GF102" s="35"/>
      <c r="GG102" s="35">
        <v>96936100</v>
      </c>
      <c r="GH102" s="35">
        <v>18936100</v>
      </c>
      <c r="GI102" s="35">
        <v>78000000</v>
      </c>
      <c r="GJ102" s="35">
        <v>18896012.52</v>
      </c>
      <c r="GK102" s="35"/>
      <c r="GL102" s="36"/>
      <c r="GM102" s="35">
        <v>96730887.530000001</v>
      </c>
      <c r="GN102" s="35">
        <v>18896012.52</v>
      </c>
      <c r="GO102" s="35"/>
      <c r="GP102" s="35">
        <v>77834875.010000005</v>
      </c>
      <c r="GQ102" s="35">
        <v>80.465379999999996</v>
      </c>
      <c r="GR102" s="35"/>
      <c r="GS102" s="35"/>
      <c r="GT102" s="85">
        <v>18896012.52</v>
      </c>
      <c r="GU102" s="27"/>
      <c r="GV102" s="36">
        <v>18936100</v>
      </c>
      <c r="GW102" s="85">
        <v>18936100</v>
      </c>
      <c r="GX102" s="35"/>
      <c r="GY102" s="35"/>
      <c r="GZ102" s="35"/>
      <c r="HA102" s="35"/>
      <c r="HB102" s="35"/>
      <c r="HC102" s="35"/>
      <c r="HD102" s="36"/>
      <c r="HE102" s="35"/>
      <c r="HF102" s="35"/>
      <c r="HG102" s="35"/>
      <c r="HH102" s="35"/>
      <c r="HI102" s="35"/>
      <c r="HJ102" s="35"/>
      <c r="HK102" s="35"/>
      <c r="HL102" s="85"/>
      <c r="HM102" s="27"/>
      <c r="HN102" s="36"/>
      <c r="HO102" s="85"/>
      <c r="HP102" s="35"/>
      <c r="HQ102" s="35"/>
      <c r="HR102" s="35"/>
      <c r="HS102" s="35"/>
      <c r="HT102" s="35"/>
      <c r="HU102" s="35"/>
      <c r="HV102" s="36"/>
      <c r="HW102" s="35"/>
      <c r="HX102" s="35"/>
      <c r="HY102" s="35"/>
      <c r="HZ102" s="35"/>
      <c r="IA102" s="35"/>
      <c r="IB102" s="35"/>
      <c r="IC102" s="35"/>
      <c r="ID102" s="85"/>
      <c r="IE102" s="27"/>
      <c r="IF102" s="36"/>
      <c r="IG102" s="85"/>
      <c r="IH102" s="35"/>
      <c r="II102" s="35"/>
      <c r="IJ102" s="35"/>
      <c r="IK102" s="35"/>
      <c r="IL102" s="35"/>
      <c r="IM102" s="35"/>
      <c r="IN102" s="36"/>
      <c r="IO102" s="35"/>
      <c r="IP102" s="35"/>
      <c r="IQ102" s="35"/>
      <c r="IR102" s="35"/>
      <c r="IS102" s="35"/>
      <c r="IT102" s="35"/>
      <c r="IU102" s="35"/>
      <c r="IV102" s="85"/>
      <c r="IW102" s="27"/>
      <c r="IX102" s="36"/>
      <c r="IY102" s="85"/>
      <c r="IZ102" s="35"/>
      <c r="JA102" s="35"/>
      <c r="JB102" s="35"/>
      <c r="JC102" s="35"/>
      <c r="JD102" s="35"/>
      <c r="JE102" s="35"/>
      <c r="JF102" s="36"/>
      <c r="JG102" s="35"/>
      <c r="JH102" s="35"/>
      <c r="JI102" s="35"/>
      <c r="JJ102" s="35"/>
      <c r="JK102" s="35"/>
      <c r="JL102" s="35"/>
      <c r="JM102" s="35"/>
      <c r="JN102" s="85"/>
      <c r="JO102" s="27"/>
      <c r="JP102" s="36"/>
      <c r="JQ102" s="85"/>
      <c r="JR102" s="35"/>
      <c r="JS102" s="35"/>
      <c r="JT102" s="35"/>
      <c r="JU102" s="35"/>
      <c r="JV102" s="35"/>
      <c r="JW102" s="35"/>
      <c r="JX102" s="36"/>
      <c r="JY102" s="35"/>
      <c r="JZ102" s="35"/>
      <c r="KA102" s="35"/>
      <c r="KB102" s="35"/>
      <c r="KC102" s="35"/>
      <c r="KD102" s="35"/>
      <c r="KE102" s="35"/>
      <c r="KF102" s="85"/>
      <c r="KG102" s="27"/>
      <c r="KH102" s="36"/>
      <c r="KI102" s="85"/>
      <c r="KJ102" s="35"/>
      <c r="KK102" s="35"/>
      <c r="KL102" s="35"/>
      <c r="KM102" s="35"/>
      <c r="KN102" s="35"/>
      <c r="KO102" s="35"/>
      <c r="KP102" s="36"/>
      <c r="KQ102" s="35"/>
      <c r="KR102" s="35"/>
      <c r="KS102" s="35"/>
      <c r="KT102" s="35"/>
      <c r="KU102" s="35"/>
      <c r="KV102" s="35"/>
      <c r="KW102" s="35"/>
      <c r="KX102" s="85"/>
      <c r="KY102" s="27"/>
      <c r="KZ102" s="36"/>
      <c r="LA102" s="85"/>
      <c r="LB102" s="35"/>
      <c r="LC102" s="35"/>
      <c r="LD102" s="35"/>
      <c r="LE102" s="35"/>
      <c r="LF102" s="35"/>
      <c r="LG102" s="35"/>
      <c r="LH102" s="36"/>
      <c r="LI102" s="35"/>
      <c r="LJ102" s="35"/>
      <c r="LK102" s="35"/>
      <c r="LL102" s="35"/>
      <c r="LM102" s="35"/>
      <c r="LN102" s="35"/>
      <c r="LO102" s="35"/>
      <c r="LP102" s="85"/>
      <c r="LQ102" s="27"/>
      <c r="LR102" s="36"/>
      <c r="LS102" s="85"/>
      <c r="LT102" s="35"/>
      <c r="LU102" s="35"/>
      <c r="LV102" s="35"/>
      <c r="LW102" s="35"/>
      <c r="LX102" s="35"/>
      <c r="LY102" s="35"/>
      <c r="LZ102" s="36"/>
      <c r="MA102" s="35"/>
      <c r="MB102" s="35"/>
      <c r="MC102" s="35"/>
      <c r="MD102" s="35"/>
      <c r="ME102" s="35"/>
      <c r="MF102" s="35"/>
      <c r="MG102" s="35"/>
      <c r="MH102" s="85"/>
      <c r="MI102" s="27"/>
      <c r="MJ102" s="36"/>
      <c r="MK102" s="85"/>
      <c r="ML102" s="35"/>
      <c r="MM102" s="35"/>
      <c r="MN102" s="35"/>
      <c r="MO102" s="35"/>
      <c r="MP102" s="35"/>
      <c r="MQ102" s="35"/>
      <c r="MR102" s="36"/>
      <c r="MS102" s="35"/>
      <c r="MT102" s="35"/>
      <c r="MU102" s="35"/>
      <c r="MV102" s="35"/>
      <c r="MW102" s="35"/>
      <c r="MX102" s="35"/>
      <c r="MY102" s="35"/>
      <c r="MZ102" s="85"/>
      <c r="NA102" s="27"/>
      <c r="NB102" s="36"/>
      <c r="NC102" s="85"/>
      <c r="ND102" s="35"/>
      <c r="NE102" s="35"/>
      <c r="NF102" s="35"/>
      <c r="NG102" s="35"/>
      <c r="NH102" s="35"/>
      <c r="NI102" s="35"/>
      <c r="NJ102" s="36"/>
      <c r="NK102" s="35"/>
      <c r="NL102" s="35"/>
      <c r="NM102" s="35"/>
      <c r="NN102" s="35"/>
      <c r="NO102" s="35"/>
      <c r="NP102" s="35"/>
      <c r="NQ102" s="35"/>
      <c r="NR102" s="85"/>
      <c r="NS102" s="27"/>
      <c r="NT102" s="36"/>
      <c r="NU102" s="85"/>
      <c r="NV102" s="35"/>
      <c r="NW102" s="35"/>
      <c r="NX102" s="35"/>
      <c r="NY102" s="35"/>
      <c r="NZ102" s="35"/>
      <c r="OA102" s="35"/>
      <c r="OB102" s="36"/>
      <c r="OC102" s="35"/>
      <c r="OD102" s="35"/>
      <c r="OE102" s="35"/>
      <c r="OF102" s="35"/>
      <c r="OG102" s="35"/>
      <c r="OH102" s="35"/>
      <c r="OI102" s="35"/>
      <c r="OJ102" s="85"/>
      <c r="OK102" s="27"/>
      <c r="OL102" s="36"/>
      <c r="OM102" s="85"/>
      <c r="ON102" s="35"/>
      <c r="OO102" s="35"/>
      <c r="OP102" s="35"/>
      <c r="OQ102" s="35"/>
      <c r="OR102" s="35"/>
      <c r="OS102" s="35"/>
      <c r="OT102" s="36"/>
      <c r="OU102" s="35"/>
      <c r="OV102" s="35"/>
      <c r="OW102" s="35"/>
      <c r="OX102" s="35"/>
      <c r="OY102" s="35"/>
      <c r="OZ102" s="35"/>
      <c r="PA102" s="35"/>
      <c r="PB102" s="85"/>
      <c r="PC102" s="27"/>
      <c r="PD102" s="36"/>
      <c r="PE102" s="85"/>
      <c r="PF102" s="35"/>
      <c r="PG102" s="35"/>
      <c r="PH102" s="35"/>
      <c r="PI102" s="35"/>
      <c r="PJ102" s="35"/>
      <c r="PK102" s="35"/>
      <c r="PL102" s="36"/>
      <c r="PM102" s="35"/>
      <c r="PN102" s="35"/>
      <c r="PO102" s="35"/>
      <c r="PP102" s="35"/>
      <c r="PQ102" s="35"/>
      <c r="PR102" s="35"/>
      <c r="PS102" s="35"/>
      <c r="PT102" s="85"/>
      <c r="PU102" s="27"/>
      <c r="PV102" s="36"/>
      <c r="PW102" s="85"/>
      <c r="PX102" s="35"/>
      <c r="PY102" s="35"/>
      <c r="PZ102" s="35"/>
      <c r="QA102" s="35"/>
      <c r="QB102" s="35"/>
      <c r="QC102" s="35">
        <v>18864103.260000002</v>
      </c>
      <c r="QD102" s="36"/>
      <c r="QE102" s="35"/>
      <c r="QF102" s="35"/>
      <c r="QG102" s="35"/>
      <c r="QH102" s="35"/>
      <c r="QI102" s="35"/>
      <c r="QJ102" s="35">
        <v>18864103.260000002</v>
      </c>
      <c r="QK102" s="35"/>
      <c r="QL102" s="85"/>
      <c r="QM102" s="27"/>
      <c r="QN102" s="36"/>
      <c r="QO102" s="85"/>
    </row>
    <row r="103" spans="1:457" x14ac:dyDescent="0.25">
      <c r="A103" s="8" t="s">
        <v>241</v>
      </c>
      <c r="B103" s="174">
        <v>89</v>
      </c>
      <c r="C103" s="13" t="s">
        <v>243</v>
      </c>
      <c r="F103" s="36">
        <v>135640700</v>
      </c>
      <c r="G103" s="85"/>
      <c r="H103" s="35"/>
      <c r="I103" s="35">
        <v>14746628.32</v>
      </c>
      <c r="J103" s="35">
        <v>14009300</v>
      </c>
      <c r="K103" s="35">
        <v>737328.32</v>
      </c>
      <c r="L103" s="35">
        <v>13767888.34</v>
      </c>
      <c r="M103" s="35"/>
      <c r="N103" s="36"/>
      <c r="O103" s="35">
        <v>14492510.84</v>
      </c>
      <c r="P103" s="35">
        <v>13767888.34</v>
      </c>
      <c r="Q103" s="35"/>
      <c r="R103" s="35">
        <v>724622.5</v>
      </c>
      <c r="S103" s="35">
        <v>4.9999799999999999</v>
      </c>
      <c r="T103" s="35"/>
      <c r="U103" s="35"/>
      <c r="V103" s="85">
        <v>13767888.34</v>
      </c>
      <c r="W103" s="27"/>
      <c r="X103" s="36">
        <v>14009300</v>
      </c>
      <c r="Y103" s="85">
        <v>14009300</v>
      </c>
      <c r="Z103" s="35"/>
      <c r="AA103" s="35"/>
      <c r="AB103" s="35"/>
      <c r="AC103" s="35"/>
      <c r="AD103" s="35"/>
      <c r="AE103" s="35"/>
      <c r="AF103" s="36"/>
      <c r="AG103" s="35"/>
      <c r="AH103" s="35"/>
      <c r="AI103" s="35"/>
      <c r="AJ103" s="35"/>
      <c r="AK103" s="35"/>
      <c r="AL103" s="35"/>
      <c r="AM103" s="35"/>
      <c r="AN103" s="85"/>
      <c r="AO103" s="27"/>
      <c r="AP103" s="36"/>
      <c r="AQ103" s="85"/>
      <c r="AR103" s="35"/>
      <c r="AS103" s="35">
        <v>12479600</v>
      </c>
      <c r="AT103" s="35">
        <v>11829600</v>
      </c>
      <c r="AU103" s="35">
        <v>650000</v>
      </c>
      <c r="AV103" s="35">
        <v>9033069.8599999994</v>
      </c>
      <c r="AW103" s="35"/>
      <c r="AX103" s="36"/>
      <c r="AY103" s="35">
        <v>9529409.1300000008</v>
      </c>
      <c r="AZ103" s="35">
        <v>9033069.8599999994</v>
      </c>
      <c r="BA103" s="35"/>
      <c r="BB103" s="35">
        <v>496339.27</v>
      </c>
      <c r="BC103" s="35">
        <v>5.2084999999999999</v>
      </c>
      <c r="BD103" s="35"/>
      <c r="BE103" s="35"/>
      <c r="BF103" s="85">
        <v>9033069.8599999994</v>
      </c>
      <c r="BG103" s="27"/>
      <c r="BH103" s="36">
        <v>11829600</v>
      </c>
      <c r="BI103" s="85">
        <v>11829600</v>
      </c>
      <c r="BJ103" s="35"/>
      <c r="BK103" s="35"/>
      <c r="BL103" s="35"/>
      <c r="BM103" s="35"/>
      <c r="BN103" s="35"/>
      <c r="BO103" s="35"/>
      <c r="BP103" s="36"/>
      <c r="BQ103" s="35"/>
      <c r="BR103" s="35"/>
      <c r="BS103" s="35"/>
      <c r="BT103" s="35"/>
      <c r="BU103" s="35"/>
      <c r="BV103" s="35"/>
      <c r="BW103" s="35"/>
      <c r="BX103" s="85"/>
      <c r="BY103" s="27"/>
      <c r="BZ103" s="36"/>
      <c r="CA103" s="85"/>
      <c r="CB103" s="35"/>
      <c r="CC103" s="35">
        <v>63669800</v>
      </c>
      <c r="CD103" s="35">
        <v>10346600</v>
      </c>
      <c r="CE103" s="35">
        <v>53323200</v>
      </c>
      <c r="CF103" s="35">
        <v>10061809.060000001</v>
      </c>
      <c r="CG103" s="35"/>
      <c r="CH103" s="36"/>
      <c r="CI103" s="35">
        <v>61917285.609999999</v>
      </c>
      <c r="CJ103" s="35">
        <v>10061809.060000001</v>
      </c>
      <c r="CK103" s="35"/>
      <c r="CL103" s="35">
        <v>51855476.549999997</v>
      </c>
      <c r="CM103" s="35">
        <v>83.749600000000001</v>
      </c>
      <c r="CN103" s="35"/>
      <c r="CO103" s="35"/>
      <c r="CP103" s="85">
        <v>10061809.060000001</v>
      </c>
      <c r="CQ103" s="27"/>
      <c r="CR103" s="36">
        <v>10346600</v>
      </c>
      <c r="CS103" s="85">
        <v>10346600</v>
      </c>
      <c r="CT103" s="35"/>
      <c r="CU103" s="35">
        <v>83501265</v>
      </c>
      <c r="CV103" s="35">
        <v>79326200</v>
      </c>
      <c r="CW103" s="35">
        <v>4175065</v>
      </c>
      <c r="CX103" s="35">
        <v>78330993.090000004</v>
      </c>
      <c r="CY103" s="35"/>
      <c r="CZ103" s="36"/>
      <c r="DA103" s="35">
        <v>82453678.670000002</v>
      </c>
      <c r="DB103" s="35">
        <v>78330993.090000004</v>
      </c>
      <c r="DC103" s="35"/>
      <c r="DD103" s="35">
        <v>4122685.58</v>
      </c>
      <c r="DE103" s="35">
        <v>5</v>
      </c>
      <c r="DF103" s="35"/>
      <c r="DG103" s="35"/>
      <c r="DH103" s="85">
        <v>78330993.090000004</v>
      </c>
      <c r="DI103" s="27"/>
      <c r="DJ103" s="36">
        <v>79326200</v>
      </c>
      <c r="DK103" s="85">
        <v>79326200</v>
      </c>
      <c r="DL103" s="35"/>
      <c r="DM103" s="35"/>
      <c r="DN103" s="35"/>
      <c r="DO103" s="35"/>
      <c r="DP103" s="35"/>
      <c r="DQ103" s="35"/>
      <c r="DR103" s="36"/>
      <c r="DS103" s="35"/>
      <c r="DT103" s="35"/>
      <c r="DU103" s="35"/>
      <c r="DV103" s="35"/>
      <c r="DW103" s="35"/>
      <c r="DX103" s="35"/>
      <c r="DY103" s="35"/>
      <c r="DZ103" s="85"/>
      <c r="EA103" s="27"/>
      <c r="EB103" s="36"/>
      <c r="EC103" s="85"/>
      <c r="ED103" s="35"/>
      <c r="EE103" s="35"/>
      <c r="EF103" s="35"/>
      <c r="EG103" s="35"/>
      <c r="EH103" s="35"/>
      <c r="EI103" s="35"/>
      <c r="EJ103" s="36"/>
      <c r="EK103" s="35"/>
      <c r="EL103" s="35"/>
      <c r="EM103" s="35"/>
      <c r="EN103" s="35"/>
      <c r="EO103" s="35"/>
      <c r="EP103" s="35"/>
      <c r="EQ103" s="35"/>
      <c r="ER103" s="85"/>
      <c r="ES103" s="27"/>
      <c r="ET103" s="36"/>
      <c r="EU103" s="85"/>
      <c r="EV103" s="35"/>
      <c r="EW103" s="35"/>
      <c r="EX103" s="35"/>
      <c r="EY103" s="35"/>
      <c r="EZ103" s="35"/>
      <c r="FA103" s="35"/>
      <c r="FB103" s="36"/>
      <c r="FC103" s="35"/>
      <c r="FD103" s="35"/>
      <c r="FE103" s="35"/>
      <c r="FF103" s="35"/>
      <c r="FG103" s="35"/>
      <c r="FH103" s="35"/>
      <c r="FI103" s="35"/>
      <c r="FJ103" s="85"/>
      <c r="FK103" s="27"/>
      <c r="FL103" s="36"/>
      <c r="FM103" s="85"/>
      <c r="FN103" s="35"/>
      <c r="FO103" s="35"/>
      <c r="FP103" s="35"/>
      <c r="FQ103" s="35"/>
      <c r="FR103" s="35"/>
      <c r="FS103" s="35"/>
      <c r="FT103" s="36"/>
      <c r="FU103" s="35"/>
      <c r="FV103" s="35"/>
      <c r="FW103" s="35"/>
      <c r="FX103" s="35"/>
      <c r="FY103" s="35"/>
      <c r="FZ103" s="35"/>
      <c r="GA103" s="35"/>
      <c r="GB103" s="85"/>
      <c r="GC103" s="27"/>
      <c r="GD103" s="36"/>
      <c r="GE103" s="85"/>
      <c r="GF103" s="35"/>
      <c r="GG103" s="35">
        <v>30655900</v>
      </c>
      <c r="GH103" s="35">
        <v>9455900</v>
      </c>
      <c r="GI103" s="35">
        <v>21200000</v>
      </c>
      <c r="GJ103" s="35">
        <v>9455900</v>
      </c>
      <c r="GK103" s="35"/>
      <c r="GL103" s="36"/>
      <c r="GM103" s="35">
        <v>30655899.91</v>
      </c>
      <c r="GN103" s="35">
        <v>9455900</v>
      </c>
      <c r="GO103" s="35"/>
      <c r="GP103" s="35">
        <v>21199999.91</v>
      </c>
      <c r="GQ103" s="35">
        <v>69.154709999999994</v>
      </c>
      <c r="GR103" s="35"/>
      <c r="GS103" s="35"/>
      <c r="GT103" s="85">
        <v>9455900</v>
      </c>
      <c r="GU103" s="27"/>
      <c r="GV103" s="36">
        <v>9455900</v>
      </c>
      <c r="GW103" s="85">
        <v>9455900</v>
      </c>
      <c r="GX103" s="35"/>
      <c r="GY103" s="35"/>
      <c r="GZ103" s="35"/>
      <c r="HA103" s="35"/>
      <c r="HB103" s="35"/>
      <c r="HC103" s="35"/>
      <c r="HD103" s="36"/>
      <c r="HE103" s="35"/>
      <c r="HF103" s="35"/>
      <c r="HG103" s="35"/>
      <c r="HH103" s="35"/>
      <c r="HI103" s="35"/>
      <c r="HJ103" s="35"/>
      <c r="HK103" s="35"/>
      <c r="HL103" s="85"/>
      <c r="HM103" s="27"/>
      <c r="HN103" s="36"/>
      <c r="HO103" s="85"/>
      <c r="HP103" s="35"/>
      <c r="HQ103" s="35"/>
      <c r="HR103" s="35"/>
      <c r="HS103" s="35"/>
      <c r="HT103" s="35"/>
      <c r="HU103" s="35"/>
      <c r="HV103" s="36"/>
      <c r="HW103" s="35"/>
      <c r="HX103" s="35"/>
      <c r="HY103" s="35"/>
      <c r="HZ103" s="35"/>
      <c r="IA103" s="35"/>
      <c r="IB103" s="35"/>
      <c r="IC103" s="35"/>
      <c r="ID103" s="85"/>
      <c r="IE103" s="27"/>
      <c r="IF103" s="36"/>
      <c r="IG103" s="85"/>
      <c r="IH103" s="35"/>
      <c r="II103" s="35"/>
      <c r="IJ103" s="35"/>
      <c r="IK103" s="35"/>
      <c r="IL103" s="35"/>
      <c r="IM103" s="35"/>
      <c r="IN103" s="36"/>
      <c r="IO103" s="35"/>
      <c r="IP103" s="35"/>
      <c r="IQ103" s="35"/>
      <c r="IR103" s="35"/>
      <c r="IS103" s="35"/>
      <c r="IT103" s="35"/>
      <c r="IU103" s="35"/>
      <c r="IV103" s="85"/>
      <c r="IW103" s="27"/>
      <c r="IX103" s="36"/>
      <c r="IY103" s="85"/>
      <c r="IZ103" s="35"/>
      <c r="JA103" s="35"/>
      <c r="JB103" s="35"/>
      <c r="JC103" s="35"/>
      <c r="JD103" s="35"/>
      <c r="JE103" s="35"/>
      <c r="JF103" s="36"/>
      <c r="JG103" s="35"/>
      <c r="JH103" s="35"/>
      <c r="JI103" s="35"/>
      <c r="JJ103" s="35"/>
      <c r="JK103" s="35"/>
      <c r="JL103" s="35"/>
      <c r="JM103" s="35"/>
      <c r="JN103" s="85"/>
      <c r="JO103" s="27"/>
      <c r="JP103" s="36"/>
      <c r="JQ103" s="85"/>
      <c r="JR103" s="35"/>
      <c r="JS103" s="35"/>
      <c r="JT103" s="35"/>
      <c r="JU103" s="35"/>
      <c r="JV103" s="35"/>
      <c r="JW103" s="35"/>
      <c r="JX103" s="36"/>
      <c r="JY103" s="35"/>
      <c r="JZ103" s="35"/>
      <c r="KA103" s="35"/>
      <c r="KB103" s="35"/>
      <c r="KC103" s="35"/>
      <c r="KD103" s="35"/>
      <c r="KE103" s="35"/>
      <c r="KF103" s="85"/>
      <c r="KG103" s="27"/>
      <c r="KH103" s="36"/>
      <c r="KI103" s="85"/>
      <c r="KJ103" s="35"/>
      <c r="KK103" s="35"/>
      <c r="KL103" s="35"/>
      <c r="KM103" s="35"/>
      <c r="KN103" s="35"/>
      <c r="KO103" s="35"/>
      <c r="KP103" s="36"/>
      <c r="KQ103" s="35"/>
      <c r="KR103" s="35"/>
      <c r="KS103" s="35"/>
      <c r="KT103" s="35"/>
      <c r="KU103" s="35"/>
      <c r="KV103" s="35"/>
      <c r="KW103" s="35"/>
      <c r="KX103" s="85"/>
      <c r="KY103" s="27"/>
      <c r="KZ103" s="36"/>
      <c r="LA103" s="85"/>
      <c r="LB103" s="35"/>
      <c r="LC103" s="35"/>
      <c r="LD103" s="35"/>
      <c r="LE103" s="35"/>
      <c r="LF103" s="35"/>
      <c r="LG103" s="35"/>
      <c r="LH103" s="36"/>
      <c r="LI103" s="35"/>
      <c r="LJ103" s="35"/>
      <c r="LK103" s="35"/>
      <c r="LL103" s="35"/>
      <c r="LM103" s="35"/>
      <c r="LN103" s="35"/>
      <c r="LO103" s="35"/>
      <c r="LP103" s="85"/>
      <c r="LQ103" s="27"/>
      <c r="LR103" s="36"/>
      <c r="LS103" s="85"/>
      <c r="LT103" s="35"/>
      <c r="LU103" s="35"/>
      <c r="LV103" s="35"/>
      <c r="LW103" s="35"/>
      <c r="LX103" s="35"/>
      <c r="LY103" s="35"/>
      <c r="LZ103" s="36"/>
      <c r="MA103" s="35"/>
      <c r="MB103" s="35"/>
      <c r="MC103" s="35"/>
      <c r="MD103" s="35"/>
      <c r="ME103" s="35"/>
      <c r="MF103" s="35"/>
      <c r="MG103" s="35"/>
      <c r="MH103" s="85"/>
      <c r="MI103" s="27"/>
      <c r="MJ103" s="36"/>
      <c r="MK103" s="85"/>
      <c r="ML103" s="35"/>
      <c r="MM103" s="35"/>
      <c r="MN103" s="35"/>
      <c r="MO103" s="35"/>
      <c r="MP103" s="35"/>
      <c r="MQ103" s="35"/>
      <c r="MR103" s="36"/>
      <c r="MS103" s="35"/>
      <c r="MT103" s="35"/>
      <c r="MU103" s="35"/>
      <c r="MV103" s="35"/>
      <c r="MW103" s="35"/>
      <c r="MX103" s="35"/>
      <c r="MY103" s="35"/>
      <c r="MZ103" s="85"/>
      <c r="NA103" s="27"/>
      <c r="NB103" s="36"/>
      <c r="NC103" s="85"/>
      <c r="ND103" s="35"/>
      <c r="NE103" s="35">
        <v>14823000</v>
      </c>
      <c r="NF103" s="35">
        <v>10376100</v>
      </c>
      <c r="NG103" s="35">
        <v>4446900</v>
      </c>
      <c r="NH103" s="35">
        <v>9633170.3200000003</v>
      </c>
      <c r="NI103" s="35"/>
      <c r="NJ103" s="36"/>
      <c r="NK103" s="35">
        <v>13761671.880000001</v>
      </c>
      <c r="NL103" s="35">
        <v>9633170.3200000003</v>
      </c>
      <c r="NM103" s="35"/>
      <c r="NN103" s="35">
        <v>4128501.56</v>
      </c>
      <c r="NO103" s="35">
        <v>30</v>
      </c>
      <c r="NP103" s="35"/>
      <c r="NQ103" s="35"/>
      <c r="NR103" s="85">
        <v>9633170.3200000003</v>
      </c>
      <c r="NS103" s="27"/>
      <c r="NT103" s="36">
        <v>10376100</v>
      </c>
      <c r="NU103" s="85">
        <v>10376100</v>
      </c>
      <c r="NV103" s="35"/>
      <c r="NW103" s="35"/>
      <c r="NX103" s="35"/>
      <c r="NY103" s="35"/>
      <c r="NZ103" s="35"/>
      <c r="OA103" s="35"/>
      <c r="OB103" s="36"/>
      <c r="OC103" s="35"/>
      <c r="OD103" s="35"/>
      <c r="OE103" s="35"/>
      <c r="OF103" s="35"/>
      <c r="OG103" s="35"/>
      <c r="OH103" s="35"/>
      <c r="OI103" s="35"/>
      <c r="OJ103" s="85"/>
      <c r="OK103" s="27"/>
      <c r="OL103" s="36"/>
      <c r="OM103" s="85"/>
      <c r="ON103" s="35"/>
      <c r="OO103" s="35">
        <v>1400000</v>
      </c>
      <c r="OP103" s="35">
        <v>297000</v>
      </c>
      <c r="OQ103" s="35">
        <v>1103000</v>
      </c>
      <c r="OR103" s="35">
        <v>297000</v>
      </c>
      <c r="OS103" s="35"/>
      <c r="OT103" s="36"/>
      <c r="OU103" s="35">
        <v>1400000</v>
      </c>
      <c r="OV103" s="35">
        <v>297000</v>
      </c>
      <c r="OW103" s="35"/>
      <c r="OX103" s="35">
        <v>1103000</v>
      </c>
      <c r="OY103" s="35">
        <v>78.785709999999995</v>
      </c>
      <c r="OZ103" s="35"/>
      <c r="PA103" s="35"/>
      <c r="PB103" s="85">
        <v>297000</v>
      </c>
      <c r="PC103" s="27"/>
      <c r="PD103" s="36">
        <v>297000</v>
      </c>
      <c r="PE103" s="85">
        <v>297000</v>
      </c>
      <c r="PF103" s="35"/>
      <c r="PG103" s="35"/>
      <c r="PH103" s="35"/>
      <c r="PI103" s="35"/>
      <c r="PJ103" s="35"/>
      <c r="PK103" s="35"/>
      <c r="PL103" s="36"/>
      <c r="PM103" s="35"/>
      <c r="PN103" s="35"/>
      <c r="PO103" s="35"/>
      <c r="PP103" s="35"/>
      <c r="PQ103" s="35"/>
      <c r="PR103" s="35"/>
      <c r="PS103" s="35"/>
      <c r="PT103" s="85"/>
      <c r="PU103" s="27"/>
      <c r="PV103" s="36"/>
      <c r="PW103" s="85"/>
      <c r="PX103" s="35"/>
      <c r="PY103" s="35"/>
      <c r="PZ103" s="35"/>
      <c r="QA103" s="35"/>
      <c r="QB103" s="35"/>
      <c r="QC103" s="35"/>
      <c r="QD103" s="36"/>
      <c r="QE103" s="35"/>
      <c r="QF103" s="35"/>
      <c r="QG103" s="35"/>
      <c r="QH103" s="35"/>
      <c r="QI103" s="35"/>
      <c r="QJ103" s="35"/>
      <c r="QK103" s="35"/>
      <c r="QL103" s="85"/>
      <c r="QM103" s="27"/>
      <c r="QN103" s="36"/>
      <c r="QO103" s="85"/>
    </row>
    <row r="104" spans="1:457" x14ac:dyDescent="0.25">
      <c r="A104" s="8" t="s">
        <v>244</v>
      </c>
      <c r="B104" s="172">
        <v>90</v>
      </c>
      <c r="C104" s="13" t="s">
        <v>246</v>
      </c>
      <c r="F104" s="36">
        <v>954843800</v>
      </c>
      <c r="G104" s="85"/>
      <c r="H104" s="35"/>
      <c r="I104" s="35">
        <v>384926473</v>
      </c>
      <c r="J104" s="35">
        <v>262206900</v>
      </c>
      <c r="K104" s="35">
        <v>122719573</v>
      </c>
      <c r="L104" s="35">
        <v>254235391.21000001</v>
      </c>
      <c r="M104" s="35"/>
      <c r="N104" s="36"/>
      <c r="O104" s="35">
        <v>372971706</v>
      </c>
      <c r="P104" s="35">
        <v>254235391.16999999</v>
      </c>
      <c r="Q104" s="35"/>
      <c r="R104" s="35">
        <v>118736314.83</v>
      </c>
      <c r="S104" s="35">
        <v>31.83521</v>
      </c>
      <c r="T104" s="35"/>
      <c r="U104" s="35">
        <v>0.04</v>
      </c>
      <c r="V104" s="85">
        <v>254235391.16999999</v>
      </c>
      <c r="W104" s="27"/>
      <c r="X104" s="36">
        <v>262206900</v>
      </c>
      <c r="Y104" s="85">
        <v>262206900</v>
      </c>
      <c r="Z104" s="35"/>
      <c r="AA104" s="35"/>
      <c r="AB104" s="35"/>
      <c r="AC104" s="35"/>
      <c r="AD104" s="35"/>
      <c r="AE104" s="35"/>
      <c r="AF104" s="36"/>
      <c r="AG104" s="35"/>
      <c r="AH104" s="35"/>
      <c r="AI104" s="35"/>
      <c r="AJ104" s="35"/>
      <c r="AK104" s="35"/>
      <c r="AL104" s="35"/>
      <c r="AM104" s="35"/>
      <c r="AN104" s="85"/>
      <c r="AO104" s="27"/>
      <c r="AP104" s="36"/>
      <c r="AQ104" s="85"/>
      <c r="AR104" s="35"/>
      <c r="AS104" s="35">
        <v>26917900</v>
      </c>
      <c r="AT104" s="35">
        <v>25517900</v>
      </c>
      <c r="AU104" s="35">
        <v>1400000</v>
      </c>
      <c r="AV104" s="35">
        <v>25517900</v>
      </c>
      <c r="AW104" s="35"/>
      <c r="AX104" s="36"/>
      <c r="AY104" s="35">
        <v>26917900</v>
      </c>
      <c r="AZ104" s="35">
        <v>25517900</v>
      </c>
      <c r="BA104" s="35"/>
      <c r="BB104" s="35">
        <v>1400000</v>
      </c>
      <c r="BC104" s="35">
        <v>5.2009999999999996</v>
      </c>
      <c r="BD104" s="35"/>
      <c r="BE104" s="35"/>
      <c r="BF104" s="85">
        <v>25517900</v>
      </c>
      <c r="BG104" s="27"/>
      <c r="BH104" s="36">
        <v>25517900</v>
      </c>
      <c r="BI104" s="85">
        <v>25517900</v>
      </c>
      <c r="BJ104" s="35"/>
      <c r="BK104" s="35"/>
      <c r="BL104" s="35"/>
      <c r="BM104" s="35"/>
      <c r="BN104" s="35"/>
      <c r="BO104" s="35"/>
      <c r="BP104" s="36"/>
      <c r="BQ104" s="35"/>
      <c r="BR104" s="35"/>
      <c r="BS104" s="35"/>
      <c r="BT104" s="35"/>
      <c r="BU104" s="35"/>
      <c r="BV104" s="35"/>
      <c r="BW104" s="35"/>
      <c r="BX104" s="85"/>
      <c r="BY104" s="27"/>
      <c r="BZ104" s="36"/>
      <c r="CA104" s="85"/>
      <c r="CB104" s="35"/>
      <c r="CC104" s="35">
        <v>59774794.689999998</v>
      </c>
      <c r="CD104" s="35">
        <v>56774100</v>
      </c>
      <c r="CE104" s="35">
        <v>3000694.69</v>
      </c>
      <c r="CF104" s="35">
        <v>56774100</v>
      </c>
      <c r="CG104" s="35"/>
      <c r="CH104" s="36"/>
      <c r="CI104" s="35">
        <v>59774794.689999998</v>
      </c>
      <c r="CJ104" s="35">
        <v>56774100</v>
      </c>
      <c r="CK104" s="35"/>
      <c r="CL104" s="35">
        <v>3000694.69</v>
      </c>
      <c r="CM104" s="35">
        <v>5.0199999999999996</v>
      </c>
      <c r="CN104" s="35"/>
      <c r="CO104" s="35"/>
      <c r="CP104" s="85">
        <v>56774100</v>
      </c>
      <c r="CQ104" s="27"/>
      <c r="CR104" s="36">
        <v>56774100</v>
      </c>
      <c r="CS104" s="85">
        <v>56774100</v>
      </c>
      <c r="CT104" s="35"/>
      <c r="CU104" s="35">
        <v>435480778.29000002</v>
      </c>
      <c r="CV104" s="35">
        <v>369287700</v>
      </c>
      <c r="CW104" s="35">
        <v>66193078.289999999</v>
      </c>
      <c r="CX104" s="35">
        <v>368906193.47000003</v>
      </c>
      <c r="CY104" s="35"/>
      <c r="CZ104" s="36"/>
      <c r="DA104" s="35">
        <v>435030888.52999997</v>
      </c>
      <c r="DB104" s="35">
        <v>368906193.47000003</v>
      </c>
      <c r="DC104" s="35"/>
      <c r="DD104" s="35">
        <v>66124695.060000002</v>
      </c>
      <c r="DE104" s="35">
        <v>15.2</v>
      </c>
      <c r="DF104" s="35"/>
      <c r="DG104" s="35"/>
      <c r="DH104" s="85">
        <v>368906193.47000003</v>
      </c>
      <c r="DI104" s="27"/>
      <c r="DJ104" s="36">
        <v>369287700</v>
      </c>
      <c r="DK104" s="85">
        <v>369287700</v>
      </c>
      <c r="DL104" s="35"/>
      <c r="DM104" s="35"/>
      <c r="DN104" s="35"/>
      <c r="DO104" s="35"/>
      <c r="DP104" s="35"/>
      <c r="DQ104" s="35"/>
      <c r="DR104" s="36"/>
      <c r="DS104" s="35"/>
      <c r="DT104" s="35"/>
      <c r="DU104" s="35"/>
      <c r="DV104" s="35"/>
      <c r="DW104" s="35"/>
      <c r="DX104" s="35"/>
      <c r="DY104" s="35"/>
      <c r="DZ104" s="85"/>
      <c r="EA104" s="27"/>
      <c r="EB104" s="36"/>
      <c r="EC104" s="85"/>
      <c r="ED104" s="35"/>
      <c r="EE104" s="35">
        <v>217861596.15000001</v>
      </c>
      <c r="EF104" s="35">
        <v>203373800</v>
      </c>
      <c r="EG104" s="35">
        <v>14487796.15</v>
      </c>
      <c r="EH104" s="35">
        <v>203373780</v>
      </c>
      <c r="EI104" s="35"/>
      <c r="EJ104" s="36"/>
      <c r="EK104" s="35">
        <v>217861574.72</v>
      </c>
      <c r="EL104" s="35">
        <v>203373780</v>
      </c>
      <c r="EM104" s="35"/>
      <c r="EN104" s="35">
        <v>14487794.720000001</v>
      </c>
      <c r="EO104" s="35">
        <v>6.65</v>
      </c>
      <c r="EP104" s="35"/>
      <c r="EQ104" s="35"/>
      <c r="ER104" s="85">
        <v>203373780</v>
      </c>
      <c r="ES104" s="27"/>
      <c r="ET104" s="36">
        <v>203373800</v>
      </c>
      <c r="EU104" s="85">
        <v>203373800</v>
      </c>
      <c r="EV104" s="35"/>
      <c r="EW104" s="35"/>
      <c r="EX104" s="35"/>
      <c r="EY104" s="35"/>
      <c r="EZ104" s="35"/>
      <c r="FA104" s="35"/>
      <c r="FB104" s="36"/>
      <c r="FC104" s="35"/>
      <c r="FD104" s="35"/>
      <c r="FE104" s="35"/>
      <c r="FF104" s="35"/>
      <c r="FG104" s="35"/>
      <c r="FH104" s="35"/>
      <c r="FI104" s="35"/>
      <c r="FJ104" s="85"/>
      <c r="FK104" s="27"/>
      <c r="FL104" s="36"/>
      <c r="FM104" s="85"/>
      <c r="FN104" s="35"/>
      <c r="FO104" s="35">
        <v>25907100</v>
      </c>
      <c r="FP104" s="35">
        <v>24207100</v>
      </c>
      <c r="FQ104" s="35">
        <v>1700000</v>
      </c>
      <c r="FR104" s="35">
        <v>24207100</v>
      </c>
      <c r="FS104" s="35"/>
      <c r="FT104" s="36"/>
      <c r="FU104" s="35">
        <v>25907100</v>
      </c>
      <c r="FV104" s="35">
        <v>24207100</v>
      </c>
      <c r="FW104" s="35"/>
      <c r="FX104" s="35">
        <v>1700000</v>
      </c>
      <c r="FY104" s="35">
        <v>6.5619100000000001</v>
      </c>
      <c r="FZ104" s="35"/>
      <c r="GA104" s="35">
        <v>0</v>
      </c>
      <c r="GB104" s="85">
        <v>24207100</v>
      </c>
      <c r="GC104" s="27"/>
      <c r="GD104" s="36">
        <v>24207100</v>
      </c>
      <c r="GE104" s="85">
        <v>24207100</v>
      </c>
      <c r="GF104" s="35"/>
      <c r="GG104" s="35">
        <v>27519800</v>
      </c>
      <c r="GH104" s="35">
        <v>12044800</v>
      </c>
      <c r="GI104" s="35">
        <v>15475000</v>
      </c>
      <c r="GJ104" s="35">
        <v>12044800</v>
      </c>
      <c r="GK104" s="35">
        <v>389867.65</v>
      </c>
      <c r="GL104" s="36"/>
      <c r="GM104" s="35">
        <v>27519800</v>
      </c>
      <c r="GN104" s="35">
        <v>12044800</v>
      </c>
      <c r="GO104" s="35"/>
      <c r="GP104" s="35">
        <v>15475000</v>
      </c>
      <c r="GQ104" s="35">
        <v>56.232239999999997</v>
      </c>
      <c r="GR104" s="35">
        <v>389867.65</v>
      </c>
      <c r="GS104" s="35"/>
      <c r="GT104" s="85">
        <v>12044800</v>
      </c>
      <c r="GU104" s="27"/>
      <c r="GV104" s="36">
        <v>12044800</v>
      </c>
      <c r="GW104" s="85">
        <v>12044800</v>
      </c>
      <c r="GX104" s="35"/>
      <c r="GY104" s="35"/>
      <c r="GZ104" s="35"/>
      <c r="HA104" s="35"/>
      <c r="HB104" s="35"/>
      <c r="HC104" s="35">
        <v>195424.82</v>
      </c>
      <c r="HD104" s="36"/>
      <c r="HE104" s="35"/>
      <c r="HF104" s="35"/>
      <c r="HG104" s="35"/>
      <c r="HH104" s="35"/>
      <c r="HI104" s="35"/>
      <c r="HJ104" s="35">
        <v>195424.82</v>
      </c>
      <c r="HK104" s="35"/>
      <c r="HL104" s="85"/>
      <c r="HM104" s="27"/>
      <c r="HN104" s="36"/>
      <c r="HO104" s="85"/>
      <c r="HP104" s="35"/>
      <c r="HQ104" s="35"/>
      <c r="HR104" s="35"/>
      <c r="HS104" s="35"/>
      <c r="HT104" s="35"/>
      <c r="HU104" s="35"/>
      <c r="HV104" s="36"/>
      <c r="HW104" s="35"/>
      <c r="HX104" s="35"/>
      <c r="HY104" s="35"/>
      <c r="HZ104" s="35"/>
      <c r="IA104" s="35"/>
      <c r="IB104" s="35"/>
      <c r="IC104" s="35"/>
      <c r="ID104" s="85"/>
      <c r="IE104" s="27"/>
      <c r="IF104" s="36"/>
      <c r="IG104" s="85"/>
      <c r="IH104" s="35"/>
      <c r="II104" s="35"/>
      <c r="IJ104" s="35"/>
      <c r="IK104" s="35"/>
      <c r="IL104" s="35"/>
      <c r="IM104" s="35"/>
      <c r="IN104" s="36"/>
      <c r="IO104" s="35"/>
      <c r="IP104" s="35"/>
      <c r="IQ104" s="35"/>
      <c r="IR104" s="35"/>
      <c r="IS104" s="35"/>
      <c r="IT104" s="35"/>
      <c r="IU104" s="35"/>
      <c r="IV104" s="85"/>
      <c r="IW104" s="27"/>
      <c r="IX104" s="36"/>
      <c r="IY104" s="85"/>
      <c r="IZ104" s="35"/>
      <c r="JA104" s="35"/>
      <c r="JB104" s="35"/>
      <c r="JC104" s="35"/>
      <c r="JD104" s="35"/>
      <c r="JE104" s="35"/>
      <c r="JF104" s="36"/>
      <c r="JG104" s="35"/>
      <c r="JH104" s="35"/>
      <c r="JI104" s="35"/>
      <c r="JJ104" s="35"/>
      <c r="JK104" s="35"/>
      <c r="JL104" s="35"/>
      <c r="JM104" s="35"/>
      <c r="JN104" s="85"/>
      <c r="JO104" s="27"/>
      <c r="JP104" s="36"/>
      <c r="JQ104" s="85"/>
      <c r="JR104" s="35"/>
      <c r="JS104" s="35"/>
      <c r="JT104" s="35"/>
      <c r="JU104" s="35"/>
      <c r="JV104" s="35"/>
      <c r="JW104" s="35"/>
      <c r="JX104" s="36"/>
      <c r="JY104" s="35"/>
      <c r="JZ104" s="35"/>
      <c r="KA104" s="35"/>
      <c r="KB104" s="35"/>
      <c r="KC104" s="35"/>
      <c r="KD104" s="35"/>
      <c r="KE104" s="35"/>
      <c r="KF104" s="85"/>
      <c r="KG104" s="27"/>
      <c r="KH104" s="36"/>
      <c r="KI104" s="85"/>
      <c r="KJ104" s="35"/>
      <c r="KK104" s="35"/>
      <c r="KL104" s="35"/>
      <c r="KM104" s="35"/>
      <c r="KN104" s="35"/>
      <c r="KO104" s="35"/>
      <c r="KP104" s="36"/>
      <c r="KQ104" s="35"/>
      <c r="KR104" s="35"/>
      <c r="KS104" s="35"/>
      <c r="KT104" s="35"/>
      <c r="KU104" s="35"/>
      <c r="KV104" s="35"/>
      <c r="KW104" s="35"/>
      <c r="KX104" s="85"/>
      <c r="KY104" s="27"/>
      <c r="KZ104" s="36"/>
      <c r="LA104" s="85"/>
      <c r="LB104" s="35"/>
      <c r="LC104" s="35"/>
      <c r="LD104" s="35"/>
      <c r="LE104" s="35"/>
      <c r="LF104" s="35"/>
      <c r="LG104" s="35"/>
      <c r="LH104" s="36"/>
      <c r="LI104" s="35"/>
      <c r="LJ104" s="35"/>
      <c r="LK104" s="35"/>
      <c r="LL104" s="35"/>
      <c r="LM104" s="35"/>
      <c r="LN104" s="35"/>
      <c r="LO104" s="35"/>
      <c r="LP104" s="85"/>
      <c r="LQ104" s="27"/>
      <c r="LR104" s="36"/>
      <c r="LS104" s="85"/>
      <c r="LT104" s="35"/>
      <c r="LU104" s="35">
        <v>2949000</v>
      </c>
      <c r="LV104" s="35">
        <v>949000</v>
      </c>
      <c r="LW104" s="35">
        <v>2000000</v>
      </c>
      <c r="LX104" s="35">
        <v>949000</v>
      </c>
      <c r="LY104" s="35"/>
      <c r="LZ104" s="36"/>
      <c r="MA104" s="35">
        <v>2949000</v>
      </c>
      <c r="MB104" s="35">
        <v>949000</v>
      </c>
      <c r="MC104" s="35"/>
      <c r="MD104" s="35">
        <v>2000000</v>
      </c>
      <c r="ME104" s="35">
        <v>67.819599999999994</v>
      </c>
      <c r="MF104" s="35"/>
      <c r="MG104" s="35"/>
      <c r="MH104" s="85">
        <v>949000</v>
      </c>
      <c r="MI104" s="27"/>
      <c r="MJ104" s="36">
        <v>949000</v>
      </c>
      <c r="MK104" s="85">
        <v>949000</v>
      </c>
      <c r="ML104" s="35"/>
      <c r="MM104" s="35"/>
      <c r="MN104" s="35"/>
      <c r="MO104" s="35"/>
      <c r="MP104" s="35"/>
      <c r="MQ104" s="35"/>
      <c r="MR104" s="36"/>
      <c r="MS104" s="35"/>
      <c r="MT104" s="35"/>
      <c r="MU104" s="35"/>
      <c r="MV104" s="35"/>
      <c r="MW104" s="35"/>
      <c r="MX104" s="35"/>
      <c r="MY104" s="35"/>
      <c r="MZ104" s="85"/>
      <c r="NA104" s="27"/>
      <c r="NB104" s="36"/>
      <c r="NC104" s="85"/>
      <c r="ND104" s="35"/>
      <c r="NE104" s="35"/>
      <c r="NF104" s="35"/>
      <c r="NG104" s="35"/>
      <c r="NH104" s="35"/>
      <c r="NI104" s="35"/>
      <c r="NJ104" s="36"/>
      <c r="NK104" s="35"/>
      <c r="NL104" s="35"/>
      <c r="NM104" s="35"/>
      <c r="NN104" s="35"/>
      <c r="NO104" s="35"/>
      <c r="NP104" s="35"/>
      <c r="NQ104" s="35"/>
      <c r="NR104" s="85"/>
      <c r="NS104" s="27"/>
      <c r="NT104" s="36"/>
      <c r="NU104" s="85"/>
      <c r="NV104" s="35"/>
      <c r="NW104" s="35"/>
      <c r="NX104" s="35"/>
      <c r="NY104" s="35"/>
      <c r="NZ104" s="35"/>
      <c r="OA104" s="35"/>
      <c r="OB104" s="36"/>
      <c r="OC104" s="35"/>
      <c r="OD104" s="35"/>
      <c r="OE104" s="35"/>
      <c r="OF104" s="35"/>
      <c r="OG104" s="35"/>
      <c r="OH104" s="35"/>
      <c r="OI104" s="35"/>
      <c r="OJ104" s="85"/>
      <c r="OK104" s="27"/>
      <c r="OL104" s="36"/>
      <c r="OM104" s="85"/>
      <c r="ON104" s="35"/>
      <c r="OO104" s="35">
        <v>2370500</v>
      </c>
      <c r="OP104" s="35">
        <v>482500</v>
      </c>
      <c r="OQ104" s="35">
        <v>1888000</v>
      </c>
      <c r="OR104" s="35">
        <v>482500</v>
      </c>
      <c r="OS104" s="35"/>
      <c r="OT104" s="36"/>
      <c r="OU104" s="35">
        <v>2370500</v>
      </c>
      <c r="OV104" s="35">
        <v>482500</v>
      </c>
      <c r="OW104" s="35"/>
      <c r="OX104" s="35">
        <v>1888000</v>
      </c>
      <c r="OY104" s="35">
        <v>79.64564</v>
      </c>
      <c r="OZ104" s="35"/>
      <c r="PA104" s="35"/>
      <c r="PB104" s="85">
        <v>482500</v>
      </c>
      <c r="PC104" s="27"/>
      <c r="PD104" s="36">
        <v>482500</v>
      </c>
      <c r="PE104" s="85">
        <v>482500</v>
      </c>
      <c r="PF104" s="35"/>
      <c r="PG104" s="35"/>
      <c r="PH104" s="35"/>
      <c r="PI104" s="35"/>
      <c r="PJ104" s="35"/>
      <c r="PK104" s="35"/>
      <c r="PL104" s="36"/>
      <c r="PM104" s="35"/>
      <c r="PN104" s="35"/>
      <c r="PO104" s="35"/>
      <c r="PP104" s="35"/>
      <c r="PQ104" s="35"/>
      <c r="PR104" s="35"/>
      <c r="PS104" s="35"/>
      <c r="PT104" s="85"/>
      <c r="PU104" s="27"/>
      <c r="PV104" s="36"/>
      <c r="PW104" s="85"/>
      <c r="PX104" s="35"/>
      <c r="PY104" s="35"/>
      <c r="PZ104" s="35"/>
      <c r="QA104" s="35"/>
      <c r="QB104" s="35"/>
      <c r="QC104" s="35">
        <v>136157.78</v>
      </c>
      <c r="QD104" s="36"/>
      <c r="QE104" s="35"/>
      <c r="QF104" s="35"/>
      <c r="QG104" s="35"/>
      <c r="QH104" s="35"/>
      <c r="QI104" s="35"/>
      <c r="QJ104" s="35">
        <v>136157.78</v>
      </c>
      <c r="QK104" s="35"/>
      <c r="QL104" s="85"/>
      <c r="QM104" s="27"/>
      <c r="QN104" s="36"/>
      <c r="QO104" s="85"/>
    </row>
    <row r="105" spans="1:457" x14ac:dyDescent="0.25">
      <c r="A105" s="8" t="s">
        <v>247</v>
      </c>
      <c r="B105" s="174">
        <v>91</v>
      </c>
      <c r="C105" s="13" t="s">
        <v>249</v>
      </c>
      <c r="F105" s="36">
        <v>30165800</v>
      </c>
      <c r="G105" s="85"/>
      <c r="H105" s="35"/>
      <c r="I105" s="35">
        <v>2785800</v>
      </c>
      <c r="J105" s="35">
        <v>1966100</v>
      </c>
      <c r="K105" s="35">
        <v>819700</v>
      </c>
      <c r="L105" s="35">
        <v>1941081.39</v>
      </c>
      <c r="M105" s="35"/>
      <c r="N105" s="36"/>
      <c r="O105" s="35">
        <v>2750350.72</v>
      </c>
      <c r="P105" s="35">
        <v>1941081.39</v>
      </c>
      <c r="Q105" s="35"/>
      <c r="R105" s="35">
        <v>809269.33</v>
      </c>
      <c r="S105" s="35">
        <v>29.424219999999998</v>
      </c>
      <c r="T105" s="35"/>
      <c r="U105" s="35"/>
      <c r="V105" s="85">
        <v>1941081.39</v>
      </c>
      <c r="W105" s="27"/>
      <c r="X105" s="36">
        <v>1966100</v>
      </c>
      <c r="Y105" s="85">
        <v>1966100</v>
      </c>
      <c r="Z105" s="35"/>
      <c r="AA105" s="35"/>
      <c r="AB105" s="35"/>
      <c r="AC105" s="35"/>
      <c r="AD105" s="35"/>
      <c r="AE105" s="35"/>
      <c r="AF105" s="36"/>
      <c r="AG105" s="35"/>
      <c r="AH105" s="35"/>
      <c r="AI105" s="35"/>
      <c r="AJ105" s="35"/>
      <c r="AK105" s="35"/>
      <c r="AL105" s="35"/>
      <c r="AM105" s="35"/>
      <c r="AN105" s="85"/>
      <c r="AO105" s="27"/>
      <c r="AP105" s="36"/>
      <c r="AQ105" s="85"/>
      <c r="AR105" s="35"/>
      <c r="AS105" s="35">
        <v>1665300</v>
      </c>
      <c r="AT105" s="35">
        <v>454500</v>
      </c>
      <c r="AU105" s="35">
        <v>1210800</v>
      </c>
      <c r="AV105" s="35">
        <v>454500</v>
      </c>
      <c r="AW105" s="35"/>
      <c r="AX105" s="36"/>
      <c r="AY105" s="35">
        <v>1665300</v>
      </c>
      <c r="AZ105" s="35">
        <v>454500</v>
      </c>
      <c r="BA105" s="35"/>
      <c r="BB105" s="35">
        <v>1210800</v>
      </c>
      <c r="BC105" s="35">
        <v>72.707620000000006</v>
      </c>
      <c r="BD105" s="35"/>
      <c r="BE105" s="35"/>
      <c r="BF105" s="85">
        <v>454500</v>
      </c>
      <c r="BG105" s="27"/>
      <c r="BH105" s="36">
        <v>454500</v>
      </c>
      <c r="BI105" s="85">
        <v>454500</v>
      </c>
      <c r="BJ105" s="35"/>
      <c r="BK105" s="35"/>
      <c r="BL105" s="35"/>
      <c r="BM105" s="35"/>
      <c r="BN105" s="35"/>
      <c r="BO105" s="35"/>
      <c r="BP105" s="36"/>
      <c r="BQ105" s="35"/>
      <c r="BR105" s="35"/>
      <c r="BS105" s="35"/>
      <c r="BT105" s="35"/>
      <c r="BU105" s="35"/>
      <c r="BV105" s="35"/>
      <c r="BW105" s="35"/>
      <c r="BX105" s="85"/>
      <c r="BY105" s="27"/>
      <c r="BZ105" s="36"/>
      <c r="CA105" s="85"/>
      <c r="CB105" s="35"/>
      <c r="CC105" s="35">
        <v>9294400</v>
      </c>
      <c r="CD105" s="35">
        <v>1667700</v>
      </c>
      <c r="CE105" s="35">
        <v>7626700</v>
      </c>
      <c r="CF105" s="35">
        <v>1667700</v>
      </c>
      <c r="CG105" s="35"/>
      <c r="CH105" s="36"/>
      <c r="CI105" s="35">
        <v>9294400</v>
      </c>
      <c r="CJ105" s="35">
        <v>1667700</v>
      </c>
      <c r="CK105" s="35"/>
      <c r="CL105" s="35">
        <v>7626700</v>
      </c>
      <c r="CM105" s="35">
        <v>82.056939999999997</v>
      </c>
      <c r="CN105" s="35"/>
      <c r="CO105" s="35"/>
      <c r="CP105" s="85">
        <v>1667700</v>
      </c>
      <c r="CQ105" s="27"/>
      <c r="CR105" s="36">
        <v>1667700</v>
      </c>
      <c r="CS105" s="85">
        <v>1667700</v>
      </c>
      <c r="CT105" s="35"/>
      <c r="CU105" s="35">
        <v>45929500</v>
      </c>
      <c r="CV105" s="35">
        <v>26077500</v>
      </c>
      <c r="CW105" s="35">
        <v>19852000</v>
      </c>
      <c r="CX105" s="35">
        <v>26077186.120000001</v>
      </c>
      <c r="CY105" s="35"/>
      <c r="CZ105" s="36"/>
      <c r="DA105" s="35">
        <v>45928947.719999999</v>
      </c>
      <c r="DB105" s="35">
        <v>26077186.120000001</v>
      </c>
      <c r="DC105" s="35"/>
      <c r="DD105" s="35">
        <v>19851761.600000001</v>
      </c>
      <c r="DE105" s="35">
        <v>43.222769999999997</v>
      </c>
      <c r="DF105" s="35"/>
      <c r="DG105" s="35"/>
      <c r="DH105" s="85">
        <v>26077186.120000001</v>
      </c>
      <c r="DI105" s="27"/>
      <c r="DJ105" s="36">
        <v>26077500</v>
      </c>
      <c r="DK105" s="85">
        <v>26077500</v>
      </c>
      <c r="DL105" s="35"/>
      <c r="DM105" s="35"/>
      <c r="DN105" s="35"/>
      <c r="DO105" s="35"/>
      <c r="DP105" s="35"/>
      <c r="DQ105" s="35"/>
      <c r="DR105" s="36"/>
      <c r="DS105" s="35"/>
      <c r="DT105" s="35"/>
      <c r="DU105" s="35"/>
      <c r="DV105" s="35"/>
      <c r="DW105" s="35"/>
      <c r="DX105" s="35"/>
      <c r="DY105" s="35"/>
      <c r="DZ105" s="85"/>
      <c r="EA105" s="27"/>
      <c r="EB105" s="36"/>
      <c r="EC105" s="85"/>
      <c r="ED105" s="35"/>
      <c r="EE105" s="35"/>
      <c r="EF105" s="35"/>
      <c r="EG105" s="35"/>
      <c r="EH105" s="35"/>
      <c r="EI105" s="35"/>
      <c r="EJ105" s="36"/>
      <c r="EK105" s="35"/>
      <c r="EL105" s="35"/>
      <c r="EM105" s="35"/>
      <c r="EN105" s="35"/>
      <c r="EO105" s="35"/>
      <c r="EP105" s="35"/>
      <c r="EQ105" s="35"/>
      <c r="ER105" s="85"/>
      <c r="ES105" s="27"/>
      <c r="ET105" s="36"/>
      <c r="EU105" s="85"/>
      <c r="EV105" s="35"/>
      <c r="EW105" s="35"/>
      <c r="EX105" s="35"/>
      <c r="EY105" s="35"/>
      <c r="EZ105" s="35"/>
      <c r="FA105" s="35"/>
      <c r="FB105" s="36"/>
      <c r="FC105" s="35"/>
      <c r="FD105" s="35"/>
      <c r="FE105" s="35"/>
      <c r="FF105" s="35"/>
      <c r="FG105" s="35"/>
      <c r="FH105" s="35"/>
      <c r="FI105" s="35"/>
      <c r="FJ105" s="85"/>
      <c r="FK105" s="27"/>
      <c r="FL105" s="36"/>
      <c r="FM105" s="85"/>
      <c r="FN105" s="35"/>
      <c r="FO105" s="35"/>
      <c r="FP105" s="35"/>
      <c r="FQ105" s="35"/>
      <c r="FR105" s="35"/>
      <c r="FS105" s="35"/>
      <c r="FT105" s="36"/>
      <c r="FU105" s="35"/>
      <c r="FV105" s="35"/>
      <c r="FW105" s="35"/>
      <c r="FX105" s="35"/>
      <c r="FY105" s="35"/>
      <c r="FZ105" s="35"/>
      <c r="GA105" s="35"/>
      <c r="GB105" s="85"/>
      <c r="GC105" s="27"/>
      <c r="GD105" s="36"/>
      <c r="GE105" s="85"/>
      <c r="GF105" s="35"/>
      <c r="GG105" s="35"/>
      <c r="GH105" s="35"/>
      <c r="GI105" s="35"/>
      <c r="GJ105" s="35"/>
      <c r="GK105" s="35"/>
      <c r="GL105" s="36"/>
      <c r="GM105" s="35"/>
      <c r="GN105" s="35"/>
      <c r="GO105" s="35"/>
      <c r="GP105" s="35"/>
      <c r="GQ105" s="35"/>
      <c r="GR105" s="35"/>
      <c r="GS105" s="35"/>
      <c r="GT105" s="85"/>
      <c r="GU105" s="27"/>
      <c r="GV105" s="36"/>
      <c r="GW105" s="85"/>
      <c r="GX105" s="35"/>
      <c r="GY105" s="35"/>
      <c r="GZ105" s="35"/>
      <c r="HA105" s="35"/>
      <c r="HB105" s="35"/>
      <c r="HC105" s="35"/>
      <c r="HD105" s="36"/>
      <c r="HE105" s="35"/>
      <c r="HF105" s="35"/>
      <c r="HG105" s="35"/>
      <c r="HH105" s="35"/>
      <c r="HI105" s="35"/>
      <c r="HJ105" s="35"/>
      <c r="HK105" s="35"/>
      <c r="HL105" s="85"/>
      <c r="HM105" s="27"/>
      <c r="HN105" s="36"/>
      <c r="HO105" s="85"/>
      <c r="HP105" s="35"/>
      <c r="HQ105" s="35"/>
      <c r="HR105" s="35"/>
      <c r="HS105" s="35"/>
      <c r="HT105" s="35"/>
      <c r="HU105" s="35"/>
      <c r="HV105" s="36"/>
      <c r="HW105" s="35"/>
      <c r="HX105" s="35"/>
      <c r="HY105" s="35"/>
      <c r="HZ105" s="35"/>
      <c r="IA105" s="35"/>
      <c r="IB105" s="35"/>
      <c r="IC105" s="35"/>
      <c r="ID105" s="85"/>
      <c r="IE105" s="27"/>
      <c r="IF105" s="36"/>
      <c r="IG105" s="85"/>
      <c r="IH105" s="35"/>
      <c r="II105" s="35"/>
      <c r="IJ105" s="35"/>
      <c r="IK105" s="35"/>
      <c r="IL105" s="35"/>
      <c r="IM105" s="35"/>
      <c r="IN105" s="36"/>
      <c r="IO105" s="35"/>
      <c r="IP105" s="35"/>
      <c r="IQ105" s="35"/>
      <c r="IR105" s="35"/>
      <c r="IS105" s="35"/>
      <c r="IT105" s="35"/>
      <c r="IU105" s="35"/>
      <c r="IV105" s="85"/>
      <c r="IW105" s="27"/>
      <c r="IX105" s="36"/>
      <c r="IY105" s="85"/>
      <c r="IZ105" s="35"/>
      <c r="JA105" s="35"/>
      <c r="JB105" s="35"/>
      <c r="JC105" s="35"/>
      <c r="JD105" s="35"/>
      <c r="JE105" s="35"/>
      <c r="JF105" s="36"/>
      <c r="JG105" s="35"/>
      <c r="JH105" s="35"/>
      <c r="JI105" s="35"/>
      <c r="JJ105" s="35"/>
      <c r="JK105" s="35"/>
      <c r="JL105" s="35"/>
      <c r="JM105" s="35"/>
      <c r="JN105" s="85"/>
      <c r="JO105" s="27"/>
      <c r="JP105" s="36"/>
      <c r="JQ105" s="85"/>
      <c r="JR105" s="35"/>
      <c r="JS105" s="35"/>
      <c r="JT105" s="35"/>
      <c r="JU105" s="35"/>
      <c r="JV105" s="35"/>
      <c r="JW105" s="35"/>
      <c r="JX105" s="36"/>
      <c r="JY105" s="35"/>
      <c r="JZ105" s="35"/>
      <c r="KA105" s="35"/>
      <c r="KB105" s="35"/>
      <c r="KC105" s="35"/>
      <c r="KD105" s="35"/>
      <c r="KE105" s="35"/>
      <c r="KF105" s="85"/>
      <c r="KG105" s="27"/>
      <c r="KH105" s="36"/>
      <c r="KI105" s="85"/>
      <c r="KJ105" s="35"/>
      <c r="KK105" s="35"/>
      <c r="KL105" s="35"/>
      <c r="KM105" s="35"/>
      <c r="KN105" s="35"/>
      <c r="KO105" s="35"/>
      <c r="KP105" s="36"/>
      <c r="KQ105" s="35"/>
      <c r="KR105" s="35"/>
      <c r="KS105" s="35"/>
      <c r="KT105" s="35"/>
      <c r="KU105" s="35"/>
      <c r="KV105" s="35"/>
      <c r="KW105" s="35"/>
      <c r="KX105" s="85"/>
      <c r="KY105" s="27"/>
      <c r="KZ105" s="36"/>
      <c r="LA105" s="85"/>
      <c r="LB105" s="35"/>
      <c r="LC105" s="35"/>
      <c r="LD105" s="35"/>
      <c r="LE105" s="35"/>
      <c r="LF105" s="35"/>
      <c r="LG105" s="35"/>
      <c r="LH105" s="36"/>
      <c r="LI105" s="35"/>
      <c r="LJ105" s="35"/>
      <c r="LK105" s="35"/>
      <c r="LL105" s="35"/>
      <c r="LM105" s="35"/>
      <c r="LN105" s="35"/>
      <c r="LO105" s="35"/>
      <c r="LP105" s="85"/>
      <c r="LQ105" s="27"/>
      <c r="LR105" s="36"/>
      <c r="LS105" s="85"/>
      <c r="LT105" s="35"/>
      <c r="LU105" s="35"/>
      <c r="LV105" s="35"/>
      <c r="LW105" s="35"/>
      <c r="LX105" s="35"/>
      <c r="LY105" s="35"/>
      <c r="LZ105" s="36"/>
      <c r="MA105" s="35"/>
      <c r="MB105" s="35"/>
      <c r="MC105" s="35"/>
      <c r="MD105" s="35"/>
      <c r="ME105" s="35"/>
      <c r="MF105" s="35"/>
      <c r="MG105" s="35"/>
      <c r="MH105" s="85"/>
      <c r="MI105" s="27"/>
      <c r="MJ105" s="36"/>
      <c r="MK105" s="85"/>
      <c r="ML105" s="35"/>
      <c r="MM105" s="35"/>
      <c r="MN105" s="35"/>
      <c r="MO105" s="35"/>
      <c r="MP105" s="35"/>
      <c r="MQ105" s="35"/>
      <c r="MR105" s="36"/>
      <c r="MS105" s="35"/>
      <c r="MT105" s="35"/>
      <c r="MU105" s="35"/>
      <c r="MV105" s="35"/>
      <c r="MW105" s="35"/>
      <c r="MX105" s="35"/>
      <c r="MY105" s="35"/>
      <c r="MZ105" s="85"/>
      <c r="NA105" s="27"/>
      <c r="NB105" s="36"/>
      <c r="NC105" s="85"/>
      <c r="ND105" s="35"/>
      <c r="NE105" s="35"/>
      <c r="NF105" s="35"/>
      <c r="NG105" s="35"/>
      <c r="NH105" s="35"/>
      <c r="NI105" s="35"/>
      <c r="NJ105" s="36"/>
      <c r="NK105" s="35"/>
      <c r="NL105" s="35"/>
      <c r="NM105" s="35"/>
      <c r="NN105" s="35"/>
      <c r="NO105" s="35"/>
      <c r="NP105" s="35"/>
      <c r="NQ105" s="35"/>
      <c r="NR105" s="85"/>
      <c r="NS105" s="27"/>
      <c r="NT105" s="36"/>
      <c r="NU105" s="85"/>
      <c r="NV105" s="35"/>
      <c r="NW105" s="35"/>
      <c r="NX105" s="35"/>
      <c r="NY105" s="35"/>
      <c r="NZ105" s="35"/>
      <c r="OA105" s="35"/>
      <c r="OB105" s="36"/>
      <c r="OC105" s="35"/>
      <c r="OD105" s="35"/>
      <c r="OE105" s="35"/>
      <c r="OF105" s="35"/>
      <c r="OG105" s="35"/>
      <c r="OH105" s="35"/>
      <c r="OI105" s="35"/>
      <c r="OJ105" s="85"/>
      <c r="OK105" s="27"/>
      <c r="OL105" s="36"/>
      <c r="OM105" s="85"/>
      <c r="ON105" s="35"/>
      <c r="OO105" s="35"/>
      <c r="OP105" s="35"/>
      <c r="OQ105" s="35"/>
      <c r="OR105" s="35"/>
      <c r="OS105" s="35"/>
      <c r="OT105" s="36"/>
      <c r="OU105" s="35"/>
      <c r="OV105" s="35"/>
      <c r="OW105" s="35"/>
      <c r="OX105" s="35"/>
      <c r="OY105" s="35"/>
      <c r="OZ105" s="35"/>
      <c r="PA105" s="35"/>
      <c r="PB105" s="85"/>
      <c r="PC105" s="27"/>
      <c r="PD105" s="36"/>
      <c r="PE105" s="85"/>
      <c r="PF105" s="35"/>
      <c r="PG105" s="35"/>
      <c r="PH105" s="35"/>
      <c r="PI105" s="35"/>
      <c r="PJ105" s="35"/>
      <c r="PK105" s="35"/>
      <c r="PL105" s="36"/>
      <c r="PM105" s="35"/>
      <c r="PN105" s="35"/>
      <c r="PO105" s="35"/>
      <c r="PP105" s="35"/>
      <c r="PQ105" s="35"/>
      <c r="PR105" s="35"/>
      <c r="PS105" s="35"/>
      <c r="PT105" s="85"/>
      <c r="PU105" s="27"/>
      <c r="PV105" s="36"/>
      <c r="PW105" s="85"/>
      <c r="PX105" s="35"/>
      <c r="PY105" s="35"/>
      <c r="PZ105" s="35"/>
      <c r="QA105" s="35"/>
      <c r="QB105" s="35"/>
      <c r="QC105" s="35">
        <v>2359585.6</v>
      </c>
      <c r="QD105" s="36"/>
      <c r="QE105" s="35"/>
      <c r="QF105" s="35"/>
      <c r="QG105" s="35"/>
      <c r="QH105" s="35"/>
      <c r="QI105" s="35"/>
      <c r="QJ105" s="35">
        <v>2359585.6</v>
      </c>
      <c r="QK105" s="35"/>
      <c r="QL105" s="85"/>
      <c r="QM105" s="27"/>
      <c r="QN105" s="36"/>
      <c r="QO105" s="85"/>
    </row>
    <row r="106" spans="1:457" x14ac:dyDescent="0.25">
      <c r="A106" s="8" t="s">
        <v>250</v>
      </c>
      <c r="B106" s="174">
        <v>92</v>
      </c>
      <c r="C106" s="13" t="s">
        <v>252</v>
      </c>
      <c r="F106" s="36">
        <v>222752700</v>
      </c>
      <c r="G106" s="85"/>
      <c r="H106" s="35"/>
      <c r="I106" s="35">
        <v>6859200</v>
      </c>
      <c r="J106" s="35">
        <v>5371800</v>
      </c>
      <c r="K106" s="35">
        <v>1487400</v>
      </c>
      <c r="L106" s="35">
        <v>4868826.51</v>
      </c>
      <c r="M106" s="35"/>
      <c r="N106" s="36"/>
      <c r="O106" s="35">
        <v>6232129.2000000002</v>
      </c>
      <c r="P106" s="35">
        <v>4868826.51</v>
      </c>
      <c r="Q106" s="35"/>
      <c r="R106" s="35">
        <v>1363302.69</v>
      </c>
      <c r="S106" s="35">
        <v>21.875389999999999</v>
      </c>
      <c r="T106" s="35"/>
      <c r="U106" s="35"/>
      <c r="V106" s="85">
        <v>4868826.51</v>
      </c>
      <c r="W106" s="27"/>
      <c r="X106" s="36">
        <v>5371800</v>
      </c>
      <c r="Y106" s="85">
        <v>5371800</v>
      </c>
      <c r="Z106" s="35"/>
      <c r="AA106" s="35"/>
      <c r="AB106" s="35"/>
      <c r="AC106" s="35"/>
      <c r="AD106" s="35"/>
      <c r="AE106" s="35"/>
      <c r="AF106" s="36"/>
      <c r="AG106" s="35"/>
      <c r="AH106" s="35"/>
      <c r="AI106" s="35"/>
      <c r="AJ106" s="35"/>
      <c r="AK106" s="35"/>
      <c r="AL106" s="35"/>
      <c r="AM106" s="35"/>
      <c r="AN106" s="85"/>
      <c r="AO106" s="27"/>
      <c r="AP106" s="36"/>
      <c r="AQ106" s="85"/>
      <c r="AR106" s="35"/>
      <c r="AS106" s="35">
        <v>104711000</v>
      </c>
      <c r="AT106" s="35">
        <v>6011000</v>
      </c>
      <c r="AU106" s="35">
        <v>98700000</v>
      </c>
      <c r="AV106" s="35">
        <v>5374543.7800000003</v>
      </c>
      <c r="AW106" s="35"/>
      <c r="AX106" s="36"/>
      <c r="AY106" s="35">
        <v>93623998</v>
      </c>
      <c r="AZ106" s="35">
        <v>5374543.7800000003</v>
      </c>
      <c r="BA106" s="35"/>
      <c r="BB106" s="35">
        <v>88249454.219999999</v>
      </c>
      <c r="BC106" s="35">
        <v>94.259439999999998</v>
      </c>
      <c r="BD106" s="35"/>
      <c r="BE106" s="35"/>
      <c r="BF106" s="85">
        <v>5374543.7800000003</v>
      </c>
      <c r="BG106" s="27"/>
      <c r="BH106" s="36">
        <v>6011000</v>
      </c>
      <c r="BI106" s="85">
        <v>6011000</v>
      </c>
      <c r="BJ106" s="35"/>
      <c r="BK106" s="35"/>
      <c r="BL106" s="35"/>
      <c r="BM106" s="35"/>
      <c r="BN106" s="35"/>
      <c r="BO106" s="35"/>
      <c r="BP106" s="36"/>
      <c r="BQ106" s="35"/>
      <c r="BR106" s="35"/>
      <c r="BS106" s="35"/>
      <c r="BT106" s="35"/>
      <c r="BU106" s="35"/>
      <c r="BV106" s="35"/>
      <c r="BW106" s="35"/>
      <c r="BX106" s="85"/>
      <c r="BY106" s="27"/>
      <c r="BZ106" s="36"/>
      <c r="CA106" s="85"/>
      <c r="CB106" s="35"/>
      <c r="CC106" s="35">
        <v>10498100</v>
      </c>
      <c r="CD106" s="35">
        <v>6146900</v>
      </c>
      <c r="CE106" s="35">
        <v>4351200</v>
      </c>
      <c r="CF106" s="35">
        <v>6146900</v>
      </c>
      <c r="CG106" s="35"/>
      <c r="CH106" s="36"/>
      <c r="CI106" s="35">
        <v>10498100</v>
      </c>
      <c r="CJ106" s="35">
        <v>6146900</v>
      </c>
      <c r="CK106" s="35"/>
      <c r="CL106" s="35">
        <v>4351200</v>
      </c>
      <c r="CM106" s="35">
        <v>41.447499999999998</v>
      </c>
      <c r="CN106" s="35"/>
      <c r="CO106" s="35"/>
      <c r="CP106" s="85">
        <v>6146900</v>
      </c>
      <c r="CQ106" s="27"/>
      <c r="CR106" s="36">
        <v>6146900</v>
      </c>
      <c r="CS106" s="85">
        <v>6146900</v>
      </c>
      <c r="CT106" s="35"/>
      <c r="CU106" s="35">
        <v>118585700</v>
      </c>
      <c r="CV106" s="35">
        <v>30833000</v>
      </c>
      <c r="CW106" s="35">
        <v>87752700</v>
      </c>
      <c r="CX106" s="35">
        <v>30833000</v>
      </c>
      <c r="CY106" s="35"/>
      <c r="CZ106" s="36"/>
      <c r="DA106" s="35">
        <v>118585700</v>
      </c>
      <c r="DB106" s="35">
        <v>30833000</v>
      </c>
      <c r="DC106" s="35"/>
      <c r="DD106" s="35">
        <v>87752700</v>
      </c>
      <c r="DE106" s="35">
        <v>73.999390000000005</v>
      </c>
      <c r="DF106" s="35"/>
      <c r="DG106" s="35"/>
      <c r="DH106" s="85">
        <v>30833000</v>
      </c>
      <c r="DI106" s="27"/>
      <c r="DJ106" s="36">
        <v>30833000</v>
      </c>
      <c r="DK106" s="85">
        <v>30833000</v>
      </c>
      <c r="DL106" s="35"/>
      <c r="DM106" s="35"/>
      <c r="DN106" s="35"/>
      <c r="DO106" s="35"/>
      <c r="DP106" s="35"/>
      <c r="DQ106" s="35"/>
      <c r="DR106" s="36"/>
      <c r="DS106" s="35"/>
      <c r="DT106" s="35"/>
      <c r="DU106" s="35"/>
      <c r="DV106" s="35"/>
      <c r="DW106" s="35"/>
      <c r="DX106" s="35"/>
      <c r="DY106" s="35"/>
      <c r="DZ106" s="85"/>
      <c r="EA106" s="27"/>
      <c r="EB106" s="36"/>
      <c r="EC106" s="85"/>
      <c r="ED106" s="35"/>
      <c r="EE106" s="35">
        <v>188718400</v>
      </c>
      <c r="EF106" s="35">
        <v>131082400</v>
      </c>
      <c r="EG106" s="35">
        <v>57636000</v>
      </c>
      <c r="EH106" s="35">
        <v>123342416.95999999</v>
      </c>
      <c r="EI106" s="35"/>
      <c r="EJ106" s="36"/>
      <c r="EK106" s="35">
        <v>177573304</v>
      </c>
      <c r="EL106" s="35">
        <v>123341016.31999999</v>
      </c>
      <c r="EM106" s="35"/>
      <c r="EN106" s="35">
        <v>54232287.68</v>
      </c>
      <c r="EO106" s="35">
        <v>30.540790000000001</v>
      </c>
      <c r="EP106" s="35"/>
      <c r="EQ106" s="35">
        <v>1400.64</v>
      </c>
      <c r="ER106" s="85">
        <v>123341016.31999999</v>
      </c>
      <c r="ES106" s="27"/>
      <c r="ET106" s="36">
        <v>131082400</v>
      </c>
      <c r="EU106" s="85">
        <v>131082400</v>
      </c>
      <c r="EV106" s="35"/>
      <c r="EW106" s="35"/>
      <c r="EX106" s="35"/>
      <c r="EY106" s="35"/>
      <c r="EZ106" s="35"/>
      <c r="FA106" s="35"/>
      <c r="FB106" s="36"/>
      <c r="FC106" s="35"/>
      <c r="FD106" s="35"/>
      <c r="FE106" s="35"/>
      <c r="FF106" s="35"/>
      <c r="FG106" s="35"/>
      <c r="FH106" s="35"/>
      <c r="FI106" s="35"/>
      <c r="FJ106" s="85"/>
      <c r="FK106" s="27"/>
      <c r="FL106" s="36"/>
      <c r="FM106" s="85"/>
      <c r="FN106" s="35"/>
      <c r="FO106" s="35">
        <v>109319500</v>
      </c>
      <c r="FP106" s="35">
        <v>11180500</v>
      </c>
      <c r="FQ106" s="35">
        <v>98139000</v>
      </c>
      <c r="FR106" s="35">
        <v>11180500</v>
      </c>
      <c r="FS106" s="35"/>
      <c r="FT106" s="36"/>
      <c r="FU106" s="35">
        <v>109319500</v>
      </c>
      <c r="FV106" s="35">
        <v>11180500</v>
      </c>
      <c r="FW106" s="35"/>
      <c r="FX106" s="35">
        <v>98139000</v>
      </c>
      <c r="FY106" s="35">
        <v>89.772639999999996</v>
      </c>
      <c r="FZ106" s="35"/>
      <c r="GA106" s="35"/>
      <c r="GB106" s="85">
        <v>11180500</v>
      </c>
      <c r="GC106" s="27"/>
      <c r="GD106" s="36">
        <v>11180500</v>
      </c>
      <c r="GE106" s="85">
        <v>11180500</v>
      </c>
      <c r="GF106" s="35"/>
      <c r="GG106" s="35"/>
      <c r="GH106" s="35"/>
      <c r="GI106" s="35"/>
      <c r="GJ106" s="35"/>
      <c r="GK106" s="35"/>
      <c r="GL106" s="36"/>
      <c r="GM106" s="35"/>
      <c r="GN106" s="35"/>
      <c r="GO106" s="35"/>
      <c r="GP106" s="35"/>
      <c r="GQ106" s="35"/>
      <c r="GR106" s="35"/>
      <c r="GS106" s="35"/>
      <c r="GT106" s="85"/>
      <c r="GU106" s="27"/>
      <c r="GV106" s="36"/>
      <c r="GW106" s="85"/>
      <c r="GX106" s="35"/>
      <c r="GY106" s="35"/>
      <c r="GZ106" s="35"/>
      <c r="HA106" s="35"/>
      <c r="HB106" s="35"/>
      <c r="HC106" s="35"/>
      <c r="HD106" s="36"/>
      <c r="HE106" s="35"/>
      <c r="HF106" s="35"/>
      <c r="HG106" s="35"/>
      <c r="HH106" s="35"/>
      <c r="HI106" s="35"/>
      <c r="HJ106" s="35"/>
      <c r="HK106" s="35"/>
      <c r="HL106" s="85"/>
      <c r="HM106" s="27"/>
      <c r="HN106" s="36"/>
      <c r="HO106" s="85"/>
      <c r="HP106" s="35"/>
      <c r="HQ106" s="35"/>
      <c r="HR106" s="35"/>
      <c r="HS106" s="35"/>
      <c r="HT106" s="35"/>
      <c r="HU106" s="35"/>
      <c r="HV106" s="36"/>
      <c r="HW106" s="35"/>
      <c r="HX106" s="35"/>
      <c r="HY106" s="35"/>
      <c r="HZ106" s="35"/>
      <c r="IA106" s="35"/>
      <c r="IB106" s="35"/>
      <c r="IC106" s="35"/>
      <c r="ID106" s="85"/>
      <c r="IE106" s="27"/>
      <c r="IF106" s="36"/>
      <c r="IG106" s="85"/>
      <c r="IH106" s="35"/>
      <c r="II106" s="35"/>
      <c r="IJ106" s="35"/>
      <c r="IK106" s="35"/>
      <c r="IL106" s="35"/>
      <c r="IM106" s="35"/>
      <c r="IN106" s="36"/>
      <c r="IO106" s="35"/>
      <c r="IP106" s="35"/>
      <c r="IQ106" s="35"/>
      <c r="IR106" s="35"/>
      <c r="IS106" s="35"/>
      <c r="IT106" s="35"/>
      <c r="IU106" s="35"/>
      <c r="IV106" s="85"/>
      <c r="IW106" s="27"/>
      <c r="IX106" s="36"/>
      <c r="IY106" s="85"/>
      <c r="IZ106" s="35"/>
      <c r="JA106" s="35"/>
      <c r="JB106" s="35"/>
      <c r="JC106" s="35"/>
      <c r="JD106" s="35"/>
      <c r="JE106" s="35"/>
      <c r="JF106" s="36"/>
      <c r="JG106" s="35"/>
      <c r="JH106" s="35"/>
      <c r="JI106" s="35"/>
      <c r="JJ106" s="35"/>
      <c r="JK106" s="35"/>
      <c r="JL106" s="35"/>
      <c r="JM106" s="35"/>
      <c r="JN106" s="85"/>
      <c r="JO106" s="27"/>
      <c r="JP106" s="36"/>
      <c r="JQ106" s="85"/>
      <c r="JR106" s="35"/>
      <c r="JS106" s="35"/>
      <c r="JT106" s="35"/>
      <c r="JU106" s="35"/>
      <c r="JV106" s="35"/>
      <c r="JW106" s="35"/>
      <c r="JX106" s="36"/>
      <c r="JY106" s="35"/>
      <c r="JZ106" s="35"/>
      <c r="KA106" s="35"/>
      <c r="KB106" s="35"/>
      <c r="KC106" s="35"/>
      <c r="KD106" s="35"/>
      <c r="KE106" s="35"/>
      <c r="KF106" s="85"/>
      <c r="KG106" s="27"/>
      <c r="KH106" s="36"/>
      <c r="KI106" s="85"/>
      <c r="KJ106" s="35"/>
      <c r="KK106" s="35"/>
      <c r="KL106" s="35"/>
      <c r="KM106" s="35"/>
      <c r="KN106" s="35"/>
      <c r="KO106" s="35"/>
      <c r="KP106" s="36"/>
      <c r="KQ106" s="35"/>
      <c r="KR106" s="35"/>
      <c r="KS106" s="35"/>
      <c r="KT106" s="35"/>
      <c r="KU106" s="35"/>
      <c r="KV106" s="35"/>
      <c r="KW106" s="35"/>
      <c r="KX106" s="85"/>
      <c r="KY106" s="27"/>
      <c r="KZ106" s="36"/>
      <c r="LA106" s="85"/>
      <c r="LB106" s="35"/>
      <c r="LC106" s="35"/>
      <c r="LD106" s="35"/>
      <c r="LE106" s="35"/>
      <c r="LF106" s="35"/>
      <c r="LG106" s="35"/>
      <c r="LH106" s="36"/>
      <c r="LI106" s="35"/>
      <c r="LJ106" s="35"/>
      <c r="LK106" s="35"/>
      <c r="LL106" s="35"/>
      <c r="LM106" s="35"/>
      <c r="LN106" s="35"/>
      <c r="LO106" s="35"/>
      <c r="LP106" s="85"/>
      <c r="LQ106" s="27"/>
      <c r="LR106" s="36"/>
      <c r="LS106" s="85"/>
      <c r="LT106" s="35"/>
      <c r="LU106" s="35"/>
      <c r="LV106" s="35"/>
      <c r="LW106" s="35"/>
      <c r="LX106" s="35"/>
      <c r="LY106" s="35"/>
      <c r="LZ106" s="36"/>
      <c r="MA106" s="35"/>
      <c r="MB106" s="35"/>
      <c r="MC106" s="35"/>
      <c r="MD106" s="35"/>
      <c r="ME106" s="35"/>
      <c r="MF106" s="35"/>
      <c r="MG106" s="35"/>
      <c r="MH106" s="85"/>
      <c r="MI106" s="27"/>
      <c r="MJ106" s="36"/>
      <c r="MK106" s="85"/>
      <c r="ML106" s="35"/>
      <c r="MM106" s="35"/>
      <c r="MN106" s="35"/>
      <c r="MO106" s="35"/>
      <c r="MP106" s="35"/>
      <c r="MQ106" s="35"/>
      <c r="MR106" s="36"/>
      <c r="MS106" s="35"/>
      <c r="MT106" s="35"/>
      <c r="MU106" s="35"/>
      <c r="MV106" s="35"/>
      <c r="MW106" s="35"/>
      <c r="MX106" s="35"/>
      <c r="MY106" s="35"/>
      <c r="MZ106" s="85"/>
      <c r="NA106" s="27"/>
      <c r="NB106" s="36"/>
      <c r="NC106" s="85"/>
      <c r="ND106" s="35"/>
      <c r="NE106" s="35">
        <v>82127100</v>
      </c>
      <c r="NF106" s="35">
        <v>32127100</v>
      </c>
      <c r="NG106" s="35">
        <v>50000000</v>
      </c>
      <c r="NH106" s="35">
        <v>0</v>
      </c>
      <c r="NI106" s="35">
        <v>0</v>
      </c>
      <c r="NJ106" s="36"/>
      <c r="NK106" s="35"/>
      <c r="NL106" s="35"/>
      <c r="NM106" s="35"/>
      <c r="NN106" s="35"/>
      <c r="NO106" s="35"/>
      <c r="NP106" s="35">
        <v>0</v>
      </c>
      <c r="NQ106" s="35"/>
      <c r="NR106" s="85"/>
      <c r="NS106" s="27"/>
      <c r="NT106" s="36">
        <v>32127100</v>
      </c>
      <c r="NU106" s="85">
        <v>32127100</v>
      </c>
      <c r="NV106" s="35"/>
      <c r="NW106" s="35"/>
      <c r="NX106" s="35"/>
      <c r="NY106" s="35"/>
      <c r="NZ106" s="35"/>
      <c r="OA106" s="35"/>
      <c r="OB106" s="36"/>
      <c r="OC106" s="35"/>
      <c r="OD106" s="35"/>
      <c r="OE106" s="35"/>
      <c r="OF106" s="35"/>
      <c r="OG106" s="35"/>
      <c r="OH106" s="35"/>
      <c r="OI106" s="35"/>
      <c r="OJ106" s="85"/>
      <c r="OK106" s="27"/>
      <c r="OL106" s="36"/>
      <c r="OM106" s="85"/>
      <c r="ON106" s="35"/>
      <c r="OO106" s="35"/>
      <c r="OP106" s="35"/>
      <c r="OQ106" s="35"/>
      <c r="OR106" s="35"/>
      <c r="OS106" s="35"/>
      <c r="OT106" s="36"/>
      <c r="OU106" s="35"/>
      <c r="OV106" s="35"/>
      <c r="OW106" s="35"/>
      <c r="OX106" s="35"/>
      <c r="OY106" s="35"/>
      <c r="OZ106" s="35"/>
      <c r="PA106" s="35"/>
      <c r="PB106" s="85"/>
      <c r="PC106" s="27"/>
      <c r="PD106" s="36"/>
      <c r="PE106" s="85"/>
      <c r="PF106" s="35"/>
      <c r="PG106" s="35"/>
      <c r="PH106" s="35"/>
      <c r="PI106" s="35"/>
      <c r="PJ106" s="35"/>
      <c r="PK106" s="35"/>
      <c r="PL106" s="36"/>
      <c r="PM106" s="35"/>
      <c r="PN106" s="35"/>
      <c r="PO106" s="35"/>
      <c r="PP106" s="35"/>
      <c r="PQ106" s="35"/>
      <c r="PR106" s="35"/>
      <c r="PS106" s="35"/>
      <c r="PT106" s="85"/>
      <c r="PU106" s="27"/>
      <c r="PV106" s="36"/>
      <c r="PW106" s="85"/>
      <c r="PX106" s="35"/>
      <c r="PY106" s="35"/>
      <c r="PZ106" s="35"/>
      <c r="QA106" s="35"/>
      <c r="QB106" s="35"/>
      <c r="QC106" s="35">
        <v>7981.48</v>
      </c>
      <c r="QD106" s="36"/>
      <c r="QE106" s="35"/>
      <c r="QF106" s="35"/>
      <c r="QG106" s="35"/>
      <c r="QH106" s="35"/>
      <c r="QI106" s="35"/>
      <c r="QJ106" s="35">
        <v>7981.48</v>
      </c>
      <c r="QK106" s="35"/>
      <c r="QL106" s="85"/>
      <c r="QM106" s="27"/>
      <c r="QN106" s="36"/>
      <c r="QO106" s="85"/>
    </row>
    <row r="107" spans="1:457" x14ac:dyDescent="0.25">
      <c r="A107" s="8" t="s">
        <v>253</v>
      </c>
      <c r="B107" s="172">
        <v>93</v>
      </c>
      <c r="C107" s="13" t="s">
        <v>254</v>
      </c>
      <c r="F107" s="36">
        <v>43391800</v>
      </c>
      <c r="G107" s="85"/>
      <c r="H107" s="35"/>
      <c r="I107" s="35">
        <v>11746900</v>
      </c>
      <c r="J107" s="35">
        <v>7836200</v>
      </c>
      <c r="K107" s="35">
        <v>3910700</v>
      </c>
      <c r="L107" s="35">
        <v>7253202.04</v>
      </c>
      <c r="M107" s="35"/>
      <c r="N107" s="36"/>
      <c r="O107" s="35">
        <v>10872402.93</v>
      </c>
      <c r="P107" s="35">
        <v>7253202.04</v>
      </c>
      <c r="Q107" s="35"/>
      <c r="R107" s="35">
        <v>3619200.89</v>
      </c>
      <c r="S107" s="35">
        <v>33.287959999999998</v>
      </c>
      <c r="T107" s="35"/>
      <c r="U107" s="35"/>
      <c r="V107" s="85">
        <v>7253202.04</v>
      </c>
      <c r="W107" s="27"/>
      <c r="X107" s="36">
        <v>7836200</v>
      </c>
      <c r="Y107" s="85">
        <v>7836200</v>
      </c>
      <c r="Z107" s="35"/>
      <c r="AA107" s="35"/>
      <c r="AB107" s="35"/>
      <c r="AC107" s="35"/>
      <c r="AD107" s="35"/>
      <c r="AE107" s="35"/>
      <c r="AF107" s="36"/>
      <c r="AG107" s="35"/>
      <c r="AH107" s="35"/>
      <c r="AI107" s="35"/>
      <c r="AJ107" s="35"/>
      <c r="AK107" s="35"/>
      <c r="AL107" s="35"/>
      <c r="AM107" s="35"/>
      <c r="AN107" s="85"/>
      <c r="AO107" s="27"/>
      <c r="AP107" s="36"/>
      <c r="AQ107" s="85"/>
      <c r="AR107" s="35"/>
      <c r="AS107" s="35">
        <v>3885400</v>
      </c>
      <c r="AT107" s="35">
        <v>842700</v>
      </c>
      <c r="AU107" s="35">
        <v>3042700</v>
      </c>
      <c r="AV107" s="35">
        <v>688749.04</v>
      </c>
      <c r="AW107" s="35"/>
      <c r="AX107" s="36"/>
      <c r="AY107" s="35">
        <v>3175584.99</v>
      </c>
      <c r="AZ107" s="35">
        <v>688749.04</v>
      </c>
      <c r="BA107" s="35"/>
      <c r="BB107" s="35">
        <v>2486835.9500000002</v>
      </c>
      <c r="BC107" s="35">
        <v>78.311109999999999</v>
      </c>
      <c r="BD107" s="35"/>
      <c r="BE107" s="35"/>
      <c r="BF107" s="85">
        <v>688749.04</v>
      </c>
      <c r="BG107" s="27"/>
      <c r="BH107" s="36">
        <v>842700</v>
      </c>
      <c r="BI107" s="85">
        <v>842700</v>
      </c>
      <c r="BJ107" s="35"/>
      <c r="BK107" s="35"/>
      <c r="BL107" s="35"/>
      <c r="BM107" s="35"/>
      <c r="BN107" s="35"/>
      <c r="BO107" s="35"/>
      <c r="BP107" s="36"/>
      <c r="BQ107" s="35"/>
      <c r="BR107" s="35"/>
      <c r="BS107" s="35"/>
      <c r="BT107" s="35"/>
      <c r="BU107" s="35"/>
      <c r="BV107" s="35"/>
      <c r="BW107" s="35"/>
      <c r="BX107" s="85"/>
      <c r="BY107" s="27"/>
      <c r="BZ107" s="36"/>
      <c r="CA107" s="85"/>
      <c r="CB107" s="35"/>
      <c r="CC107" s="35">
        <v>7073800</v>
      </c>
      <c r="CD107" s="35">
        <v>5943800</v>
      </c>
      <c r="CE107" s="35">
        <v>1130000</v>
      </c>
      <c r="CF107" s="35">
        <v>5322010.2699999996</v>
      </c>
      <c r="CG107" s="35">
        <v>258172.05</v>
      </c>
      <c r="CH107" s="36"/>
      <c r="CI107" s="35">
        <v>6277360.9000000004</v>
      </c>
      <c r="CJ107" s="35">
        <v>5274587.59</v>
      </c>
      <c r="CK107" s="35"/>
      <c r="CL107" s="35">
        <v>1002773.31</v>
      </c>
      <c r="CM107" s="35">
        <v>15.97444</v>
      </c>
      <c r="CN107" s="35">
        <v>258172.05</v>
      </c>
      <c r="CO107" s="35">
        <v>47422.68</v>
      </c>
      <c r="CP107" s="85">
        <v>5274587.59</v>
      </c>
      <c r="CQ107" s="27"/>
      <c r="CR107" s="36">
        <v>5943800</v>
      </c>
      <c r="CS107" s="85">
        <v>5943800</v>
      </c>
      <c r="CT107" s="35"/>
      <c r="CU107" s="35">
        <v>29894200</v>
      </c>
      <c r="CV107" s="35">
        <v>27963200</v>
      </c>
      <c r="CW107" s="35">
        <v>1931000</v>
      </c>
      <c r="CX107" s="35">
        <v>27647440.719999999</v>
      </c>
      <c r="CY107" s="35">
        <v>1361570.73</v>
      </c>
      <c r="CZ107" s="36"/>
      <c r="DA107" s="35">
        <v>29556635.949999999</v>
      </c>
      <c r="DB107" s="35">
        <v>27647440.719999999</v>
      </c>
      <c r="DC107" s="35"/>
      <c r="DD107" s="35">
        <v>1909195.23</v>
      </c>
      <c r="DE107" s="35">
        <v>6.4594500000000004</v>
      </c>
      <c r="DF107" s="35">
        <v>1361570.73</v>
      </c>
      <c r="DG107" s="35"/>
      <c r="DH107" s="85">
        <v>27647440.719999999</v>
      </c>
      <c r="DI107" s="27"/>
      <c r="DJ107" s="36">
        <v>27963200</v>
      </c>
      <c r="DK107" s="85">
        <v>27963200</v>
      </c>
      <c r="DL107" s="35"/>
      <c r="DM107" s="35"/>
      <c r="DN107" s="35"/>
      <c r="DO107" s="35"/>
      <c r="DP107" s="35"/>
      <c r="DQ107" s="35"/>
      <c r="DR107" s="36"/>
      <c r="DS107" s="35"/>
      <c r="DT107" s="35"/>
      <c r="DU107" s="35"/>
      <c r="DV107" s="35"/>
      <c r="DW107" s="35"/>
      <c r="DX107" s="35"/>
      <c r="DY107" s="35"/>
      <c r="DZ107" s="85"/>
      <c r="EA107" s="27"/>
      <c r="EB107" s="36"/>
      <c r="EC107" s="85"/>
      <c r="ED107" s="35"/>
      <c r="EE107" s="35"/>
      <c r="EF107" s="35"/>
      <c r="EG107" s="35"/>
      <c r="EH107" s="35"/>
      <c r="EI107" s="35"/>
      <c r="EJ107" s="36"/>
      <c r="EK107" s="35"/>
      <c r="EL107" s="35"/>
      <c r="EM107" s="35"/>
      <c r="EN107" s="35"/>
      <c r="EO107" s="35"/>
      <c r="EP107" s="35"/>
      <c r="EQ107" s="35"/>
      <c r="ER107" s="85"/>
      <c r="ES107" s="27"/>
      <c r="ET107" s="36"/>
      <c r="EU107" s="85"/>
      <c r="EV107" s="35"/>
      <c r="EW107" s="35"/>
      <c r="EX107" s="35"/>
      <c r="EY107" s="35"/>
      <c r="EZ107" s="35"/>
      <c r="FA107" s="35"/>
      <c r="FB107" s="36"/>
      <c r="FC107" s="35"/>
      <c r="FD107" s="35"/>
      <c r="FE107" s="35"/>
      <c r="FF107" s="35"/>
      <c r="FG107" s="35"/>
      <c r="FH107" s="35"/>
      <c r="FI107" s="35"/>
      <c r="FJ107" s="85"/>
      <c r="FK107" s="27"/>
      <c r="FL107" s="36"/>
      <c r="FM107" s="85"/>
      <c r="FN107" s="35"/>
      <c r="FO107" s="35"/>
      <c r="FP107" s="35"/>
      <c r="FQ107" s="35"/>
      <c r="FR107" s="35"/>
      <c r="FS107" s="35"/>
      <c r="FT107" s="36"/>
      <c r="FU107" s="35"/>
      <c r="FV107" s="35"/>
      <c r="FW107" s="35"/>
      <c r="FX107" s="35"/>
      <c r="FY107" s="35"/>
      <c r="FZ107" s="35"/>
      <c r="GA107" s="35"/>
      <c r="GB107" s="85"/>
      <c r="GC107" s="27"/>
      <c r="GD107" s="36"/>
      <c r="GE107" s="85"/>
      <c r="GF107" s="35"/>
      <c r="GG107" s="35">
        <v>2356860.16</v>
      </c>
      <c r="GH107" s="35">
        <v>357300</v>
      </c>
      <c r="GI107" s="35">
        <v>1999560.16</v>
      </c>
      <c r="GJ107" s="35">
        <v>357300</v>
      </c>
      <c r="GK107" s="35">
        <v>257759.91</v>
      </c>
      <c r="GL107" s="36"/>
      <c r="GM107" s="35">
        <v>2356860.16</v>
      </c>
      <c r="GN107" s="35">
        <v>357300</v>
      </c>
      <c r="GO107" s="35"/>
      <c r="GP107" s="35">
        <v>1999560.16</v>
      </c>
      <c r="GQ107" s="35">
        <v>84.84</v>
      </c>
      <c r="GR107" s="35">
        <v>257759.91</v>
      </c>
      <c r="GS107" s="35"/>
      <c r="GT107" s="85">
        <v>357300</v>
      </c>
      <c r="GU107" s="27"/>
      <c r="GV107" s="36">
        <v>357300</v>
      </c>
      <c r="GW107" s="85">
        <v>357300</v>
      </c>
      <c r="GX107" s="35"/>
      <c r="GY107" s="35"/>
      <c r="GZ107" s="35"/>
      <c r="HA107" s="35"/>
      <c r="HB107" s="35"/>
      <c r="HC107" s="35"/>
      <c r="HD107" s="36"/>
      <c r="HE107" s="35"/>
      <c r="HF107" s="35"/>
      <c r="HG107" s="35"/>
      <c r="HH107" s="35"/>
      <c r="HI107" s="35"/>
      <c r="HJ107" s="35"/>
      <c r="HK107" s="35"/>
      <c r="HL107" s="85"/>
      <c r="HM107" s="27"/>
      <c r="HN107" s="36"/>
      <c r="HO107" s="85"/>
      <c r="HP107" s="35"/>
      <c r="HQ107" s="35"/>
      <c r="HR107" s="35"/>
      <c r="HS107" s="35"/>
      <c r="HT107" s="35"/>
      <c r="HU107" s="35"/>
      <c r="HV107" s="36"/>
      <c r="HW107" s="35"/>
      <c r="HX107" s="35"/>
      <c r="HY107" s="35"/>
      <c r="HZ107" s="35"/>
      <c r="IA107" s="35"/>
      <c r="IB107" s="35"/>
      <c r="IC107" s="35"/>
      <c r="ID107" s="85"/>
      <c r="IE107" s="27"/>
      <c r="IF107" s="36"/>
      <c r="IG107" s="85"/>
      <c r="IH107" s="35"/>
      <c r="II107" s="35"/>
      <c r="IJ107" s="35"/>
      <c r="IK107" s="35"/>
      <c r="IL107" s="35"/>
      <c r="IM107" s="35"/>
      <c r="IN107" s="36"/>
      <c r="IO107" s="35"/>
      <c r="IP107" s="35"/>
      <c r="IQ107" s="35"/>
      <c r="IR107" s="35"/>
      <c r="IS107" s="35"/>
      <c r="IT107" s="35"/>
      <c r="IU107" s="35"/>
      <c r="IV107" s="85"/>
      <c r="IW107" s="27"/>
      <c r="IX107" s="36"/>
      <c r="IY107" s="85"/>
      <c r="IZ107" s="35"/>
      <c r="JA107" s="35"/>
      <c r="JB107" s="35"/>
      <c r="JC107" s="35"/>
      <c r="JD107" s="35"/>
      <c r="JE107" s="35"/>
      <c r="JF107" s="36"/>
      <c r="JG107" s="35"/>
      <c r="JH107" s="35"/>
      <c r="JI107" s="35"/>
      <c r="JJ107" s="35"/>
      <c r="JK107" s="35"/>
      <c r="JL107" s="35"/>
      <c r="JM107" s="35"/>
      <c r="JN107" s="85"/>
      <c r="JO107" s="27"/>
      <c r="JP107" s="36"/>
      <c r="JQ107" s="85"/>
      <c r="JR107" s="35"/>
      <c r="JS107" s="35"/>
      <c r="JT107" s="35"/>
      <c r="JU107" s="35"/>
      <c r="JV107" s="35"/>
      <c r="JW107" s="35"/>
      <c r="JX107" s="36"/>
      <c r="JY107" s="35"/>
      <c r="JZ107" s="35"/>
      <c r="KA107" s="35"/>
      <c r="KB107" s="35"/>
      <c r="KC107" s="35"/>
      <c r="KD107" s="35"/>
      <c r="KE107" s="35"/>
      <c r="KF107" s="85"/>
      <c r="KG107" s="27"/>
      <c r="KH107" s="36"/>
      <c r="KI107" s="85"/>
      <c r="KJ107" s="35"/>
      <c r="KK107" s="35"/>
      <c r="KL107" s="35"/>
      <c r="KM107" s="35"/>
      <c r="KN107" s="35"/>
      <c r="KO107" s="35"/>
      <c r="KP107" s="36"/>
      <c r="KQ107" s="35"/>
      <c r="KR107" s="35"/>
      <c r="KS107" s="35"/>
      <c r="KT107" s="35"/>
      <c r="KU107" s="35"/>
      <c r="KV107" s="35"/>
      <c r="KW107" s="35"/>
      <c r="KX107" s="85"/>
      <c r="KY107" s="27"/>
      <c r="KZ107" s="36"/>
      <c r="LA107" s="85"/>
      <c r="LB107" s="35"/>
      <c r="LC107" s="35"/>
      <c r="LD107" s="35"/>
      <c r="LE107" s="35"/>
      <c r="LF107" s="35"/>
      <c r="LG107" s="35"/>
      <c r="LH107" s="36"/>
      <c r="LI107" s="35"/>
      <c r="LJ107" s="35"/>
      <c r="LK107" s="35"/>
      <c r="LL107" s="35"/>
      <c r="LM107" s="35"/>
      <c r="LN107" s="35"/>
      <c r="LO107" s="35"/>
      <c r="LP107" s="85"/>
      <c r="LQ107" s="27"/>
      <c r="LR107" s="36"/>
      <c r="LS107" s="85"/>
      <c r="LT107" s="35"/>
      <c r="LU107" s="35"/>
      <c r="LV107" s="35"/>
      <c r="LW107" s="35"/>
      <c r="LX107" s="35"/>
      <c r="LY107" s="35"/>
      <c r="LZ107" s="36"/>
      <c r="MA107" s="35"/>
      <c r="MB107" s="35"/>
      <c r="MC107" s="35"/>
      <c r="MD107" s="35"/>
      <c r="ME107" s="35"/>
      <c r="MF107" s="35"/>
      <c r="MG107" s="35"/>
      <c r="MH107" s="85"/>
      <c r="MI107" s="27"/>
      <c r="MJ107" s="36"/>
      <c r="MK107" s="85"/>
      <c r="ML107" s="35"/>
      <c r="MM107" s="35"/>
      <c r="MN107" s="35"/>
      <c r="MO107" s="35"/>
      <c r="MP107" s="35"/>
      <c r="MQ107" s="35"/>
      <c r="MR107" s="36"/>
      <c r="MS107" s="35"/>
      <c r="MT107" s="35"/>
      <c r="MU107" s="35"/>
      <c r="MV107" s="35"/>
      <c r="MW107" s="35"/>
      <c r="MX107" s="35"/>
      <c r="MY107" s="35"/>
      <c r="MZ107" s="85"/>
      <c r="NA107" s="27"/>
      <c r="NB107" s="36"/>
      <c r="NC107" s="85"/>
      <c r="ND107" s="35"/>
      <c r="NE107" s="35"/>
      <c r="NF107" s="35"/>
      <c r="NG107" s="35"/>
      <c r="NH107" s="35"/>
      <c r="NI107" s="35"/>
      <c r="NJ107" s="36"/>
      <c r="NK107" s="35"/>
      <c r="NL107" s="35"/>
      <c r="NM107" s="35"/>
      <c r="NN107" s="35"/>
      <c r="NO107" s="35"/>
      <c r="NP107" s="35"/>
      <c r="NQ107" s="35"/>
      <c r="NR107" s="85"/>
      <c r="NS107" s="27"/>
      <c r="NT107" s="36"/>
      <c r="NU107" s="85"/>
      <c r="NV107" s="35"/>
      <c r="NW107" s="35"/>
      <c r="NX107" s="35"/>
      <c r="NY107" s="35"/>
      <c r="NZ107" s="35"/>
      <c r="OA107" s="35"/>
      <c r="OB107" s="36"/>
      <c r="OC107" s="35"/>
      <c r="OD107" s="35"/>
      <c r="OE107" s="35"/>
      <c r="OF107" s="35"/>
      <c r="OG107" s="35"/>
      <c r="OH107" s="35"/>
      <c r="OI107" s="35"/>
      <c r="OJ107" s="85"/>
      <c r="OK107" s="27"/>
      <c r="OL107" s="36"/>
      <c r="OM107" s="85"/>
      <c r="ON107" s="35"/>
      <c r="OO107" s="35">
        <v>1048600</v>
      </c>
      <c r="OP107" s="35">
        <v>448600</v>
      </c>
      <c r="OQ107" s="35">
        <v>600000</v>
      </c>
      <c r="OR107" s="35">
        <v>448593.33</v>
      </c>
      <c r="OS107" s="35"/>
      <c r="OT107" s="36"/>
      <c r="OU107" s="35">
        <v>1048584.4099999999</v>
      </c>
      <c r="OV107" s="35">
        <v>448593.33</v>
      </c>
      <c r="OW107" s="35"/>
      <c r="OX107" s="35">
        <v>599991.07999999996</v>
      </c>
      <c r="OY107" s="35">
        <v>57.219149999999999</v>
      </c>
      <c r="OZ107" s="35"/>
      <c r="PA107" s="35"/>
      <c r="PB107" s="85">
        <v>448593.33</v>
      </c>
      <c r="PC107" s="27"/>
      <c r="PD107" s="36">
        <v>448600</v>
      </c>
      <c r="PE107" s="85">
        <v>448600</v>
      </c>
      <c r="PF107" s="35"/>
      <c r="PG107" s="35"/>
      <c r="PH107" s="35"/>
      <c r="PI107" s="35"/>
      <c r="PJ107" s="35"/>
      <c r="PK107" s="35"/>
      <c r="PL107" s="36"/>
      <c r="PM107" s="35"/>
      <c r="PN107" s="35"/>
      <c r="PO107" s="35"/>
      <c r="PP107" s="35"/>
      <c r="PQ107" s="35"/>
      <c r="PR107" s="35"/>
      <c r="PS107" s="35"/>
      <c r="PT107" s="85"/>
      <c r="PU107" s="27"/>
      <c r="PV107" s="36"/>
      <c r="PW107" s="85"/>
      <c r="PX107" s="35"/>
      <c r="PY107" s="35"/>
      <c r="PZ107" s="35"/>
      <c r="QA107" s="35"/>
      <c r="QB107" s="35"/>
      <c r="QC107" s="35"/>
      <c r="QD107" s="36"/>
      <c r="QE107" s="35"/>
      <c r="QF107" s="35"/>
      <c r="QG107" s="35"/>
      <c r="QH107" s="35"/>
      <c r="QI107" s="35"/>
      <c r="QJ107" s="35"/>
      <c r="QK107" s="35"/>
      <c r="QL107" s="85"/>
      <c r="QM107" s="27"/>
      <c r="QN107" s="36"/>
      <c r="QO107" s="85"/>
    </row>
    <row r="108" spans="1:457" ht="15.75" thickBot="1" x14ac:dyDescent="0.3">
      <c r="A108" s="19" t="s">
        <v>255</v>
      </c>
      <c r="B108" s="174">
        <v>94</v>
      </c>
      <c r="C108" s="20" t="s">
        <v>256</v>
      </c>
      <c r="F108" s="36">
        <v>64929000</v>
      </c>
      <c r="G108" s="85"/>
      <c r="H108" s="35"/>
      <c r="I108" s="35"/>
      <c r="J108" s="35"/>
      <c r="K108" s="35"/>
      <c r="L108" s="35"/>
      <c r="M108" s="35"/>
      <c r="N108" s="36"/>
      <c r="O108" s="35"/>
      <c r="P108" s="35"/>
      <c r="Q108" s="35"/>
      <c r="R108" s="35"/>
      <c r="S108" s="35"/>
      <c r="T108" s="35"/>
      <c r="U108" s="35"/>
      <c r="V108" s="85"/>
      <c r="W108" s="29"/>
      <c r="X108" s="36"/>
      <c r="Y108" s="85"/>
      <c r="Z108" s="35"/>
      <c r="AA108" s="35"/>
      <c r="AB108" s="35"/>
      <c r="AC108" s="35"/>
      <c r="AD108" s="35"/>
      <c r="AE108" s="35"/>
      <c r="AF108" s="36"/>
      <c r="AG108" s="35"/>
      <c r="AH108" s="35"/>
      <c r="AI108" s="35"/>
      <c r="AJ108" s="35"/>
      <c r="AK108" s="35"/>
      <c r="AL108" s="35"/>
      <c r="AM108" s="35"/>
      <c r="AN108" s="85"/>
      <c r="AO108" s="29"/>
      <c r="AP108" s="36"/>
      <c r="AQ108" s="85"/>
      <c r="AR108" s="35"/>
      <c r="AS108" s="35"/>
      <c r="AT108" s="35"/>
      <c r="AU108" s="35"/>
      <c r="AV108" s="35"/>
      <c r="AW108" s="35"/>
      <c r="AX108" s="36"/>
      <c r="AY108" s="35"/>
      <c r="AZ108" s="35"/>
      <c r="BA108" s="35"/>
      <c r="BB108" s="35"/>
      <c r="BC108" s="35"/>
      <c r="BD108" s="35"/>
      <c r="BE108" s="35"/>
      <c r="BF108" s="85"/>
      <c r="BG108" s="29"/>
      <c r="BH108" s="36">
        <v>8800</v>
      </c>
      <c r="BI108" s="85">
        <v>0</v>
      </c>
      <c r="BJ108" s="35"/>
      <c r="BK108" s="35"/>
      <c r="BL108" s="35"/>
      <c r="BM108" s="35"/>
      <c r="BN108" s="35"/>
      <c r="BO108" s="35"/>
      <c r="BP108" s="36"/>
      <c r="BQ108" s="35"/>
      <c r="BR108" s="35"/>
      <c r="BS108" s="35"/>
      <c r="BT108" s="35"/>
      <c r="BU108" s="35"/>
      <c r="BV108" s="35"/>
      <c r="BW108" s="35"/>
      <c r="BX108" s="85"/>
      <c r="BY108" s="29"/>
      <c r="BZ108" s="36"/>
      <c r="CA108" s="85"/>
      <c r="CB108" s="35"/>
      <c r="CC108" s="35"/>
      <c r="CD108" s="35"/>
      <c r="CE108" s="35"/>
      <c r="CF108" s="35"/>
      <c r="CG108" s="35"/>
      <c r="CH108" s="36"/>
      <c r="CI108" s="35"/>
      <c r="CJ108" s="35"/>
      <c r="CK108" s="35"/>
      <c r="CL108" s="35"/>
      <c r="CM108" s="35"/>
      <c r="CN108" s="35"/>
      <c r="CO108" s="35"/>
      <c r="CP108" s="85"/>
      <c r="CQ108" s="29"/>
      <c r="CR108" s="36"/>
      <c r="CS108" s="85"/>
      <c r="CT108" s="35"/>
      <c r="CU108" s="35">
        <v>81034900</v>
      </c>
      <c r="CV108" s="35">
        <v>64722600</v>
      </c>
      <c r="CW108" s="35">
        <v>16312300</v>
      </c>
      <c r="CX108" s="35">
        <v>64722600</v>
      </c>
      <c r="CY108" s="35"/>
      <c r="CZ108" s="36"/>
      <c r="DA108" s="35">
        <v>81034900</v>
      </c>
      <c r="DB108" s="35">
        <v>64722600</v>
      </c>
      <c r="DC108" s="35"/>
      <c r="DD108" s="35">
        <v>16312300</v>
      </c>
      <c r="DE108" s="35">
        <v>20.12997</v>
      </c>
      <c r="DF108" s="35"/>
      <c r="DG108" s="35"/>
      <c r="DH108" s="85">
        <v>64722600</v>
      </c>
      <c r="DI108" s="29"/>
      <c r="DJ108" s="36">
        <v>64722600</v>
      </c>
      <c r="DK108" s="85">
        <v>64722600</v>
      </c>
      <c r="DL108" s="35"/>
      <c r="DM108" s="35"/>
      <c r="DN108" s="35"/>
      <c r="DO108" s="35"/>
      <c r="DP108" s="35"/>
      <c r="DQ108" s="35"/>
      <c r="DR108" s="36"/>
      <c r="DS108" s="35"/>
      <c r="DT108" s="35"/>
      <c r="DU108" s="35"/>
      <c r="DV108" s="35"/>
      <c r="DW108" s="35"/>
      <c r="DX108" s="35"/>
      <c r="DY108" s="35"/>
      <c r="DZ108" s="85"/>
      <c r="EA108" s="29"/>
      <c r="EB108" s="36"/>
      <c r="EC108" s="85"/>
      <c r="ED108" s="35"/>
      <c r="EE108" s="35"/>
      <c r="EF108" s="35"/>
      <c r="EG108" s="35"/>
      <c r="EH108" s="35"/>
      <c r="EI108" s="35"/>
      <c r="EJ108" s="36"/>
      <c r="EK108" s="35"/>
      <c r="EL108" s="35"/>
      <c r="EM108" s="35"/>
      <c r="EN108" s="35"/>
      <c r="EO108" s="35"/>
      <c r="EP108" s="35"/>
      <c r="EQ108" s="35"/>
      <c r="ER108" s="85"/>
      <c r="ES108" s="29"/>
      <c r="ET108" s="36"/>
      <c r="EU108" s="85"/>
      <c r="EV108" s="35"/>
      <c r="EW108" s="35"/>
      <c r="EX108" s="35"/>
      <c r="EY108" s="35"/>
      <c r="EZ108" s="35"/>
      <c r="FA108" s="35"/>
      <c r="FB108" s="36"/>
      <c r="FC108" s="35"/>
      <c r="FD108" s="35"/>
      <c r="FE108" s="35"/>
      <c r="FF108" s="35"/>
      <c r="FG108" s="35"/>
      <c r="FH108" s="35"/>
      <c r="FI108" s="35"/>
      <c r="FJ108" s="85"/>
      <c r="FK108" s="29"/>
      <c r="FL108" s="36"/>
      <c r="FM108" s="85"/>
      <c r="FN108" s="35"/>
      <c r="FO108" s="35"/>
      <c r="FP108" s="35"/>
      <c r="FQ108" s="35"/>
      <c r="FR108" s="35"/>
      <c r="FS108" s="35"/>
      <c r="FT108" s="36"/>
      <c r="FU108" s="35"/>
      <c r="FV108" s="35"/>
      <c r="FW108" s="35"/>
      <c r="FX108" s="35"/>
      <c r="FY108" s="35"/>
      <c r="FZ108" s="35"/>
      <c r="GA108" s="35"/>
      <c r="GB108" s="85"/>
      <c r="GC108" s="29"/>
      <c r="GD108" s="36"/>
      <c r="GE108" s="85"/>
      <c r="GF108" s="35"/>
      <c r="GG108" s="35">
        <v>3039500</v>
      </c>
      <c r="GH108" s="35">
        <v>206400</v>
      </c>
      <c r="GI108" s="35">
        <v>2833100</v>
      </c>
      <c r="GJ108" s="35">
        <v>206400</v>
      </c>
      <c r="GK108" s="35">
        <v>1694800</v>
      </c>
      <c r="GL108" s="36"/>
      <c r="GM108" s="35">
        <v>3039500</v>
      </c>
      <c r="GN108" s="35">
        <v>206400</v>
      </c>
      <c r="GO108" s="35"/>
      <c r="GP108" s="35">
        <v>2833100</v>
      </c>
      <c r="GQ108" s="35">
        <v>93.209410000000005</v>
      </c>
      <c r="GR108" s="35">
        <v>1694800</v>
      </c>
      <c r="GS108" s="35"/>
      <c r="GT108" s="85">
        <v>206400</v>
      </c>
      <c r="GU108" s="29"/>
      <c r="GV108" s="36">
        <v>206400</v>
      </c>
      <c r="GW108" s="85">
        <v>206400</v>
      </c>
      <c r="GX108" s="35"/>
      <c r="GY108" s="35"/>
      <c r="GZ108" s="35"/>
      <c r="HA108" s="35"/>
      <c r="HB108" s="35"/>
      <c r="HC108" s="35"/>
      <c r="HD108" s="36"/>
      <c r="HE108" s="35"/>
      <c r="HF108" s="35"/>
      <c r="HG108" s="35"/>
      <c r="HH108" s="35"/>
      <c r="HI108" s="35"/>
      <c r="HJ108" s="35"/>
      <c r="HK108" s="35"/>
      <c r="HL108" s="85"/>
      <c r="HM108" s="29"/>
      <c r="HN108" s="36"/>
      <c r="HO108" s="85"/>
      <c r="HP108" s="35"/>
      <c r="HQ108" s="35"/>
      <c r="HR108" s="35"/>
      <c r="HS108" s="35"/>
      <c r="HT108" s="35"/>
      <c r="HU108" s="35"/>
      <c r="HV108" s="36"/>
      <c r="HW108" s="35"/>
      <c r="HX108" s="35"/>
      <c r="HY108" s="35"/>
      <c r="HZ108" s="35"/>
      <c r="IA108" s="35"/>
      <c r="IB108" s="35"/>
      <c r="IC108" s="35"/>
      <c r="ID108" s="85"/>
      <c r="IE108" s="29"/>
      <c r="IF108" s="36"/>
      <c r="IG108" s="85"/>
      <c r="IH108" s="35"/>
      <c r="II108" s="35"/>
      <c r="IJ108" s="35"/>
      <c r="IK108" s="35"/>
      <c r="IL108" s="35"/>
      <c r="IM108" s="35"/>
      <c r="IN108" s="36"/>
      <c r="IO108" s="35"/>
      <c r="IP108" s="35"/>
      <c r="IQ108" s="35"/>
      <c r="IR108" s="35"/>
      <c r="IS108" s="35"/>
      <c r="IT108" s="35"/>
      <c r="IU108" s="35"/>
      <c r="IV108" s="85"/>
      <c r="IW108" s="29"/>
      <c r="IX108" s="36"/>
      <c r="IY108" s="85"/>
      <c r="IZ108" s="35"/>
      <c r="JA108" s="35"/>
      <c r="JB108" s="35"/>
      <c r="JC108" s="35"/>
      <c r="JD108" s="35"/>
      <c r="JE108" s="35"/>
      <c r="JF108" s="36"/>
      <c r="JG108" s="35"/>
      <c r="JH108" s="35"/>
      <c r="JI108" s="35"/>
      <c r="JJ108" s="35"/>
      <c r="JK108" s="35"/>
      <c r="JL108" s="35"/>
      <c r="JM108" s="35"/>
      <c r="JN108" s="85"/>
      <c r="JO108" s="29"/>
      <c r="JP108" s="36"/>
      <c r="JQ108" s="85"/>
      <c r="JR108" s="35"/>
      <c r="JS108" s="35"/>
      <c r="JT108" s="35"/>
      <c r="JU108" s="35"/>
      <c r="JV108" s="35"/>
      <c r="JW108" s="35"/>
      <c r="JX108" s="36"/>
      <c r="JY108" s="35"/>
      <c r="JZ108" s="35"/>
      <c r="KA108" s="35"/>
      <c r="KB108" s="35"/>
      <c r="KC108" s="35"/>
      <c r="KD108" s="35"/>
      <c r="KE108" s="35"/>
      <c r="KF108" s="85"/>
      <c r="KG108" s="29"/>
      <c r="KH108" s="36"/>
      <c r="KI108" s="85"/>
      <c r="KJ108" s="35"/>
      <c r="KK108" s="35"/>
      <c r="KL108" s="35"/>
      <c r="KM108" s="35"/>
      <c r="KN108" s="35"/>
      <c r="KO108" s="35"/>
      <c r="KP108" s="36"/>
      <c r="KQ108" s="35"/>
      <c r="KR108" s="35"/>
      <c r="KS108" s="35"/>
      <c r="KT108" s="35"/>
      <c r="KU108" s="35"/>
      <c r="KV108" s="35"/>
      <c r="KW108" s="35"/>
      <c r="KX108" s="85"/>
      <c r="KY108" s="29"/>
      <c r="KZ108" s="36"/>
      <c r="LA108" s="85"/>
      <c r="LB108" s="35"/>
      <c r="LC108" s="35"/>
      <c r="LD108" s="35"/>
      <c r="LE108" s="35"/>
      <c r="LF108" s="35"/>
      <c r="LG108" s="35"/>
      <c r="LH108" s="36"/>
      <c r="LI108" s="35"/>
      <c r="LJ108" s="35"/>
      <c r="LK108" s="35"/>
      <c r="LL108" s="35"/>
      <c r="LM108" s="35"/>
      <c r="LN108" s="35"/>
      <c r="LO108" s="35"/>
      <c r="LP108" s="85"/>
      <c r="LQ108" s="29"/>
      <c r="LR108" s="36"/>
      <c r="LS108" s="85"/>
      <c r="LT108" s="35"/>
      <c r="LU108" s="35"/>
      <c r="LV108" s="35"/>
      <c r="LW108" s="35"/>
      <c r="LX108" s="35"/>
      <c r="LY108" s="35"/>
      <c r="LZ108" s="36"/>
      <c r="MA108" s="35"/>
      <c r="MB108" s="35"/>
      <c r="MC108" s="35"/>
      <c r="MD108" s="35"/>
      <c r="ME108" s="35"/>
      <c r="MF108" s="35"/>
      <c r="MG108" s="35"/>
      <c r="MH108" s="85"/>
      <c r="MI108" s="29"/>
      <c r="MJ108" s="36"/>
      <c r="MK108" s="85"/>
      <c r="ML108" s="35"/>
      <c r="MM108" s="35"/>
      <c r="MN108" s="35"/>
      <c r="MO108" s="35"/>
      <c r="MP108" s="35"/>
      <c r="MQ108" s="35"/>
      <c r="MR108" s="36"/>
      <c r="MS108" s="35"/>
      <c r="MT108" s="35"/>
      <c r="MU108" s="35"/>
      <c r="MV108" s="35"/>
      <c r="MW108" s="35"/>
      <c r="MX108" s="35"/>
      <c r="MY108" s="35"/>
      <c r="MZ108" s="85"/>
      <c r="NA108" s="29"/>
      <c r="NB108" s="36"/>
      <c r="NC108" s="85"/>
      <c r="ND108" s="35"/>
      <c r="NE108" s="35"/>
      <c r="NF108" s="35"/>
      <c r="NG108" s="35"/>
      <c r="NH108" s="35"/>
      <c r="NI108" s="35"/>
      <c r="NJ108" s="36"/>
      <c r="NK108" s="35"/>
      <c r="NL108" s="35"/>
      <c r="NM108" s="35"/>
      <c r="NN108" s="35"/>
      <c r="NO108" s="35"/>
      <c r="NP108" s="35"/>
      <c r="NQ108" s="35"/>
      <c r="NR108" s="85"/>
      <c r="NS108" s="29"/>
      <c r="NT108" s="36"/>
      <c r="NU108" s="85"/>
      <c r="NV108" s="35"/>
      <c r="NW108" s="35"/>
      <c r="NX108" s="35"/>
      <c r="NY108" s="35"/>
      <c r="NZ108" s="35"/>
      <c r="OA108" s="35"/>
      <c r="OB108" s="36"/>
      <c r="OC108" s="35"/>
      <c r="OD108" s="35"/>
      <c r="OE108" s="35"/>
      <c r="OF108" s="35"/>
      <c r="OG108" s="35"/>
      <c r="OH108" s="35"/>
      <c r="OI108" s="35"/>
      <c r="OJ108" s="85"/>
      <c r="OK108" s="29"/>
      <c r="OL108" s="36"/>
      <c r="OM108" s="85"/>
      <c r="ON108" s="35"/>
      <c r="OO108" s="35"/>
      <c r="OP108" s="35"/>
      <c r="OQ108" s="35"/>
      <c r="OR108" s="35"/>
      <c r="OS108" s="35"/>
      <c r="OT108" s="36"/>
      <c r="OU108" s="35"/>
      <c r="OV108" s="35"/>
      <c r="OW108" s="35"/>
      <c r="OX108" s="35"/>
      <c r="OY108" s="35"/>
      <c r="OZ108" s="35"/>
      <c r="PA108" s="35"/>
      <c r="PB108" s="85"/>
      <c r="PC108" s="29"/>
      <c r="PD108" s="36"/>
      <c r="PE108" s="85"/>
      <c r="PF108" s="35"/>
      <c r="PG108" s="35"/>
      <c r="PH108" s="35"/>
      <c r="PI108" s="35"/>
      <c r="PJ108" s="35"/>
      <c r="PK108" s="35"/>
      <c r="PL108" s="36"/>
      <c r="PM108" s="35"/>
      <c r="PN108" s="35"/>
      <c r="PO108" s="35"/>
      <c r="PP108" s="35"/>
      <c r="PQ108" s="35"/>
      <c r="PR108" s="35"/>
      <c r="PS108" s="35"/>
      <c r="PT108" s="85"/>
      <c r="PU108" s="29"/>
      <c r="PV108" s="36"/>
      <c r="PW108" s="85"/>
      <c r="PX108" s="35"/>
      <c r="PY108" s="35"/>
      <c r="PZ108" s="35"/>
      <c r="QA108" s="35"/>
      <c r="QB108" s="35"/>
      <c r="QC108" s="35"/>
      <c r="QD108" s="36"/>
      <c r="QE108" s="35"/>
      <c r="QF108" s="35"/>
      <c r="QG108" s="35"/>
      <c r="QH108" s="35"/>
      <c r="QI108" s="35"/>
      <c r="QJ108" s="35"/>
      <c r="QK108" s="35"/>
      <c r="QL108" s="85"/>
      <c r="QM108" s="29"/>
      <c r="QN108" s="36"/>
      <c r="QO108" s="85"/>
    </row>
    <row r="109" spans="1:457" x14ac:dyDescent="0.25"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AH109" s="209"/>
      <c r="AI109" s="209"/>
      <c r="AJ109" s="209"/>
      <c r="AK109" s="209"/>
      <c r="AL109" s="209"/>
      <c r="AM109" s="209"/>
      <c r="AN109" s="209"/>
      <c r="AO109" s="209"/>
      <c r="AP109" s="209"/>
      <c r="AQ109" s="209"/>
      <c r="AR109" s="209"/>
      <c r="AS109" s="209"/>
      <c r="AT109" s="209"/>
      <c r="AU109" s="209"/>
      <c r="AV109" s="209"/>
      <c r="AW109" s="209"/>
      <c r="AX109" s="209"/>
      <c r="AY109" s="209"/>
      <c r="AZ109" s="209"/>
      <c r="BA109" s="209"/>
      <c r="BB109" s="209"/>
      <c r="BC109" s="209"/>
      <c r="BD109" s="209"/>
      <c r="BE109" s="209"/>
      <c r="BF109" s="209"/>
      <c r="BG109" s="209"/>
      <c r="BH109" s="209"/>
      <c r="BI109" s="209"/>
      <c r="BJ109" s="209"/>
      <c r="BK109" s="209"/>
      <c r="BL109" s="209"/>
      <c r="BM109" s="209"/>
      <c r="BN109" s="209"/>
      <c r="BO109" s="209"/>
      <c r="BP109" s="209"/>
      <c r="BQ109" s="209"/>
      <c r="BR109" s="209"/>
      <c r="BS109" s="209"/>
      <c r="BT109" s="209"/>
      <c r="BU109" s="209"/>
      <c r="BV109" s="209"/>
      <c r="BW109" s="209"/>
      <c r="BX109" s="209"/>
      <c r="BY109" s="209"/>
      <c r="BZ109" s="209"/>
      <c r="CA109" s="209"/>
      <c r="CB109" s="209"/>
      <c r="CC109" s="209"/>
      <c r="CD109" s="209"/>
      <c r="CE109" s="209"/>
      <c r="CF109" s="209"/>
      <c r="CG109" s="209"/>
      <c r="CH109" s="209"/>
      <c r="CI109" s="209"/>
      <c r="CJ109" s="209"/>
      <c r="CK109" s="209"/>
      <c r="CL109" s="209"/>
      <c r="CM109" s="209"/>
      <c r="CN109" s="209"/>
      <c r="CO109" s="209"/>
      <c r="CP109" s="209"/>
      <c r="CQ109" s="209"/>
      <c r="CR109" s="209"/>
      <c r="CS109" s="209"/>
      <c r="CT109" s="209"/>
      <c r="CU109" s="209"/>
      <c r="CV109" s="209"/>
      <c r="CW109" s="209"/>
      <c r="CX109" s="209"/>
      <c r="CY109" s="209"/>
      <c r="CZ109" s="209"/>
      <c r="DA109" s="209"/>
      <c r="DB109" s="209"/>
      <c r="DC109" s="209"/>
      <c r="DD109" s="209"/>
      <c r="DE109" s="209"/>
      <c r="DF109" s="209"/>
      <c r="DG109" s="209"/>
      <c r="DH109" s="209"/>
      <c r="DI109" s="209"/>
      <c r="DJ109" s="209"/>
      <c r="DK109" s="209"/>
      <c r="DL109" s="209"/>
      <c r="DM109" s="209"/>
      <c r="DN109" s="209"/>
      <c r="DO109" s="209"/>
      <c r="DP109" s="209"/>
      <c r="DQ109" s="209"/>
      <c r="DR109" s="209"/>
      <c r="DS109" s="209"/>
      <c r="DT109" s="209"/>
      <c r="DU109" s="209"/>
      <c r="DV109" s="209"/>
      <c r="DW109" s="209"/>
      <c r="DX109" s="209"/>
      <c r="DY109" s="209"/>
      <c r="DZ109" s="209"/>
      <c r="EA109" s="209"/>
      <c r="EB109" s="209"/>
      <c r="EC109" s="209"/>
      <c r="ED109" s="209"/>
      <c r="EE109" s="209"/>
      <c r="EF109" s="209"/>
      <c r="EG109" s="209"/>
      <c r="EH109" s="209"/>
      <c r="EI109" s="209"/>
      <c r="EJ109" s="209"/>
      <c r="EK109" s="209"/>
      <c r="EL109" s="209"/>
      <c r="EM109" s="209"/>
      <c r="EN109" s="209"/>
      <c r="EO109" s="209"/>
      <c r="EP109" s="209"/>
      <c r="EQ109" s="209"/>
      <c r="ER109" s="209"/>
      <c r="ES109" s="209"/>
      <c r="ET109" s="209"/>
      <c r="EU109" s="209"/>
      <c r="EV109" s="209"/>
      <c r="EW109" s="209"/>
      <c r="EX109" s="209"/>
      <c r="EY109" s="209"/>
      <c r="EZ109" s="209"/>
      <c r="FA109" s="209"/>
      <c r="FB109" s="209"/>
      <c r="FC109" s="209"/>
      <c r="FD109" s="209"/>
      <c r="FE109" s="209"/>
      <c r="FF109" s="209"/>
      <c r="FG109" s="209"/>
      <c r="FH109" s="209"/>
      <c r="FI109" s="209"/>
      <c r="FJ109" s="209"/>
      <c r="FK109" s="209"/>
      <c r="FL109" s="209"/>
      <c r="FM109" s="209"/>
      <c r="FN109" s="209"/>
      <c r="FO109" s="209"/>
      <c r="FP109" s="209"/>
      <c r="FQ109" s="209"/>
      <c r="FR109" s="209"/>
      <c r="FS109" s="209"/>
      <c r="FT109" s="209"/>
      <c r="FU109" s="209"/>
      <c r="FV109" s="209"/>
      <c r="FW109" s="209"/>
      <c r="FX109" s="209"/>
      <c r="FY109" s="209"/>
      <c r="FZ109" s="209"/>
      <c r="GA109" s="209"/>
      <c r="GB109" s="209"/>
      <c r="GC109" s="209"/>
      <c r="GD109" s="209"/>
      <c r="GE109" s="209"/>
      <c r="GF109" s="209"/>
      <c r="GG109" s="209"/>
      <c r="GH109" s="209"/>
      <c r="GI109" s="209"/>
      <c r="GJ109" s="209"/>
      <c r="GK109" s="209"/>
      <c r="GL109" s="209"/>
      <c r="GM109" s="209"/>
      <c r="GN109" s="209"/>
      <c r="GO109" s="209"/>
      <c r="GP109" s="209"/>
      <c r="GQ109" s="209"/>
      <c r="GR109" s="209"/>
      <c r="GS109" s="209"/>
      <c r="GT109" s="209"/>
      <c r="GU109" s="209"/>
      <c r="GV109" s="209"/>
      <c r="GW109" s="209"/>
      <c r="GX109" s="209"/>
      <c r="GY109" s="209"/>
      <c r="GZ109" s="209"/>
      <c r="HA109" s="209"/>
      <c r="HB109" s="209"/>
      <c r="HC109" s="209"/>
      <c r="HD109" s="209"/>
      <c r="HE109" s="209"/>
      <c r="HF109" s="209"/>
      <c r="HG109" s="209"/>
      <c r="HH109" s="209"/>
      <c r="HI109" s="209"/>
      <c r="HJ109" s="209"/>
      <c r="HK109" s="209"/>
      <c r="HL109" s="209"/>
      <c r="HM109" s="209"/>
      <c r="HN109" s="209"/>
      <c r="HO109" s="209"/>
      <c r="HP109" s="209"/>
      <c r="HQ109" s="209"/>
      <c r="HR109" s="209"/>
      <c r="HS109" s="209"/>
      <c r="HT109" s="209"/>
      <c r="HU109" s="209"/>
      <c r="HV109" s="209"/>
      <c r="HW109" s="209"/>
      <c r="HX109" s="209"/>
      <c r="HY109" s="209"/>
      <c r="HZ109" s="209"/>
      <c r="IA109" s="209"/>
      <c r="IB109" s="209"/>
      <c r="IC109" s="209"/>
      <c r="ID109" s="209"/>
      <c r="IE109" s="209"/>
      <c r="IF109" s="209"/>
      <c r="IG109" s="209"/>
      <c r="IH109" s="209"/>
      <c r="II109" s="209"/>
      <c r="IJ109" s="209"/>
      <c r="IK109" s="209"/>
      <c r="IL109" s="209"/>
      <c r="IM109" s="209"/>
      <c r="IN109" s="209"/>
      <c r="IO109" s="209"/>
      <c r="IP109" s="209"/>
      <c r="IQ109" s="209"/>
      <c r="IR109" s="209"/>
      <c r="IS109" s="209"/>
      <c r="IT109" s="209"/>
      <c r="IU109" s="209"/>
      <c r="IV109" s="209"/>
      <c r="IW109" s="209"/>
      <c r="IX109" s="209"/>
      <c r="IY109" s="209"/>
      <c r="IZ109" s="209"/>
      <c r="JA109" s="209"/>
      <c r="JB109" s="209"/>
      <c r="JC109" s="209"/>
      <c r="JD109" s="209"/>
      <c r="JE109" s="209"/>
      <c r="JF109" s="209"/>
      <c r="JG109" s="209"/>
      <c r="JH109" s="209"/>
      <c r="JI109" s="209"/>
      <c r="JJ109" s="209"/>
      <c r="JK109" s="209"/>
      <c r="JL109" s="209"/>
      <c r="JM109" s="209"/>
      <c r="JN109" s="209"/>
      <c r="JO109" s="209"/>
      <c r="JP109" s="209"/>
      <c r="JQ109" s="209"/>
      <c r="JR109" s="209"/>
      <c r="JS109" s="209"/>
      <c r="JT109" s="209"/>
      <c r="JU109" s="209"/>
      <c r="JV109" s="209"/>
      <c r="JW109" s="209"/>
      <c r="JX109" s="209"/>
      <c r="JY109" s="209"/>
      <c r="JZ109" s="209"/>
      <c r="KA109" s="209"/>
      <c r="KB109" s="209"/>
      <c r="KC109" s="209"/>
      <c r="KD109" s="209"/>
      <c r="KE109" s="209"/>
      <c r="KF109" s="209"/>
      <c r="KG109" s="209"/>
      <c r="KH109" s="209"/>
      <c r="KI109" s="209"/>
      <c r="KJ109" s="209"/>
      <c r="KK109" s="209"/>
      <c r="KL109" s="209"/>
      <c r="KM109" s="209"/>
      <c r="KN109" s="209"/>
      <c r="KO109" s="209"/>
      <c r="KP109" s="209"/>
      <c r="KQ109" s="209"/>
      <c r="KR109" s="209"/>
      <c r="KS109" s="209"/>
      <c r="KT109" s="209"/>
      <c r="KU109" s="209"/>
      <c r="KV109" s="209"/>
      <c r="KW109" s="209"/>
      <c r="KX109" s="209"/>
      <c r="KY109" s="209"/>
      <c r="KZ109" s="209"/>
      <c r="LA109" s="209"/>
      <c r="LB109" s="209"/>
      <c r="LC109" s="209"/>
      <c r="LD109" s="209"/>
      <c r="LE109" s="209"/>
      <c r="LF109" s="209"/>
      <c r="LG109" s="209"/>
      <c r="LH109" s="209"/>
      <c r="LI109" s="209"/>
      <c r="LJ109" s="209"/>
      <c r="LK109" s="209"/>
      <c r="LL109" s="209"/>
      <c r="LM109" s="209"/>
      <c r="LN109" s="209"/>
      <c r="LO109" s="209"/>
      <c r="LP109" s="209"/>
      <c r="LQ109" s="209"/>
      <c r="LR109" s="209"/>
      <c r="LS109" s="209"/>
      <c r="LT109" s="209"/>
      <c r="LU109" s="209"/>
      <c r="LV109" s="209"/>
      <c r="LW109" s="209"/>
      <c r="LX109" s="209"/>
      <c r="LY109" s="209"/>
      <c r="LZ109" s="209"/>
      <c r="MA109" s="209"/>
      <c r="MB109" s="209"/>
      <c r="MC109" s="209"/>
      <c r="MD109" s="209"/>
      <c r="ME109" s="209"/>
      <c r="MF109" s="209"/>
      <c r="MG109" s="209"/>
      <c r="MH109" s="209"/>
      <c r="MI109" s="209"/>
      <c r="MJ109" s="209"/>
      <c r="MK109" s="209"/>
      <c r="ML109" s="209"/>
      <c r="MM109" s="209"/>
      <c r="MN109" s="209"/>
      <c r="MO109" s="209"/>
      <c r="MP109" s="209"/>
      <c r="MQ109" s="209"/>
      <c r="MR109" s="209"/>
      <c r="MS109" s="209"/>
      <c r="MT109" s="209"/>
      <c r="MU109" s="209"/>
      <c r="MV109" s="209"/>
      <c r="MW109" s="209"/>
      <c r="MX109" s="209"/>
      <c r="MY109" s="209"/>
      <c r="MZ109" s="209"/>
      <c r="NA109" s="209"/>
      <c r="NB109" s="209"/>
      <c r="NC109" s="209"/>
      <c r="ND109" s="209"/>
      <c r="NE109" s="209"/>
      <c r="NF109" s="209"/>
      <c r="NG109" s="209"/>
      <c r="NH109" s="209"/>
      <c r="NI109" s="209"/>
      <c r="NJ109" s="209"/>
      <c r="NK109" s="209"/>
      <c r="NL109" s="209"/>
      <c r="NM109" s="209"/>
      <c r="NN109" s="209"/>
      <c r="NO109" s="209"/>
      <c r="NP109" s="209"/>
      <c r="NQ109" s="209"/>
      <c r="NR109" s="209"/>
      <c r="NS109" s="209"/>
      <c r="NT109" s="209"/>
      <c r="NU109" s="209"/>
      <c r="NV109" s="209"/>
      <c r="NW109" s="209"/>
      <c r="NX109" s="209"/>
      <c r="NY109" s="209"/>
      <c r="NZ109" s="209"/>
      <c r="OA109" s="209"/>
      <c r="OB109" s="209"/>
      <c r="OC109" s="209"/>
      <c r="OD109" s="209"/>
      <c r="OE109" s="209"/>
      <c r="OF109" s="209"/>
      <c r="OG109" s="209"/>
      <c r="OH109" s="209"/>
      <c r="OI109" s="209"/>
      <c r="OJ109" s="209"/>
      <c r="OK109" s="209"/>
      <c r="OL109" s="209"/>
      <c r="OM109" s="209"/>
      <c r="ON109" s="209"/>
      <c r="OO109" s="209"/>
      <c r="OP109" s="209"/>
      <c r="OQ109" s="209"/>
      <c r="OR109" s="209"/>
      <c r="OS109" s="209"/>
      <c r="OT109" s="209"/>
      <c r="OU109" s="209"/>
      <c r="OV109" s="209"/>
      <c r="OW109" s="209"/>
      <c r="OX109" s="209"/>
      <c r="OY109" s="209"/>
      <c r="OZ109" s="209"/>
      <c r="PA109" s="209"/>
      <c r="PB109" s="209"/>
      <c r="PC109" s="209"/>
      <c r="PD109" s="209"/>
      <c r="PE109" s="209"/>
      <c r="PF109" s="209"/>
      <c r="PG109" s="209"/>
      <c r="PH109" s="209"/>
      <c r="PI109" s="209"/>
      <c r="PJ109" s="209"/>
      <c r="PK109" s="209"/>
      <c r="PL109" s="209"/>
      <c r="PM109" s="209"/>
      <c r="PN109" s="209"/>
      <c r="PO109" s="209"/>
      <c r="PP109" s="209"/>
      <c r="PQ109" s="209"/>
      <c r="PR109" s="209"/>
      <c r="PS109" s="209"/>
      <c r="PT109" s="209"/>
      <c r="PU109" s="209"/>
      <c r="PV109" s="209"/>
      <c r="PW109" s="209"/>
      <c r="PX109" s="209"/>
      <c r="PY109" s="209"/>
      <c r="PZ109" s="209"/>
      <c r="QA109" s="209"/>
      <c r="QB109" s="209"/>
      <c r="QC109" s="209"/>
      <c r="QD109" s="209"/>
      <c r="QE109" s="209"/>
      <c r="QF109" s="209"/>
      <c r="QG109" s="209"/>
      <c r="QH109" s="209"/>
      <c r="QI109" s="209"/>
      <c r="QJ109" s="209"/>
      <c r="QK109" s="209"/>
      <c r="QL109" s="209"/>
      <c r="QM109" s="209"/>
      <c r="QN109" s="209"/>
      <c r="QO109" s="209"/>
    </row>
    <row r="115" spans="1:1" x14ac:dyDescent="0.25">
      <c r="A115" s="160"/>
    </row>
  </sheetData>
  <mergeCells count="479">
    <mergeCell ref="CT6:DK6"/>
    <mergeCell ref="CT7:CT12"/>
    <mergeCell ref="CU7:CU12"/>
    <mergeCell ref="EV6:FM6"/>
    <mergeCell ref="EV7:EV12"/>
    <mergeCell ref="EW7:EW12"/>
    <mergeCell ref="EX7:EX12"/>
    <mergeCell ref="EY7:EY12"/>
    <mergeCell ref="EZ7:EZ12"/>
    <mergeCell ref="FA7:FA12"/>
    <mergeCell ref="FB7:FB12"/>
    <mergeCell ref="FC7:FC12"/>
    <mergeCell ref="FD7:FD12"/>
    <mergeCell ref="FE7:FE12"/>
    <mergeCell ref="FF7:FF12"/>
    <mergeCell ref="FG7:FG12"/>
    <mergeCell ref="FH7:FH12"/>
    <mergeCell ref="FI7:FI12"/>
    <mergeCell ref="FJ7:FJ12"/>
    <mergeCell ref="FK7:FK12"/>
    <mergeCell ref="FL7:FL12"/>
    <mergeCell ref="FM7:FM12"/>
    <mergeCell ref="DL6:EC6"/>
    <mergeCell ref="DL7:DL12"/>
    <mergeCell ref="DV7:DV12"/>
    <mergeCell ref="DW7:DW12"/>
    <mergeCell ref="DX7:DX12"/>
    <mergeCell ref="DY7:DY12"/>
    <mergeCell ref="DZ7:DZ12"/>
    <mergeCell ref="EA7:EA12"/>
    <mergeCell ref="EB7:EB12"/>
    <mergeCell ref="EC7:EC12"/>
    <mergeCell ref="AN7:AN12"/>
    <mergeCell ref="AO7:AO12"/>
    <mergeCell ref="AP7:AP12"/>
    <mergeCell ref="AQ7:AQ12"/>
    <mergeCell ref="DM7:DM12"/>
    <mergeCell ref="DN7:DN12"/>
    <mergeCell ref="DO7:DO12"/>
    <mergeCell ref="DP7:DP12"/>
    <mergeCell ref="DQ7:DQ12"/>
    <mergeCell ref="DR7:DR12"/>
    <mergeCell ref="DS7:DS12"/>
    <mergeCell ref="DT7:DT12"/>
    <mergeCell ref="DU7:DU12"/>
    <mergeCell ref="BJ6:CA6"/>
    <mergeCell ref="BJ7:BJ12"/>
    <mergeCell ref="BK7:BK12"/>
    <mergeCell ref="BL7:BL12"/>
    <mergeCell ref="BM7:BM12"/>
    <mergeCell ref="BN7:BN12"/>
    <mergeCell ref="BO7:BO12"/>
    <mergeCell ref="BP7:BP12"/>
    <mergeCell ref="BQ7:BQ12"/>
    <mergeCell ref="BR7:BR12"/>
    <mergeCell ref="BS7:BS12"/>
    <mergeCell ref="BT7:BT12"/>
    <mergeCell ref="BU7:BU12"/>
    <mergeCell ref="BV7:BV12"/>
    <mergeCell ref="BW7:BW12"/>
    <mergeCell ref="BX7:BX12"/>
    <mergeCell ref="BY7:BY12"/>
    <mergeCell ref="BZ7:BZ12"/>
    <mergeCell ref="CA7:CA12"/>
    <mergeCell ref="AE7:AE12"/>
    <mergeCell ref="AF7:AF12"/>
    <mergeCell ref="AG7:AG12"/>
    <mergeCell ref="AH7:AH12"/>
    <mergeCell ref="AI7:AI12"/>
    <mergeCell ref="AJ7:AJ12"/>
    <mergeCell ref="AK7:AK12"/>
    <mergeCell ref="AL7:AL12"/>
    <mergeCell ref="AM7:AM12"/>
    <mergeCell ref="ML6:NC6"/>
    <mergeCell ref="ML7:ML12"/>
    <mergeCell ref="MM7:MM12"/>
    <mergeCell ref="MN7:MN12"/>
    <mergeCell ref="MO7:MO12"/>
    <mergeCell ref="MP7:MP12"/>
    <mergeCell ref="MQ7:MQ12"/>
    <mergeCell ref="MR7:MR12"/>
    <mergeCell ref="MS7:MS12"/>
    <mergeCell ref="MT7:MT12"/>
    <mergeCell ref="MU7:MU12"/>
    <mergeCell ref="MV7:MV12"/>
    <mergeCell ref="MW7:MW12"/>
    <mergeCell ref="MX7:MX12"/>
    <mergeCell ref="MY7:MY12"/>
    <mergeCell ref="MZ7:MZ12"/>
    <mergeCell ref="NA7:NA12"/>
    <mergeCell ref="NB7:NB12"/>
    <mergeCell ref="NC7:NC12"/>
    <mergeCell ref="LT6:MK6"/>
    <mergeCell ref="LT7:LT12"/>
    <mergeCell ref="LU7:LU12"/>
    <mergeCell ref="LV7:LV12"/>
    <mergeCell ref="LW7:LW12"/>
    <mergeCell ref="LX7:LX12"/>
    <mergeCell ref="LY7:LY12"/>
    <mergeCell ref="LZ7:LZ12"/>
    <mergeCell ref="MA7:MA12"/>
    <mergeCell ref="MB7:MB12"/>
    <mergeCell ref="MC7:MC12"/>
    <mergeCell ref="MD7:MD12"/>
    <mergeCell ref="ME7:ME12"/>
    <mergeCell ref="MF7:MF12"/>
    <mergeCell ref="MG7:MG12"/>
    <mergeCell ref="MH7:MH12"/>
    <mergeCell ref="MI7:MI12"/>
    <mergeCell ref="MJ7:MJ12"/>
    <mergeCell ref="MK7:MK12"/>
    <mergeCell ref="LB6:LS6"/>
    <mergeCell ref="LB7:LB12"/>
    <mergeCell ref="LC7:LC12"/>
    <mergeCell ref="LD7:LD12"/>
    <mergeCell ref="LE7:LE12"/>
    <mergeCell ref="LF7:LF12"/>
    <mergeCell ref="LG7:LG12"/>
    <mergeCell ref="LH7:LH12"/>
    <mergeCell ref="LI7:LI12"/>
    <mergeCell ref="LJ7:LJ12"/>
    <mergeCell ref="LK7:LK12"/>
    <mergeCell ref="LL7:LL12"/>
    <mergeCell ref="LM7:LM12"/>
    <mergeCell ref="LN7:LN12"/>
    <mergeCell ref="LO7:LO12"/>
    <mergeCell ref="LP7:LP12"/>
    <mergeCell ref="LQ7:LQ12"/>
    <mergeCell ref="LR7:LR12"/>
    <mergeCell ref="LS7:LS12"/>
    <mergeCell ref="KJ6:LA6"/>
    <mergeCell ref="KJ7:KJ12"/>
    <mergeCell ref="KK7:KK12"/>
    <mergeCell ref="KL7:KL12"/>
    <mergeCell ref="KM7:KM12"/>
    <mergeCell ref="KN7:KN12"/>
    <mergeCell ref="KO7:KO12"/>
    <mergeCell ref="KP7:KP12"/>
    <mergeCell ref="KQ7:KQ12"/>
    <mergeCell ref="KR7:KR12"/>
    <mergeCell ref="KS7:KS12"/>
    <mergeCell ref="KT7:KT12"/>
    <mergeCell ref="KU7:KU12"/>
    <mergeCell ref="KV7:KV12"/>
    <mergeCell ref="KW7:KW12"/>
    <mergeCell ref="KX7:KX12"/>
    <mergeCell ref="KY7:KY12"/>
    <mergeCell ref="KZ7:KZ12"/>
    <mergeCell ref="LA7:LA12"/>
    <mergeCell ref="JR6:KI6"/>
    <mergeCell ref="JR7:JR12"/>
    <mergeCell ref="JS7:JS12"/>
    <mergeCell ref="JT7:JT12"/>
    <mergeCell ref="JU7:JU12"/>
    <mergeCell ref="JV7:JV12"/>
    <mergeCell ref="JW7:JW12"/>
    <mergeCell ref="JX7:JX12"/>
    <mergeCell ref="JY7:JY12"/>
    <mergeCell ref="JZ7:JZ12"/>
    <mergeCell ref="KA7:KA12"/>
    <mergeCell ref="KB7:KB12"/>
    <mergeCell ref="KC7:KC12"/>
    <mergeCell ref="KD7:KD12"/>
    <mergeCell ref="KE7:KE12"/>
    <mergeCell ref="KF7:KF12"/>
    <mergeCell ref="KG7:KG12"/>
    <mergeCell ref="KH7:KH12"/>
    <mergeCell ref="KI7:KI12"/>
    <mergeCell ref="IZ6:JQ6"/>
    <mergeCell ref="IZ7:IZ12"/>
    <mergeCell ref="JA7:JA12"/>
    <mergeCell ref="JB7:JB12"/>
    <mergeCell ref="JC7:JC12"/>
    <mergeCell ref="JD7:JD12"/>
    <mergeCell ref="JE7:JE12"/>
    <mergeCell ref="JF7:JF12"/>
    <mergeCell ref="JG7:JG12"/>
    <mergeCell ref="JH7:JH12"/>
    <mergeCell ref="JI7:JI12"/>
    <mergeCell ref="JJ7:JJ12"/>
    <mergeCell ref="JK7:JK12"/>
    <mergeCell ref="JL7:JL12"/>
    <mergeCell ref="JM7:JM12"/>
    <mergeCell ref="JN7:JN12"/>
    <mergeCell ref="JO7:JO12"/>
    <mergeCell ref="JP7:JP12"/>
    <mergeCell ref="JQ7:JQ12"/>
    <mergeCell ref="IH6:IY6"/>
    <mergeCell ref="IH7:IH12"/>
    <mergeCell ref="II7:II12"/>
    <mergeCell ref="IJ7:IJ12"/>
    <mergeCell ref="IK7:IK12"/>
    <mergeCell ref="IL7:IL12"/>
    <mergeCell ref="IM7:IM12"/>
    <mergeCell ref="IN7:IN12"/>
    <mergeCell ref="IO7:IO12"/>
    <mergeCell ref="IP7:IP12"/>
    <mergeCell ref="IQ7:IQ12"/>
    <mergeCell ref="IR7:IR12"/>
    <mergeCell ref="IS7:IS12"/>
    <mergeCell ref="IT7:IT12"/>
    <mergeCell ref="IU7:IU12"/>
    <mergeCell ref="IV7:IV12"/>
    <mergeCell ref="IW7:IW12"/>
    <mergeCell ref="IX7:IX12"/>
    <mergeCell ref="IY7:IY12"/>
    <mergeCell ref="GX6:HO6"/>
    <mergeCell ref="GX7:GX12"/>
    <mergeCell ref="GY7:GY12"/>
    <mergeCell ref="GZ7:GZ12"/>
    <mergeCell ref="HA7:HA12"/>
    <mergeCell ref="HB7:HB12"/>
    <mergeCell ref="HC7:HC12"/>
    <mergeCell ref="HD7:HD12"/>
    <mergeCell ref="HE7:HE12"/>
    <mergeCell ref="HF7:HF12"/>
    <mergeCell ref="HG7:HG12"/>
    <mergeCell ref="HH7:HH12"/>
    <mergeCell ref="HI7:HI12"/>
    <mergeCell ref="HJ7:HJ12"/>
    <mergeCell ref="HK7:HK12"/>
    <mergeCell ref="HL7:HL12"/>
    <mergeCell ref="HM7:HM12"/>
    <mergeCell ref="HN7:HN12"/>
    <mergeCell ref="HO7:HO12"/>
    <mergeCell ref="B6:B12"/>
    <mergeCell ref="C6:C12"/>
    <mergeCell ref="F7:F12"/>
    <mergeCell ref="G7:G12"/>
    <mergeCell ref="PX6:QO6"/>
    <mergeCell ref="QO7:QO12"/>
    <mergeCell ref="OO7:OO12"/>
    <mergeCell ref="OP7:OP12"/>
    <mergeCell ref="OQ7:OQ12"/>
    <mergeCell ref="OR7:OR12"/>
    <mergeCell ref="OS7:OS12"/>
    <mergeCell ref="OT7:OT12"/>
    <mergeCell ref="OU7:OU12"/>
    <mergeCell ref="OV7:OV12"/>
    <mergeCell ref="OW7:OW12"/>
    <mergeCell ref="OX7:OX12"/>
    <mergeCell ref="OY7:OY12"/>
    <mergeCell ref="OZ7:OZ12"/>
    <mergeCell ref="PA7:PA12"/>
    <mergeCell ref="PB7:PB12"/>
    <mergeCell ref="PC7:PC12"/>
    <mergeCell ref="PD7:PD12"/>
    <mergeCell ref="PE7:PE12"/>
    <mergeCell ref="PX7:PX12"/>
    <mergeCell ref="PY7:PY12"/>
    <mergeCell ref="PZ7:PZ12"/>
    <mergeCell ref="QA7:QA12"/>
    <mergeCell ref="QB7:QB12"/>
    <mergeCell ref="QC7:QC12"/>
    <mergeCell ref="QF7:QF12"/>
    <mergeCell ref="QG7:QG12"/>
    <mergeCell ref="QH7:QH12"/>
    <mergeCell ref="QI7:QI12"/>
    <mergeCell ref="QD7:QD12"/>
    <mergeCell ref="QE7:QE12"/>
    <mergeCell ref="QJ7:QJ12"/>
    <mergeCell ref="QK7:QK12"/>
    <mergeCell ref="QL7:QL12"/>
    <mergeCell ref="QM7:QM12"/>
    <mergeCell ref="QN7:QN12"/>
    <mergeCell ref="ND6:NU6"/>
    <mergeCell ref="ND7:ND12"/>
    <mergeCell ref="NE7:NE12"/>
    <mergeCell ref="NF7:NF12"/>
    <mergeCell ref="NG7:NG12"/>
    <mergeCell ref="NH7:NH12"/>
    <mergeCell ref="NI7:NI12"/>
    <mergeCell ref="NJ7:NJ12"/>
    <mergeCell ref="NK7:NK12"/>
    <mergeCell ref="NL7:NL12"/>
    <mergeCell ref="NM7:NM12"/>
    <mergeCell ref="NN7:NN12"/>
    <mergeCell ref="NO7:NO12"/>
    <mergeCell ref="NP7:NP12"/>
    <mergeCell ref="NQ7:NQ12"/>
    <mergeCell ref="NR7:NR12"/>
    <mergeCell ref="NS7:NS12"/>
    <mergeCell ref="NT7:NT12"/>
    <mergeCell ref="NU7:NU12"/>
    <mergeCell ref="HP6:IG6"/>
    <mergeCell ref="HP7:HP12"/>
    <mergeCell ref="HQ7:HQ12"/>
    <mergeCell ref="HR7:HR12"/>
    <mergeCell ref="HS7:HS12"/>
    <mergeCell ref="HT7:HT12"/>
    <mergeCell ref="HU7:HU12"/>
    <mergeCell ref="HV7:HV12"/>
    <mergeCell ref="HW7:HW12"/>
    <mergeCell ref="HX7:HX12"/>
    <mergeCell ref="HY7:HY12"/>
    <mergeCell ref="HZ7:HZ12"/>
    <mergeCell ref="IA7:IA12"/>
    <mergeCell ref="IB7:IB12"/>
    <mergeCell ref="IC7:IC12"/>
    <mergeCell ref="ID7:ID12"/>
    <mergeCell ref="IE7:IE12"/>
    <mergeCell ref="IF7:IF12"/>
    <mergeCell ref="IG7:IG12"/>
    <mergeCell ref="GF6:GW6"/>
    <mergeCell ref="GF7:GF12"/>
    <mergeCell ref="GG7:GG12"/>
    <mergeCell ref="GH7:GH12"/>
    <mergeCell ref="GI7:GI12"/>
    <mergeCell ref="GJ7:GJ12"/>
    <mergeCell ref="GK7:GK12"/>
    <mergeCell ref="GL7:GL12"/>
    <mergeCell ref="GM7:GM12"/>
    <mergeCell ref="GN7:GN12"/>
    <mergeCell ref="GO7:GO12"/>
    <mergeCell ref="GP7:GP12"/>
    <mergeCell ref="GQ7:GQ12"/>
    <mergeCell ref="GR7:GR12"/>
    <mergeCell ref="GS7:GS12"/>
    <mergeCell ref="GT7:GT12"/>
    <mergeCell ref="GU7:GU12"/>
    <mergeCell ref="GV7:GV12"/>
    <mergeCell ref="GW7:GW12"/>
    <mergeCell ref="FN6:GE6"/>
    <mergeCell ref="FN7:FN12"/>
    <mergeCell ref="FO7:FO12"/>
    <mergeCell ref="FP7:FP12"/>
    <mergeCell ref="FQ7:FQ12"/>
    <mergeCell ref="FR7:FR12"/>
    <mergeCell ref="FS7:FS12"/>
    <mergeCell ref="FT7:FT12"/>
    <mergeCell ref="FU7:FU12"/>
    <mergeCell ref="FV7:FV12"/>
    <mergeCell ref="FW7:FW12"/>
    <mergeCell ref="FX7:FX12"/>
    <mergeCell ref="FY7:FY12"/>
    <mergeCell ref="FZ7:FZ12"/>
    <mergeCell ref="GA7:GA12"/>
    <mergeCell ref="GB7:GB12"/>
    <mergeCell ref="GC7:GC12"/>
    <mergeCell ref="GD7:GD12"/>
    <mergeCell ref="GE7:GE12"/>
    <mergeCell ref="ED6:EU6"/>
    <mergeCell ref="ED7:ED12"/>
    <mergeCell ref="EE7:EE12"/>
    <mergeCell ref="EF7:EF12"/>
    <mergeCell ref="EG7:EG12"/>
    <mergeCell ref="EH7:EH12"/>
    <mergeCell ref="EI7:EI12"/>
    <mergeCell ref="EJ7:EJ12"/>
    <mergeCell ref="EK7:EK12"/>
    <mergeCell ref="EL7:EL12"/>
    <mergeCell ref="EM7:EM12"/>
    <mergeCell ref="EN7:EN12"/>
    <mergeCell ref="EO7:EO12"/>
    <mergeCell ref="EP7:EP12"/>
    <mergeCell ref="EQ7:EQ12"/>
    <mergeCell ref="ER7:ER12"/>
    <mergeCell ref="ES7:ES12"/>
    <mergeCell ref="ET7:ET12"/>
    <mergeCell ref="EU7:EU12"/>
    <mergeCell ref="Z6:AQ6"/>
    <mergeCell ref="DE7:DE12"/>
    <mergeCell ref="DF7:DF12"/>
    <mergeCell ref="DG7:DG12"/>
    <mergeCell ref="DH7:DH12"/>
    <mergeCell ref="DI7:DI12"/>
    <mergeCell ref="DJ7:DJ12"/>
    <mergeCell ref="DK7:DK12"/>
    <mergeCell ref="CB6:CS6"/>
    <mergeCell ref="CB7:CB12"/>
    <mergeCell ref="CC7:CC12"/>
    <mergeCell ref="CD7:CD12"/>
    <mergeCell ref="CE7:CE12"/>
    <mergeCell ref="CF7:CF12"/>
    <mergeCell ref="CG7:CG12"/>
    <mergeCell ref="CH7:CH12"/>
    <mergeCell ref="CI7:CI12"/>
    <mergeCell ref="CJ7:CJ12"/>
    <mergeCell ref="CK7:CK12"/>
    <mergeCell ref="CL7:CL12"/>
    <mergeCell ref="CM7:CM12"/>
    <mergeCell ref="CN7:CN12"/>
    <mergeCell ref="CO7:CO12"/>
    <mergeCell ref="CP7:CP12"/>
    <mergeCell ref="AR6:BI6"/>
    <mergeCell ref="AR7:AR12"/>
    <mergeCell ref="AS7:AS12"/>
    <mergeCell ref="AT7:AT12"/>
    <mergeCell ref="AU7:AU12"/>
    <mergeCell ref="AV7:AV12"/>
    <mergeCell ref="AW7:AW12"/>
    <mergeCell ref="AX7:AX12"/>
    <mergeCell ref="AY7:AY12"/>
    <mergeCell ref="AZ7:AZ12"/>
    <mergeCell ref="BA7:BA12"/>
    <mergeCell ref="BB7:BB12"/>
    <mergeCell ref="BC7:BC12"/>
    <mergeCell ref="BD7:BD12"/>
    <mergeCell ref="BE7:BE12"/>
    <mergeCell ref="BF7:BF12"/>
    <mergeCell ref="BG7:BG12"/>
    <mergeCell ref="BH7:BH12"/>
    <mergeCell ref="BI7:BI12"/>
    <mergeCell ref="Z7:Z12"/>
    <mergeCell ref="AA7:AA12"/>
    <mergeCell ref="NV7:NV12"/>
    <mergeCell ref="NW7:NW12"/>
    <mergeCell ref="NX7:NX12"/>
    <mergeCell ref="NY7:NY12"/>
    <mergeCell ref="NZ7:NZ12"/>
    <mergeCell ref="OA7:OA12"/>
    <mergeCell ref="OB7:OB12"/>
    <mergeCell ref="CR7:CR12"/>
    <mergeCell ref="CS7:CS12"/>
    <mergeCell ref="CQ7:CQ12"/>
    <mergeCell ref="CV7:CV12"/>
    <mergeCell ref="CW7:CW12"/>
    <mergeCell ref="CX7:CX12"/>
    <mergeCell ref="CY7:CY12"/>
    <mergeCell ref="CZ7:CZ12"/>
    <mergeCell ref="DA7:DA12"/>
    <mergeCell ref="DB7:DB12"/>
    <mergeCell ref="DC7:DC12"/>
    <mergeCell ref="DD7:DD12"/>
    <mergeCell ref="AB7:AB12"/>
    <mergeCell ref="AC7:AC12"/>
    <mergeCell ref="AD7:AD12"/>
    <mergeCell ref="H6:Y6"/>
    <mergeCell ref="H7:H12"/>
    <mergeCell ref="I7:I12"/>
    <mergeCell ref="J7:J12"/>
    <mergeCell ref="K7:K12"/>
    <mergeCell ref="L7:L12"/>
    <mergeCell ref="M7:M12"/>
    <mergeCell ref="N7:N12"/>
    <mergeCell ref="O7:O12"/>
    <mergeCell ref="P7:P12"/>
    <mergeCell ref="Q7:Q12"/>
    <mergeCell ref="R7:R12"/>
    <mergeCell ref="S7:S12"/>
    <mergeCell ref="T7:T12"/>
    <mergeCell ref="U7:U12"/>
    <mergeCell ref="V7:V12"/>
    <mergeCell ref="W7:W12"/>
    <mergeCell ref="X7:X12"/>
    <mergeCell ref="Y7:Y12"/>
    <mergeCell ref="OL7:OL12"/>
    <mergeCell ref="OM7:OM12"/>
    <mergeCell ref="PF6:PW6"/>
    <mergeCell ref="PF7:PF12"/>
    <mergeCell ref="PG7:PG12"/>
    <mergeCell ref="PH7:PH12"/>
    <mergeCell ref="PI7:PI12"/>
    <mergeCell ref="PJ7:PJ12"/>
    <mergeCell ref="PK7:PK12"/>
    <mergeCell ref="PL7:PL12"/>
    <mergeCell ref="PM7:PM12"/>
    <mergeCell ref="PN7:PN12"/>
    <mergeCell ref="PO7:PO12"/>
    <mergeCell ref="PP7:PP12"/>
    <mergeCell ref="PQ7:PQ12"/>
    <mergeCell ref="PR7:PR12"/>
    <mergeCell ref="PS7:PS12"/>
    <mergeCell ref="PT7:PT12"/>
    <mergeCell ref="PU7:PU12"/>
    <mergeCell ref="PV7:PV12"/>
    <mergeCell ref="PW7:PW12"/>
    <mergeCell ref="ON6:PE6"/>
    <mergeCell ref="ON7:ON12"/>
    <mergeCell ref="NV6:OM6"/>
    <mergeCell ref="OC7:OC12"/>
    <mergeCell ref="OD7:OD12"/>
    <mergeCell ref="OE7:OE12"/>
    <mergeCell ref="OF7:OF12"/>
    <mergeCell ref="OG7:OG12"/>
    <mergeCell ref="OH7:OH12"/>
    <mergeCell ref="OI7:OI12"/>
    <mergeCell ref="OJ7:OJ12"/>
    <mergeCell ref="OK7:OK12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BG109"/>
  <sheetViews>
    <sheetView view="pageBreakPreview" topLeftCell="B1" zoomScale="60" zoomScaleNormal="55" workbookViewId="0">
      <selection activeCell="F1" sqref="D1:AO1048576"/>
    </sheetView>
  </sheetViews>
  <sheetFormatPr defaultRowHeight="15" outlineLevelCol="1" x14ac:dyDescent="0.25"/>
  <cols>
    <col min="1" max="1" width="15.28515625" hidden="1" customWidth="1"/>
    <col min="2" max="2" width="5" customWidth="1"/>
    <col min="3" max="3" width="29.85546875" customWidth="1"/>
    <col min="4" max="4" width="12.5703125" hidden="1" customWidth="1"/>
    <col min="5" max="5" width="26.42578125" hidden="1" customWidth="1"/>
    <col min="6" max="6" width="24" customWidth="1"/>
    <col min="7" max="7" width="18.7109375" customWidth="1"/>
    <col min="8" max="9" width="18.7109375" customWidth="1" outlineLevel="1"/>
    <col min="10" max="10" width="18.7109375" customWidth="1"/>
    <col min="11" max="13" width="18.7109375" hidden="1" customWidth="1"/>
    <col min="14" max="19" width="18.7109375" customWidth="1"/>
    <col min="20" max="23" width="18.7109375" customWidth="1" outlineLevel="1"/>
    <col min="24" max="25" width="18.7109375" customWidth="1"/>
    <col min="26" max="27" width="18.7109375" customWidth="1" outlineLevel="1"/>
    <col min="28" max="28" width="18.7109375" customWidth="1"/>
    <col min="29" max="31" width="18.7109375" hidden="1" customWidth="1"/>
    <col min="32" max="37" width="18.7109375" customWidth="1"/>
    <col min="38" max="41" width="18.7109375" customWidth="1" outlineLevel="1"/>
    <col min="42" max="43" width="18.7109375" customWidth="1"/>
    <col min="44" max="45" width="18.7109375" customWidth="1" outlineLevel="1"/>
    <col min="46" max="46" width="18.7109375" customWidth="1"/>
    <col min="47" max="49" width="18.7109375" hidden="1" customWidth="1"/>
    <col min="50" max="55" width="18.7109375" customWidth="1"/>
    <col min="56" max="59" width="18.7109375" customWidth="1" outlineLevel="1"/>
  </cols>
  <sheetData>
    <row r="1" spans="1:59" ht="15.75" x14ac:dyDescent="0.25">
      <c r="C1" s="1" t="s">
        <v>279</v>
      </c>
      <c r="G1" s="37">
        <v>1</v>
      </c>
      <c r="Y1" s="37"/>
      <c r="AQ1" s="37"/>
    </row>
    <row r="2" spans="1:59" ht="18.75" x14ac:dyDescent="0.3">
      <c r="G2" s="271" t="s">
        <v>280</v>
      </c>
      <c r="H2" s="271"/>
      <c r="I2" s="271"/>
      <c r="J2" s="271"/>
      <c r="K2" s="271"/>
      <c r="L2" s="271"/>
      <c r="M2" s="271"/>
      <c r="N2" s="271"/>
      <c r="O2" s="271"/>
      <c r="P2" s="271"/>
      <c r="Q2" s="271"/>
      <c r="Y2" s="271"/>
      <c r="Z2" s="271"/>
      <c r="AA2" s="271"/>
      <c r="AB2" s="271"/>
      <c r="AC2" s="271"/>
      <c r="AD2" s="271"/>
      <c r="AE2" s="271"/>
      <c r="AF2" s="271"/>
      <c r="AG2" s="271"/>
      <c r="AH2" s="271"/>
      <c r="AI2" s="271"/>
      <c r="AQ2" s="271"/>
      <c r="AR2" s="271"/>
      <c r="AS2" s="271"/>
      <c r="AT2" s="271"/>
      <c r="AU2" s="271"/>
      <c r="AV2" s="271"/>
      <c r="AW2" s="271"/>
      <c r="AX2" s="271"/>
      <c r="AY2" s="271"/>
      <c r="AZ2" s="271"/>
      <c r="BA2" s="271"/>
    </row>
    <row r="3" spans="1:59" ht="21" customHeight="1" x14ac:dyDescent="0.3">
      <c r="B3" s="2"/>
      <c r="C3" s="2"/>
      <c r="D3" s="272" t="s">
        <v>281</v>
      </c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38"/>
      <c r="S3" s="38"/>
      <c r="T3" s="38"/>
      <c r="U3" s="38"/>
      <c r="AJ3" s="38"/>
      <c r="AK3" s="38"/>
      <c r="AL3" s="38"/>
      <c r="AM3" s="38"/>
      <c r="BB3" s="38"/>
      <c r="BC3" s="38"/>
      <c r="BD3" s="38"/>
      <c r="BE3" s="38"/>
    </row>
    <row r="4" spans="1:59" ht="24" customHeight="1" x14ac:dyDescent="0.3">
      <c r="B4" s="2"/>
      <c r="C4" s="2"/>
      <c r="D4" s="39"/>
      <c r="E4" s="40"/>
      <c r="F4" s="40"/>
      <c r="G4" s="273" t="s">
        <v>282</v>
      </c>
      <c r="H4" s="273"/>
      <c r="I4" s="273"/>
      <c r="J4" s="273"/>
      <c r="K4" s="273"/>
      <c r="L4" s="273"/>
      <c r="M4" s="273"/>
      <c r="N4" s="273"/>
      <c r="O4" s="273"/>
      <c r="P4" s="273"/>
      <c r="Q4" s="273"/>
      <c r="R4" s="38"/>
      <c r="S4" s="38"/>
      <c r="T4" s="38"/>
      <c r="U4" s="38"/>
      <c r="Y4" s="273"/>
      <c r="Z4" s="273"/>
      <c r="AA4" s="273"/>
      <c r="AB4" s="273"/>
      <c r="AC4" s="273"/>
      <c r="AD4" s="273"/>
      <c r="AE4" s="273"/>
      <c r="AF4" s="273"/>
      <c r="AG4" s="273"/>
      <c r="AH4" s="273"/>
      <c r="AI4" s="273"/>
      <c r="AJ4" s="38"/>
      <c r="AK4" s="38"/>
      <c r="AL4" s="38"/>
      <c r="AM4" s="38"/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  <c r="BB4" s="38"/>
      <c r="BC4" s="38"/>
      <c r="BD4" s="38"/>
      <c r="BE4" s="38"/>
    </row>
    <row r="5" spans="1:59" ht="32.25" customHeight="1" x14ac:dyDescent="0.3">
      <c r="B5" s="2"/>
      <c r="C5" s="2"/>
      <c r="D5" s="2"/>
      <c r="E5" s="2"/>
      <c r="F5" s="2"/>
      <c r="G5" s="41" t="s">
        <v>283</v>
      </c>
      <c r="H5" s="274" t="str">
        <f>date</f>
        <v>Декабрь 2017 г.</v>
      </c>
      <c r="I5" s="274"/>
      <c r="J5" s="82"/>
      <c r="K5" s="42"/>
      <c r="L5" s="43"/>
      <c r="M5" s="43"/>
      <c r="N5" s="43"/>
      <c r="Y5" s="41"/>
      <c r="Z5" s="274"/>
      <c r="AA5" s="274"/>
      <c r="AB5" s="82"/>
      <c r="AC5" s="42"/>
      <c r="AD5" s="43"/>
      <c r="AE5" s="43"/>
      <c r="AF5" s="43"/>
      <c r="AQ5" s="41"/>
      <c r="AR5" s="274"/>
      <c r="AS5" s="274"/>
      <c r="AT5" s="82"/>
      <c r="AU5" s="42"/>
      <c r="AV5" s="43"/>
      <c r="AW5" s="43"/>
      <c r="AX5" s="43"/>
    </row>
    <row r="6" spans="1:59" ht="15" customHeight="1" thickBot="1" x14ac:dyDescent="0.3">
      <c r="C6" s="44" t="str">
        <f>IF(G1=1000,"в тыс. руб.",IF(G1=1000000,"в млн. руб.",(IF(G1=1,"в рублях"," "))))</f>
        <v>в рублях</v>
      </c>
      <c r="D6" s="4"/>
      <c r="E6" s="4"/>
      <c r="F6" s="4"/>
      <c r="V6" s="76"/>
      <c r="W6" s="76"/>
      <c r="X6" s="76"/>
      <c r="AN6" s="76"/>
      <c r="AO6" s="76"/>
      <c r="AP6" s="76"/>
      <c r="BF6" s="76"/>
      <c r="BG6" s="76"/>
    </row>
    <row r="7" spans="1:59" ht="30" customHeight="1" x14ac:dyDescent="0.25">
      <c r="A7" s="5"/>
      <c r="B7" s="275" t="s">
        <v>284</v>
      </c>
      <c r="C7" s="275" t="s">
        <v>285</v>
      </c>
      <c r="D7" s="275"/>
      <c r="E7" s="276" t="s">
        <v>286</v>
      </c>
      <c r="F7" s="262" t="s">
        <v>307</v>
      </c>
      <c r="G7" s="263"/>
      <c r="H7" s="263"/>
      <c r="I7" s="263"/>
      <c r="J7" s="263"/>
      <c r="K7" s="263"/>
      <c r="L7" s="263"/>
      <c r="M7" s="263"/>
      <c r="N7" s="263"/>
      <c r="O7" s="263"/>
      <c r="P7" s="263"/>
      <c r="Q7" s="263"/>
      <c r="R7" s="263"/>
      <c r="S7" s="263"/>
      <c r="T7" s="263"/>
      <c r="U7" s="263"/>
      <c r="V7" s="263"/>
      <c r="W7" s="264"/>
      <c r="X7" s="255" t="s">
        <v>308</v>
      </c>
      <c r="Y7" s="256"/>
      <c r="Z7" s="256"/>
      <c r="AA7" s="256"/>
      <c r="AB7" s="256"/>
      <c r="AC7" s="256"/>
      <c r="AD7" s="256"/>
      <c r="AE7" s="256"/>
      <c r="AF7" s="256"/>
      <c r="AG7" s="256"/>
      <c r="AH7" s="256"/>
      <c r="AI7" s="256"/>
      <c r="AJ7" s="256"/>
      <c r="AK7" s="256"/>
      <c r="AL7" s="256"/>
      <c r="AM7" s="256"/>
      <c r="AN7" s="256"/>
      <c r="AO7" s="257"/>
      <c r="AP7" s="261" t="s">
        <v>310</v>
      </c>
      <c r="AQ7" s="256"/>
      <c r="AR7" s="256"/>
      <c r="AS7" s="256"/>
      <c r="AT7" s="256"/>
      <c r="AU7" s="256"/>
      <c r="AV7" s="256"/>
      <c r="AW7" s="256"/>
      <c r="AX7" s="256"/>
      <c r="AY7" s="256"/>
      <c r="AZ7" s="256"/>
      <c r="BA7" s="256"/>
      <c r="BB7" s="256"/>
      <c r="BC7" s="256"/>
      <c r="BD7" s="256"/>
      <c r="BE7" s="256"/>
      <c r="BF7" s="256"/>
      <c r="BG7" s="257"/>
    </row>
    <row r="8" spans="1:59" ht="18.75" customHeight="1" thickBot="1" x14ac:dyDescent="0.3">
      <c r="A8" s="6"/>
      <c r="B8" s="275"/>
      <c r="C8" s="275"/>
      <c r="D8" s="275"/>
      <c r="E8" s="276"/>
      <c r="F8" s="265"/>
      <c r="G8" s="266"/>
      <c r="H8" s="266"/>
      <c r="I8" s="266"/>
      <c r="J8" s="266"/>
      <c r="K8" s="266"/>
      <c r="L8" s="266"/>
      <c r="M8" s="266"/>
      <c r="N8" s="266"/>
      <c r="O8" s="266"/>
      <c r="P8" s="266"/>
      <c r="Q8" s="266"/>
      <c r="R8" s="266"/>
      <c r="S8" s="266"/>
      <c r="T8" s="266"/>
      <c r="U8" s="266"/>
      <c r="V8" s="266"/>
      <c r="W8" s="267"/>
      <c r="X8" s="258" t="s">
        <v>309</v>
      </c>
      <c r="Y8" s="259"/>
      <c r="Z8" s="259"/>
      <c r="AA8" s="259"/>
      <c r="AB8" s="259"/>
      <c r="AC8" s="259"/>
      <c r="AD8" s="259"/>
      <c r="AE8" s="259"/>
      <c r="AF8" s="259"/>
      <c r="AG8" s="259"/>
      <c r="AH8" s="259"/>
      <c r="AI8" s="259"/>
      <c r="AJ8" s="259"/>
      <c r="AK8" s="259"/>
      <c r="AL8" s="259"/>
      <c r="AM8" s="259"/>
      <c r="AN8" s="259"/>
      <c r="AO8" s="260"/>
      <c r="AP8" s="258" t="s">
        <v>311</v>
      </c>
      <c r="AQ8" s="259"/>
      <c r="AR8" s="259"/>
      <c r="AS8" s="259"/>
      <c r="AT8" s="259"/>
      <c r="AU8" s="259"/>
      <c r="AV8" s="259"/>
      <c r="AW8" s="259"/>
      <c r="AX8" s="259"/>
      <c r="AY8" s="259"/>
      <c r="AZ8" s="259"/>
      <c r="BA8" s="259"/>
      <c r="BB8" s="259"/>
      <c r="BC8" s="259"/>
      <c r="BD8" s="259"/>
      <c r="BE8" s="259"/>
      <c r="BF8" s="259"/>
      <c r="BG8" s="260"/>
    </row>
    <row r="9" spans="1:59" ht="31.5" customHeight="1" x14ac:dyDescent="0.25">
      <c r="A9" s="6"/>
      <c r="B9" s="275"/>
      <c r="C9" s="275"/>
      <c r="D9" s="275"/>
      <c r="E9" s="277"/>
      <c r="F9" s="253" t="s">
        <v>315</v>
      </c>
      <c r="G9" s="254" t="s">
        <v>314</v>
      </c>
      <c r="H9" s="254" t="s">
        <v>287</v>
      </c>
      <c r="I9" s="254"/>
      <c r="J9" s="254"/>
      <c r="K9" s="254" t="s">
        <v>312</v>
      </c>
      <c r="L9" s="254" t="s">
        <v>262</v>
      </c>
      <c r="M9" s="254" t="s">
        <v>272</v>
      </c>
      <c r="N9" s="254" t="s">
        <v>288</v>
      </c>
      <c r="O9" s="254"/>
      <c r="P9" s="254"/>
      <c r="Q9" s="254"/>
      <c r="R9" s="269" t="s">
        <v>289</v>
      </c>
      <c r="S9" s="269"/>
      <c r="T9" s="254" t="s">
        <v>290</v>
      </c>
      <c r="U9" s="254" t="s">
        <v>266</v>
      </c>
      <c r="V9" s="254" t="s">
        <v>291</v>
      </c>
      <c r="W9" s="268" t="s">
        <v>302</v>
      </c>
      <c r="X9" s="253" t="s">
        <v>315</v>
      </c>
      <c r="Y9" s="254" t="s">
        <v>314</v>
      </c>
      <c r="Z9" s="254" t="s">
        <v>287</v>
      </c>
      <c r="AA9" s="254"/>
      <c r="AB9" s="254"/>
      <c r="AC9" s="254" t="s">
        <v>312</v>
      </c>
      <c r="AD9" s="254" t="s">
        <v>262</v>
      </c>
      <c r="AE9" s="254" t="s">
        <v>272</v>
      </c>
      <c r="AF9" s="254" t="s">
        <v>288</v>
      </c>
      <c r="AG9" s="254"/>
      <c r="AH9" s="254"/>
      <c r="AI9" s="254"/>
      <c r="AJ9" s="269" t="s">
        <v>289</v>
      </c>
      <c r="AK9" s="269"/>
      <c r="AL9" s="254" t="s">
        <v>290</v>
      </c>
      <c r="AM9" s="254" t="s">
        <v>266</v>
      </c>
      <c r="AN9" s="254" t="s">
        <v>291</v>
      </c>
      <c r="AO9" s="268" t="s">
        <v>302</v>
      </c>
      <c r="AP9" s="253" t="s">
        <v>315</v>
      </c>
      <c r="AQ9" s="254" t="s">
        <v>314</v>
      </c>
      <c r="AR9" s="254" t="s">
        <v>287</v>
      </c>
      <c r="AS9" s="254"/>
      <c r="AT9" s="254"/>
      <c r="AU9" s="254" t="s">
        <v>312</v>
      </c>
      <c r="AV9" s="254" t="s">
        <v>262</v>
      </c>
      <c r="AW9" s="254" t="s">
        <v>272</v>
      </c>
      <c r="AX9" s="254" t="s">
        <v>288</v>
      </c>
      <c r="AY9" s="254"/>
      <c r="AZ9" s="254"/>
      <c r="BA9" s="254"/>
      <c r="BB9" s="269" t="s">
        <v>289</v>
      </c>
      <c r="BC9" s="269"/>
      <c r="BD9" s="254" t="s">
        <v>290</v>
      </c>
      <c r="BE9" s="254" t="s">
        <v>266</v>
      </c>
      <c r="BF9" s="254" t="s">
        <v>291</v>
      </c>
      <c r="BG9" s="268" t="s">
        <v>302</v>
      </c>
    </row>
    <row r="10" spans="1:59" ht="24" customHeight="1" x14ac:dyDescent="0.25">
      <c r="A10" s="6"/>
      <c r="B10" s="275"/>
      <c r="C10" s="275"/>
      <c r="D10" s="275"/>
      <c r="E10" s="277"/>
      <c r="F10" s="220"/>
      <c r="G10" s="224"/>
      <c r="H10" s="224" t="s">
        <v>292</v>
      </c>
      <c r="I10" s="224" t="s">
        <v>293</v>
      </c>
      <c r="J10" s="224"/>
      <c r="K10" s="224"/>
      <c r="L10" s="224"/>
      <c r="M10" s="224"/>
      <c r="N10" s="224" t="s">
        <v>292</v>
      </c>
      <c r="O10" s="224" t="s">
        <v>294</v>
      </c>
      <c r="P10" s="224"/>
      <c r="Q10" s="224"/>
      <c r="R10" s="270"/>
      <c r="S10" s="270"/>
      <c r="T10" s="224"/>
      <c r="U10" s="224"/>
      <c r="V10" s="224"/>
      <c r="W10" s="224"/>
      <c r="X10" s="220"/>
      <c r="Y10" s="224"/>
      <c r="Z10" s="224" t="s">
        <v>292</v>
      </c>
      <c r="AA10" s="224" t="s">
        <v>293</v>
      </c>
      <c r="AB10" s="224"/>
      <c r="AC10" s="224"/>
      <c r="AD10" s="224"/>
      <c r="AE10" s="224"/>
      <c r="AF10" s="224" t="s">
        <v>292</v>
      </c>
      <c r="AG10" s="224" t="s">
        <v>294</v>
      </c>
      <c r="AH10" s="224"/>
      <c r="AI10" s="224"/>
      <c r="AJ10" s="270"/>
      <c r="AK10" s="270"/>
      <c r="AL10" s="224"/>
      <c r="AM10" s="224"/>
      <c r="AN10" s="224"/>
      <c r="AO10" s="224"/>
      <c r="AP10" s="220"/>
      <c r="AQ10" s="224"/>
      <c r="AR10" s="224" t="s">
        <v>292</v>
      </c>
      <c r="AS10" s="224" t="s">
        <v>293</v>
      </c>
      <c r="AT10" s="224"/>
      <c r="AU10" s="224"/>
      <c r="AV10" s="224"/>
      <c r="AW10" s="224"/>
      <c r="AX10" s="224" t="s">
        <v>292</v>
      </c>
      <c r="AY10" s="224" t="s">
        <v>294</v>
      </c>
      <c r="AZ10" s="224"/>
      <c r="BA10" s="224"/>
      <c r="BB10" s="270"/>
      <c r="BC10" s="270"/>
      <c r="BD10" s="224"/>
      <c r="BE10" s="224"/>
      <c r="BF10" s="224"/>
      <c r="BG10" s="224"/>
    </row>
    <row r="11" spans="1:59" ht="82.5" customHeight="1" x14ac:dyDescent="0.25">
      <c r="A11" s="6"/>
      <c r="B11" s="275"/>
      <c r="C11" s="275"/>
      <c r="D11" s="275"/>
      <c r="E11" s="277"/>
      <c r="F11" s="254"/>
      <c r="G11" s="224"/>
      <c r="H11" s="224"/>
      <c r="I11" s="81" t="s">
        <v>259</v>
      </c>
      <c r="J11" s="81" t="s">
        <v>260</v>
      </c>
      <c r="K11" s="224"/>
      <c r="L11" s="224"/>
      <c r="M11" s="224"/>
      <c r="N11" s="224"/>
      <c r="O11" s="81" t="s">
        <v>264</v>
      </c>
      <c r="P11" s="81" t="s">
        <v>303</v>
      </c>
      <c r="Q11" s="81" t="s">
        <v>260</v>
      </c>
      <c r="R11" s="84" t="s">
        <v>316</v>
      </c>
      <c r="S11" s="81" t="s">
        <v>295</v>
      </c>
      <c r="T11" s="224"/>
      <c r="U11" s="224"/>
      <c r="V11" s="224"/>
      <c r="W11" s="224"/>
      <c r="X11" s="254"/>
      <c r="Y11" s="224"/>
      <c r="Z11" s="224"/>
      <c r="AA11" s="81" t="s">
        <v>259</v>
      </c>
      <c r="AB11" s="81" t="s">
        <v>260</v>
      </c>
      <c r="AC11" s="224"/>
      <c r="AD11" s="224"/>
      <c r="AE11" s="224"/>
      <c r="AF11" s="224"/>
      <c r="AG11" s="81" t="s">
        <v>264</v>
      </c>
      <c r="AH11" s="81" t="s">
        <v>303</v>
      </c>
      <c r="AI11" s="81" t="s">
        <v>260</v>
      </c>
      <c r="AJ11" s="84" t="s">
        <v>316</v>
      </c>
      <c r="AK11" s="81" t="s">
        <v>295</v>
      </c>
      <c r="AL11" s="224"/>
      <c r="AM11" s="224"/>
      <c r="AN11" s="224"/>
      <c r="AO11" s="224"/>
      <c r="AP11" s="254"/>
      <c r="AQ11" s="224"/>
      <c r="AR11" s="224"/>
      <c r="AS11" s="81" t="s">
        <v>259</v>
      </c>
      <c r="AT11" s="81" t="s">
        <v>260</v>
      </c>
      <c r="AU11" s="224"/>
      <c r="AV11" s="224"/>
      <c r="AW11" s="224"/>
      <c r="AX11" s="224"/>
      <c r="AY11" s="81" t="s">
        <v>264</v>
      </c>
      <c r="AZ11" s="81" t="s">
        <v>303</v>
      </c>
      <c r="BA11" s="81" t="s">
        <v>260</v>
      </c>
      <c r="BB11" s="84" t="s">
        <v>316</v>
      </c>
      <c r="BC11" s="81" t="s">
        <v>295</v>
      </c>
      <c r="BD11" s="224"/>
      <c r="BE11" s="224"/>
      <c r="BF11" s="224"/>
      <c r="BG11" s="224"/>
    </row>
    <row r="12" spans="1:59" ht="67.5" customHeight="1" thickBot="1" x14ac:dyDescent="0.3">
      <c r="A12" s="45"/>
      <c r="B12" s="46">
        <v>1</v>
      </c>
      <c r="C12" s="46">
        <v>2</v>
      </c>
      <c r="D12" s="46">
        <v>3</v>
      </c>
      <c r="E12" s="46">
        <v>4</v>
      </c>
      <c r="F12" s="46"/>
      <c r="G12" s="46">
        <v>5</v>
      </c>
      <c r="H12" s="46">
        <v>6</v>
      </c>
      <c r="I12" s="46">
        <v>7</v>
      </c>
      <c r="J12" s="46">
        <v>8</v>
      </c>
      <c r="K12" s="46">
        <v>9</v>
      </c>
      <c r="L12" s="46">
        <v>10</v>
      </c>
      <c r="M12" s="46">
        <v>11</v>
      </c>
      <c r="N12" s="46">
        <v>12</v>
      </c>
      <c r="O12" s="46">
        <v>13</v>
      </c>
      <c r="P12" s="46">
        <v>14</v>
      </c>
      <c r="Q12" s="46">
        <v>15</v>
      </c>
      <c r="R12" s="46"/>
      <c r="S12" s="46"/>
      <c r="T12" s="81" t="s">
        <v>304</v>
      </c>
      <c r="U12" s="81">
        <v>17</v>
      </c>
      <c r="V12" s="81" t="s">
        <v>305</v>
      </c>
      <c r="W12" s="77" t="s">
        <v>306</v>
      </c>
      <c r="X12" s="77"/>
      <c r="Y12" s="46">
        <v>5</v>
      </c>
      <c r="Z12" s="46">
        <v>6</v>
      </c>
      <c r="AA12" s="46">
        <v>7</v>
      </c>
      <c r="AB12" s="46">
        <v>8</v>
      </c>
      <c r="AC12" s="46">
        <v>9</v>
      </c>
      <c r="AD12" s="46">
        <v>10</v>
      </c>
      <c r="AE12" s="46">
        <v>11</v>
      </c>
      <c r="AF12" s="46">
        <v>12</v>
      </c>
      <c r="AG12" s="46">
        <v>13</v>
      </c>
      <c r="AH12" s="46">
        <v>14</v>
      </c>
      <c r="AI12" s="46">
        <v>15</v>
      </c>
      <c r="AJ12" s="46"/>
      <c r="AK12" s="46"/>
      <c r="AL12" s="81" t="s">
        <v>304</v>
      </c>
      <c r="AM12" s="81">
        <v>17</v>
      </c>
      <c r="AN12" s="81" t="s">
        <v>305</v>
      </c>
      <c r="AO12" s="77" t="s">
        <v>306</v>
      </c>
      <c r="AP12" s="77"/>
      <c r="AQ12" s="46">
        <v>5</v>
      </c>
      <c r="AR12" s="46">
        <v>6</v>
      </c>
      <c r="AS12" s="46">
        <v>7</v>
      </c>
      <c r="AT12" s="46">
        <v>8</v>
      </c>
      <c r="AU12" s="46">
        <v>9</v>
      </c>
      <c r="AV12" s="46">
        <v>10</v>
      </c>
      <c r="AW12" s="46">
        <v>11</v>
      </c>
      <c r="AX12" s="46">
        <v>12</v>
      </c>
      <c r="AY12" s="46">
        <v>13</v>
      </c>
      <c r="AZ12" s="46">
        <v>14</v>
      </c>
      <c r="BA12" s="46">
        <v>15</v>
      </c>
      <c r="BB12" s="46"/>
      <c r="BC12" s="46"/>
      <c r="BD12" s="81" t="s">
        <v>304</v>
      </c>
      <c r="BE12" s="81">
        <v>17</v>
      </c>
      <c r="BF12" s="81" t="s">
        <v>305</v>
      </c>
      <c r="BG12" s="77" t="s">
        <v>306</v>
      </c>
    </row>
    <row r="13" spans="1:59" ht="15" hidden="1" customHeight="1" x14ac:dyDescent="0.25">
      <c r="A13" s="6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8"/>
      <c r="R13" s="48"/>
      <c r="S13" s="48"/>
      <c r="T13" s="78"/>
      <c r="U13" s="78"/>
      <c r="V13" s="79"/>
      <c r="W13" s="78"/>
      <c r="X13" s="78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8"/>
      <c r="AJ13" s="48"/>
      <c r="AK13" s="48"/>
      <c r="AL13" s="78"/>
      <c r="AM13" s="78"/>
      <c r="AN13" s="79"/>
      <c r="AO13" s="78"/>
      <c r="AP13" s="78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8"/>
      <c r="BB13" s="48"/>
      <c r="BC13" s="48"/>
      <c r="BD13" s="78"/>
      <c r="BE13" s="78"/>
      <c r="BF13" s="79"/>
      <c r="BG13" s="78"/>
    </row>
    <row r="14" spans="1:59" s="54" customFormat="1" ht="15.75" x14ac:dyDescent="0.25">
      <c r="A14" s="49" t="s">
        <v>1</v>
      </c>
      <c r="B14" s="50" t="s">
        <v>2</v>
      </c>
      <c r="C14" s="51" t="s">
        <v>3</v>
      </c>
      <c r="D14" s="51"/>
      <c r="E14" s="52"/>
      <c r="F14" s="53" t="e">
        <f>F16+F35+F47+F54+F62+F77+F84+F97+F107</f>
        <v>#NAME?</v>
      </c>
      <c r="G14" s="53" t="e">
        <f t="shared" ref="G14:Q14" si="0">G16+G35+G47+G54+G62+G77+G84+G97+G107</f>
        <v>#NAME?</v>
      </c>
      <c r="H14" s="53" t="e">
        <f t="shared" si="0"/>
        <v>#NAME?</v>
      </c>
      <c r="I14" s="53" t="e">
        <f t="shared" si="0"/>
        <v>#NAME?</v>
      </c>
      <c r="J14" s="53" t="e">
        <f t="shared" si="0"/>
        <v>#NAME?</v>
      </c>
      <c r="K14" s="53" t="e">
        <f t="shared" si="0"/>
        <v>#NAME?</v>
      </c>
      <c r="L14" s="53" t="e">
        <f t="shared" si="0"/>
        <v>#NAME?</v>
      </c>
      <c r="M14" s="53" t="e">
        <f t="shared" si="0"/>
        <v>#NAME?</v>
      </c>
      <c r="N14" s="53" t="e">
        <f t="shared" si="0"/>
        <v>#NAME?</v>
      </c>
      <c r="O14" s="53" t="e">
        <f t="shared" si="0"/>
        <v>#NAME?</v>
      </c>
      <c r="P14" s="53" t="e">
        <f t="shared" si="0"/>
        <v>#NAME?</v>
      </c>
      <c r="Q14" s="53" t="e">
        <f t="shared" si="0"/>
        <v>#NAME?</v>
      </c>
      <c r="R14" s="53" t="e">
        <f>IF(F14+G14=0," ",O14/(F14+G14+M14)*100)</f>
        <v>#NAME?</v>
      </c>
      <c r="S14" s="53" t="e">
        <f>IF(J14=0," ",Q14/J14*100)</f>
        <v>#NAME?</v>
      </c>
      <c r="T14" s="53" t="e">
        <f>IF(N14=0,0,Q14/N14*100)</f>
        <v>#NAME?</v>
      </c>
      <c r="U14" s="53" t="e">
        <f>U16+U35+U47+U54+U62+U77+U84+U97+U107</f>
        <v>#NAME?</v>
      </c>
      <c r="V14" s="53" t="e">
        <f t="shared" ref="V14:AI14" si="1">V16+V35+V47+V54+V62+V77+V84+V97+V107</f>
        <v>#NAME?</v>
      </c>
      <c r="W14" s="53" t="e">
        <f t="shared" si="1"/>
        <v>#NAME?</v>
      </c>
      <c r="X14" s="53" t="e">
        <f t="shared" si="1"/>
        <v>#NAME?</v>
      </c>
      <c r="Y14" s="53" t="e">
        <f t="shared" si="1"/>
        <v>#NAME?</v>
      </c>
      <c r="Z14" s="53" t="e">
        <f t="shared" si="1"/>
        <v>#NAME?</v>
      </c>
      <c r="AA14" s="53" t="e">
        <f t="shared" si="1"/>
        <v>#NAME?</v>
      </c>
      <c r="AB14" s="53" t="e">
        <f t="shared" si="1"/>
        <v>#NAME?</v>
      </c>
      <c r="AC14" s="53" t="e">
        <f t="shared" si="1"/>
        <v>#NAME?</v>
      </c>
      <c r="AD14" s="53" t="e">
        <f t="shared" si="1"/>
        <v>#NAME?</v>
      </c>
      <c r="AE14" s="53" t="e">
        <f t="shared" si="1"/>
        <v>#NAME?</v>
      </c>
      <c r="AF14" s="53" t="e">
        <f t="shared" si="1"/>
        <v>#NAME?</v>
      </c>
      <c r="AG14" s="53" t="e">
        <f t="shared" si="1"/>
        <v>#NAME?</v>
      </c>
      <c r="AH14" s="53" t="e">
        <f t="shared" si="1"/>
        <v>#NAME?</v>
      </c>
      <c r="AI14" s="53" t="e">
        <f t="shared" si="1"/>
        <v>#NAME?</v>
      </c>
      <c r="AJ14" s="53" t="e">
        <f>IF(X14+Y14=0," ",AG14/(X14+Y14+AE14)*100)</f>
        <v>#NAME?</v>
      </c>
      <c r="AK14" s="53" t="e">
        <f>IF(AB14=0," ",AI14/AB14*100)</f>
        <v>#NAME?</v>
      </c>
      <c r="AL14" s="53" t="e">
        <f>IF(AF14=0,0,AI14/AF14*100)</f>
        <v>#NAME?</v>
      </c>
      <c r="AM14" s="53" t="e">
        <f>AM16+AM35+AM47+AM54+AM62+AM77+AM84+AM97+AM107</f>
        <v>#NAME?</v>
      </c>
      <c r="AN14" s="53" t="e">
        <f t="shared" ref="AN14:BA14" si="2">AN16+AN35+AN47+AN54+AN62+AN77+AN84+AN97+AN107</f>
        <v>#NAME?</v>
      </c>
      <c r="AO14" s="53" t="e">
        <f t="shared" si="2"/>
        <v>#NAME?</v>
      </c>
      <c r="AP14" s="53" t="e">
        <f t="shared" si="2"/>
        <v>#NAME?</v>
      </c>
      <c r="AQ14" s="53" t="e">
        <f t="shared" si="2"/>
        <v>#NAME?</v>
      </c>
      <c r="AR14" s="53" t="e">
        <f t="shared" si="2"/>
        <v>#NAME?</v>
      </c>
      <c r="AS14" s="53" t="e">
        <f t="shared" si="2"/>
        <v>#NAME?</v>
      </c>
      <c r="AT14" s="53" t="e">
        <f t="shared" si="2"/>
        <v>#NAME?</v>
      </c>
      <c r="AU14" s="53" t="e">
        <f t="shared" si="2"/>
        <v>#NAME?</v>
      </c>
      <c r="AV14" s="53" t="e">
        <f t="shared" si="2"/>
        <v>#NAME?</v>
      </c>
      <c r="AW14" s="53" t="e">
        <f t="shared" si="2"/>
        <v>#NAME?</v>
      </c>
      <c r="AX14" s="53" t="e">
        <f t="shared" si="2"/>
        <v>#NAME?</v>
      </c>
      <c r="AY14" s="53" t="e">
        <f t="shared" si="2"/>
        <v>#NAME?</v>
      </c>
      <c r="AZ14" s="53" t="e">
        <f t="shared" si="2"/>
        <v>#NAME?</v>
      </c>
      <c r="BA14" s="53" t="e">
        <f t="shared" si="2"/>
        <v>#NAME?</v>
      </c>
      <c r="BB14" s="53" t="e">
        <f>IF(AP14+AQ14=0," ",AY14/(AP14+AQ14+AW14)*100)</f>
        <v>#NAME?</v>
      </c>
      <c r="BC14" s="53" t="e">
        <f>IF(AT14=0," ",BA14/AT14*100)</f>
        <v>#NAME?</v>
      </c>
      <c r="BD14" s="53" t="e">
        <f>IF(AX14=0,0,BA14/AX14*100)</f>
        <v>#NAME?</v>
      </c>
      <c r="BE14" s="53" t="e">
        <f>BE16+BE35+BE47+BE54+BE62+BE77+BE84+BE97+BE107</f>
        <v>#NAME?</v>
      </c>
      <c r="BF14" s="53" t="e">
        <f>BF16+BF35+BF47+BF54+BF62+BF77+BF84+BF97+BF107</f>
        <v>#NAME?</v>
      </c>
      <c r="BG14" s="53" t="e">
        <f>BG16+BG35+BG47+BG54+BG62+BG77+BG84+BG97+BG107</f>
        <v>#NAME?</v>
      </c>
    </row>
    <row r="15" spans="1:59" s="54" customFormat="1" ht="30" x14ac:dyDescent="0.25">
      <c r="A15" s="49"/>
      <c r="B15" s="50"/>
      <c r="C15" s="55" t="s">
        <v>296</v>
      </c>
      <c r="D15" s="51"/>
      <c r="E15" s="52"/>
      <c r="F15" s="52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80"/>
      <c r="X15" s="80"/>
      <c r="Y15" s="53"/>
      <c r="Z15" s="53"/>
      <c r="AA15" s="8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80"/>
      <c r="AP15" s="80"/>
      <c r="AQ15" s="53"/>
      <c r="AR15" s="53"/>
      <c r="AS15" s="8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80"/>
    </row>
    <row r="16" spans="1:59" s="62" customFormat="1" ht="15.75" x14ac:dyDescent="0.25">
      <c r="A16" s="56" t="s">
        <v>5</v>
      </c>
      <c r="B16" s="57" t="s">
        <v>6</v>
      </c>
      <c r="C16" s="58" t="s">
        <v>7</v>
      </c>
      <c r="D16" s="59"/>
      <c r="E16" s="60"/>
      <c r="F16" s="61" t="e">
        <f t="shared" ref="F16:Q16" si="3">SUM(F17:F34)</f>
        <v>#NAME?</v>
      </c>
      <c r="G16" s="61" t="e">
        <f t="shared" si="3"/>
        <v>#NAME?</v>
      </c>
      <c r="H16" s="61" t="e">
        <f t="shared" si="3"/>
        <v>#NAME?</v>
      </c>
      <c r="I16" s="61" t="e">
        <f t="shared" si="3"/>
        <v>#NAME?</v>
      </c>
      <c r="J16" s="61" t="e">
        <f t="shared" si="3"/>
        <v>#NAME?</v>
      </c>
      <c r="K16" s="61" t="e">
        <f t="shared" si="3"/>
        <v>#NAME?</v>
      </c>
      <c r="L16" s="61" t="e">
        <f t="shared" si="3"/>
        <v>#NAME?</v>
      </c>
      <c r="M16" s="61" t="e">
        <f>SUM(M17:M34)</f>
        <v>#NAME?</v>
      </c>
      <c r="N16" s="61" t="e">
        <f t="shared" si="3"/>
        <v>#NAME?</v>
      </c>
      <c r="O16" s="61" t="e">
        <f t="shared" si="3"/>
        <v>#NAME?</v>
      </c>
      <c r="P16" s="61" t="e">
        <f t="shared" si="3"/>
        <v>#NAME?</v>
      </c>
      <c r="Q16" s="61" t="e">
        <f t="shared" si="3"/>
        <v>#NAME?</v>
      </c>
      <c r="R16" s="61" t="e">
        <f>IF(F16+G16=0," ",O16/(F16+G16+M16)*100)</f>
        <v>#NAME?</v>
      </c>
      <c r="S16" s="61" t="e">
        <f t="shared" ref="S16:S79" si="4">IF(J16=0," ",Q16/J16*100)</f>
        <v>#NAME?</v>
      </c>
      <c r="T16" s="61" t="e">
        <f t="shared" ref="T16:T79" si="5">IF(N16=0,0,Q16/N16*100)</f>
        <v>#NAME?</v>
      </c>
      <c r="U16" s="61" t="e">
        <f>SUM(U17:U34)</f>
        <v>#NAME?</v>
      </c>
      <c r="V16" s="61" t="e">
        <f>SUM(V17:V34)</f>
        <v>#NAME?</v>
      </c>
      <c r="W16" s="61" t="e">
        <f>SUM(W17:W34)</f>
        <v>#NAME?</v>
      </c>
      <c r="X16" s="61" t="e">
        <f t="shared" ref="X16:AD16" si="6">SUM(X17:X34)</f>
        <v>#NAME?</v>
      </c>
      <c r="Y16" s="61" t="e">
        <f t="shared" si="6"/>
        <v>#NAME?</v>
      </c>
      <c r="Z16" s="61" t="e">
        <f t="shared" si="6"/>
        <v>#NAME?</v>
      </c>
      <c r="AA16" s="61" t="e">
        <f t="shared" si="6"/>
        <v>#NAME?</v>
      </c>
      <c r="AB16" s="61" t="e">
        <f t="shared" si="6"/>
        <v>#NAME?</v>
      </c>
      <c r="AC16" s="61" t="e">
        <f t="shared" si="6"/>
        <v>#NAME?</v>
      </c>
      <c r="AD16" s="61" t="e">
        <f t="shared" si="6"/>
        <v>#NAME?</v>
      </c>
      <c r="AE16" s="61" t="e">
        <f>SUM(AE17:AE34)</f>
        <v>#NAME?</v>
      </c>
      <c r="AF16" s="61" t="e">
        <f>SUM(AF17:AF34)</f>
        <v>#NAME?</v>
      </c>
      <c r="AG16" s="61" t="e">
        <f>SUM(AG17:AG34)</f>
        <v>#NAME?</v>
      </c>
      <c r="AH16" s="61" t="e">
        <f>SUM(AH17:AH34)</f>
        <v>#NAME?</v>
      </c>
      <c r="AI16" s="61" t="e">
        <f>SUM(AI17:AI34)</f>
        <v>#NAME?</v>
      </c>
      <c r="AJ16" s="61" t="e">
        <f>IF(X16+Y16=0," ",AG16/(X16+Y16+AE16)*100)</f>
        <v>#NAME?</v>
      </c>
      <c r="AK16" s="61" t="e">
        <f t="shared" ref="AK16:AK79" si="7">IF(AB16=0," ",AI16/AB16*100)</f>
        <v>#NAME?</v>
      </c>
      <c r="AL16" s="61" t="e">
        <f t="shared" ref="AL16:AL79" si="8">IF(AF16=0,0,AI16/AF16*100)</f>
        <v>#NAME?</v>
      </c>
      <c r="AM16" s="61" t="e">
        <f>SUM(AM17:AM34)</f>
        <v>#NAME?</v>
      </c>
      <c r="AN16" s="61" t="e">
        <f>SUM(AN17:AN34)</f>
        <v>#NAME?</v>
      </c>
      <c r="AO16" s="61" t="e">
        <f>SUM(AO17:AO34)</f>
        <v>#NAME?</v>
      </c>
      <c r="AP16" s="61" t="e">
        <f>SUM(AP17:AP34)</f>
        <v>#NAME?</v>
      </c>
      <c r="AQ16" s="61" t="e">
        <f t="shared" ref="AQ16:AV16" si="9">SUM(AQ17:AQ34)</f>
        <v>#NAME?</v>
      </c>
      <c r="AR16" s="61" t="e">
        <f t="shared" si="9"/>
        <v>#NAME?</v>
      </c>
      <c r="AS16" s="61" t="e">
        <f t="shared" si="9"/>
        <v>#NAME?</v>
      </c>
      <c r="AT16" s="61" t="e">
        <f t="shared" si="9"/>
        <v>#NAME?</v>
      </c>
      <c r="AU16" s="61" t="e">
        <f t="shared" si="9"/>
        <v>#NAME?</v>
      </c>
      <c r="AV16" s="61" t="e">
        <f t="shared" si="9"/>
        <v>#NAME?</v>
      </c>
      <c r="AW16" s="61" t="e">
        <f>SUM(AW17:AW34)</f>
        <v>#NAME?</v>
      </c>
      <c r="AX16" s="61" t="e">
        <f>SUM(AX17:AX34)</f>
        <v>#NAME?</v>
      </c>
      <c r="AY16" s="61" t="e">
        <f>SUM(AY17:AY34)</f>
        <v>#NAME?</v>
      </c>
      <c r="AZ16" s="61" t="e">
        <f>SUM(AZ17:AZ34)</f>
        <v>#NAME?</v>
      </c>
      <c r="BA16" s="61" t="e">
        <f>SUM(BA17:BA34)</f>
        <v>#NAME?</v>
      </c>
      <c r="BB16" s="61" t="e">
        <f>IF(AP16+AQ16=0," ",AY16/(AP16+AQ16+AW16)*100)</f>
        <v>#NAME?</v>
      </c>
      <c r="BC16" s="61" t="e">
        <f t="shared" ref="BC16:BC79" si="10">IF(AT16=0," ",BA16/AT16*100)</f>
        <v>#NAME?</v>
      </c>
      <c r="BD16" s="61" t="e">
        <f t="shared" ref="BD16:BD79" si="11">IF(AX16=0,0,BA16/AX16*100)</f>
        <v>#NAME?</v>
      </c>
      <c r="BE16" s="61" t="e">
        <f>SUM(BE17:BE34)</f>
        <v>#NAME?</v>
      </c>
      <c r="BF16" s="61" t="e">
        <f>SUM(BF17:BF34)</f>
        <v>#NAME?</v>
      </c>
      <c r="BG16" s="61" t="e">
        <f>SUM(BG17:BG34)</f>
        <v>#NAME?</v>
      </c>
    </row>
    <row r="17" spans="1:59" ht="15.75" x14ac:dyDescent="0.25">
      <c r="A17" s="8" t="s">
        <v>8</v>
      </c>
      <c r="B17" s="11" t="s">
        <v>9</v>
      </c>
      <c r="C17" s="63" t="s">
        <v>10</v>
      </c>
      <c r="D17" s="64"/>
      <c r="E17" s="65"/>
      <c r="F17" s="66" t="e">
        <f>X17+AP17</f>
        <v>#NAME?</v>
      </c>
      <c r="G17" s="66" t="e">
        <f>Y17+AQ17</f>
        <v>#NAME?</v>
      </c>
      <c r="H17" s="66" t="e">
        <f>I17+J17</f>
        <v>#NAME?</v>
      </c>
      <c r="I17" s="66" t="e">
        <f>AA17+AS17</f>
        <v>#NAME?</v>
      </c>
      <c r="J17" s="66" t="e">
        <f>AB17+AT17</f>
        <v>#NAME?</v>
      </c>
      <c r="K17" s="66" t="e">
        <f>AC17+AU17</f>
        <v>#NAME?</v>
      </c>
      <c r="L17" s="66" t="e">
        <f>AD17+AV17</f>
        <v>#NAME?</v>
      </c>
      <c r="M17" s="66" t="e">
        <f>AE17+AW17</f>
        <v>#NAME?</v>
      </c>
      <c r="N17" s="66" t="e">
        <f>O17+Q17</f>
        <v>#NAME?</v>
      </c>
      <c r="O17" s="66" t="e">
        <f>AG17+AY17</f>
        <v>#NAME?</v>
      </c>
      <c r="P17" s="66" t="e">
        <f>AH17+AZ17</f>
        <v>#NAME?</v>
      </c>
      <c r="Q17" s="66" t="e">
        <f>AI17+BA17</f>
        <v>#NAME?</v>
      </c>
      <c r="R17" s="67" t="e">
        <f>IF(F17+G17=0," ",O17/(F17+G17+M17)*100)</f>
        <v>#NAME?</v>
      </c>
      <c r="S17" s="67" t="e">
        <f t="shared" si="4"/>
        <v>#NAME?</v>
      </c>
      <c r="T17" s="67" t="e">
        <f t="shared" si="5"/>
        <v>#NAME?</v>
      </c>
      <c r="U17" s="67" t="e">
        <f>AM17+BE17</f>
        <v>#NAME?</v>
      </c>
      <c r="V17" s="67" t="e">
        <f>(G17+K17+L17-O17-U17)</f>
        <v>#NAME?</v>
      </c>
      <c r="W17" s="67" t="e">
        <f>(I17-O17)</f>
        <v>#NAME?</v>
      </c>
      <c r="X17" s="66" t="e">
        <f t="shared" ref="X17:X34" si="12">КОЛ4020/$G$1</f>
        <v>#NAME?</v>
      </c>
      <c r="Y17" s="66" t="e">
        <f t="shared" ref="Y17:Y34" si="13">КОЛ4005/$G$1</f>
        <v>#NAME?</v>
      </c>
      <c r="Z17" s="66" t="e">
        <f>AA17+AB17</f>
        <v>#NAME?</v>
      </c>
      <c r="AA17" s="66" t="e">
        <f t="shared" ref="AA17:AA34" si="14">КОЛ4007/$G$1</f>
        <v>#NAME?</v>
      </c>
      <c r="AB17" s="66" t="e">
        <f t="shared" ref="AB17:AB34" si="15">КОЛ4008/$G$1</f>
        <v>#NAME?</v>
      </c>
      <c r="AC17" s="66" t="e">
        <f t="shared" ref="AC17:AC34" si="16">КОЛ4009/$G$1</f>
        <v>#NAME?</v>
      </c>
      <c r="AD17" s="66" t="e">
        <f t="shared" ref="AD17:AD34" si="17">КОЛ4010/$G$1</f>
        <v>#NAME?</v>
      </c>
      <c r="AE17" s="66" t="e">
        <f t="shared" ref="AE17:AE34" si="18">КОЛ4011/$G$1</f>
        <v>#NAME?</v>
      </c>
      <c r="AF17" s="66" t="e">
        <f>AG17+AI17</f>
        <v>#NAME?</v>
      </c>
      <c r="AG17" s="66" t="e">
        <f t="shared" ref="AG17:AG34" si="19">КОЛ4013/$G$1</f>
        <v>#NAME?</v>
      </c>
      <c r="AH17" s="66" t="e">
        <f t="shared" ref="AH17:AH34" si="20">КОЛ4014/$G$1</f>
        <v>#NAME?</v>
      </c>
      <c r="AI17" s="66" t="e">
        <f t="shared" ref="AI17:AI34" si="21">КОЛ4015/$G$1</f>
        <v>#NAME?</v>
      </c>
      <c r="AJ17" s="67" t="e">
        <f>IF(X17+Y17=0," ",AG17/(X17+Y17+AE17)*100)</f>
        <v>#NAME?</v>
      </c>
      <c r="AK17" s="67" t="e">
        <f t="shared" si="7"/>
        <v>#NAME?</v>
      </c>
      <c r="AL17" s="67" t="e">
        <f t="shared" si="8"/>
        <v>#NAME?</v>
      </c>
      <c r="AM17" s="67" t="e">
        <f t="shared" ref="AM17:AM34" si="22">КОЛ4017/$G$1</f>
        <v>#NAME?</v>
      </c>
      <c r="AN17" s="67" t="e">
        <f>(Y17+AC17+AD17-AG17-AM17)</f>
        <v>#NAME?</v>
      </c>
      <c r="AO17" s="67" t="e">
        <f>(AA17-AG17)</f>
        <v>#NAME?</v>
      </c>
      <c r="AP17" s="66" t="e">
        <f t="shared" ref="AP17:AP34" si="23">КОЛ4120/$G$1</f>
        <v>#NAME?</v>
      </c>
      <c r="AQ17" s="66" t="e">
        <f t="shared" ref="AQ17:AQ34" si="24">КОЛ4105/$G$1</f>
        <v>#NAME?</v>
      </c>
      <c r="AR17" s="66" t="e">
        <f>AS17+AT17</f>
        <v>#NAME?</v>
      </c>
      <c r="AS17" s="66" t="e">
        <f t="shared" ref="AS17:AS34" si="25">КОЛ4107/$G$1</f>
        <v>#NAME?</v>
      </c>
      <c r="AT17" s="66" t="e">
        <f t="shared" ref="AT17:AT34" si="26">КОЛ4108/$G$1</f>
        <v>#NAME?</v>
      </c>
      <c r="AU17" s="66" t="e">
        <f t="shared" ref="AU17:AU34" si="27">КОЛ4109/$G$1</f>
        <v>#NAME?</v>
      </c>
      <c r="AV17" s="66" t="e">
        <f t="shared" ref="AV17:AV34" si="28">КОЛ4110/$G$1</f>
        <v>#NAME?</v>
      </c>
      <c r="AW17" s="66" t="e">
        <f t="shared" ref="AW17:AW34" si="29">КОЛ4111/$G$1</f>
        <v>#NAME?</v>
      </c>
      <c r="AX17" s="66" t="e">
        <f>AY17+BA17</f>
        <v>#NAME?</v>
      </c>
      <c r="AY17" s="66" t="e">
        <f t="shared" ref="AY17:AY34" si="30">КОЛ4113/$G$1</f>
        <v>#NAME?</v>
      </c>
      <c r="AZ17" s="66" t="e">
        <f t="shared" ref="AZ17:AZ34" si="31">КОЛ4114/$G$1</f>
        <v>#NAME?</v>
      </c>
      <c r="BA17" s="66" t="e">
        <f t="shared" ref="BA17:BA34" si="32">КОЛ4115/$G$1</f>
        <v>#NAME?</v>
      </c>
      <c r="BB17" s="67" t="e">
        <f>IF(AP17+AQ17=0," ",AY17/(AP17+AQ17+AW17)*100)</f>
        <v>#NAME?</v>
      </c>
      <c r="BC17" s="67" t="e">
        <f t="shared" si="10"/>
        <v>#NAME?</v>
      </c>
      <c r="BD17" s="67" t="e">
        <f t="shared" si="11"/>
        <v>#NAME?</v>
      </c>
      <c r="BE17" s="67" t="e">
        <f t="shared" ref="BE17:BE34" si="33">КОЛ4117/$G$1</f>
        <v>#NAME?</v>
      </c>
      <c r="BF17" s="67" t="e">
        <f>(AQ17+AU17+AV17-AY17-BE17)</f>
        <v>#NAME?</v>
      </c>
      <c r="BG17" s="67" t="e">
        <f>(AS17-AY17)</f>
        <v>#NAME?</v>
      </c>
    </row>
    <row r="18" spans="1:59" ht="15.75" x14ac:dyDescent="0.25">
      <c r="A18" s="8" t="s">
        <v>11</v>
      </c>
      <c r="B18" s="11" t="s">
        <v>12</v>
      </c>
      <c r="C18" s="63" t="s">
        <v>13</v>
      </c>
      <c r="D18" s="64"/>
      <c r="E18" s="65"/>
      <c r="F18" s="66" t="e">
        <f t="shared" ref="F18:F34" si="34">X18+AP18</f>
        <v>#NAME?</v>
      </c>
      <c r="G18" s="66" t="e">
        <f t="shared" ref="G18:G34" si="35">Y18+AQ18</f>
        <v>#NAME?</v>
      </c>
      <c r="H18" s="66" t="e">
        <f t="shared" ref="H18:H34" si="36">I18+J18</f>
        <v>#NAME?</v>
      </c>
      <c r="I18" s="66" t="e">
        <f t="shared" ref="I18:I34" si="37">AA18+AS18</f>
        <v>#NAME?</v>
      </c>
      <c r="J18" s="66" t="e">
        <f t="shared" ref="J18:J34" si="38">AB18+AT18</f>
        <v>#NAME?</v>
      </c>
      <c r="K18" s="66" t="e">
        <f t="shared" ref="K18:K34" si="39">AC18+AU18</f>
        <v>#NAME?</v>
      </c>
      <c r="L18" s="66" t="e">
        <f t="shared" ref="L18:L34" si="40">AD18+AV18</f>
        <v>#NAME?</v>
      </c>
      <c r="M18" s="66" t="e">
        <f t="shared" ref="M18:M34" si="41">AE18+AW18</f>
        <v>#NAME?</v>
      </c>
      <c r="N18" s="66" t="e">
        <f t="shared" ref="N18:N34" si="42">O18+Q18</f>
        <v>#NAME?</v>
      </c>
      <c r="O18" s="66" t="e">
        <f t="shared" ref="O18:O34" si="43">AG18+AY18</f>
        <v>#NAME?</v>
      </c>
      <c r="P18" s="66" t="e">
        <f t="shared" ref="P18:P34" si="44">AH18+AZ18</f>
        <v>#NAME?</v>
      </c>
      <c r="Q18" s="66" t="e">
        <f t="shared" ref="Q18:Q34" si="45">AI18+BA18</f>
        <v>#NAME?</v>
      </c>
      <c r="R18" s="67" t="e">
        <f t="shared" ref="R18:R81" si="46">IF(F18+G18=0," ",O18/(F18+G18+M18)*100)</f>
        <v>#NAME?</v>
      </c>
      <c r="S18" s="67" t="e">
        <f t="shared" si="4"/>
        <v>#NAME?</v>
      </c>
      <c r="T18" s="67" t="e">
        <f t="shared" si="5"/>
        <v>#NAME?</v>
      </c>
      <c r="U18" s="67" t="e">
        <f t="shared" ref="U18:U34" si="47">AM18+BE18</f>
        <v>#NAME?</v>
      </c>
      <c r="V18" s="67" t="e">
        <f t="shared" ref="V18:V34" si="48">(G18+K18+L18-O18-U18)</f>
        <v>#NAME?</v>
      </c>
      <c r="W18" s="67" t="e">
        <f t="shared" ref="W18:W34" si="49">(I18-O18)</f>
        <v>#NAME?</v>
      </c>
      <c r="X18" s="66" t="e">
        <f t="shared" si="12"/>
        <v>#NAME?</v>
      </c>
      <c r="Y18" s="66" t="e">
        <f t="shared" si="13"/>
        <v>#NAME?</v>
      </c>
      <c r="Z18" s="66" t="e">
        <f t="shared" ref="Z18:Z34" si="50">AA18+AB18</f>
        <v>#NAME?</v>
      </c>
      <c r="AA18" s="66" t="e">
        <f t="shared" si="14"/>
        <v>#NAME?</v>
      </c>
      <c r="AB18" s="66" t="e">
        <f t="shared" si="15"/>
        <v>#NAME?</v>
      </c>
      <c r="AC18" s="66" t="e">
        <f t="shared" si="16"/>
        <v>#NAME?</v>
      </c>
      <c r="AD18" s="66" t="e">
        <f t="shared" si="17"/>
        <v>#NAME?</v>
      </c>
      <c r="AE18" s="66" t="e">
        <f t="shared" si="18"/>
        <v>#NAME?</v>
      </c>
      <c r="AF18" s="66" t="e">
        <f t="shared" ref="AF18:AF34" si="51">AG18+AI18</f>
        <v>#NAME?</v>
      </c>
      <c r="AG18" s="66" t="e">
        <f t="shared" si="19"/>
        <v>#NAME?</v>
      </c>
      <c r="AH18" s="66" t="e">
        <f t="shared" si="20"/>
        <v>#NAME?</v>
      </c>
      <c r="AI18" s="66" t="e">
        <f t="shared" si="21"/>
        <v>#NAME?</v>
      </c>
      <c r="AJ18" s="67" t="e">
        <f t="shared" ref="AJ18:AJ81" si="52">IF(X18+Y18=0," ",AG18/(X18+Y18+AE18)*100)</f>
        <v>#NAME?</v>
      </c>
      <c r="AK18" s="67" t="e">
        <f t="shared" si="7"/>
        <v>#NAME?</v>
      </c>
      <c r="AL18" s="67" t="e">
        <f t="shared" si="8"/>
        <v>#NAME?</v>
      </c>
      <c r="AM18" s="67" t="e">
        <f t="shared" si="22"/>
        <v>#NAME?</v>
      </c>
      <c r="AN18" s="67" t="e">
        <f t="shared" ref="AN18:AN34" si="53">(Y18+AC18+AD18-AG18-AM18)</f>
        <v>#NAME?</v>
      </c>
      <c r="AO18" s="67" t="e">
        <f t="shared" ref="AO18:AO34" si="54">(AA18-AG18)</f>
        <v>#NAME?</v>
      </c>
      <c r="AP18" s="66" t="e">
        <f t="shared" si="23"/>
        <v>#NAME?</v>
      </c>
      <c r="AQ18" s="66" t="e">
        <f t="shared" si="24"/>
        <v>#NAME?</v>
      </c>
      <c r="AR18" s="66" t="e">
        <f t="shared" ref="AR18:AR34" si="55">AS18+AT18</f>
        <v>#NAME?</v>
      </c>
      <c r="AS18" s="66" t="e">
        <f t="shared" si="25"/>
        <v>#NAME?</v>
      </c>
      <c r="AT18" s="66" t="e">
        <f t="shared" si="26"/>
        <v>#NAME?</v>
      </c>
      <c r="AU18" s="66" t="e">
        <f t="shared" si="27"/>
        <v>#NAME?</v>
      </c>
      <c r="AV18" s="66" t="e">
        <f t="shared" si="28"/>
        <v>#NAME?</v>
      </c>
      <c r="AW18" s="66" t="e">
        <f t="shared" si="29"/>
        <v>#NAME?</v>
      </c>
      <c r="AX18" s="66" t="e">
        <f t="shared" ref="AX18:AX34" si="56">AY18+BA18</f>
        <v>#NAME?</v>
      </c>
      <c r="AY18" s="66" t="e">
        <f t="shared" si="30"/>
        <v>#NAME?</v>
      </c>
      <c r="AZ18" s="66" t="e">
        <f t="shared" si="31"/>
        <v>#NAME?</v>
      </c>
      <c r="BA18" s="66" t="e">
        <f t="shared" si="32"/>
        <v>#NAME?</v>
      </c>
      <c r="BB18" s="67" t="e">
        <f t="shared" ref="BB18:BB81" si="57">IF(AP18+AQ18=0," ",AY18/(AP18+AQ18+AW18)*100)</f>
        <v>#NAME?</v>
      </c>
      <c r="BC18" s="67" t="e">
        <f t="shared" si="10"/>
        <v>#NAME?</v>
      </c>
      <c r="BD18" s="67" t="e">
        <f t="shared" si="11"/>
        <v>#NAME?</v>
      </c>
      <c r="BE18" s="67" t="e">
        <f t="shared" si="33"/>
        <v>#NAME?</v>
      </c>
      <c r="BF18" s="67" t="e">
        <f t="shared" ref="BF18:BF34" si="58">(AQ18+AU18+AV18-AY18-BE18)</f>
        <v>#NAME?</v>
      </c>
      <c r="BG18" s="67" t="e">
        <f t="shared" ref="BG18:BG34" si="59">(AS18-AY18)</f>
        <v>#NAME?</v>
      </c>
    </row>
    <row r="19" spans="1:59" ht="15.75" x14ac:dyDescent="0.25">
      <c r="A19" s="8" t="s">
        <v>14</v>
      </c>
      <c r="B19" s="11" t="s">
        <v>15</v>
      </c>
      <c r="C19" s="63" t="s">
        <v>16</v>
      </c>
      <c r="D19" s="64"/>
      <c r="E19" s="65"/>
      <c r="F19" s="66" t="e">
        <f t="shared" si="34"/>
        <v>#NAME?</v>
      </c>
      <c r="G19" s="66" t="e">
        <f t="shared" si="35"/>
        <v>#NAME?</v>
      </c>
      <c r="H19" s="66" t="e">
        <f t="shared" si="36"/>
        <v>#NAME?</v>
      </c>
      <c r="I19" s="66" t="e">
        <f t="shared" si="37"/>
        <v>#NAME?</v>
      </c>
      <c r="J19" s="66" t="e">
        <f t="shared" si="38"/>
        <v>#NAME?</v>
      </c>
      <c r="K19" s="66" t="e">
        <f t="shared" si="39"/>
        <v>#NAME?</v>
      </c>
      <c r="L19" s="66" t="e">
        <f t="shared" si="40"/>
        <v>#NAME?</v>
      </c>
      <c r="M19" s="66" t="e">
        <f t="shared" si="41"/>
        <v>#NAME?</v>
      </c>
      <c r="N19" s="66" t="e">
        <f t="shared" si="42"/>
        <v>#NAME?</v>
      </c>
      <c r="O19" s="66" t="e">
        <f t="shared" si="43"/>
        <v>#NAME?</v>
      </c>
      <c r="P19" s="66" t="e">
        <f t="shared" si="44"/>
        <v>#NAME?</v>
      </c>
      <c r="Q19" s="66" t="e">
        <f t="shared" si="45"/>
        <v>#NAME?</v>
      </c>
      <c r="R19" s="67" t="e">
        <f t="shared" si="46"/>
        <v>#NAME?</v>
      </c>
      <c r="S19" s="67" t="e">
        <f t="shared" si="4"/>
        <v>#NAME?</v>
      </c>
      <c r="T19" s="67" t="e">
        <f t="shared" si="5"/>
        <v>#NAME?</v>
      </c>
      <c r="U19" s="67" t="e">
        <f t="shared" si="47"/>
        <v>#NAME?</v>
      </c>
      <c r="V19" s="67" t="e">
        <f t="shared" si="48"/>
        <v>#NAME?</v>
      </c>
      <c r="W19" s="67" t="e">
        <f t="shared" si="49"/>
        <v>#NAME?</v>
      </c>
      <c r="X19" s="66" t="e">
        <f t="shared" si="12"/>
        <v>#NAME?</v>
      </c>
      <c r="Y19" s="66" t="e">
        <f t="shared" si="13"/>
        <v>#NAME?</v>
      </c>
      <c r="Z19" s="66" t="e">
        <f t="shared" si="50"/>
        <v>#NAME?</v>
      </c>
      <c r="AA19" s="66" t="e">
        <f t="shared" si="14"/>
        <v>#NAME?</v>
      </c>
      <c r="AB19" s="66" t="e">
        <f t="shared" si="15"/>
        <v>#NAME?</v>
      </c>
      <c r="AC19" s="66" t="e">
        <f t="shared" si="16"/>
        <v>#NAME?</v>
      </c>
      <c r="AD19" s="66" t="e">
        <f t="shared" si="17"/>
        <v>#NAME?</v>
      </c>
      <c r="AE19" s="66" t="e">
        <f t="shared" si="18"/>
        <v>#NAME?</v>
      </c>
      <c r="AF19" s="66" t="e">
        <f t="shared" si="51"/>
        <v>#NAME?</v>
      </c>
      <c r="AG19" s="66" t="e">
        <f t="shared" si="19"/>
        <v>#NAME?</v>
      </c>
      <c r="AH19" s="66" t="e">
        <f t="shared" si="20"/>
        <v>#NAME?</v>
      </c>
      <c r="AI19" s="66" t="e">
        <f t="shared" si="21"/>
        <v>#NAME?</v>
      </c>
      <c r="AJ19" s="67" t="e">
        <f t="shared" si="52"/>
        <v>#NAME?</v>
      </c>
      <c r="AK19" s="67" t="e">
        <f t="shared" si="7"/>
        <v>#NAME?</v>
      </c>
      <c r="AL19" s="67" t="e">
        <f t="shared" si="8"/>
        <v>#NAME?</v>
      </c>
      <c r="AM19" s="67" t="e">
        <f t="shared" si="22"/>
        <v>#NAME?</v>
      </c>
      <c r="AN19" s="67" t="e">
        <f t="shared" si="53"/>
        <v>#NAME?</v>
      </c>
      <c r="AO19" s="67" t="e">
        <f t="shared" si="54"/>
        <v>#NAME?</v>
      </c>
      <c r="AP19" s="66" t="e">
        <f t="shared" si="23"/>
        <v>#NAME?</v>
      </c>
      <c r="AQ19" s="66" t="e">
        <f t="shared" si="24"/>
        <v>#NAME?</v>
      </c>
      <c r="AR19" s="66" t="e">
        <f t="shared" si="55"/>
        <v>#NAME?</v>
      </c>
      <c r="AS19" s="66" t="e">
        <f t="shared" si="25"/>
        <v>#NAME?</v>
      </c>
      <c r="AT19" s="66" t="e">
        <f t="shared" si="26"/>
        <v>#NAME?</v>
      </c>
      <c r="AU19" s="66" t="e">
        <f t="shared" si="27"/>
        <v>#NAME?</v>
      </c>
      <c r="AV19" s="66" t="e">
        <f t="shared" si="28"/>
        <v>#NAME?</v>
      </c>
      <c r="AW19" s="66" t="e">
        <f t="shared" si="29"/>
        <v>#NAME?</v>
      </c>
      <c r="AX19" s="66" t="e">
        <f t="shared" si="56"/>
        <v>#NAME?</v>
      </c>
      <c r="AY19" s="66" t="e">
        <f t="shared" si="30"/>
        <v>#NAME?</v>
      </c>
      <c r="AZ19" s="66" t="e">
        <f t="shared" si="31"/>
        <v>#NAME?</v>
      </c>
      <c r="BA19" s="66" t="e">
        <f t="shared" si="32"/>
        <v>#NAME?</v>
      </c>
      <c r="BB19" s="67" t="e">
        <f t="shared" si="57"/>
        <v>#NAME?</v>
      </c>
      <c r="BC19" s="67" t="e">
        <f t="shared" si="10"/>
        <v>#NAME?</v>
      </c>
      <c r="BD19" s="67" t="e">
        <f t="shared" si="11"/>
        <v>#NAME?</v>
      </c>
      <c r="BE19" s="67" t="e">
        <f t="shared" si="33"/>
        <v>#NAME?</v>
      </c>
      <c r="BF19" s="67" t="e">
        <f t="shared" si="58"/>
        <v>#NAME?</v>
      </c>
      <c r="BG19" s="67" t="e">
        <f t="shared" si="59"/>
        <v>#NAME?</v>
      </c>
    </row>
    <row r="20" spans="1:59" ht="15.75" x14ac:dyDescent="0.25">
      <c r="A20" s="8" t="s">
        <v>17</v>
      </c>
      <c r="B20" s="11" t="s">
        <v>18</v>
      </c>
      <c r="C20" s="63" t="s">
        <v>19</v>
      </c>
      <c r="D20" s="64"/>
      <c r="E20" s="65"/>
      <c r="F20" s="66" t="e">
        <f t="shared" si="34"/>
        <v>#NAME?</v>
      </c>
      <c r="G20" s="66" t="e">
        <f t="shared" si="35"/>
        <v>#NAME?</v>
      </c>
      <c r="H20" s="66" t="e">
        <f t="shared" si="36"/>
        <v>#NAME?</v>
      </c>
      <c r="I20" s="66" t="e">
        <f t="shared" si="37"/>
        <v>#NAME?</v>
      </c>
      <c r="J20" s="66" t="e">
        <f t="shared" si="38"/>
        <v>#NAME?</v>
      </c>
      <c r="K20" s="66" t="e">
        <f t="shared" si="39"/>
        <v>#NAME?</v>
      </c>
      <c r="L20" s="66" t="e">
        <f t="shared" si="40"/>
        <v>#NAME?</v>
      </c>
      <c r="M20" s="66" t="e">
        <f t="shared" si="41"/>
        <v>#NAME?</v>
      </c>
      <c r="N20" s="66" t="e">
        <f t="shared" si="42"/>
        <v>#NAME?</v>
      </c>
      <c r="O20" s="66" t="e">
        <f t="shared" si="43"/>
        <v>#NAME?</v>
      </c>
      <c r="P20" s="66" t="e">
        <f t="shared" si="44"/>
        <v>#NAME?</v>
      </c>
      <c r="Q20" s="66" t="e">
        <f t="shared" si="45"/>
        <v>#NAME?</v>
      </c>
      <c r="R20" s="67" t="e">
        <f t="shared" si="46"/>
        <v>#NAME?</v>
      </c>
      <c r="S20" s="67" t="e">
        <f t="shared" si="4"/>
        <v>#NAME?</v>
      </c>
      <c r="T20" s="67" t="e">
        <f t="shared" si="5"/>
        <v>#NAME?</v>
      </c>
      <c r="U20" s="67" t="e">
        <f t="shared" si="47"/>
        <v>#NAME?</v>
      </c>
      <c r="V20" s="67" t="e">
        <f t="shared" si="48"/>
        <v>#NAME?</v>
      </c>
      <c r="W20" s="67" t="e">
        <f t="shared" si="49"/>
        <v>#NAME?</v>
      </c>
      <c r="X20" s="66" t="e">
        <f t="shared" si="12"/>
        <v>#NAME?</v>
      </c>
      <c r="Y20" s="66" t="e">
        <f t="shared" si="13"/>
        <v>#NAME?</v>
      </c>
      <c r="Z20" s="66" t="e">
        <f t="shared" si="50"/>
        <v>#NAME?</v>
      </c>
      <c r="AA20" s="66" t="e">
        <f t="shared" si="14"/>
        <v>#NAME?</v>
      </c>
      <c r="AB20" s="66" t="e">
        <f t="shared" si="15"/>
        <v>#NAME?</v>
      </c>
      <c r="AC20" s="66" t="e">
        <f t="shared" si="16"/>
        <v>#NAME?</v>
      </c>
      <c r="AD20" s="66" t="e">
        <f t="shared" si="17"/>
        <v>#NAME?</v>
      </c>
      <c r="AE20" s="66" t="e">
        <f t="shared" si="18"/>
        <v>#NAME?</v>
      </c>
      <c r="AF20" s="66" t="e">
        <f t="shared" si="51"/>
        <v>#NAME?</v>
      </c>
      <c r="AG20" s="66" t="e">
        <f t="shared" si="19"/>
        <v>#NAME?</v>
      </c>
      <c r="AH20" s="66" t="e">
        <f t="shared" si="20"/>
        <v>#NAME?</v>
      </c>
      <c r="AI20" s="66" t="e">
        <f t="shared" si="21"/>
        <v>#NAME?</v>
      </c>
      <c r="AJ20" s="67" t="e">
        <f t="shared" si="52"/>
        <v>#NAME?</v>
      </c>
      <c r="AK20" s="67" t="e">
        <f t="shared" si="7"/>
        <v>#NAME?</v>
      </c>
      <c r="AL20" s="67" t="e">
        <f t="shared" si="8"/>
        <v>#NAME?</v>
      </c>
      <c r="AM20" s="67" t="e">
        <f t="shared" si="22"/>
        <v>#NAME?</v>
      </c>
      <c r="AN20" s="67" t="e">
        <f t="shared" si="53"/>
        <v>#NAME?</v>
      </c>
      <c r="AO20" s="67" t="e">
        <f t="shared" si="54"/>
        <v>#NAME?</v>
      </c>
      <c r="AP20" s="66" t="e">
        <f t="shared" si="23"/>
        <v>#NAME?</v>
      </c>
      <c r="AQ20" s="66" t="e">
        <f t="shared" si="24"/>
        <v>#NAME?</v>
      </c>
      <c r="AR20" s="66" t="e">
        <f t="shared" si="55"/>
        <v>#NAME?</v>
      </c>
      <c r="AS20" s="66" t="e">
        <f t="shared" si="25"/>
        <v>#NAME?</v>
      </c>
      <c r="AT20" s="66" t="e">
        <f t="shared" si="26"/>
        <v>#NAME?</v>
      </c>
      <c r="AU20" s="66" t="e">
        <f t="shared" si="27"/>
        <v>#NAME?</v>
      </c>
      <c r="AV20" s="66" t="e">
        <f t="shared" si="28"/>
        <v>#NAME?</v>
      </c>
      <c r="AW20" s="66" t="e">
        <f t="shared" si="29"/>
        <v>#NAME?</v>
      </c>
      <c r="AX20" s="66" t="e">
        <f t="shared" si="56"/>
        <v>#NAME?</v>
      </c>
      <c r="AY20" s="66" t="e">
        <f t="shared" si="30"/>
        <v>#NAME?</v>
      </c>
      <c r="AZ20" s="66" t="e">
        <f t="shared" si="31"/>
        <v>#NAME?</v>
      </c>
      <c r="BA20" s="66" t="e">
        <f t="shared" si="32"/>
        <v>#NAME?</v>
      </c>
      <c r="BB20" s="67" t="e">
        <f t="shared" si="57"/>
        <v>#NAME?</v>
      </c>
      <c r="BC20" s="67" t="e">
        <f t="shared" si="10"/>
        <v>#NAME?</v>
      </c>
      <c r="BD20" s="67" t="e">
        <f t="shared" si="11"/>
        <v>#NAME?</v>
      </c>
      <c r="BE20" s="67" t="e">
        <f t="shared" si="33"/>
        <v>#NAME?</v>
      </c>
      <c r="BF20" s="67" t="e">
        <f t="shared" si="58"/>
        <v>#NAME?</v>
      </c>
      <c r="BG20" s="67" t="e">
        <f t="shared" si="59"/>
        <v>#NAME?</v>
      </c>
    </row>
    <row r="21" spans="1:59" ht="15.75" x14ac:dyDescent="0.25">
      <c r="A21" s="8" t="s">
        <v>20</v>
      </c>
      <c r="B21" s="11" t="s">
        <v>21</v>
      </c>
      <c r="C21" s="63" t="s">
        <v>22</v>
      </c>
      <c r="D21" s="64"/>
      <c r="E21" s="65"/>
      <c r="F21" s="66" t="e">
        <f t="shared" si="34"/>
        <v>#NAME?</v>
      </c>
      <c r="G21" s="66" t="e">
        <f t="shared" si="35"/>
        <v>#NAME?</v>
      </c>
      <c r="H21" s="66" t="e">
        <f t="shared" si="36"/>
        <v>#NAME?</v>
      </c>
      <c r="I21" s="66" t="e">
        <f t="shared" si="37"/>
        <v>#NAME?</v>
      </c>
      <c r="J21" s="66" t="e">
        <f t="shared" si="38"/>
        <v>#NAME?</v>
      </c>
      <c r="K21" s="66" t="e">
        <f t="shared" si="39"/>
        <v>#NAME?</v>
      </c>
      <c r="L21" s="66" t="e">
        <f t="shared" si="40"/>
        <v>#NAME?</v>
      </c>
      <c r="M21" s="66" t="e">
        <f t="shared" si="41"/>
        <v>#NAME?</v>
      </c>
      <c r="N21" s="66" t="e">
        <f t="shared" si="42"/>
        <v>#NAME?</v>
      </c>
      <c r="O21" s="66" t="e">
        <f t="shared" si="43"/>
        <v>#NAME?</v>
      </c>
      <c r="P21" s="66" t="e">
        <f t="shared" si="44"/>
        <v>#NAME?</v>
      </c>
      <c r="Q21" s="66" t="e">
        <f t="shared" si="45"/>
        <v>#NAME?</v>
      </c>
      <c r="R21" s="67" t="e">
        <f t="shared" si="46"/>
        <v>#NAME?</v>
      </c>
      <c r="S21" s="67" t="e">
        <f t="shared" si="4"/>
        <v>#NAME?</v>
      </c>
      <c r="T21" s="67" t="e">
        <f t="shared" si="5"/>
        <v>#NAME?</v>
      </c>
      <c r="U21" s="67" t="e">
        <f t="shared" si="47"/>
        <v>#NAME?</v>
      </c>
      <c r="V21" s="67" t="e">
        <f t="shared" si="48"/>
        <v>#NAME?</v>
      </c>
      <c r="W21" s="67" t="e">
        <f t="shared" si="49"/>
        <v>#NAME?</v>
      </c>
      <c r="X21" s="66" t="e">
        <f t="shared" si="12"/>
        <v>#NAME?</v>
      </c>
      <c r="Y21" s="66" t="e">
        <f t="shared" si="13"/>
        <v>#NAME?</v>
      </c>
      <c r="Z21" s="66" t="e">
        <f t="shared" si="50"/>
        <v>#NAME?</v>
      </c>
      <c r="AA21" s="66" t="e">
        <f t="shared" si="14"/>
        <v>#NAME?</v>
      </c>
      <c r="AB21" s="66" t="e">
        <f t="shared" si="15"/>
        <v>#NAME?</v>
      </c>
      <c r="AC21" s="66" t="e">
        <f t="shared" si="16"/>
        <v>#NAME?</v>
      </c>
      <c r="AD21" s="66" t="e">
        <f t="shared" si="17"/>
        <v>#NAME?</v>
      </c>
      <c r="AE21" s="66" t="e">
        <f t="shared" si="18"/>
        <v>#NAME?</v>
      </c>
      <c r="AF21" s="66" t="e">
        <f t="shared" si="51"/>
        <v>#NAME?</v>
      </c>
      <c r="AG21" s="66" t="e">
        <f t="shared" si="19"/>
        <v>#NAME?</v>
      </c>
      <c r="AH21" s="66" t="e">
        <f t="shared" si="20"/>
        <v>#NAME?</v>
      </c>
      <c r="AI21" s="66" t="e">
        <f t="shared" si="21"/>
        <v>#NAME?</v>
      </c>
      <c r="AJ21" s="67" t="e">
        <f t="shared" si="52"/>
        <v>#NAME?</v>
      </c>
      <c r="AK21" s="67" t="e">
        <f t="shared" si="7"/>
        <v>#NAME?</v>
      </c>
      <c r="AL21" s="67" t="e">
        <f t="shared" si="8"/>
        <v>#NAME?</v>
      </c>
      <c r="AM21" s="67" t="e">
        <f t="shared" si="22"/>
        <v>#NAME?</v>
      </c>
      <c r="AN21" s="67" t="e">
        <f t="shared" si="53"/>
        <v>#NAME?</v>
      </c>
      <c r="AO21" s="67" t="e">
        <f t="shared" si="54"/>
        <v>#NAME?</v>
      </c>
      <c r="AP21" s="66" t="e">
        <f t="shared" si="23"/>
        <v>#NAME?</v>
      </c>
      <c r="AQ21" s="66" t="e">
        <f t="shared" si="24"/>
        <v>#NAME?</v>
      </c>
      <c r="AR21" s="66" t="e">
        <f t="shared" si="55"/>
        <v>#NAME?</v>
      </c>
      <c r="AS21" s="66" t="e">
        <f t="shared" si="25"/>
        <v>#NAME?</v>
      </c>
      <c r="AT21" s="66" t="e">
        <f t="shared" si="26"/>
        <v>#NAME?</v>
      </c>
      <c r="AU21" s="66" t="e">
        <f t="shared" si="27"/>
        <v>#NAME?</v>
      </c>
      <c r="AV21" s="66" t="e">
        <f t="shared" si="28"/>
        <v>#NAME?</v>
      </c>
      <c r="AW21" s="66" t="e">
        <f t="shared" si="29"/>
        <v>#NAME?</v>
      </c>
      <c r="AX21" s="66" t="e">
        <f t="shared" si="56"/>
        <v>#NAME?</v>
      </c>
      <c r="AY21" s="66" t="e">
        <f t="shared" si="30"/>
        <v>#NAME?</v>
      </c>
      <c r="AZ21" s="66" t="e">
        <f t="shared" si="31"/>
        <v>#NAME?</v>
      </c>
      <c r="BA21" s="66" t="e">
        <f t="shared" si="32"/>
        <v>#NAME?</v>
      </c>
      <c r="BB21" s="67" t="e">
        <f t="shared" si="57"/>
        <v>#NAME?</v>
      </c>
      <c r="BC21" s="67" t="e">
        <f t="shared" si="10"/>
        <v>#NAME?</v>
      </c>
      <c r="BD21" s="67" t="e">
        <f t="shared" si="11"/>
        <v>#NAME?</v>
      </c>
      <c r="BE21" s="67" t="e">
        <f t="shared" si="33"/>
        <v>#NAME?</v>
      </c>
      <c r="BF21" s="67" t="e">
        <f t="shared" si="58"/>
        <v>#NAME?</v>
      </c>
      <c r="BG21" s="67" t="e">
        <f t="shared" si="59"/>
        <v>#NAME?</v>
      </c>
    </row>
    <row r="22" spans="1:59" ht="15.75" x14ac:dyDescent="0.25">
      <c r="A22" s="8" t="s">
        <v>23</v>
      </c>
      <c r="B22" s="11" t="s">
        <v>24</v>
      </c>
      <c r="C22" s="63" t="s">
        <v>25</v>
      </c>
      <c r="D22" s="64"/>
      <c r="E22" s="65"/>
      <c r="F22" s="66" t="e">
        <f t="shared" si="34"/>
        <v>#NAME?</v>
      </c>
      <c r="G22" s="66" t="e">
        <f t="shared" si="35"/>
        <v>#NAME?</v>
      </c>
      <c r="H22" s="66" t="e">
        <f t="shared" si="36"/>
        <v>#NAME?</v>
      </c>
      <c r="I22" s="66" t="e">
        <f t="shared" si="37"/>
        <v>#NAME?</v>
      </c>
      <c r="J22" s="66" t="e">
        <f t="shared" si="38"/>
        <v>#NAME?</v>
      </c>
      <c r="K22" s="66" t="e">
        <f t="shared" si="39"/>
        <v>#NAME?</v>
      </c>
      <c r="L22" s="66" t="e">
        <f t="shared" si="40"/>
        <v>#NAME?</v>
      </c>
      <c r="M22" s="66" t="e">
        <f t="shared" si="41"/>
        <v>#NAME?</v>
      </c>
      <c r="N22" s="66" t="e">
        <f t="shared" si="42"/>
        <v>#NAME?</v>
      </c>
      <c r="O22" s="66" t="e">
        <f t="shared" si="43"/>
        <v>#NAME?</v>
      </c>
      <c r="P22" s="66" t="e">
        <f t="shared" si="44"/>
        <v>#NAME?</v>
      </c>
      <c r="Q22" s="66" t="e">
        <f t="shared" si="45"/>
        <v>#NAME?</v>
      </c>
      <c r="R22" s="67" t="e">
        <f t="shared" si="46"/>
        <v>#NAME?</v>
      </c>
      <c r="S22" s="67" t="e">
        <f t="shared" si="4"/>
        <v>#NAME?</v>
      </c>
      <c r="T22" s="67" t="e">
        <f t="shared" si="5"/>
        <v>#NAME?</v>
      </c>
      <c r="U22" s="67" t="e">
        <f t="shared" si="47"/>
        <v>#NAME?</v>
      </c>
      <c r="V22" s="67" t="e">
        <f t="shared" si="48"/>
        <v>#NAME?</v>
      </c>
      <c r="W22" s="67" t="e">
        <f t="shared" si="49"/>
        <v>#NAME?</v>
      </c>
      <c r="X22" s="66" t="e">
        <f t="shared" si="12"/>
        <v>#NAME?</v>
      </c>
      <c r="Y22" s="66" t="e">
        <f t="shared" si="13"/>
        <v>#NAME?</v>
      </c>
      <c r="Z22" s="66" t="e">
        <f t="shared" si="50"/>
        <v>#NAME?</v>
      </c>
      <c r="AA22" s="66" t="e">
        <f t="shared" si="14"/>
        <v>#NAME?</v>
      </c>
      <c r="AB22" s="66" t="e">
        <f t="shared" si="15"/>
        <v>#NAME?</v>
      </c>
      <c r="AC22" s="66" t="e">
        <f t="shared" si="16"/>
        <v>#NAME?</v>
      </c>
      <c r="AD22" s="66" t="e">
        <f t="shared" si="17"/>
        <v>#NAME?</v>
      </c>
      <c r="AE22" s="66" t="e">
        <f t="shared" si="18"/>
        <v>#NAME?</v>
      </c>
      <c r="AF22" s="66" t="e">
        <f t="shared" si="51"/>
        <v>#NAME?</v>
      </c>
      <c r="AG22" s="66" t="e">
        <f t="shared" si="19"/>
        <v>#NAME?</v>
      </c>
      <c r="AH22" s="66" t="e">
        <f t="shared" si="20"/>
        <v>#NAME?</v>
      </c>
      <c r="AI22" s="66" t="e">
        <f t="shared" si="21"/>
        <v>#NAME?</v>
      </c>
      <c r="AJ22" s="67" t="e">
        <f t="shared" si="52"/>
        <v>#NAME?</v>
      </c>
      <c r="AK22" s="67" t="e">
        <f t="shared" si="7"/>
        <v>#NAME?</v>
      </c>
      <c r="AL22" s="67" t="e">
        <f t="shared" si="8"/>
        <v>#NAME?</v>
      </c>
      <c r="AM22" s="67" t="e">
        <f t="shared" si="22"/>
        <v>#NAME?</v>
      </c>
      <c r="AN22" s="67" t="e">
        <f t="shared" si="53"/>
        <v>#NAME?</v>
      </c>
      <c r="AO22" s="67" t="e">
        <f t="shared" si="54"/>
        <v>#NAME?</v>
      </c>
      <c r="AP22" s="66" t="e">
        <f t="shared" si="23"/>
        <v>#NAME?</v>
      </c>
      <c r="AQ22" s="66" t="e">
        <f t="shared" si="24"/>
        <v>#NAME?</v>
      </c>
      <c r="AR22" s="66" t="e">
        <f t="shared" si="55"/>
        <v>#NAME?</v>
      </c>
      <c r="AS22" s="66" t="e">
        <f t="shared" si="25"/>
        <v>#NAME?</v>
      </c>
      <c r="AT22" s="66" t="e">
        <f t="shared" si="26"/>
        <v>#NAME?</v>
      </c>
      <c r="AU22" s="66" t="e">
        <f t="shared" si="27"/>
        <v>#NAME?</v>
      </c>
      <c r="AV22" s="66" t="e">
        <f t="shared" si="28"/>
        <v>#NAME?</v>
      </c>
      <c r="AW22" s="66" t="e">
        <f t="shared" si="29"/>
        <v>#NAME?</v>
      </c>
      <c r="AX22" s="66" t="e">
        <f t="shared" si="56"/>
        <v>#NAME?</v>
      </c>
      <c r="AY22" s="66" t="e">
        <f t="shared" si="30"/>
        <v>#NAME?</v>
      </c>
      <c r="AZ22" s="66" t="e">
        <f t="shared" si="31"/>
        <v>#NAME?</v>
      </c>
      <c r="BA22" s="66" t="e">
        <f t="shared" si="32"/>
        <v>#NAME?</v>
      </c>
      <c r="BB22" s="67" t="e">
        <f t="shared" si="57"/>
        <v>#NAME?</v>
      </c>
      <c r="BC22" s="67" t="e">
        <f t="shared" si="10"/>
        <v>#NAME?</v>
      </c>
      <c r="BD22" s="67" t="e">
        <f t="shared" si="11"/>
        <v>#NAME?</v>
      </c>
      <c r="BE22" s="67" t="e">
        <f t="shared" si="33"/>
        <v>#NAME?</v>
      </c>
      <c r="BF22" s="67" t="e">
        <f t="shared" si="58"/>
        <v>#NAME?</v>
      </c>
      <c r="BG22" s="67" t="e">
        <f t="shared" si="59"/>
        <v>#NAME?</v>
      </c>
    </row>
    <row r="23" spans="1:59" ht="15.75" x14ac:dyDescent="0.25">
      <c r="A23" s="8" t="s">
        <v>26</v>
      </c>
      <c r="B23" s="11" t="s">
        <v>27</v>
      </c>
      <c r="C23" s="63" t="s">
        <v>28</v>
      </c>
      <c r="D23" s="64"/>
      <c r="E23" s="65"/>
      <c r="F23" s="66" t="e">
        <f t="shared" si="34"/>
        <v>#NAME?</v>
      </c>
      <c r="G23" s="66" t="e">
        <f t="shared" si="35"/>
        <v>#NAME?</v>
      </c>
      <c r="H23" s="66" t="e">
        <f t="shared" si="36"/>
        <v>#NAME?</v>
      </c>
      <c r="I23" s="66" t="e">
        <f t="shared" si="37"/>
        <v>#NAME?</v>
      </c>
      <c r="J23" s="66" t="e">
        <f t="shared" si="38"/>
        <v>#NAME?</v>
      </c>
      <c r="K23" s="66" t="e">
        <f t="shared" si="39"/>
        <v>#NAME?</v>
      </c>
      <c r="L23" s="66" t="e">
        <f t="shared" si="40"/>
        <v>#NAME?</v>
      </c>
      <c r="M23" s="66" t="e">
        <f t="shared" si="41"/>
        <v>#NAME?</v>
      </c>
      <c r="N23" s="66" t="e">
        <f t="shared" si="42"/>
        <v>#NAME?</v>
      </c>
      <c r="O23" s="66" t="e">
        <f t="shared" si="43"/>
        <v>#NAME?</v>
      </c>
      <c r="P23" s="66" t="e">
        <f t="shared" si="44"/>
        <v>#NAME?</v>
      </c>
      <c r="Q23" s="66" t="e">
        <f t="shared" si="45"/>
        <v>#NAME?</v>
      </c>
      <c r="R23" s="67" t="e">
        <f t="shared" si="46"/>
        <v>#NAME?</v>
      </c>
      <c r="S23" s="67" t="e">
        <f t="shared" si="4"/>
        <v>#NAME?</v>
      </c>
      <c r="T23" s="67" t="e">
        <f t="shared" si="5"/>
        <v>#NAME?</v>
      </c>
      <c r="U23" s="67" t="e">
        <f t="shared" si="47"/>
        <v>#NAME?</v>
      </c>
      <c r="V23" s="67" t="e">
        <f t="shared" si="48"/>
        <v>#NAME?</v>
      </c>
      <c r="W23" s="67" t="e">
        <f t="shared" si="49"/>
        <v>#NAME?</v>
      </c>
      <c r="X23" s="66" t="e">
        <f t="shared" si="12"/>
        <v>#NAME?</v>
      </c>
      <c r="Y23" s="66" t="e">
        <f t="shared" si="13"/>
        <v>#NAME?</v>
      </c>
      <c r="Z23" s="66" t="e">
        <f t="shared" si="50"/>
        <v>#NAME?</v>
      </c>
      <c r="AA23" s="66" t="e">
        <f t="shared" si="14"/>
        <v>#NAME?</v>
      </c>
      <c r="AB23" s="66" t="e">
        <f t="shared" si="15"/>
        <v>#NAME?</v>
      </c>
      <c r="AC23" s="66" t="e">
        <f t="shared" si="16"/>
        <v>#NAME?</v>
      </c>
      <c r="AD23" s="66" t="e">
        <f t="shared" si="17"/>
        <v>#NAME?</v>
      </c>
      <c r="AE23" s="66" t="e">
        <f t="shared" si="18"/>
        <v>#NAME?</v>
      </c>
      <c r="AF23" s="66" t="e">
        <f t="shared" si="51"/>
        <v>#NAME?</v>
      </c>
      <c r="AG23" s="66" t="e">
        <f t="shared" si="19"/>
        <v>#NAME?</v>
      </c>
      <c r="AH23" s="66" t="e">
        <f t="shared" si="20"/>
        <v>#NAME?</v>
      </c>
      <c r="AI23" s="66" t="e">
        <f t="shared" si="21"/>
        <v>#NAME?</v>
      </c>
      <c r="AJ23" s="67" t="e">
        <f t="shared" si="52"/>
        <v>#NAME?</v>
      </c>
      <c r="AK23" s="67" t="e">
        <f t="shared" si="7"/>
        <v>#NAME?</v>
      </c>
      <c r="AL23" s="67" t="e">
        <f t="shared" si="8"/>
        <v>#NAME?</v>
      </c>
      <c r="AM23" s="67" t="e">
        <f t="shared" si="22"/>
        <v>#NAME?</v>
      </c>
      <c r="AN23" s="67" t="e">
        <f t="shared" si="53"/>
        <v>#NAME?</v>
      </c>
      <c r="AO23" s="67" t="e">
        <f t="shared" si="54"/>
        <v>#NAME?</v>
      </c>
      <c r="AP23" s="66" t="e">
        <f t="shared" si="23"/>
        <v>#NAME?</v>
      </c>
      <c r="AQ23" s="66" t="e">
        <f t="shared" si="24"/>
        <v>#NAME?</v>
      </c>
      <c r="AR23" s="66" t="e">
        <f t="shared" si="55"/>
        <v>#NAME?</v>
      </c>
      <c r="AS23" s="66" t="e">
        <f t="shared" si="25"/>
        <v>#NAME?</v>
      </c>
      <c r="AT23" s="66" t="e">
        <f t="shared" si="26"/>
        <v>#NAME?</v>
      </c>
      <c r="AU23" s="66" t="e">
        <f t="shared" si="27"/>
        <v>#NAME?</v>
      </c>
      <c r="AV23" s="66" t="e">
        <f t="shared" si="28"/>
        <v>#NAME?</v>
      </c>
      <c r="AW23" s="66" t="e">
        <f t="shared" si="29"/>
        <v>#NAME?</v>
      </c>
      <c r="AX23" s="66" t="e">
        <f t="shared" si="56"/>
        <v>#NAME?</v>
      </c>
      <c r="AY23" s="66" t="e">
        <f t="shared" si="30"/>
        <v>#NAME?</v>
      </c>
      <c r="AZ23" s="66" t="e">
        <f t="shared" si="31"/>
        <v>#NAME?</v>
      </c>
      <c r="BA23" s="66" t="e">
        <f t="shared" si="32"/>
        <v>#NAME?</v>
      </c>
      <c r="BB23" s="67" t="e">
        <f t="shared" si="57"/>
        <v>#NAME?</v>
      </c>
      <c r="BC23" s="67" t="e">
        <f t="shared" si="10"/>
        <v>#NAME?</v>
      </c>
      <c r="BD23" s="67" t="e">
        <f t="shared" si="11"/>
        <v>#NAME?</v>
      </c>
      <c r="BE23" s="67" t="e">
        <f t="shared" si="33"/>
        <v>#NAME?</v>
      </c>
      <c r="BF23" s="67" t="e">
        <f t="shared" si="58"/>
        <v>#NAME?</v>
      </c>
      <c r="BG23" s="67" t="e">
        <f t="shared" si="59"/>
        <v>#NAME?</v>
      </c>
    </row>
    <row r="24" spans="1:59" ht="15.75" x14ac:dyDescent="0.25">
      <c r="A24" s="8" t="s">
        <v>29</v>
      </c>
      <c r="B24" s="11" t="s">
        <v>30</v>
      </c>
      <c r="C24" s="63" t="s">
        <v>31</v>
      </c>
      <c r="D24" s="64"/>
      <c r="E24" s="65"/>
      <c r="F24" s="66" t="e">
        <f t="shared" si="34"/>
        <v>#NAME?</v>
      </c>
      <c r="G24" s="66" t="e">
        <f t="shared" si="35"/>
        <v>#NAME?</v>
      </c>
      <c r="H24" s="66" t="e">
        <f t="shared" si="36"/>
        <v>#NAME?</v>
      </c>
      <c r="I24" s="66" t="e">
        <f t="shared" si="37"/>
        <v>#NAME?</v>
      </c>
      <c r="J24" s="66" t="e">
        <f t="shared" si="38"/>
        <v>#NAME?</v>
      </c>
      <c r="K24" s="66" t="e">
        <f t="shared" si="39"/>
        <v>#NAME?</v>
      </c>
      <c r="L24" s="66" t="e">
        <f t="shared" si="40"/>
        <v>#NAME?</v>
      </c>
      <c r="M24" s="66" t="e">
        <f t="shared" si="41"/>
        <v>#NAME?</v>
      </c>
      <c r="N24" s="66" t="e">
        <f t="shared" si="42"/>
        <v>#NAME?</v>
      </c>
      <c r="O24" s="66" t="e">
        <f t="shared" si="43"/>
        <v>#NAME?</v>
      </c>
      <c r="P24" s="66" t="e">
        <f t="shared" si="44"/>
        <v>#NAME?</v>
      </c>
      <c r="Q24" s="66" t="e">
        <f t="shared" si="45"/>
        <v>#NAME?</v>
      </c>
      <c r="R24" s="67" t="e">
        <f t="shared" si="46"/>
        <v>#NAME?</v>
      </c>
      <c r="S24" s="67" t="e">
        <f t="shared" si="4"/>
        <v>#NAME?</v>
      </c>
      <c r="T24" s="67" t="e">
        <f t="shared" si="5"/>
        <v>#NAME?</v>
      </c>
      <c r="U24" s="67" t="e">
        <f t="shared" si="47"/>
        <v>#NAME?</v>
      </c>
      <c r="V24" s="67" t="e">
        <f t="shared" si="48"/>
        <v>#NAME?</v>
      </c>
      <c r="W24" s="67" t="e">
        <f t="shared" si="49"/>
        <v>#NAME?</v>
      </c>
      <c r="X24" s="66" t="e">
        <f t="shared" si="12"/>
        <v>#NAME?</v>
      </c>
      <c r="Y24" s="66" t="e">
        <f t="shared" si="13"/>
        <v>#NAME?</v>
      </c>
      <c r="Z24" s="66" t="e">
        <f t="shared" si="50"/>
        <v>#NAME?</v>
      </c>
      <c r="AA24" s="66" t="e">
        <f t="shared" si="14"/>
        <v>#NAME?</v>
      </c>
      <c r="AB24" s="66" t="e">
        <f t="shared" si="15"/>
        <v>#NAME?</v>
      </c>
      <c r="AC24" s="66" t="e">
        <f t="shared" si="16"/>
        <v>#NAME?</v>
      </c>
      <c r="AD24" s="66" t="e">
        <f t="shared" si="17"/>
        <v>#NAME?</v>
      </c>
      <c r="AE24" s="66" t="e">
        <f t="shared" si="18"/>
        <v>#NAME?</v>
      </c>
      <c r="AF24" s="66" t="e">
        <f t="shared" si="51"/>
        <v>#NAME?</v>
      </c>
      <c r="AG24" s="66" t="e">
        <f t="shared" si="19"/>
        <v>#NAME?</v>
      </c>
      <c r="AH24" s="66" t="e">
        <f t="shared" si="20"/>
        <v>#NAME?</v>
      </c>
      <c r="AI24" s="66" t="e">
        <f t="shared" si="21"/>
        <v>#NAME?</v>
      </c>
      <c r="AJ24" s="67" t="e">
        <f t="shared" si="52"/>
        <v>#NAME?</v>
      </c>
      <c r="AK24" s="67" t="e">
        <f t="shared" si="7"/>
        <v>#NAME?</v>
      </c>
      <c r="AL24" s="67" t="e">
        <f t="shared" si="8"/>
        <v>#NAME?</v>
      </c>
      <c r="AM24" s="67" t="e">
        <f t="shared" si="22"/>
        <v>#NAME?</v>
      </c>
      <c r="AN24" s="67" t="e">
        <f t="shared" si="53"/>
        <v>#NAME?</v>
      </c>
      <c r="AO24" s="67" t="e">
        <f t="shared" si="54"/>
        <v>#NAME?</v>
      </c>
      <c r="AP24" s="66" t="e">
        <f t="shared" si="23"/>
        <v>#NAME?</v>
      </c>
      <c r="AQ24" s="66" t="e">
        <f t="shared" si="24"/>
        <v>#NAME?</v>
      </c>
      <c r="AR24" s="66" t="e">
        <f t="shared" si="55"/>
        <v>#NAME?</v>
      </c>
      <c r="AS24" s="66" t="e">
        <f t="shared" si="25"/>
        <v>#NAME?</v>
      </c>
      <c r="AT24" s="66" t="e">
        <f t="shared" si="26"/>
        <v>#NAME?</v>
      </c>
      <c r="AU24" s="66" t="e">
        <f t="shared" si="27"/>
        <v>#NAME?</v>
      </c>
      <c r="AV24" s="66" t="e">
        <f t="shared" si="28"/>
        <v>#NAME?</v>
      </c>
      <c r="AW24" s="66" t="e">
        <f t="shared" si="29"/>
        <v>#NAME?</v>
      </c>
      <c r="AX24" s="66" t="e">
        <f t="shared" si="56"/>
        <v>#NAME?</v>
      </c>
      <c r="AY24" s="66" t="e">
        <f t="shared" si="30"/>
        <v>#NAME?</v>
      </c>
      <c r="AZ24" s="66" t="e">
        <f t="shared" si="31"/>
        <v>#NAME?</v>
      </c>
      <c r="BA24" s="66" t="e">
        <f t="shared" si="32"/>
        <v>#NAME?</v>
      </c>
      <c r="BB24" s="67" t="e">
        <f t="shared" si="57"/>
        <v>#NAME?</v>
      </c>
      <c r="BC24" s="67" t="e">
        <f t="shared" si="10"/>
        <v>#NAME?</v>
      </c>
      <c r="BD24" s="67" t="e">
        <f t="shared" si="11"/>
        <v>#NAME?</v>
      </c>
      <c r="BE24" s="67" t="e">
        <f t="shared" si="33"/>
        <v>#NAME?</v>
      </c>
      <c r="BF24" s="67" t="e">
        <f t="shared" si="58"/>
        <v>#NAME?</v>
      </c>
      <c r="BG24" s="67" t="e">
        <f t="shared" si="59"/>
        <v>#NAME?</v>
      </c>
    </row>
    <row r="25" spans="1:59" ht="15.75" x14ac:dyDescent="0.25">
      <c r="A25" s="8" t="s">
        <v>32</v>
      </c>
      <c r="B25" s="11" t="s">
        <v>33</v>
      </c>
      <c r="C25" s="63" t="s">
        <v>34</v>
      </c>
      <c r="D25" s="64"/>
      <c r="E25" s="65"/>
      <c r="F25" s="66" t="e">
        <f t="shared" si="34"/>
        <v>#NAME?</v>
      </c>
      <c r="G25" s="66" t="e">
        <f t="shared" si="35"/>
        <v>#NAME?</v>
      </c>
      <c r="H25" s="66" t="e">
        <f t="shared" si="36"/>
        <v>#NAME?</v>
      </c>
      <c r="I25" s="66" t="e">
        <f t="shared" si="37"/>
        <v>#NAME?</v>
      </c>
      <c r="J25" s="66" t="e">
        <f t="shared" si="38"/>
        <v>#NAME?</v>
      </c>
      <c r="K25" s="66" t="e">
        <f t="shared" si="39"/>
        <v>#NAME?</v>
      </c>
      <c r="L25" s="66" t="e">
        <f t="shared" si="40"/>
        <v>#NAME?</v>
      </c>
      <c r="M25" s="66" t="e">
        <f t="shared" si="41"/>
        <v>#NAME?</v>
      </c>
      <c r="N25" s="66" t="e">
        <f t="shared" si="42"/>
        <v>#NAME?</v>
      </c>
      <c r="O25" s="66" t="e">
        <f t="shared" si="43"/>
        <v>#NAME?</v>
      </c>
      <c r="P25" s="66" t="e">
        <f t="shared" si="44"/>
        <v>#NAME?</v>
      </c>
      <c r="Q25" s="66" t="e">
        <f t="shared" si="45"/>
        <v>#NAME?</v>
      </c>
      <c r="R25" s="67" t="e">
        <f t="shared" si="46"/>
        <v>#NAME?</v>
      </c>
      <c r="S25" s="67" t="e">
        <f t="shared" si="4"/>
        <v>#NAME?</v>
      </c>
      <c r="T25" s="67" t="e">
        <f t="shared" si="5"/>
        <v>#NAME?</v>
      </c>
      <c r="U25" s="67" t="e">
        <f t="shared" si="47"/>
        <v>#NAME?</v>
      </c>
      <c r="V25" s="67" t="e">
        <f t="shared" si="48"/>
        <v>#NAME?</v>
      </c>
      <c r="W25" s="67" t="e">
        <f t="shared" si="49"/>
        <v>#NAME?</v>
      </c>
      <c r="X25" s="66" t="e">
        <f t="shared" si="12"/>
        <v>#NAME?</v>
      </c>
      <c r="Y25" s="66" t="e">
        <f t="shared" si="13"/>
        <v>#NAME?</v>
      </c>
      <c r="Z25" s="66" t="e">
        <f t="shared" si="50"/>
        <v>#NAME?</v>
      </c>
      <c r="AA25" s="66" t="e">
        <f t="shared" si="14"/>
        <v>#NAME?</v>
      </c>
      <c r="AB25" s="66" t="e">
        <f t="shared" si="15"/>
        <v>#NAME?</v>
      </c>
      <c r="AC25" s="66" t="e">
        <f t="shared" si="16"/>
        <v>#NAME?</v>
      </c>
      <c r="AD25" s="66" t="e">
        <f t="shared" si="17"/>
        <v>#NAME?</v>
      </c>
      <c r="AE25" s="66" t="e">
        <f t="shared" si="18"/>
        <v>#NAME?</v>
      </c>
      <c r="AF25" s="66" t="e">
        <f t="shared" si="51"/>
        <v>#NAME?</v>
      </c>
      <c r="AG25" s="66" t="e">
        <f t="shared" si="19"/>
        <v>#NAME?</v>
      </c>
      <c r="AH25" s="66" t="e">
        <f t="shared" si="20"/>
        <v>#NAME?</v>
      </c>
      <c r="AI25" s="66" t="e">
        <f t="shared" si="21"/>
        <v>#NAME?</v>
      </c>
      <c r="AJ25" s="67" t="e">
        <f t="shared" si="52"/>
        <v>#NAME?</v>
      </c>
      <c r="AK25" s="67" t="e">
        <f t="shared" si="7"/>
        <v>#NAME?</v>
      </c>
      <c r="AL25" s="67" t="e">
        <f t="shared" si="8"/>
        <v>#NAME?</v>
      </c>
      <c r="AM25" s="67" t="e">
        <f t="shared" si="22"/>
        <v>#NAME?</v>
      </c>
      <c r="AN25" s="67" t="e">
        <f t="shared" si="53"/>
        <v>#NAME?</v>
      </c>
      <c r="AO25" s="67" t="e">
        <f t="shared" si="54"/>
        <v>#NAME?</v>
      </c>
      <c r="AP25" s="66" t="e">
        <f t="shared" si="23"/>
        <v>#NAME?</v>
      </c>
      <c r="AQ25" s="66" t="e">
        <f t="shared" si="24"/>
        <v>#NAME?</v>
      </c>
      <c r="AR25" s="66" t="e">
        <f t="shared" si="55"/>
        <v>#NAME?</v>
      </c>
      <c r="AS25" s="66" t="e">
        <f t="shared" si="25"/>
        <v>#NAME?</v>
      </c>
      <c r="AT25" s="66" t="e">
        <f t="shared" si="26"/>
        <v>#NAME?</v>
      </c>
      <c r="AU25" s="66" t="e">
        <f t="shared" si="27"/>
        <v>#NAME?</v>
      </c>
      <c r="AV25" s="66" t="e">
        <f t="shared" si="28"/>
        <v>#NAME?</v>
      </c>
      <c r="AW25" s="66" t="e">
        <f t="shared" si="29"/>
        <v>#NAME?</v>
      </c>
      <c r="AX25" s="66" t="e">
        <f t="shared" si="56"/>
        <v>#NAME?</v>
      </c>
      <c r="AY25" s="66" t="e">
        <f t="shared" si="30"/>
        <v>#NAME?</v>
      </c>
      <c r="AZ25" s="66" t="e">
        <f t="shared" si="31"/>
        <v>#NAME?</v>
      </c>
      <c r="BA25" s="66" t="e">
        <f t="shared" si="32"/>
        <v>#NAME?</v>
      </c>
      <c r="BB25" s="67" t="e">
        <f t="shared" si="57"/>
        <v>#NAME?</v>
      </c>
      <c r="BC25" s="67" t="e">
        <f t="shared" si="10"/>
        <v>#NAME?</v>
      </c>
      <c r="BD25" s="67" t="e">
        <f t="shared" si="11"/>
        <v>#NAME?</v>
      </c>
      <c r="BE25" s="67" t="e">
        <f t="shared" si="33"/>
        <v>#NAME?</v>
      </c>
      <c r="BF25" s="67" t="e">
        <f t="shared" si="58"/>
        <v>#NAME?</v>
      </c>
      <c r="BG25" s="67" t="e">
        <f t="shared" si="59"/>
        <v>#NAME?</v>
      </c>
    </row>
    <row r="26" spans="1:59" ht="15.75" x14ac:dyDescent="0.25">
      <c r="A26" s="8" t="s">
        <v>35</v>
      </c>
      <c r="B26" s="11" t="s">
        <v>36</v>
      </c>
      <c r="C26" s="63" t="s">
        <v>37</v>
      </c>
      <c r="D26" s="64"/>
      <c r="E26" s="65"/>
      <c r="F26" s="66" t="e">
        <f t="shared" si="34"/>
        <v>#NAME?</v>
      </c>
      <c r="G26" s="66" t="e">
        <f t="shared" si="35"/>
        <v>#NAME?</v>
      </c>
      <c r="H26" s="66" t="e">
        <f t="shared" si="36"/>
        <v>#NAME?</v>
      </c>
      <c r="I26" s="66" t="e">
        <f t="shared" si="37"/>
        <v>#NAME?</v>
      </c>
      <c r="J26" s="66" t="e">
        <f t="shared" si="38"/>
        <v>#NAME?</v>
      </c>
      <c r="K26" s="66" t="e">
        <f t="shared" si="39"/>
        <v>#NAME?</v>
      </c>
      <c r="L26" s="66" t="e">
        <f t="shared" si="40"/>
        <v>#NAME?</v>
      </c>
      <c r="M26" s="66" t="e">
        <f t="shared" si="41"/>
        <v>#NAME?</v>
      </c>
      <c r="N26" s="66" t="e">
        <f t="shared" si="42"/>
        <v>#NAME?</v>
      </c>
      <c r="O26" s="66" t="e">
        <f t="shared" si="43"/>
        <v>#NAME?</v>
      </c>
      <c r="P26" s="66" t="e">
        <f t="shared" si="44"/>
        <v>#NAME?</v>
      </c>
      <c r="Q26" s="66" t="e">
        <f t="shared" si="45"/>
        <v>#NAME?</v>
      </c>
      <c r="R26" s="67" t="e">
        <f t="shared" si="46"/>
        <v>#NAME?</v>
      </c>
      <c r="S26" s="67" t="e">
        <f t="shared" si="4"/>
        <v>#NAME?</v>
      </c>
      <c r="T26" s="67" t="e">
        <f t="shared" si="5"/>
        <v>#NAME?</v>
      </c>
      <c r="U26" s="67" t="e">
        <f t="shared" si="47"/>
        <v>#NAME?</v>
      </c>
      <c r="V26" s="67" t="e">
        <f t="shared" si="48"/>
        <v>#NAME?</v>
      </c>
      <c r="W26" s="67" t="e">
        <f t="shared" si="49"/>
        <v>#NAME?</v>
      </c>
      <c r="X26" s="66" t="e">
        <f t="shared" si="12"/>
        <v>#NAME?</v>
      </c>
      <c r="Y26" s="66" t="e">
        <f t="shared" si="13"/>
        <v>#NAME?</v>
      </c>
      <c r="Z26" s="66" t="e">
        <f t="shared" si="50"/>
        <v>#NAME?</v>
      </c>
      <c r="AA26" s="66" t="e">
        <f t="shared" si="14"/>
        <v>#NAME?</v>
      </c>
      <c r="AB26" s="66" t="e">
        <f t="shared" si="15"/>
        <v>#NAME?</v>
      </c>
      <c r="AC26" s="66" t="e">
        <f t="shared" si="16"/>
        <v>#NAME?</v>
      </c>
      <c r="AD26" s="66" t="e">
        <f t="shared" si="17"/>
        <v>#NAME?</v>
      </c>
      <c r="AE26" s="66" t="e">
        <f t="shared" si="18"/>
        <v>#NAME?</v>
      </c>
      <c r="AF26" s="66" t="e">
        <f t="shared" si="51"/>
        <v>#NAME?</v>
      </c>
      <c r="AG26" s="66" t="e">
        <f t="shared" si="19"/>
        <v>#NAME?</v>
      </c>
      <c r="AH26" s="66" t="e">
        <f t="shared" si="20"/>
        <v>#NAME?</v>
      </c>
      <c r="AI26" s="66" t="e">
        <f t="shared" si="21"/>
        <v>#NAME?</v>
      </c>
      <c r="AJ26" s="67" t="e">
        <f t="shared" si="52"/>
        <v>#NAME?</v>
      </c>
      <c r="AK26" s="67" t="e">
        <f t="shared" si="7"/>
        <v>#NAME?</v>
      </c>
      <c r="AL26" s="67" t="e">
        <f t="shared" si="8"/>
        <v>#NAME?</v>
      </c>
      <c r="AM26" s="67" t="e">
        <f t="shared" si="22"/>
        <v>#NAME?</v>
      </c>
      <c r="AN26" s="67" t="e">
        <f t="shared" si="53"/>
        <v>#NAME?</v>
      </c>
      <c r="AO26" s="67" t="e">
        <f t="shared" si="54"/>
        <v>#NAME?</v>
      </c>
      <c r="AP26" s="66" t="e">
        <f t="shared" si="23"/>
        <v>#NAME?</v>
      </c>
      <c r="AQ26" s="66" t="e">
        <f t="shared" si="24"/>
        <v>#NAME?</v>
      </c>
      <c r="AR26" s="66" t="e">
        <f t="shared" si="55"/>
        <v>#NAME?</v>
      </c>
      <c r="AS26" s="66" t="e">
        <f t="shared" si="25"/>
        <v>#NAME?</v>
      </c>
      <c r="AT26" s="66" t="e">
        <f t="shared" si="26"/>
        <v>#NAME?</v>
      </c>
      <c r="AU26" s="66" t="e">
        <f t="shared" si="27"/>
        <v>#NAME?</v>
      </c>
      <c r="AV26" s="66" t="e">
        <f t="shared" si="28"/>
        <v>#NAME?</v>
      </c>
      <c r="AW26" s="66" t="e">
        <f t="shared" si="29"/>
        <v>#NAME?</v>
      </c>
      <c r="AX26" s="66" t="e">
        <f t="shared" si="56"/>
        <v>#NAME?</v>
      </c>
      <c r="AY26" s="66" t="e">
        <f t="shared" si="30"/>
        <v>#NAME?</v>
      </c>
      <c r="AZ26" s="66" t="e">
        <f t="shared" si="31"/>
        <v>#NAME?</v>
      </c>
      <c r="BA26" s="66" t="e">
        <f t="shared" si="32"/>
        <v>#NAME?</v>
      </c>
      <c r="BB26" s="67" t="e">
        <f t="shared" si="57"/>
        <v>#NAME?</v>
      </c>
      <c r="BC26" s="67" t="e">
        <f t="shared" si="10"/>
        <v>#NAME?</v>
      </c>
      <c r="BD26" s="67" t="e">
        <f t="shared" si="11"/>
        <v>#NAME?</v>
      </c>
      <c r="BE26" s="67" t="e">
        <f t="shared" si="33"/>
        <v>#NAME?</v>
      </c>
      <c r="BF26" s="67" t="e">
        <f t="shared" si="58"/>
        <v>#NAME?</v>
      </c>
      <c r="BG26" s="67" t="e">
        <f t="shared" si="59"/>
        <v>#NAME?</v>
      </c>
    </row>
    <row r="27" spans="1:59" ht="15.75" x14ac:dyDescent="0.25">
      <c r="A27" s="8" t="s">
        <v>38</v>
      </c>
      <c r="B27" s="11" t="s">
        <v>39</v>
      </c>
      <c r="C27" s="63" t="s">
        <v>297</v>
      </c>
      <c r="D27" s="64"/>
      <c r="E27" s="65"/>
      <c r="F27" s="66" t="e">
        <f t="shared" si="34"/>
        <v>#NAME?</v>
      </c>
      <c r="G27" s="66" t="e">
        <f t="shared" si="35"/>
        <v>#NAME?</v>
      </c>
      <c r="H27" s="66" t="e">
        <f t="shared" si="36"/>
        <v>#NAME?</v>
      </c>
      <c r="I27" s="66" t="e">
        <f t="shared" si="37"/>
        <v>#NAME?</v>
      </c>
      <c r="J27" s="66" t="e">
        <f t="shared" si="38"/>
        <v>#NAME?</v>
      </c>
      <c r="K27" s="66" t="e">
        <f t="shared" si="39"/>
        <v>#NAME?</v>
      </c>
      <c r="L27" s="66" t="e">
        <f t="shared" si="40"/>
        <v>#NAME?</v>
      </c>
      <c r="M27" s="66" t="e">
        <f t="shared" si="41"/>
        <v>#NAME?</v>
      </c>
      <c r="N27" s="66" t="e">
        <f t="shared" si="42"/>
        <v>#NAME?</v>
      </c>
      <c r="O27" s="66" t="e">
        <f t="shared" si="43"/>
        <v>#NAME?</v>
      </c>
      <c r="P27" s="66" t="e">
        <f t="shared" si="44"/>
        <v>#NAME?</v>
      </c>
      <c r="Q27" s="66" t="e">
        <f t="shared" si="45"/>
        <v>#NAME?</v>
      </c>
      <c r="R27" s="67" t="e">
        <f t="shared" si="46"/>
        <v>#NAME?</v>
      </c>
      <c r="S27" s="67" t="e">
        <f t="shared" si="4"/>
        <v>#NAME?</v>
      </c>
      <c r="T27" s="67" t="e">
        <f t="shared" si="5"/>
        <v>#NAME?</v>
      </c>
      <c r="U27" s="67" t="e">
        <f t="shared" si="47"/>
        <v>#NAME?</v>
      </c>
      <c r="V27" s="67" t="e">
        <f t="shared" si="48"/>
        <v>#NAME?</v>
      </c>
      <c r="W27" s="67" t="e">
        <f t="shared" si="49"/>
        <v>#NAME?</v>
      </c>
      <c r="X27" s="66" t="e">
        <f t="shared" si="12"/>
        <v>#NAME?</v>
      </c>
      <c r="Y27" s="66" t="e">
        <f t="shared" si="13"/>
        <v>#NAME?</v>
      </c>
      <c r="Z27" s="66" t="e">
        <f t="shared" si="50"/>
        <v>#NAME?</v>
      </c>
      <c r="AA27" s="66" t="e">
        <f t="shared" si="14"/>
        <v>#NAME?</v>
      </c>
      <c r="AB27" s="66" t="e">
        <f t="shared" si="15"/>
        <v>#NAME?</v>
      </c>
      <c r="AC27" s="66" t="e">
        <f t="shared" si="16"/>
        <v>#NAME?</v>
      </c>
      <c r="AD27" s="66" t="e">
        <f t="shared" si="17"/>
        <v>#NAME?</v>
      </c>
      <c r="AE27" s="66" t="e">
        <f t="shared" si="18"/>
        <v>#NAME?</v>
      </c>
      <c r="AF27" s="66" t="e">
        <f t="shared" si="51"/>
        <v>#NAME?</v>
      </c>
      <c r="AG27" s="66" t="e">
        <f t="shared" si="19"/>
        <v>#NAME?</v>
      </c>
      <c r="AH27" s="66" t="e">
        <f t="shared" si="20"/>
        <v>#NAME?</v>
      </c>
      <c r="AI27" s="66" t="e">
        <f t="shared" si="21"/>
        <v>#NAME?</v>
      </c>
      <c r="AJ27" s="67" t="e">
        <f t="shared" si="52"/>
        <v>#NAME?</v>
      </c>
      <c r="AK27" s="67" t="e">
        <f t="shared" si="7"/>
        <v>#NAME?</v>
      </c>
      <c r="AL27" s="67" t="e">
        <f t="shared" si="8"/>
        <v>#NAME?</v>
      </c>
      <c r="AM27" s="67" t="e">
        <f t="shared" si="22"/>
        <v>#NAME?</v>
      </c>
      <c r="AN27" s="67" t="e">
        <f t="shared" si="53"/>
        <v>#NAME?</v>
      </c>
      <c r="AO27" s="67" t="e">
        <f t="shared" si="54"/>
        <v>#NAME?</v>
      </c>
      <c r="AP27" s="66" t="e">
        <f t="shared" si="23"/>
        <v>#NAME?</v>
      </c>
      <c r="AQ27" s="66" t="e">
        <f t="shared" si="24"/>
        <v>#NAME?</v>
      </c>
      <c r="AR27" s="66" t="e">
        <f t="shared" si="55"/>
        <v>#NAME?</v>
      </c>
      <c r="AS27" s="66" t="e">
        <f t="shared" si="25"/>
        <v>#NAME?</v>
      </c>
      <c r="AT27" s="66" t="e">
        <f t="shared" si="26"/>
        <v>#NAME?</v>
      </c>
      <c r="AU27" s="66" t="e">
        <f t="shared" si="27"/>
        <v>#NAME?</v>
      </c>
      <c r="AV27" s="66" t="e">
        <f t="shared" si="28"/>
        <v>#NAME?</v>
      </c>
      <c r="AW27" s="66" t="e">
        <f t="shared" si="29"/>
        <v>#NAME?</v>
      </c>
      <c r="AX27" s="66" t="e">
        <f t="shared" si="56"/>
        <v>#NAME?</v>
      </c>
      <c r="AY27" s="66" t="e">
        <f t="shared" si="30"/>
        <v>#NAME?</v>
      </c>
      <c r="AZ27" s="66" t="e">
        <f t="shared" si="31"/>
        <v>#NAME?</v>
      </c>
      <c r="BA27" s="66" t="e">
        <f t="shared" si="32"/>
        <v>#NAME?</v>
      </c>
      <c r="BB27" s="67" t="e">
        <f t="shared" si="57"/>
        <v>#NAME?</v>
      </c>
      <c r="BC27" s="67" t="e">
        <f t="shared" si="10"/>
        <v>#NAME?</v>
      </c>
      <c r="BD27" s="67" t="e">
        <f t="shared" si="11"/>
        <v>#NAME?</v>
      </c>
      <c r="BE27" s="67" t="e">
        <f t="shared" si="33"/>
        <v>#NAME?</v>
      </c>
      <c r="BF27" s="67" t="e">
        <f t="shared" si="58"/>
        <v>#NAME?</v>
      </c>
      <c r="BG27" s="67" t="e">
        <f t="shared" si="59"/>
        <v>#NAME?</v>
      </c>
    </row>
    <row r="28" spans="1:59" ht="15.75" x14ac:dyDescent="0.25">
      <c r="A28" s="8" t="s">
        <v>40</v>
      </c>
      <c r="B28" s="11" t="s">
        <v>41</v>
      </c>
      <c r="C28" s="63" t="s">
        <v>42</v>
      </c>
      <c r="D28" s="64"/>
      <c r="E28" s="65"/>
      <c r="F28" s="66" t="e">
        <f t="shared" si="34"/>
        <v>#NAME?</v>
      </c>
      <c r="G28" s="66" t="e">
        <f t="shared" si="35"/>
        <v>#NAME?</v>
      </c>
      <c r="H28" s="66" t="e">
        <f t="shared" si="36"/>
        <v>#NAME?</v>
      </c>
      <c r="I28" s="66" t="e">
        <f t="shared" si="37"/>
        <v>#NAME?</v>
      </c>
      <c r="J28" s="66" t="e">
        <f t="shared" si="38"/>
        <v>#NAME?</v>
      </c>
      <c r="K28" s="66" t="e">
        <f t="shared" si="39"/>
        <v>#NAME?</v>
      </c>
      <c r="L28" s="66" t="e">
        <f t="shared" si="40"/>
        <v>#NAME?</v>
      </c>
      <c r="M28" s="66" t="e">
        <f t="shared" si="41"/>
        <v>#NAME?</v>
      </c>
      <c r="N28" s="66" t="e">
        <f t="shared" si="42"/>
        <v>#NAME?</v>
      </c>
      <c r="O28" s="66" t="e">
        <f t="shared" si="43"/>
        <v>#NAME?</v>
      </c>
      <c r="P28" s="66" t="e">
        <f t="shared" si="44"/>
        <v>#NAME?</v>
      </c>
      <c r="Q28" s="66" t="e">
        <f t="shared" si="45"/>
        <v>#NAME?</v>
      </c>
      <c r="R28" s="67" t="e">
        <f t="shared" si="46"/>
        <v>#NAME?</v>
      </c>
      <c r="S28" s="67" t="e">
        <f t="shared" si="4"/>
        <v>#NAME?</v>
      </c>
      <c r="T28" s="67" t="e">
        <f t="shared" si="5"/>
        <v>#NAME?</v>
      </c>
      <c r="U28" s="67" t="e">
        <f t="shared" si="47"/>
        <v>#NAME?</v>
      </c>
      <c r="V28" s="67" t="e">
        <f t="shared" si="48"/>
        <v>#NAME?</v>
      </c>
      <c r="W28" s="67" t="e">
        <f t="shared" si="49"/>
        <v>#NAME?</v>
      </c>
      <c r="X28" s="66" t="e">
        <f t="shared" si="12"/>
        <v>#NAME?</v>
      </c>
      <c r="Y28" s="66" t="e">
        <f t="shared" si="13"/>
        <v>#NAME?</v>
      </c>
      <c r="Z28" s="66" t="e">
        <f t="shared" si="50"/>
        <v>#NAME?</v>
      </c>
      <c r="AA28" s="66" t="e">
        <f t="shared" si="14"/>
        <v>#NAME?</v>
      </c>
      <c r="AB28" s="66" t="e">
        <f t="shared" si="15"/>
        <v>#NAME?</v>
      </c>
      <c r="AC28" s="66" t="e">
        <f t="shared" si="16"/>
        <v>#NAME?</v>
      </c>
      <c r="AD28" s="66" t="e">
        <f t="shared" si="17"/>
        <v>#NAME?</v>
      </c>
      <c r="AE28" s="66" t="e">
        <f t="shared" si="18"/>
        <v>#NAME?</v>
      </c>
      <c r="AF28" s="66" t="e">
        <f t="shared" si="51"/>
        <v>#NAME?</v>
      </c>
      <c r="AG28" s="66" t="e">
        <f t="shared" si="19"/>
        <v>#NAME?</v>
      </c>
      <c r="AH28" s="66" t="e">
        <f t="shared" si="20"/>
        <v>#NAME?</v>
      </c>
      <c r="AI28" s="66" t="e">
        <f t="shared" si="21"/>
        <v>#NAME?</v>
      </c>
      <c r="AJ28" s="67" t="e">
        <f t="shared" si="52"/>
        <v>#NAME?</v>
      </c>
      <c r="AK28" s="67" t="e">
        <f t="shared" si="7"/>
        <v>#NAME?</v>
      </c>
      <c r="AL28" s="67" t="e">
        <f t="shared" si="8"/>
        <v>#NAME?</v>
      </c>
      <c r="AM28" s="67" t="e">
        <f t="shared" si="22"/>
        <v>#NAME?</v>
      </c>
      <c r="AN28" s="67" t="e">
        <f t="shared" si="53"/>
        <v>#NAME?</v>
      </c>
      <c r="AO28" s="67" t="e">
        <f t="shared" si="54"/>
        <v>#NAME?</v>
      </c>
      <c r="AP28" s="66" t="e">
        <f t="shared" si="23"/>
        <v>#NAME?</v>
      </c>
      <c r="AQ28" s="66" t="e">
        <f t="shared" si="24"/>
        <v>#NAME?</v>
      </c>
      <c r="AR28" s="66" t="e">
        <f t="shared" si="55"/>
        <v>#NAME?</v>
      </c>
      <c r="AS28" s="66" t="e">
        <f t="shared" si="25"/>
        <v>#NAME?</v>
      </c>
      <c r="AT28" s="66" t="e">
        <f t="shared" si="26"/>
        <v>#NAME?</v>
      </c>
      <c r="AU28" s="66" t="e">
        <f t="shared" si="27"/>
        <v>#NAME?</v>
      </c>
      <c r="AV28" s="66" t="e">
        <f t="shared" si="28"/>
        <v>#NAME?</v>
      </c>
      <c r="AW28" s="66" t="e">
        <f t="shared" si="29"/>
        <v>#NAME?</v>
      </c>
      <c r="AX28" s="66" t="e">
        <f t="shared" si="56"/>
        <v>#NAME?</v>
      </c>
      <c r="AY28" s="66" t="e">
        <f t="shared" si="30"/>
        <v>#NAME?</v>
      </c>
      <c r="AZ28" s="66" t="e">
        <f t="shared" si="31"/>
        <v>#NAME?</v>
      </c>
      <c r="BA28" s="66" t="e">
        <f t="shared" si="32"/>
        <v>#NAME?</v>
      </c>
      <c r="BB28" s="67" t="e">
        <f t="shared" si="57"/>
        <v>#NAME?</v>
      </c>
      <c r="BC28" s="67" t="e">
        <f t="shared" si="10"/>
        <v>#NAME?</v>
      </c>
      <c r="BD28" s="67" t="e">
        <f t="shared" si="11"/>
        <v>#NAME?</v>
      </c>
      <c r="BE28" s="67" t="e">
        <f t="shared" si="33"/>
        <v>#NAME?</v>
      </c>
      <c r="BF28" s="67" t="e">
        <f t="shared" si="58"/>
        <v>#NAME?</v>
      </c>
      <c r="BG28" s="67" t="e">
        <f t="shared" si="59"/>
        <v>#NAME?</v>
      </c>
    </row>
    <row r="29" spans="1:59" ht="15.75" x14ac:dyDescent="0.25">
      <c r="A29" s="8" t="s">
        <v>43</v>
      </c>
      <c r="B29" s="11" t="s">
        <v>44</v>
      </c>
      <c r="C29" s="63" t="s">
        <v>45</v>
      </c>
      <c r="D29" s="64"/>
      <c r="E29" s="65"/>
      <c r="F29" s="66" t="e">
        <f t="shared" si="34"/>
        <v>#NAME?</v>
      </c>
      <c r="G29" s="66" t="e">
        <f t="shared" si="35"/>
        <v>#NAME?</v>
      </c>
      <c r="H29" s="66" t="e">
        <f t="shared" si="36"/>
        <v>#NAME?</v>
      </c>
      <c r="I29" s="66" t="e">
        <f t="shared" si="37"/>
        <v>#NAME?</v>
      </c>
      <c r="J29" s="66" t="e">
        <f t="shared" si="38"/>
        <v>#NAME?</v>
      </c>
      <c r="K29" s="66" t="e">
        <f t="shared" si="39"/>
        <v>#NAME?</v>
      </c>
      <c r="L29" s="66" t="e">
        <f t="shared" si="40"/>
        <v>#NAME?</v>
      </c>
      <c r="M29" s="66" t="e">
        <f t="shared" si="41"/>
        <v>#NAME?</v>
      </c>
      <c r="N29" s="66" t="e">
        <f t="shared" si="42"/>
        <v>#NAME?</v>
      </c>
      <c r="O29" s="66" t="e">
        <f t="shared" si="43"/>
        <v>#NAME?</v>
      </c>
      <c r="P29" s="66" t="e">
        <f t="shared" si="44"/>
        <v>#NAME?</v>
      </c>
      <c r="Q29" s="66" t="e">
        <f t="shared" si="45"/>
        <v>#NAME?</v>
      </c>
      <c r="R29" s="67" t="e">
        <f t="shared" si="46"/>
        <v>#NAME?</v>
      </c>
      <c r="S29" s="67" t="e">
        <f t="shared" si="4"/>
        <v>#NAME?</v>
      </c>
      <c r="T29" s="67" t="e">
        <f t="shared" si="5"/>
        <v>#NAME?</v>
      </c>
      <c r="U29" s="67" t="e">
        <f t="shared" si="47"/>
        <v>#NAME?</v>
      </c>
      <c r="V29" s="67" t="e">
        <f t="shared" si="48"/>
        <v>#NAME?</v>
      </c>
      <c r="W29" s="67" t="e">
        <f t="shared" si="49"/>
        <v>#NAME?</v>
      </c>
      <c r="X29" s="66" t="e">
        <f t="shared" si="12"/>
        <v>#NAME?</v>
      </c>
      <c r="Y29" s="66" t="e">
        <f t="shared" si="13"/>
        <v>#NAME?</v>
      </c>
      <c r="Z29" s="66" t="e">
        <f t="shared" si="50"/>
        <v>#NAME?</v>
      </c>
      <c r="AA29" s="66" t="e">
        <f t="shared" si="14"/>
        <v>#NAME?</v>
      </c>
      <c r="AB29" s="66" t="e">
        <f t="shared" si="15"/>
        <v>#NAME?</v>
      </c>
      <c r="AC29" s="66" t="e">
        <f t="shared" si="16"/>
        <v>#NAME?</v>
      </c>
      <c r="AD29" s="66" t="e">
        <f t="shared" si="17"/>
        <v>#NAME?</v>
      </c>
      <c r="AE29" s="66" t="e">
        <f t="shared" si="18"/>
        <v>#NAME?</v>
      </c>
      <c r="AF29" s="66" t="e">
        <f t="shared" si="51"/>
        <v>#NAME?</v>
      </c>
      <c r="AG29" s="66" t="e">
        <f t="shared" si="19"/>
        <v>#NAME?</v>
      </c>
      <c r="AH29" s="66" t="e">
        <f t="shared" si="20"/>
        <v>#NAME?</v>
      </c>
      <c r="AI29" s="66" t="e">
        <f t="shared" si="21"/>
        <v>#NAME?</v>
      </c>
      <c r="AJ29" s="67" t="e">
        <f t="shared" si="52"/>
        <v>#NAME?</v>
      </c>
      <c r="AK29" s="67" t="e">
        <f t="shared" si="7"/>
        <v>#NAME?</v>
      </c>
      <c r="AL29" s="67" t="e">
        <f t="shared" si="8"/>
        <v>#NAME?</v>
      </c>
      <c r="AM29" s="67" t="e">
        <f t="shared" si="22"/>
        <v>#NAME?</v>
      </c>
      <c r="AN29" s="67" t="e">
        <f t="shared" si="53"/>
        <v>#NAME?</v>
      </c>
      <c r="AO29" s="67" t="e">
        <f t="shared" si="54"/>
        <v>#NAME?</v>
      </c>
      <c r="AP29" s="66" t="e">
        <f t="shared" si="23"/>
        <v>#NAME?</v>
      </c>
      <c r="AQ29" s="66" t="e">
        <f t="shared" si="24"/>
        <v>#NAME?</v>
      </c>
      <c r="AR29" s="66" t="e">
        <f t="shared" si="55"/>
        <v>#NAME?</v>
      </c>
      <c r="AS29" s="66" t="e">
        <f t="shared" si="25"/>
        <v>#NAME?</v>
      </c>
      <c r="AT29" s="66" t="e">
        <f t="shared" si="26"/>
        <v>#NAME?</v>
      </c>
      <c r="AU29" s="66" t="e">
        <f t="shared" si="27"/>
        <v>#NAME?</v>
      </c>
      <c r="AV29" s="66" t="e">
        <f t="shared" si="28"/>
        <v>#NAME?</v>
      </c>
      <c r="AW29" s="66" t="e">
        <f t="shared" si="29"/>
        <v>#NAME?</v>
      </c>
      <c r="AX29" s="66" t="e">
        <f t="shared" si="56"/>
        <v>#NAME?</v>
      </c>
      <c r="AY29" s="66" t="e">
        <f t="shared" si="30"/>
        <v>#NAME?</v>
      </c>
      <c r="AZ29" s="66" t="e">
        <f t="shared" si="31"/>
        <v>#NAME?</v>
      </c>
      <c r="BA29" s="66" t="e">
        <f t="shared" si="32"/>
        <v>#NAME?</v>
      </c>
      <c r="BB29" s="67" t="e">
        <f t="shared" si="57"/>
        <v>#NAME?</v>
      </c>
      <c r="BC29" s="67" t="e">
        <f t="shared" si="10"/>
        <v>#NAME?</v>
      </c>
      <c r="BD29" s="67" t="e">
        <f t="shared" si="11"/>
        <v>#NAME?</v>
      </c>
      <c r="BE29" s="67" t="e">
        <f t="shared" si="33"/>
        <v>#NAME?</v>
      </c>
      <c r="BF29" s="67" t="e">
        <f t="shared" si="58"/>
        <v>#NAME?</v>
      </c>
      <c r="BG29" s="67" t="e">
        <f t="shared" si="59"/>
        <v>#NAME?</v>
      </c>
    </row>
    <row r="30" spans="1:59" ht="15.75" x14ac:dyDescent="0.25">
      <c r="A30" s="8" t="s">
        <v>46</v>
      </c>
      <c r="B30" s="11" t="s">
        <v>47</v>
      </c>
      <c r="C30" s="63" t="s">
        <v>48</v>
      </c>
      <c r="D30" s="64"/>
      <c r="E30" s="65"/>
      <c r="F30" s="66" t="e">
        <f t="shared" si="34"/>
        <v>#NAME?</v>
      </c>
      <c r="G30" s="66" t="e">
        <f t="shared" si="35"/>
        <v>#NAME?</v>
      </c>
      <c r="H30" s="66" t="e">
        <f t="shared" si="36"/>
        <v>#NAME?</v>
      </c>
      <c r="I30" s="66" t="e">
        <f t="shared" si="37"/>
        <v>#NAME?</v>
      </c>
      <c r="J30" s="66" t="e">
        <f t="shared" si="38"/>
        <v>#NAME?</v>
      </c>
      <c r="K30" s="66" t="e">
        <f t="shared" si="39"/>
        <v>#NAME?</v>
      </c>
      <c r="L30" s="66" t="e">
        <f t="shared" si="40"/>
        <v>#NAME?</v>
      </c>
      <c r="M30" s="66" t="e">
        <f t="shared" si="41"/>
        <v>#NAME?</v>
      </c>
      <c r="N30" s="66" t="e">
        <f t="shared" si="42"/>
        <v>#NAME?</v>
      </c>
      <c r="O30" s="66" t="e">
        <f t="shared" si="43"/>
        <v>#NAME?</v>
      </c>
      <c r="P30" s="66" t="e">
        <f t="shared" si="44"/>
        <v>#NAME?</v>
      </c>
      <c r="Q30" s="66" t="e">
        <f t="shared" si="45"/>
        <v>#NAME?</v>
      </c>
      <c r="R30" s="67" t="e">
        <f t="shared" si="46"/>
        <v>#NAME?</v>
      </c>
      <c r="S30" s="67" t="e">
        <f t="shared" si="4"/>
        <v>#NAME?</v>
      </c>
      <c r="T30" s="67" t="e">
        <f t="shared" si="5"/>
        <v>#NAME?</v>
      </c>
      <c r="U30" s="67" t="e">
        <f t="shared" si="47"/>
        <v>#NAME?</v>
      </c>
      <c r="V30" s="67" t="e">
        <f t="shared" si="48"/>
        <v>#NAME?</v>
      </c>
      <c r="W30" s="67" t="e">
        <f t="shared" si="49"/>
        <v>#NAME?</v>
      </c>
      <c r="X30" s="66" t="e">
        <f t="shared" si="12"/>
        <v>#NAME?</v>
      </c>
      <c r="Y30" s="66" t="e">
        <f t="shared" si="13"/>
        <v>#NAME?</v>
      </c>
      <c r="Z30" s="66" t="e">
        <f t="shared" si="50"/>
        <v>#NAME?</v>
      </c>
      <c r="AA30" s="66" t="e">
        <f t="shared" si="14"/>
        <v>#NAME?</v>
      </c>
      <c r="AB30" s="66" t="e">
        <f t="shared" si="15"/>
        <v>#NAME?</v>
      </c>
      <c r="AC30" s="66" t="e">
        <f t="shared" si="16"/>
        <v>#NAME?</v>
      </c>
      <c r="AD30" s="66" t="e">
        <f t="shared" si="17"/>
        <v>#NAME?</v>
      </c>
      <c r="AE30" s="66" t="e">
        <f t="shared" si="18"/>
        <v>#NAME?</v>
      </c>
      <c r="AF30" s="66" t="e">
        <f t="shared" si="51"/>
        <v>#NAME?</v>
      </c>
      <c r="AG30" s="66" t="e">
        <f t="shared" si="19"/>
        <v>#NAME?</v>
      </c>
      <c r="AH30" s="66" t="e">
        <f t="shared" si="20"/>
        <v>#NAME?</v>
      </c>
      <c r="AI30" s="66" t="e">
        <f t="shared" si="21"/>
        <v>#NAME?</v>
      </c>
      <c r="AJ30" s="67" t="e">
        <f t="shared" si="52"/>
        <v>#NAME?</v>
      </c>
      <c r="AK30" s="67" t="e">
        <f t="shared" si="7"/>
        <v>#NAME?</v>
      </c>
      <c r="AL30" s="67" t="e">
        <f t="shared" si="8"/>
        <v>#NAME?</v>
      </c>
      <c r="AM30" s="67" t="e">
        <f t="shared" si="22"/>
        <v>#NAME?</v>
      </c>
      <c r="AN30" s="67" t="e">
        <f t="shared" si="53"/>
        <v>#NAME?</v>
      </c>
      <c r="AO30" s="67" t="e">
        <f t="shared" si="54"/>
        <v>#NAME?</v>
      </c>
      <c r="AP30" s="66" t="e">
        <f t="shared" si="23"/>
        <v>#NAME?</v>
      </c>
      <c r="AQ30" s="66" t="e">
        <f t="shared" si="24"/>
        <v>#NAME?</v>
      </c>
      <c r="AR30" s="66" t="e">
        <f t="shared" si="55"/>
        <v>#NAME?</v>
      </c>
      <c r="AS30" s="66" t="e">
        <f t="shared" si="25"/>
        <v>#NAME?</v>
      </c>
      <c r="AT30" s="66" t="e">
        <f t="shared" si="26"/>
        <v>#NAME?</v>
      </c>
      <c r="AU30" s="66" t="e">
        <f t="shared" si="27"/>
        <v>#NAME?</v>
      </c>
      <c r="AV30" s="66" t="e">
        <f t="shared" si="28"/>
        <v>#NAME?</v>
      </c>
      <c r="AW30" s="66" t="e">
        <f t="shared" si="29"/>
        <v>#NAME?</v>
      </c>
      <c r="AX30" s="66" t="e">
        <f t="shared" si="56"/>
        <v>#NAME?</v>
      </c>
      <c r="AY30" s="66" t="e">
        <f t="shared" si="30"/>
        <v>#NAME?</v>
      </c>
      <c r="AZ30" s="66" t="e">
        <f t="shared" si="31"/>
        <v>#NAME?</v>
      </c>
      <c r="BA30" s="66" t="e">
        <f t="shared" si="32"/>
        <v>#NAME?</v>
      </c>
      <c r="BB30" s="67" t="e">
        <f t="shared" si="57"/>
        <v>#NAME?</v>
      </c>
      <c r="BC30" s="67" t="e">
        <f t="shared" si="10"/>
        <v>#NAME?</v>
      </c>
      <c r="BD30" s="67" t="e">
        <f t="shared" si="11"/>
        <v>#NAME?</v>
      </c>
      <c r="BE30" s="67" t="e">
        <f t="shared" si="33"/>
        <v>#NAME?</v>
      </c>
      <c r="BF30" s="67" t="e">
        <f t="shared" si="58"/>
        <v>#NAME?</v>
      </c>
      <c r="BG30" s="67" t="e">
        <f t="shared" si="59"/>
        <v>#NAME?</v>
      </c>
    </row>
    <row r="31" spans="1:59" ht="15.75" x14ac:dyDescent="0.25">
      <c r="A31" s="8" t="s">
        <v>49</v>
      </c>
      <c r="B31" s="11" t="s">
        <v>50</v>
      </c>
      <c r="C31" s="63" t="s">
        <v>51</v>
      </c>
      <c r="D31" s="64"/>
      <c r="E31" s="65"/>
      <c r="F31" s="66" t="e">
        <f t="shared" si="34"/>
        <v>#NAME?</v>
      </c>
      <c r="G31" s="66" t="e">
        <f t="shared" si="35"/>
        <v>#NAME?</v>
      </c>
      <c r="H31" s="66" t="e">
        <f t="shared" si="36"/>
        <v>#NAME?</v>
      </c>
      <c r="I31" s="66" t="e">
        <f t="shared" si="37"/>
        <v>#NAME?</v>
      </c>
      <c r="J31" s="66" t="e">
        <f t="shared" si="38"/>
        <v>#NAME?</v>
      </c>
      <c r="K31" s="66" t="e">
        <f t="shared" si="39"/>
        <v>#NAME?</v>
      </c>
      <c r="L31" s="66" t="e">
        <f t="shared" si="40"/>
        <v>#NAME?</v>
      </c>
      <c r="M31" s="66" t="e">
        <f t="shared" si="41"/>
        <v>#NAME?</v>
      </c>
      <c r="N31" s="66" t="e">
        <f t="shared" si="42"/>
        <v>#NAME?</v>
      </c>
      <c r="O31" s="66" t="e">
        <f t="shared" si="43"/>
        <v>#NAME?</v>
      </c>
      <c r="P31" s="66" t="e">
        <f t="shared" si="44"/>
        <v>#NAME?</v>
      </c>
      <c r="Q31" s="66" t="e">
        <f t="shared" si="45"/>
        <v>#NAME?</v>
      </c>
      <c r="R31" s="67" t="e">
        <f t="shared" si="46"/>
        <v>#NAME?</v>
      </c>
      <c r="S31" s="67" t="e">
        <f t="shared" si="4"/>
        <v>#NAME?</v>
      </c>
      <c r="T31" s="67" t="e">
        <f t="shared" si="5"/>
        <v>#NAME?</v>
      </c>
      <c r="U31" s="67" t="e">
        <f t="shared" si="47"/>
        <v>#NAME?</v>
      </c>
      <c r="V31" s="67" t="e">
        <f t="shared" si="48"/>
        <v>#NAME?</v>
      </c>
      <c r="W31" s="67" t="e">
        <f t="shared" si="49"/>
        <v>#NAME?</v>
      </c>
      <c r="X31" s="66" t="e">
        <f t="shared" si="12"/>
        <v>#NAME?</v>
      </c>
      <c r="Y31" s="66" t="e">
        <f t="shared" si="13"/>
        <v>#NAME?</v>
      </c>
      <c r="Z31" s="66" t="e">
        <f t="shared" si="50"/>
        <v>#NAME?</v>
      </c>
      <c r="AA31" s="66" t="e">
        <f t="shared" si="14"/>
        <v>#NAME?</v>
      </c>
      <c r="AB31" s="66" t="e">
        <f t="shared" si="15"/>
        <v>#NAME?</v>
      </c>
      <c r="AC31" s="66" t="e">
        <f t="shared" si="16"/>
        <v>#NAME?</v>
      </c>
      <c r="AD31" s="66" t="e">
        <f t="shared" si="17"/>
        <v>#NAME?</v>
      </c>
      <c r="AE31" s="66" t="e">
        <f t="shared" si="18"/>
        <v>#NAME?</v>
      </c>
      <c r="AF31" s="66" t="e">
        <f t="shared" si="51"/>
        <v>#NAME?</v>
      </c>
      <c r="AG31" s="66" t="e">
        <f t="shared" si="19"/>
        <v>#NAME?</v>
      </c>
      <c r="AH31" s="66" t="e">
        <f t="shared" si="20"/>
        <v>#NAME?</v>
      </c>
      <c r="AI31" s="66" t="e">
        <f t="shared" si="21"/>
        <v>#NAME?</v>
      </c>
      <c r="AJ31" s="67" t="e">
        <f t="shared" si="52"/>
        <v>#NAME?</v>
      </c>
      <c r="AK31" s="67" t="e">
        <f t="shared" si="7"/>
        <v>#NAME?</v>
      </c>
      <c r="AL31" s="67" t="e">
        <f t="shared" si="8"/>
        <v>#NAME?</v>
      </c>
      <c r="AM31" s="67" t="e">
        <f t="shared" si="22"/>
        <v>#NAME?</v>
      </c>
      <c r="AN31" s="67" t="e">
        <f t="shared" si="53"/>
        <v>#NAME?</v>
      </c>
      <c r="AO31" s="67" t="e">
        <f t="shared" si="54"/>
        <v>#NAME?</v>
      </c>
      <c r="AP31" s="66" t="e">
        <f t="shared" si="23"/>
        <v>#NAME?</v>
      </c>
      <c r="AQ31" s="66" t="e">
        <f t="shared" si="24"/>
        <v>#NAME?</v>
      </c>
      <c r="AR31" s="66" t="e">
        <f t="shared" si="55"/>
        <v>#NAME?</v>
      </c>
      <c r="AS31" s="66" t="e">
        <f t="shared" si="25"/>
        <v>#NAME?</v>
      </c>
      <c r="AT31" s="66" t="e">
        <f t="shared" si="26"/>
        <v>#NAME?</v>
      </c>
      <c r="AU31" s="66" t="e">
        <f t="shared" si="27"/>
        <v>#NAME?</v>
      </c>
      <c r="AV31" s="66" t="e">
        <f t="shared" si="28"/>
        <v>#NAME?</v>
      </c>
      <c r="AW31" s="66" t="e">
        <f t="shared" si="29"/>
        <v>#NAME?</v>
      </c>
      <c r="AX31" s="66" t="e">
        <f t="shared" si="56"/>
        <v>#NAME?</v>
      </c>
      <c r="AY31" s="66" t="e">
        <f t="shared" si="30"/>
        <v>#NAME?</v>
      </c>
      <c r="AZ31" s="66" t="e">
        <f t="shared" si="31"/>
        <v>#NAME?</v>
      </c>
      <c r="BA31" s="66" t="e">
        <f t="shared" si="32"/>
        <v>#NAME?</v>
      </c>
      <c r="BB31" s="67" t="e">
        <f t="shared" si="57"/>
        <v>#NAME?</v>
      </c>
      <c r="BC31" s="67" t="e">
        <f t="shared" si="10"/>
        <v>#NAME?</v>
      </c>
      <c r="BD31" s="67" t="e">
        <f t="shared" si="11"/>
        <v>#NAME?</v>
      </c>
      <c r="BE31" s="67" t="e">
        <f t="shared" si="33"/>
        <v>#NAME?</v>
      </c>
      <c r="BF31" s="67" t="e">
        <f t="shared" si="58"/>
        <v>#NAME?</v>
      </c>
      <c r="BG31" s="67" t="e">
        <f t="shared" si="59"/>
        <v>#NAME?</v>
      </c>
    </row>
    <row r="32" spans="1:59" ht="15.75" x14ac:dyDescent="0.25">
      <c r="A32" s="8" t="s">
        <v>52</v>
      </c>
      <c r="B32" s="11" t="s">
        <v>53</v>
      </c>
      <c r="C32" s="63" t="s">
        <v>54</v>
      </c>
      <c r="D32" s="64"/>
      <c r="E32" s="65"/>
      <c r="F32" s="66" t="e">
        <f t="shared" si="34"/>
        <v>#NAME?</v>
      </c>
      <c r="G32" s="66" t="e">
        <f t="shared" si="35"/>
        <v>#NAME?</v>
      </c>
      <c r="H32" s="66" t="e">
        <f t="shared" si="36"/>
        <v>#NAME?</v>
      </c>
      <c r="I32" s="66" t="e">
        <f t="shared" si="37"/>
        <v>#NAME?</v>
      </c>
      <c r="J32" s="66" t="e">
        <f t="shared" si="38"/>
        <v>#NAME?</v>
      </c>
      <c r="K32" s="66" t="e">
        <f t="shared" si="39"/>
        <v>#NAME?</v>
      </c>
      <c r="L32" s="66" t="e">
        <f t="shared" si="40"/>
        <v>#NAME?</v>
      </c>
      <c r="M32" s="66" t="e">
        <f t="shared" si="41"/>
        <v>#NAME?</v>
      </c>
      <c r="N32" s="66" t="e">
        <f t="shared" si="42"/>
        <v>#NAME?</v>
      </c>
      <c r="O32" s="66" t="e">
        <f t="shared" si="43"/>
        <v>#NAME?</v>
      </c>
      <c r="P32" s="66" t="e">
        <f t="shared" si="44"/>
        <v>#NAME?</v>
      </c>
      <c r="Q32" s="66" t="e">
        <f t="shared" si="45"/>
        <v>#NAME?</v>
      </c>
      <c r="R32" s="67" t="e">
        <f t="shared" si="46"/>
        <v>#NAME?</v>
      </c>
      <c r="S32" s="67" t="e">
        <f t="shared" si="4"/>
        <v>#NAME?</v>
      </c>
      <c r="T32" s="67" t="e">
        <f t="shared" si="5"/>
        <v>#NAME?</v>
      </c>
      <c r="U32" s="67" t="e">
        <f t="shared" si="47"/>
        <v>#NAME?</v>
      </c>
      <c r="V32" s="67" t="e">
        <f t="shared" si="48"/>
        <v>#NAME?</v>
      </c>
      <c r="W32" s="67" t="e">
        <f t="shared" si="49"/>
        <v>#NAME?</v>
      </c>
      <c r="X32" s="66" t="e">
        <f t="shared" si="12"/>
        <v>#NAME?</v>
      </c>
      <c r="Y32" s="66" t="e">
        <f t="shared" si="13"/>
        <v>#NAME?</v>
      </c>
      <c r="Z32" s="66" t="e">
        <f t="shared" si="50"/>
        <v>#NAME?</v>
      </c>
      <c r="AA32" s="66" t="e">
        <f t="shared" si="14"/>
        <v>#NAME?</v>
      </c>
      <c r="AB32" s="66" t="e">
        <f t="shared" si="15"/>
        <v>#NAME?</v>
      </c>
      <c r="AC32" s="66" t="e">
        <f t="shared" si="16"/>
        <v>#NAME?</v>
      </c>
      <c r="AD32" s="66" t="e">
        <f t="shared" si="17"/>
        <v>#NAME?</v>
      </c>
      <c r="AE32" s="66" t="e">
        <f t="shared" si="18"/>
        <v>#NAME?</v>
      </c>
      <c r="AF32" s="66" t="e">
        <f t="shared" si="51"/>
        <v>#NAME?</v>
      </c>
      <c r="AG32" s="66" t="e">
        <f t="shared" si="19"/>
        <v>#NAME?</v>
      </c>
      <c r="AH32" s="66" t="e">
        <f t="shared" si="20"/>
        <v>#NAME?</v>
      </c>
      <c r="AI32" s="66" t="e">
        <f t="shared" si="21"/>
        <v>#NAME?</v>
      </c>
      <c r="AJ32" s="67" t="e">
        <f t="shared" si="52"/>
        <v>#NAME?</v>
      </c>
      <c r="AK32" s="67" t="e">
        <f t="shared" si="7"/>
        <v>#NAME?</v>
      </c>
      <c r="AL32" s="67" t="e">
        <f t="shared" si="8"/>
        <v>#NAME?</v>
      </c>
      <c r="AM32" s="67" t="e">
        <f t="shared" si="22"/>
        <v>#NAME?</v>
      </c>
      <c r="AN32" s="67" t="e">
        <f t="shared" si="53"/>
        <v>#NAME?</v>
      </c>
      <c r="AO32" s="67" t="e">
        <f t="shared" si="54"/>
        <v>#NAME?</v>
      </c>
      <c r="AP32" s="66" t="e">
        <f t="shared" si="23"/>
        <v>#NAME?</v>
      </c>
      <c r="AQ32" s="66" t="e">
        <f t="shared" si="24"/>
        <v>#NAME?</v>
      </c>
      <c r="AR32" s="66" t="e">
        <f t="shared" si="55"/>
        <v>#NAME?</v>
      </c>
      <c r="AS32" s="66" t="e">
        <f t="shared" si="25"/>
        <v>#NAME?</v>
      </c>
      <c r="AT32" s="66" t="e">
        <f t="shared" si="26"/>
        <v>#NAME?</v>
      </c>
      <c r="AU32" s="66" t="e">
        <f t="shared" si="27"/>
        <v>#NAME?</v>
      </c>
      <c r="AV32" s="66" t="e">
        <f t="shared" si="28"/>
        <v>#NAME?</v>
      </c>
      <c r="AW32" s="66" t="e">
        <f t="shared" si="29"/>
        <v>#NAME?</v>
      </c>
      <c r="AX32" s="66" t="e">
        <f t="shared" si="56"/>
        <v>#NAME?</v>
      </c>
      <c r="AY32" s="66" t="e">
        <f t="shared" si="30"/>
        <v>#NAME?</v>
      </c>
      <c r="AZ32" s="66" t="e">
        <f t="shared" si="31"/>
        <v>#NAME?</v>
      </c>
      <c r="BA32" s="66" t="e">
        <f t="shared" si="32"/>
        <v>#NAME?</v>
      </c>
      <c r="BB32" s="67" t="e">
        <f t="shared" si="57"/>
        <v>#NAME?</v>
      </c>
      <c r="BC32" s="67" t="e">
        <f t="shared" si="10"/>
        <v>#NAME?</v>
      </c>
      <c r="BD32" s="67" t="e">
        <f t="shared" si="11"/>
        <v>#NAME?</v>
      </c>
      <c r="BE32" s="67" t="e">
        <f t="shared" si="33"/>
        <v>#NAME?</v>
      </c>
      <c r="BF32" s="67" t="e">
        <f t="shared" si="58"/>
        <v>#NAME?</v>
      </c>
      <c r="BG32" s="67" t="e">
        <f t="shared" si="59"/>
        <v>#NAME?</v>
      </c>
    </row>
    <row r="33" spans="1:59" ht="15.75" x14ac:dyDescent="0.25">
      <c r="A33" s="8" t="s">
        <v>55</v>
      </c>
      <c r="B33" s="11" t="s">
        <v>56</v>
      </c>
      <c r="C33" s="63" t="s">
        <v>57</v>
      </c>
      <c r="D33" s="64"/>
      <c r="E33" s="65"/>
      <c r="F33" s="66" t="e">
        <f t="shared" si="34"/>
        <v>#NAME?</v>
      </c>
      <c r="G33" s="66" t="e">
        <f t="shared" si="35"/>
        <v>#NAME?</v>
      </c>
      <c r="H33" s="66" t="e">
        <f t="shared" si="36"/>
        <v>#NAME?</v>
      </c>
      <c r="I33" s="66" t="e">
        <f t="shared" si="37"/>
        <v>#NAME?</v>
      </c>
      <c r="J33" s="66" t="e">
        <f t="shared" si="38"/>
        <v>#NAME?</v>
      </c>
      <c r="K33" s="66" t="e">
        <f t="shared" si="39"/>
        <v>#NAME?</v>
      </c>
      <c r="L33" s="66" t="e">
        <f t="shared" si="40"/>
        <v>#NAME?</v>
      </c>
      <c r="M33" s="66" t="e">
        <f t="shared" si="41"/>
        <v>#NAME?</v>
      </c>
      <c r="N33" s="66" t="e">
        <f t="shared" si="42"/>
        <v>#NAME?</v>
      </c>
      <c r="O33" s="66" t="e">
        <f t="shared" si="43"/>
        <v>#NAME?</v>
      </c>
      <c r="P33" s="66" t="e">
        <f t="shared" si="44"/>
        <v>#NAME?</v>
      </c>
      <c r="Q33" s="66" t="e">
        <f t="shared" si="45"/>
        <v>#NAME?</v>
      </c>
      <c r="R33" s="67" t="e">
        <f t="shared" si="46"/>
        <v>#NAME?</v>
      </c>
      <c r="S33" s="67" t="e">
        <f t="shared" si="4"/>
        <v>#NAME?</v>
      </c>
      <c r="T33" s="67" t="e">
        <f t="shared" si="5"/>
        <v>#NAME?</v>
      </c>
      <c r="U33" s="67" t="e">
        <f t="shared" si="47"/>
        <v>#NAME?</v>
      </c>
      <c r="V33" s="67" t="e">
        <f t="shared" si="48"/>
        <v>#NAME?</v>
      </c>
      <c r="W33" s="67" t="e">
        <f t="shared" si="49"/>
        <v>#NAME?</v>
      </c>
      <c r="X33" s="66" t="e">
        <f t="shared" si="12"/>
        <v>#NAME?</v>
      </c>
      <c r="Y33" s="66" t="e">
        <f t="shared" si="13"/>
        <v>#NAME?</v>
      </c>
      <c r="Z33" s="66" t="e">
        <f t="shared" si="50"/>
        <v>#NAME?</v>
      </c>
      <c r="AA33" s="66" t="e">
        <f t="shared" si="14"/>
        <v>#NAME?</v>
      </c>
      <c r="AB33" s="66" t="e">
        <f t="shared" si="15"/>
        <v>#NAME?</v>
      </c>
      <c r="AC33" s="66" t="e">
        <f t="shared" si="16"/>
        <v>#NAME?</v>
      </c>
      <c r="AD33" s="66" t="e">
        <f t="shared" si="17"/>
        <v>#NAME?</v>
      </c>
      <c r="AE33" s="66" t="e">
        <f t="shared" si="18"/>
        <v>#NAME?</v>
      </c>
      <c r="AF33" s="66" t="e">
        <f t="shared" si="51"/>
        <v>#NAME?</v>
      </c>
      <c r="AG33" s="66" t="e">
        <f t="shared" si="19"/>
        <v>#NAME?</v>
      </c>
      <c r="AH33" s="66" t="e">
        <f t="shared" si="20"/>
        <v>#NAME?</v>
      </c>
      <c r="AI33" s="66" t="e">
        <f t="shared" si="21"/>
        <v>#NAME?</v>
      </c>
      <c r="AJ33" s="67" t="e">
        <f t="shared" si="52"/>
        <v>#NAME?</v>
      </c>
      <c r="AK33" s="67" t="e">
        <f t="shared" si="7"/>
        <v>#NAME?</v>
      </c>
      <c r="AL33" s="67" t="e">
        <f t="shared" si="8"/>
        <v>#NAME?</v>
      </c>
      <c r="AM33" s="67" t="e">
        <f t="shared" si="22"/>
        <v>#NAME?</v>
      </c>
      <c r="AN33" s="67" t="e">
        <f t="shared" si="53"/>
        <v>#NAME?</v>
      </c>
      <c r="AO33" s="67" t="e">
        <f t="shared" si="54"/>
        <v>#NAME?</v>
      </c>
      <c r="AP33" s="66" t="e">
        <f t="shared" si="23"/>
        <v>#NAME?</v>
      </c>
      <c r="AQ33" s="66" t="e">
        <f t="shared" si="24"/>
        <v>#NAME?</v>
      </c>
      <c r="AR33" s="66" t="e">
        <f t="shared" si="55"/>
        <v>#NAME?</v>
      </c>
      <c r="AS33" s="66" t="e">
        <f t="shared" si="25"/>
        <v>#NAME?</v>
      </c>
      <c r="AT33" s="66" t="e">
        <f t="shared" si="26"/>
        <v>#NAME?</v>
      </c>
      <c r="AU33" s="66" t="e">
        <f t="shared" si="27"/>
        <v>#NAME?</v>
      </c>
      <c r="AV33" s="66" t="e">
        <f t="shared" si="28"/>
        <v>#NAME?</v>
      </c>
      <c r="AW33" s="66" t="e">
        <f t="shared" si="29"/>
        <v>#NAME?</v>
      </c>
      <c r="AX33" s="66" t="e">
        <f t="shared" si="56"/>
        <v>#NAME?</v>
      </c>
      <c r="AY33" s="66" t="e">
        <f t="shared" si="30"/>
        <v>#NAME?</v>
      </c>
      <c r="AZ33" s="66" t="e">
        <f t="shared" si="31"/>
        <v>#NAME?</v>
      </c>
      <c r="BA33" s="66" t="e">
        <f t="shared" si="32"/>
        <v>#NAME?</v>
      </c>
      <c r="BB33" s="67" t="e">
        <f t="shared" si="57"/>
        <v>#NAME?</v>
      </c>
      <c r="BC33" s="67" t="e">
        <f t="shared" si="10"/>
        <v>#NAME?</v>
      </c>
      <c r="BD33" s="67" t="e">
        <f t="shared" si="11"/>
        <v>#NAME?</v>
      </c>
      <c r="BE33" s="67" t="e">
        <f t="shared" si="33"/>
        <v>#NAME?</v>
      </c>
      <c r="BF33" s="67" t="e">
        <f t="shared" si="58"/>
        <v>#NAME?</v>
      </c>
      <c r="BG33" s="67" t="e">
        <f t="shared" si="59"/>
        <v>#NAME?</v>
      </c>
    </row>
    <row r="34" spans="1:59" ht="15.75" x14ac:dyDescent="0.25">
      <c r="A34" s="8" t="s">
        <v>58</v>
      </c>
      <c r="B34" s="11" t="s">
        <v>59</v>
      </c>
      <c r="C34" s="63" t="s">
        <v>60</v>
      </c>
      <c r="D34" s="64"/>
      <c r="E34" s="65"/>
      <c r="F34" s="66" t="e">
        <f t="shared" si="34"/>
        <v>#NAME?</v>
      </c>
      <c r="G34" s="66" t="e">
        <f t="shared" si="35"/>
        <v>#NAME?</v>
      </c>
      <c r="H34" s="66" t="e">
        <f t="shared" si="36"/>
        <v>#NAME?</v>
      </c>
      <c r="I34" s="66" t="e">
        <f t="shared" si="37"/>
        <v>#NAME?</v>
      </c>
      <c r="J34" s="66" t="e">
        <f t="shared" si="38"/>
        <v>#NAME?</v>
      </c>
      <c r="K34" s="66" t="e">
        <f t="shared" si="39"/>
        <v>#NAME?</v>
      </c>
      <c r="L34" s="66" t="e">
        <f t="shared" si="40"/>
        <v>#NAME?</v>
      </c>
      <c r="M34" s="66" t="e">
        <f t="shared" si="41"/>
        <v>#NAME?</v>
      </c>
      <c r="N34" s="66" t="e">
        <f t="shared" si="42"/>
        <v>#NAME?</v>
      </c>
      <c r="O34" s="66" t="e">
        <f t="shared" si="43"/>
        <v>#NAME?</v>
      </c>
      <c r="P34" s="66" t="e">
        <f t="shared" si="44"/>
        <v>#NAME?</v>
      </c>
      <c r="Q34" s="66" t="e">
        <f t="shared" si="45"/>
        <v>#NAME?</v>
      </c>
      <c r="R34" s="67" t="e">
        <f t="shared" si="46"/>
        <v>#NAME?</v>
      </c>
      <c r="S34" s="67" t="e">
        <f t="shared" si="4"/>
        <v>#NAME?</v>
      </c>
      <c r="T34" s="67" t="e">
        <f t="shared" si="5"/>
        <v>#NAME?</v>
      </c>
      <c r="U34" s="67" t="e">
        <f t="shared" si="47"/>
        <v>#NAME?</v>
      </c>
      <c r="V34" s="67" t="e">
        <f t="shared" si="48"/>
        <v>#NAME?</v>
      </c>
      <c r="W34" s="67" t="e">
        <f t="shared" si="49"/>
        <v>#NAME?</v>
      </c>
      <c r="X34" s="66" t="e">
        <f t="shared" si="12"/>
        <v>#NAME?</v>
      </c>
      <c r="Y34" s="66" t="e">
        <f t="shared" si="13"/>
        <v>#NAME?</v>
      </c>
      <c r="Z34" s="66" t="e">
        <f t="shared" si="50"/>
        <v>#NAME?</v>
      </c>
      <c r="AA34" s="66" t="e">
        <f t="shared" si="14"/>
        <v>#NAME?</v>
      </c>
      <c r="AB34" s="66" t="e">
        <f t="shared" si="15"/>
        <v>#NAME?</v>
      </c>
      <c r="AC34" s="66" t="e">
        <f t="shared" si="16"/>
        <v>#NAME?</v>
      </c>
      <c r="AD34" s="66" t="e">
        <f t="shared" si="17"/>
        <v>#NAME?</v>
      </c>
      <c r="AE34" s="66" t="e">
        <f t="shared" si="18"/>
        <v>#NAME?</v>
      </c>
      <c r="AF34" s="66" t="e">
        <f t="shared" si="51"/>
        <v>#NAME?</v>
      </c>
      <c r="AG34" s="66" t="e">
        <f t="shared" si="19"/>
        <v>#NAME?</v>
      </c>
      <c r="AH34" s="66" t="e">
        <f t="shared" si="20"/>
        <v>#NAME?</v>
      </c>
      <c r="AI34" s="66" t="e">
        <f t="shared" si="21"/>
        <v>#NAME?</v>
      </c>
      <c r="AJ34" s="67" t="e">
        <f t="shared" si="52"/>
        <v>#NAME?</v>
      </c>
      <c r="AK34" s="67" t="e">
        <f t="shared" si="7"/>
        <v>#NAME?</v>
      </c>
      <c r="AL34" s="67" t="e">
        <f t="shared" si="8"/>
        <v>#NAME?</v>
      </c>
      <c r="AM34" s="67" t="e">
        <f t="shared" si="22"/>
        <v>#NAME?</v>
      </c>
      <c r="AN34" s="67" t="e">
        <f t="shared" si="53"/>
        <v>#NAME?</v>
      </c>
      <c r="AO34" s="67" t="e">
        <f t="shared" si="54"/>
        <v>#NAME?</v>
      </c>
      <c r="AP34" s="66" t="e">
        <f t="shared" si="23"/>
        <v>#NAME?</v>
      </c>
      <c r="AQ34" s="66" t="e">
        <f t="shared" si="24"/>
        <v>#NAME?</v>
      </c>
      <c r="AR34" s="66" t="e">
        <f t="shared" si="55"/>
        <v>#NAME?</v>
      </c>
      <c r="AS34" s="66" t="e">
        <f t="shared" si="25"/>
        <v>#NAME?</v>
      </c>
      <c r="AT34" s="66" t="e">
        <f t="shared" si="26"/>
        <v>#NAME?</v>
      </c>
      <c r="AU34" s="66" t="e">
        <f t="shared" si="27"/>
        <v>#NAME?</v>
      </c>
      <c r="AV34" s="66" t="e">
        <f t="shared" si="28"/>
        <v>#NAME?</v>
      </c>
      <c r="AW34" s="66" t="e">
        <f t="shared" si="29"/>
        <v>#NAME?</v>
      </c>
      <c r="AX34" s="66" t="e">
        <f t="shared" si="56"/>
        <v>#NAME?</v>
      </c>
      <c r="AY34" s="66" t="e">
        <f t="shared" si="30"/>
        <v>#NAME?</v>
      </c>
      <c r="AZ34" s="66" t="e">
        <f t="shared" si="31"/>
        <v>#NAME?</v>
      </c>
      <c r="BA34" s="66" t="e">
        <f t="shared" si="32"/>
        <v>#NAME?</v>
      </c>
      <c r="BB34" s="67" t="e">
        <f t="shared" si="57"/>
        <v>#NAME?</v>
      </c>
      <c r="BC34" s="67" t="e">
        <f t="shared" si="10"/>
        <v>#NAME?</v>
      </c>
      <c r="BD34" s="67" t="e">
        <f t="shared" si="11"/>
        <v>#NAME?</v>
      </c>
      <c r="BE34" s="67" t="e">
        <f t="shared" si="33"/>
        <v>#NAME?</v>
      </c>
      <c r="BF34" s="67" t="e">
        <f t="shared" si="58"/>
        <v>#NAME?</v>
      </c>
      <c r="BG34" s="67" t="e">
        <f t="shared" si="59"/>
        <v>#NAME?</v>
      </c>
    </row>
    <row r="35" spans="1:59" s="62" customFormat="1" ht="15.75" x14ac:dyDescent="0.25">
      <c r="A35" s="56" t="s">
        <v>61</v>
      </c>
      <c r="B35" s="57" t="s">
        <v>62</v>
      </c>
      <c r="C35" s="58" t="s">
        <v>63</v>
      </c>
      <c r="D35" s="59"/>
      <c r="E35" s="60"/>
      <c r="F35" s="61" t="e">
        <f>SUM(F36:F46)</f>
        <v>#NAME?</v>
      </c>
      <c r="G35" s="61" t="e">
        <f>SUM(G36:G46)</f>
        <v>#NAME?</v>
      </c>
      <c r="H35" s="61" t="e">
        <f t="shared" ref="H35:Q35" si="60">SUM(H36:H46)</f>
        <v>#NAME?</v>
      </c>
      <c r="I35" s="61" t="e">
        <f t="shared" si="60"/>
        <v>#NAME?</v>
      </c>
      <c r="J35" s="61" t="e">
        <f t="shared" si="60"/>
        <v>#NAME?</v>
      </c>
      <c r="K35" s="61" t="e">
        <f t="shared" si="60"/>
        <v>#NAME?</v>
      </c>
      <c r="L35" s="61" t="e">
        <f t="shared" si="60"/>
        <v>#NAME?</v>
      </c>
      <c r="M35" s="61" t="e">
        <f>SUM(M36:M46)</f>
        <v>#NAME?</v>
      </c>
      <c r="N35" s="61" t="e">
        <f t="shared" si="60"/>
        <v>#NAME?</v>
      </c>
      <c r="O35" s="61" t="e">
        <f t="shared" si="60"/>
        <v>#NAME?</v>
      </c>
      <c r="P35" s="61" t="e">
        <f t="shared" si="60"/>
        <v>#NAME?</v>
      </c>
      <c r="Q35" s="61" t="e">
        <f t="shared" si="60"/>
        <v>#NAME?</v>
      </c>
      <c r="R35" s="61" t="e">
        <f t="shared" si="46"/>
        <v>#NAME?</v>
      </c>
      <c r="S35" s="61" t="e">
        <f t="shared" si="4"/>
        <v>#NAME?</v>
      </c>
      <c r="T35" s="61" t="e">
        <f t="shared" si="5"/>
        <v>#NAME?</v>
      </c>
      <c r="U35" s="61" t="e">
        <f t="shared" ref="U35:AI35" si="61">SUM(U36:U46)</f>
        <v>#NAME?</v>
      </c>
      <c r="V35" s="61" t="e">
        <f t="shared" si="61"/>
        <v>#NAME?</v>
      </c>
      <c r="W35" s="61" t="e">
        <f t="shared" si="61"/>
        <v>#NAME?</v>
      </c>
      <c r="X35" s="61" t="e">
        <f t="shared" si="61"/>
        <v>#NAME?</v>
      </c>
      <c r="Y35" s="61" t="e">
        <f t="shared" si="61"/>
        <v>#NAME?</v>
      </c>
      <c r="Z35" s="61" t="e">
        <f t="shared" si="61"/>
        <v>#NAME?</v>
      </c>
      <c r="AA35" s="61" t="e">
        <f t="shared" si="61"/>
        <v>#NAME?</v>
      </c>
      <c r="AB35" s="61" t="e">
        <f t="shared" si="61"/>
        <v>#NAME?</v>
      </c>
      <c r="AC35" s="61" t="e">
        <f t="shared" si="61"/>
        <v>#NAME?</v>
      </c>
      <c r="AD35" s="61" t="e">
        <f t="shared" si="61"/>
        <v>#NAME?</v>
      </c>
      <c r="AE35" s="61" t="e">
        <f t="shared" si="61"/>
        <v>#NAME?</v>
      </c>
      <c r="AF35" s="61" t="e">
        <f t="shared" si="61"/>
        <v>#NAME?</v>
      </c>
      <c r="AG35" s="61" t="e">
        <f t="shared" si="61"/>
        <v>#NAME?</v>
      </c>
      <c r="AH35" s="61" t="e">
        <f t="shared" si="61"/>
        <v>#NAME?</v>
      </c>
      <c r="AI35" s="61" t="e">
        <f t="shared" si="61"/>
        <v>#NAME?</v>
      </c>
      <c r="AJ35" s="61" t="e">
        <f t="shared" si="52"/>
        <v>#NAME?</v>
      </c>
      <c r="AK35" s="61" t="e">
        <f t="shared" si="7"/>
        <v>#NAME?</v>
      </c>
      <c r="AL35" s="61" t="e">
        <f t="shared" si="8"/>
        <v>#NAME?</v>
      </c>
      <c r="AM35" s="61" t="e">
        <f t="shared" ref="AM35:BA35" si="62">SUM(AM36:AM46)</f>
        <v>#NAME?</v>
      </c>
      <c r="AN35" s="61" t="e">
        <f t="shared" si="62"/>
        <v>#NAME?</v>
      </c>
      <c r="AO35" s="61" t="e">
        <f t="shared" si="62"/>
        <v>#NAME?</v>
      </c>
      <c r="AP35" s="61" t="e">
        <f t="shared" si="62"/>
        <v>#NAME?</v>
      </c>
      <c r="AQ35" s="61" t="e">
        <f t="shared" si="62"/>
        <v>#NAME?</v>
      </c>
      <c r="AR35" s="61" t="e">
        <f t="shared" si="62"/>
        <v>#NAME?</v>
      </c>
      <c r="AS35" s="61" t="e">
        <f t="shared" si="62"/>
        <v>#NAME?</v>
      </c>
      <c r="AT35" s="61" t="e">
        <f t="shared" si="62"/>
        <v>#NAME?</v>
      </c>
      <c r="AU35" s="61" t="e">
        <f t="shared" si="62"/>
        <v>#NAME?</v>
      </c>
      <c r="AV35" s="61" t="e">
        <f t="shared" si="62"/>
        <v>#NAME?</v>
      </c>
      <c r="AW35" s="61" t="e">
        <f t="shared" si="62"/>
        <v>#NAME?</v>
      </c>
      <c r="AX35" s="61" t="e">
        <f t="shared" si="62"/>
        <v>#NAME?</v>
      </c>
      <c r="AY35" s="61" t="e">
        <f t="shared" si="62"/>
        <v>#NAME?</v>
      </c>
      <c r="AZ35" s="61" t="e">
        <f t="shared" si="62"/>
        <v>#NAME?</v>
      </c>
      <c r="BA35" s="61" t="e">
        <f t="shared" si="62"/>
        <v>#NAME?</v>
      </c>
      <c r="BB35" s="61" t="e">
        <f t="shared" si="57"/>
        <v>#NAME?</v>
      </c>
      <c r="BC35" s="61" t="e">
        <f t="shared" si="10"/>
        <v>#NAME?</v>
      </c>
      <c r="BD35" s="61" t="e">
        <f t="shared" si="11"/>
        <v>#NAME?</v>
      </c>
      <c r="BE35" s="61" t="e">
        <f>SUM(BE36:BE46)</f>
        <v>#NAME?</v>
      </c>
      <c r="BF35" s="61" t="e">
        <f>SUM(BF36:BF46)</f>
        <v>#NAME?</v>
      </c>
      <c r="BG35" s="61" t="e">
        <f>SUM(BG36:BG46)</f>
        <v>#NAME?</v>
      </c>
    </row>
    <row r="36" spans="1:59" ht="15.75" x14ac:dyDescent="0.25">
      <c r="A36" s="8" t="s">
        <v>64</v>
      </c>
      <c r="B36" s="11" t="s">
        <v>65</v>
      </c>
      <c r="C36" s="63" t="s">
        <v>66</v>
      </c>
      <c r="D36" s="64"/>
      <c r="E36" s="65"/>
      <c r="F36" s="66" t="e">
        <f t="shared" ref="F36:F46" si="63">X36+AP36</f>
        <v>#NAME?</v>
      </c>
      <c r="G36" s="66" t="e">
        <f t="shared" ref="G36:G46" si="64">Y36+AQ36</f>
        <v>#NAME?</v>
      </c>
      <c r="H36" s="66" t="e">
        <f t="shared" ref="H36:H46" si="65">I36+J36</f>
        <v>#NAME?</v>
      </c>
      <c r="I36" s="66" t="e">
        <f t="shared" ref="I36:I46" si="66">AA36+AS36</f>
        <v>#NAME?</v>
      </c>
      <c r="J36" s="66" t="e">
        <f t="shared" ref="J36:J46" si="67">AB36+AT36</f>
        <v>#NAME?</v>
      </c>
      <c r="K36" s="66" t="e">
        <f t="shared" ref="K36:K46" si="68">AC36+AU36</f>
        <v>#NAME?</v>
      </c>
      <c r="L36" s="66" t="e">
        <f t="shared" ref="L36:L46" si="69">AD36+AV36</f>
        <v>#NAME?</v>
      </c>
      <c r="M36" s="66" t="e">
        <f t="shared" ref="M36:M46" si="70">AE36+AW36</f>
        <v>#NAME?</v>
      </c>
      <c r="N36" s="66" t="e">
        <f t="shared" ref="N36:N46" si="71">O36+Q36</f>
        <v>#NAME?</v>
      </c>
      <c r="O36" s="66" t="e">
        <f t="shared" ref="O36:O46" si="72">AG36+AY36</f>
        <v>#NAME?</v>
      </c>
      <c r="P36" s="66" t="e">
        <f t="shared" ref="P36:P46" si="73">AH36+AZ36</f>
        <v>#NAME?</v>
      </c>
      <c r="Q36" s="66" t="e">
        <f t="shared" ref="Q36:Q46" si="74">AI36+BA36</f>
        <v>#NAME?</v>
      </c>
      <c r="R36" s="67" t="e">
        <f t="shared" si="46"/>
        <v>#NAME?</v>
      </c>
      <c r="S36" s="67" t="e">
        <f t="shared" si="4"/>
        <v>#NAME?</v>
      </c>
      <c r="T36" s="67" t="e">
        <f t="shared" si="5"/>
        <v>#NAME?</v>
      </c>
      <c r="U36" s="67" t="e">
        <f t="shared" ref="U36:U46" si="75">AM36+BE36</f>
        <v>#NAME?</v>
      </c>
      <c r="V36" s="67" t="e">
        <f t="shared" ref="V36:V46" si="76">(G36+K36+L36-O36-U36)</f>
        <v>#NAME?</v>
      </c>
      <c r="W36" s="67" t="e">
        <f t="shared" ref="W36:W46" si="77">(I36-O36)</f>
        <v>#NAME?</v>
      </c>
      <c r="X36" s="66" t="e">
        <f t="shared" ref="X36:X46" si="78">КОЛ4020/$G$1</f>
        <v>#NAME?</v>
      </c>
      <c r="Y36" s="66" t="e">
        <f t="shared" ref="Y36:Y46" si="79">КОЛ4005/$G$1</f>
        <v>#NAME?</v>
      </c>
      <c r="Z36" s="66" t="e">
        <f t="shared" ref="Z36:Z46" si="80">AA36+AB36</f>
        <v>#NAME?</v>
      </c>
      <c r="AA36" s="66" t="e">
        <f t="shared" ref="AA36:AA46" si="81">КОЛ4007/$G$1</f>
        <v>#NAME?</v>
      </c>
      <c r="AB36" s="66" t="e">
        <f t="shared" ref="AB36:AB46" si="82">КОЛ4008/$G$1</f>
        <v>#NAME?</v>
      </c>
      <c r="AC36" s="66" t="e">
        <f t="shared" ref="AC36:AC46" si="83">КОЛ4009/$G$1</f>
        <v>#NAME?</v>
      </c>
      <c r="AD36" s="66" t="e">
        <f t="shared" ref="AD36:AD46" si="84">КОЛ4010/$G$1</f>
        <v>#NAME?</v>
      </c>
      <c r="AE36" s="66" t="e">
        <f t="shared" ref="AE36:AE46" si="85">КОЛ4011/$G$1</f>
        <v>#NAME?</v>
      </c>
      <c r="AF36" s="66" t="e">
        <f t="shared" ref="AF36:AF46" si="86">AG36+AI36</f>
        <v>#NAME?</v>
      </c>
      <c r="AG36" s="66" t="e">
        <f t="shared" ref="AG36:AG46" si="87">КОЛ4013/$G$1</f>
        <v>#NAME?</v>
      </c>
      <c r="AH36" s="66" t="e">
        <f t="shared" ref="AH36:AH46" si="88">КОЛ4014/$G$1</f>
        <v>#NAME?</v>
      </c>
      <c r="AI36" s="66" t="e">
        <f t="shared" ref="AI36:AI46" si="89">КОЛ4015/$G$1</f>
        <v>#NAME?</v>
      </c>
      <c r="AJ36" s="67" t="e">
        <f t="shared" si="52"/>
        <v>#NAME?</v>
      </c>
      <c r="AK36" s="67" t="e">
        <f t="shared" si="7"/>
        <v>#NAME?</v>
      </c>
      <c r="AL36" s="67" t="e">
        <f t="shared" si="8"/>
        <v>#NAME?</v>
      </c>
      <c r="AM36" s="67" t="e">
        <f t="shared" ref="AM36:AM46" si="90">КОЛ4017/$G$1</f>
        <v>#NAME?</v>
      </c>
      <c r="AN36" s="67" t="e">
        <f t="shared" ref="AN36:AN46" si="91">(Y36+AC36+AD36-AG36-AM36)</f>
        <v>#NAME?</v>
      </c>
      <c r="AO36" s="67" t="e">
        <f t="shared" ref="AO36:AO46" si="92">(AA36-AG36)</f>
        <v>#NAME?</v>
      </c>
      <c r="AP36" s="66" t="e">
        <f t="shared" ref="AP36:AP46" si="93">КОЛ4120/$G$1</f>
        <v>#NAME?</v>
      </c>
      <c r="AQ36" s="66" t="e">
        <f t="shared" ref="AQ36:AQ46" si="94">КОЛ4105/$G$1</f>
        <v>#NAME?</v>
      </c>
      <c r="AR36" s="66" t="e">
        <f t="shared" ref="AR36:AR46" si="95">AS36+AT36</f>
        <v>#NAME?</v>
      </c>
      <c r="AS36" s="66" t="e">
        <f t="shared" ref="AS36:AS46" si="96">КОЛ4107/$G$1</f>
        <v>#NAME?</v>
      </c>
      <c r="AT36" s="66" t="e">
        <f t="shared" ref="AT36:AT46" si="97">КОЛ4108/$G$1</f>
        <v>#NAME?</v>
      </c>
      <c r="AU36" s="66" t="e">
        <f t="shared" ref="AU36:AU46" si="98">КОЛ4109/$G$1</f>
        <v>#NAME?</v>
      </c>
      <c r="AV36" s="66" t="e">
        <f t="shared" ref="AV36:AV46" si="99">КОЛ4110/$G$1</f>
        <v>#NAME?</v>
      </c>
      <c r="AW36" s="66" t="e">
        <f t="shared" ref="AW36:AW46" si="100">КОЛ4111/$G$1</f>
        <v>#NAME?</v>
      </c>
      <c r="AX36" s="66" t="e">
        <f t="shared" ref="AX36:AX46" si="101">AY36+BA36</f>
        <v>#NAME?</v>
      </c>
      <c r="AY36" s="66" t="e">
        <f t="shared" ref="AY36:AY46" si="102">КОЛ4113/$G$1</f>
        <v>#NAME?</v>
      </c>
      <c r="AZ36" s="66" t="e">
        <f t="shared" ref="AZ36:AZ46" si="103">КОЛ4114/$G$1</f>
        <v>#NAME?</v>
      </c>
      <c r="BA36" s="66" t="e">
        <f t="shared" ref="BA36:BA46" si="104">КОЛ4115/$G$1</f>
        <v>#NAME?</v>
      </c>
      <c r="BB36" s="67" t="e">
        <f t="shared" si="57"/>
        <v>#NAME?</v>
      </c>
      <c r="BC36" s="67" t="e">
        <f t="shared" si="10"/>
        <v>#NAME?</v>
      </c>
      <c r="BD36" s="67" t="e">
        <f t="shared" si="11"/>
        <v>#NAME?</v>
      </c>
      <c r="BE36" s="67" t="e">
        <f t="shared" ref="BE36:BE46" si="105">КОЛ4117/$G$1</f>
        <v>#NAME?</v>
      </c>
      <c r="BF36" s="67" t="e">
        <f t="shared" ref="BF36:BF46" si="106">(AQ36+AU36+AV36-AY36-BE36)</f>
        <v>#NAME?</v>
      </c>
      <c r="BG36" s="67" t="e">
        <f t="shared" ref="BG36:BG46" si="107">(AS36-AY36)</f>
        <v>#NAME?</v>
      </c>
    </row>
    <row r="37" spans="1:59" ht="15.75" x14ac:dyDescent="0.25">
      <c r="A37" s="8" t="s">
        <v>67</v>
      </c>
      <c r="B37" s="11" t="s">
        <v>68</v>
      </c>
      <c r="C37" s="63" t="s">
        <v>69</v>
      </c>
      <c r="D37" s="64"/>
      <c r="E37" s="65"/>
      <c r="F37" s="66" t="e">
        <f t="shared" si="63"/>
        <v>#NAME?</v>
      </c>
      <c r="G37" s="66" t="e">
        <f t="shared" si="64"/>
        <v>#NAME?</v>
      </c>
      <c r="H37" s="66" t="e">
        <f t="shared" si="65"/>
        <v>#NAME?</v>
      </c>
      <c r="I37" s="66" t="e">
        <f t="shared" si="66"/>
        <v>#NAME?</v>
      </c>
      <c r="J37" s="66" t="e">
        <f t="shared" si="67"/>
        <v>#NAME?</v>
      </c>
      <c r="K37" s="66" t="e">
        <f t="shared" si="68"/>
        <v>#NAME?</v>
      </c>
      <c r="L37" s="66" t="e">
        <f t="shared" si="69"/>
        <v>#NAME?</v>
      </c>
      <c r="M37" s="66" t="e">
        <f t="shared" si="70"/>
        <v>#NAME?</v>
      </c>
      <c r="N37" s="66" t="e">
        <f t="shared" si="71"/>
        <v>#NAME?</v>
      </c>
      <c r="O37" s="66" t="e">
        <f t="shared" si="72"/>
        <v>#NAME?</v>
      </c>
      <c r="P37" s="66" t="e">
        <f t="shared" si="73"/>
        <v>#NAME?</v>
      </c>
      <c r="Q37" s="66" t="e">
        <f t="shared" si="74"/>
        <v>#NAME?</v>
      </c>
      <c r="R37" s="67" t="e">
        <f t="shared" si="46"/>
        <v>#NAME?</v>
      </c>
      <c r="S37" s="67" t="e">
        <f t="shared" si="4"/>
        <v>#NAME?</v>
      </c>
      <c r="T37" s="67" t="e">
        <f t="shared" si="5"/>
        <v>#NAME?</v>
      </c>
      <c r="U37" s="67" t="e">
        <f t="shared" si="75"/>
        <v>#NAME?</v>
      </c>
      <c r="V37" s="67" t="e">
        <f t="shared" si="76"/>
        <v>#NAME?</v>
      </c>
      <c r="W37" s="67" t="e">
        <f t="shared" si="77"/>
        <v>#NAME?</v>
      </c>
      <c r="X37" s="66" t="e">
        <f t="shared" si="78"/>
        <v>#NAME?</v>
      </c>
      <c r="Y37" s="66" t="e">
        <f t="shared" si="79"/>
        <v>#NAME?</v>
      </c>
      <c r="Z37" s="66" t="e">
        <f t="shared" si="80"/>
        <v>#NAME?</v>
      </c>
      <c r="AA37" s="66" t="e">
        <f t="shared" si="81"/>
        <v>#NAME?</v>
      </c>
      <c r="AB37" s="66" t="e">
        <f t="shared" si="82"/>
        <v>#NAME?</v>
      </c>
      <c r="AC37" s="66" t="e">
        <f t="shared" si="83"/>
        <v>#NAME?</v>
      </c>
      <c r="AD37" s="66" t="e">
        <f t="shared" si="84"/>
        <v>#NAME?</v>
      </c>
      <c r="AE37" s="66" t="e">
        <f t="shared" si="85"/>
        <v>#NAME?</v>
      </c>
      <c r="AF37" s="66" t="e">
        <f t="shared" si="86"/>
        <v>#NAME?</v>
      </c>
      <c r="AG37" s="66" t="e">
        <f t="shared" si="87"/>
        <v>#NAME?</v>
      </c>
      <c r="AH37" s="66" t="e">
        <f t="shared" si="88"/>
        <v>#NAME?</v>
      </c>
      <c r="AI37" s="66" t="e">
        <f t="shared" si="89"/>
        <v>#NAME?</v>
      </c>
      <c r="AJ37" s="67" t="e">
        <f t="shared" si="52"/>
        <v>#NAME?</v>
      </c>
      <c r="AK37" s="67" t="e">
        <f t="shared" si="7"/>
        <v>#NAME?</v>
      </c>
      <c r="AL37" s="67" t="e">
        <f t="shared" si="8"/>
        <v>#NAME?</v>
      </c>
      <c r="AM37" s="67" t="e">
        <f t="shared" si="90"/>
        <v>#NAME?</v>
      </c>
      <c r="AN37" s="67" t="e">
        <f t="shared" si="91"/>
        <v>#NAME?</v>
      </c>
      <c r="AO37" s="67" t="e">
        <f t="shared" si="92"/>
        <v>#NAME?</v>
      </c>
      <c r="AP37" s="66" t="e">
        <f t="shared" si="93"/>
        <v>#NAME?</v>
      </c>
      <c r="AQ37" s="66" t="e">
        <f t="shared" si="94"/>
        <v>#NAME?</v>
      </c>
      <c r="AR37" s="66" t="e">
        <f t="shared" si="95"/>
        <v>#NAME?</v>
      </c>
      <c r="AS37" s="66" t="e">
        <f t="shared" si="96"/>
        <v>#NAME?</v>
      </c>
      <c r="AT37" s="66" t="e">
        <f t="shared" si="97"/>
        <v>#NAME?</v>
      </c>
      <c r="AU37" s="66" t="e">
        <f t="shared" si="98"/>
        <v>#NAME?</v>
      </c>
      <c r="AV37" s="66" t="e">
        <f t="shared" si="99"/>
        <v>#NAME?</v>
      </c>
      <c r="AW37" s="66" t="e">
        <f t="shared" si="100"/>
        <v>#NAME?</v>
      </c>
      <c r="AX37" s="66" t="e">
        <f t="shared" si="101"/>
        <v>#NAME?</v>
      </c>
      <c r="AY37" s="66" t="e">
        <f t="shared" si="102"/>
        <v>#NAME?</v>
      </c>
      <c r="AZ37" s="66" t="e">
        <f t="shared" si="103"/>
        <v>#NAME?</v>
      </c>
      <c r="BA37" s="66" t="e">
        <f t="shared" si="104"/>
        <v>#NAME?</v>
      </c>
      <c r="BB37" s="67" t="e">
        <f t="shared" si="57"/>
        <v>#NAME?</v>
      </c>
      <c r="BC37" s="67" t="e">
        <f t="shared" si="10"/>
        <v>#NAME?</v>
      </c>
      <c r="BD37" s="67" t="e">
        <f t="shared" si="11"/>
        <v>#NAME?</v>
      </c>
      <c r="BE37" s="67" t="e">
        <f t="shared" si="105"/>
        <v>#NAME?</v>
      </c>
      <c r="BF37" s="67" t="e">
        <f t="shared" si="106"/>
        <v>#NAME?</v>
      </c>
      <c r="BG37" s="67" t="e">
        <f t="shared" si="107"/>
        <v>#NAME?</v>
      </c>
    </row>
    <row r="38" spans="1:59" ht="15.75" x14ac:dyDescent="0.25">
      <c r="A38" s="8" t="s">
        <v>70</v>
      </c>
      <c r="B38" s="11" t="s">
        <v>71</v>
      </c>
      <c r="C38" s="63" t="s">
        <v>72</v>
      </c>
      <c r="D38" s="64"/>
      <c r="E38" s="65"/>
      <c r="F38" s="66" t="e">
        <f t="shared" si="63"/>
        <v>#NAME?</v>
      </c>
      <c r="G38" s="66" t="e">
        <f t="shared" si="64"/>
        <v>#NAME?</v>
      </c>
      <c r="H38" s="66" t="e">
        <f t="shared" si="65"/>
        <v>#NAME?</v>
      </c>
      <c r="I38" s="66" t="e">
        <f t="shared" si="66"/>
        <v>#NAME?</v>
      </c>
      <c r="J38" s="66" t="e">
        <f t="shared" si="67"/>
        <v>#NAME?</v>
      </c>
      <c r="K38" s="66" t="e">
        <f t="shared" si="68"/>
        <v>#NAME?</v>
      </c>
      <c r="L38" s="66" t="e">
        <f t="shared" si="69"/>
        <v>#NAME?</v>
      </c>
      <c r="M38" s="66" t="e">
        <f t="shared" si="70"/>
        <v>#NAME?</v>
      </c>
      <c r="N38" s="66" t="e">
        <f t="shared" si="71"/>
        <v>#NAME?</v>
      </c>
      <c r="O38" s="66" t="e">
        <f t="shared" si="72"/>
        <v>#NAME?</v>
      </c>
      <c r="P38" s="66" t="e">
        <f t="shared" si="73"/>
        <v>#NAME?</v>
      </c>
      <c r="Q38" s="66" t="e">
        <f t="shared" si="74"/>
        <v>#NAME?</v>
      </c>
      <c r="R38" s="67" t="e">
        <f t="shared" si="46"/>
        <v>#NAME?</v>
      </c>
      <c r="S38" s="67" t="e">
        <f t="shared" si="4"/>
        <v>#NAME?</v>
      </c>
      <c r="T38" s="67" t="e">
        <f t="shared" si="5"/>
        <v>#NAME?</v>
      </c>
      <c r="U38" s="67" t="e">
        <f t="shared" si="75"/>
        <v>#NAME?</v>
      </c>
      <c r="V38" s="67" t="e">
        <f t="shared" si="76"/>
        <v>#NAME?</v>
      </c>
      <c r="W38" s="67" t="e">
        <f t="shared" si="77"/>
        <v>#NAME?</v>
      </c>
      <c r="X38" s="66" t="e">
        <f t="shared" si="78"/>
        <v>#NAME?</v>
      </c>
      <c r="Y38" s="66" t="e">
        <f t="shared" si="79"/>
        <v>#NAME?</v>
      </c>
      <c r="Z38" s="66" t="e">
        <f t="shared" si="80"/>
        <v>#NAME?</v>
      </c>
      <c r="AA38" s="66" t="e">
        <f t="shared" si="81"/>
        <v>#NAME?</v>
      </c>
      <c r="AB38" s="66" t="e">
        <f t="shared" si="82"/>
        <v>#NAME?</v>
      </c>
      <c r="AC38" s="66" t="e">
        <f t="shared" si="83"/>
        <v>#NAME?</v>
      </c>
      <c r="AD38" s="66" t="e">
        <f t="shared" si="84"/>
        <v>#NAME?</v>
      </c>
      <c r="AE38" s="66" t="e">
        <f t="shared" si="85"/>
        <v>#NAME?</v>
      </c>
      <c r="AF38" s="66" t="e">
        <f t="shared" si="86"/>
        <v>#NAME?</v>
      </c>
      <c r="AG38" s="66" t="e">
        <f t="shared" si="87"/>
        <v>#NAME?</v>
      </c>
      <c r="AH38" s="66" t="e">
        <f t="shared" si="88"/>
        <v>#NAME?</v>
      </c>
      <c r="AI38" s="66" t="e">
        <f t="shared" si="89"/>
        <v>#NAME?</v>
      </c>
      <c r="AJ38" s="67" t="e">
        <f t="shared" si="52"/>
        <v>#NAME?</v>
      </c>
      <c r="AK38" s="67" t="e">
        <f t="shared" si="7"/>
        <v>#NAME?</v>
      </c>
      <c r="AL38" s="67" t="e">
        <f t="shared" si="8"/>
        <v>#NAME?</v>
      </c>
      <c r="AM38" s="67" t="e">
        <f t="shared" si="90"/>
        <v>#NAME?</v>
      </c>
      <c r="AN38" s="67" t="e">
        <f t="shared" si="91"/>
        <v>#NAME?</v>
      </c>
      <c r="AO38" s="67" t="e">
        <f t="shared" si="92"/>
        <v>#NAME?</v>
      </c>
      <c r="AP38" s="66" t="e">
        <f t="shared" si="93"/>
        <v>#NAME?</v>
      </c>
      <c r="AQ38" s="66" t="e">
        <f t="shared" si="94"/>
        <v>#NAME?</v>
      </c>
      <c r="AR38" s="66" t="e">
        <f t="shared" si="95"/>
        <v>#NAME?</v>
      </c>
      <c r="AS38" s="66" t="e">
        <f t="shared" si="96"/>
        <v>#NAME?</v>
      </c>
      <c r="AT38" s="66" t="e">
        <f t="shared" si="97"/>
        <v>#NAME?</v>
      </c>
      <c r="AU38" s="66" t="e">
        <f t="shared" si="98"/>
        <v>#NAME?</v>
      </c>
      <c r="AV38" s="66" t="e">
        <f t="shared" si="99"/>
        <v>#NAME?</v>
      </c>
      <c r="AW38" s="66" t="e">
        <f t="shared" si="100"/>
        <v>#NAME?</v>
      </c>
      <c r="AX38" s="66" t="e">
        <f t="shared" si="101"/>
        <v>#NAME?</v>
      </c>
      <c r="AY38" s="66" t="e">
        <f t="shared" si="102"/>
        <v>#NAME?</v>
      </c>
      <c r="AZ38" s="66" t="e">
        <f t="shared" si="103"/>
        <v>#NAME?</v>
      </c>
      <c r="BA38" s="66" t="e">
        <f t="shared" si="104"/>
        <v>#NAME?</v>
      </c>
      <c r="BB38" s="67" t="e">
        <f t="shared" si="57"/>
        <v>#NAME?</v>
      </c>
      <c r="BC38" s="67" t="e">
        <f t="shared" si="10"/>
        <v>#NAME?</v>
      </c>
      <c r="BD38" s="67" t="e">
        <f t="shared" si="11"/>
        <v>#NAME?</v>
      </c>
      <c r="BE38" s="67" t="e">
        <f t="shared" si="105"/>
        <v>#NAME?</v>
      </c>
      <c r="BF38" s="67" t="e">
        <f t="shared" si="106"/>
        <v>#NAME?</v>
      </c>
      <c r="BG38" s="67" t="e">
        <f t="shared" si="107"/>
        <v>#NAME?</v>
      </c>
    </row>
    <row r="39" spans="1:59" ht="15.75" x14ac:dyDescent="0.25">
      <c r="A39" s="8" t="s">
        <v>73</v>
      </c>
      <c r="B39" s="11" t="s">
        <v>74</v>
      </c>
      <c r="C39" s="63" t="s">
        <v>298</v>
      </c>
      <c r="D39" s="64"/>
      <c r="E39" s="65"/>
      <c r="F39" s="66" t="e">
        <f t="shared" si="63"/>
        <v>#NAME?</v>
      </c>
      <c r="G39" s="66" t="e">
        <f t="shared" si="64"/>
        <v>#NAME?</v>
      </c>
      <c r="H39" s="66" t="e">
        <f t="shared" si="65"/>
        <v>#NAME?</v>
      </c>
      <c r="I39" s="66" t="e">
        <f t="shared" si="66"/>
        <v>#NAME?</v>
      </c>
      <c r="J39" s="66" t="e">
        <f t="shared" si="67"/>
        <v>#NAME?</v>
      </c>
      <c r="K39" s="66" t="e">
        <f t="shared" si="68"/>
        <v>#NAME?</v>
      </c>
      <c r="L39" s="66" t="e">
        <f t="shared" si="69"/>
        <v>#NAME?</v>
      </c>
      <c r="M39" s="66" t="e">
        <f t="shared" si="70"/>
        <v>#NAME?</v>
      </c>
      <c r="N39" s="66" t="e">
        <f t="shared" si="71"/>
        <v>#NAME?</v>
      </c>
      <c r="O39" s="66" t="e">
        <f t="shared" si="72"/>
        <v>#NAME?</v>
      </c>
      <c r="P39" s="66" t="e">
        <f t="shared" si="73"/>
        <v>#NAME?</v>
      </c>
      <c r="Q39" s="66" t="e">
        <f t="shared" si="74"/>
        <v>#NAME?</v>
      </c>
      <c r="R39" s="67" t="e">
        <f t="shared" si="46"/>
        <v>#NAME?</v>
      </c>
      <c r="S39" s="67" t="e">
        <f t="shared" si="4"/>
        <v>#NAME?</v>
      </c>
      <c r="T39" s="67" t="e">
        <f t="shared" si="5"/>
        <v>#NAME?</v>
      </c>
      <c r="U39" s="67" t="e">
        <f t="shared" si="75"/>
        <v>#NAME?</v>
      </c>
      <c r="V39" s="67" t="e">
        <f t="shared" si="76"/>
        <v>#NAME?</v>
      </c>
      <c r="W39" s="67" t="e">
        <f t="shared" si="77"/>
        <v>#NAME?</v>
      </c>
      <c r="X39" s="66" t="e">
        <f t="shared" si="78"/>
        <v>#NAME?</v>
      </c>
      <c r="Y39" s="66" t="e">
        <f t="shared" si="79"/>
        <v>#NAME?</v>
      </c>
      <c r="Z39" s="66" t="e">
        <f t="shared" si="80"/>
        <v>#NAME?</v>
      </c>
      <c r="AA39" s="66" t="e">
        <f t="shared" si="81"/>
        <v>#NAME?</v>
      </c>
      <c r="AB39" s="66" t="e">
        <f t="shared" si="82"/>
        <v>#NAME?</v>
      </c>
      <c r="AC39" s="66" t="e">
        <f t="shared" si="83"/>
        <v>#NAME?</v>
      </c>
      <c r="AD39" s="66" t="e">
        <f t="shared" si="84"/>
        <v>#NAME?</v>
      </c>
      <c r="AE39" s="66" t="e">
        <f t="shared" si="85"/>
        <v>#NAME?</v>
      </c>
      <c r="AF39" s="66" t="e">
        <f t="shared" si="86"/>
        <v>#NAME?</v>
      </c>
      <c r="AG39" s="66" t="e">
        <f t="shared" si="87"/>
        <v>#NAME?</v>
      </c>
      <c r="AH39" s="66" t="e">
        <f t="shared" si="88"/>
        <v>#NAME?</v>
      </c>
      <c r="AI39" s="66" t="e">
        <f t="shared" si="89"/>
        <v>#NAME?</v>
      </c>
      <c r="AJ39" s="67" t="e">
        <f t="shared" si="52"/>
        <v>#NAME?</v>
      </c>
      <c r="AK39" s="67" t="e">
        <f t="shared" si="7"/>
        <v>#NAME?</v>
      </c>
      <c r="AL39" s="67" t="e">
        <f t="shared" si="8"/>
        <v>#NAME?</v>
      </c>
      <c r="AM39" s="67" t="e">
        <f t="shared" si="90"/>
        <v>#NAME?</v>
      </c>
      <c r="AN39" s="67" t="e">
        <f t="shared" si="91"/>
        <v>#NAME?</v>
      </c>
      <c r="AO39" s="67" t="e">
        <f t="shared" si="92"/>
        <v>#NAME?</v>
      </c>
      <c r="AP39" s="66" t="e">
        <f t="shared" si="93"/>
        <v>#NAME?</v>
      </c>
      <c r="AQ39" s="66" t="e">
        <f t="shared" si="94"/>
        <v>#NAME?</v>
      </c>
      <c r="AR39" s="66" t="e">
        <f t="shared" si="95"/>
        <v>#NAME?</v>
      </c>
      <c r="AS39" s="66" t="e">
        <f t="shared" si="96"/>
        <v>#NAME?</v>
      </c>
      <c r="AT39" s="66" t="e">
        <f t="shared" si="97"/>
        <v>#NAME?</v>
      </c>
      <c r="AU39" s="66" t="e">
        <f t="shared" si="98"/>
        <v>#NAME?</v>
      </c>
      <c r="AV39" s="66" t="e">
        <f t="shared" si="99"/>
        <v>#NAME?</v>
      </c>
      <c r="AW39" s="66" t="e">
        <f t="shared" si="100"/>
        <v>#NAME?</v>
      </c>
      <c r="AX39" s="66" t="e">
        <f t="shared" si="101"/>
        <v>#NAME?</v>
      </c>
      <c r="AY39" s="66" t="e">
        <f t="shared" si="102"/>
        <v>#NAME?</v>
      </c>
      <c r="AZ39" s="66" t="e">
        <f t="shared" si="103"/>
        <v>#NAME?</v>
      </c>
      <c r="BA39" s="66" t="e">
        <f t="shared" si="104"/>
        <v>#NAME?</v>
      </c>
      <c r="BB39" s="67" t="e">
        <f t="shared" si="57"/>
        <v>#NAME?</v>
      </c>
      <c r="BC39" s="67" t="e">
        <f t="shared" si="10"/>
        <v>#NAME?</v>
      </c>
      <c r="BD39" s="67" t="e">
        <f t="shared" si="11"/>
        <v>#NAME?</v>
      </c>
      <c r="BE39" s="67" t="e">
        <f t="shared" si="105"/>
        <v>#NAME?</v>
      </c>
      <c r="BF39" s="67" t="e">
        <f t="shared" si="106"/>
        <v>#NAME?</v>
      </c>
      <c r="BG39" s="67" t="e">
        <f t="shared" si="107"/>
        <v>#NAME?</v>
      </c>
    </row>
    <row r="40" spans="1:59" ht="15.75" x14ac:dyDescent="0.25">
      <c r="A40" s="8" t="s">
        <v>75</v>
      </c>
      <c r="B40" s="11" t="s">
        <v>76</v>
      </c>
      <c r="C40" s="63" t="s">
        <v>77</v>
      </c>
      <c r="D40" s="64"/>
      <c r="E40" s="65"/>
      <c r="F40" s="66" t="e">
        <f t="shared" si="63"/>
        <v>#NAME?</v>
      </c>
      <c r="G40" s="66" t="e">
        <f t="shared" si="64"/>
        <v>#NAME?</v>
      </c>
      <c r="H40" s="66" t="e">
        <f t="shared" si="65"/>
        <v>#NAME?</v>
      </c>
      <c r="I40" s="66" t="e">
        <f t="shared" si="66"/>
        <v>#NAME?</v>
      </c>
      <c r="J40" s="66" t="e">
        <f t="shared" si="67"/>
        <v>#NAME?</v>
      </c>
      <c r="K40" s="66" t="e">
        <f t="shared" si="68"/>
        <v>#NAME?</v>
      </c>
      <c r="L40" s="66" t="e">
        <f t="shared" si="69"/>
        <v>#NAME?</v>
      </c>
      <c r="M40" s="66" t="e">
        <f t="shared" si="70"/>
        <v>#NAME?</v>
      </c>
      <c r="N40" s="66" t="e">
        <f t="shared" si="71"/>
        <v>#NAME?</v>
      </c>
      <c r="O40" s="66" t="e">
        <f t="shared" si="72"/>
        <v>#NAME?</v>
      </c>
      <c r="P40" s="66" t="e">
        <f t="shared" si="73"/>
        <v>#NAME?</v>
      </c>
      <c r="Q40" s="66" t="e">
        <f t="shared" si="74"/>
        <v>#NAME?</v>
      </c>
      <c r="R40" s="67" t="e">
        <f t="shared" si="46"/>
        <v>#NAME?</v>
      </c>
      <c r="S40" s="67" t="e">
        <f t="shared" si="4"/>
        <v>#NAME?</v>
      </c>
      <c r="T40" s="67" t="e">
        <f t="shared" si="5"/>
        <v>#NAME?</v>
      </c>
      <c r="U40" s="67" t="e">
        <f t="shared" si="75"/>
        <v>#NAME?</v>
      </c>
      <c r="V40" s="67" t="e">
        <f t="shared" si="76"/>
        <v>#NAME?</v>
      </c>
      <c r="W40" s="67" t="e">
        <f t="shared" si="77"/>
        <v>#NAME?</v>
      </c>
      <c r="X40" s="66" t="e">
        <f t="shared" si="78"/>
        <v>#NAME?</v>
      </c>
      <c r="Y40" s="66" t="e">
        <f t="shared" si="79"/>
        <v>#NAME?</v>
      </c>
      <c r="Z40" s="66" t="e">
        <f t="shared" si="80"/>
        <v>#NAME?</v>
      </c>
      <c r="AA40" s="66" t="e">
        <f t="shared" si="81"/>
        <v>#NAME?</v>
      </c>
      <c r="AB40" s="66" t="e">
        <f t="shared" si="82"/>
        <v>#NAME?</v>
      </c>
      <c r="AC40" s="66" t="e">
        <f t="shared" si="83"/>
        <v>#NAME?</v>
      </c>
      <c r="AD40" s="66" t="e">
        <f t="shared" si="84"/>
        <v>#NAME?</v>
      </c>
      <c r="AE40" s="66" t="e">
        <f t="shared" si="85"/>
        <v>#NAME?</v>
      </c>
      <c r="AF40" s="66" t="e">
        <f t="shared" si="86"/>
        <v>#NAME?</v>
      </c>
      <c r="AG40" s="66" t="e">
        <f t="shared" si="87"/>
        <v>#NAME?</v>
      </c>
      <c r="AH40" s="66" t="e">
        <f t="shared" si="88"/>
        <v>#NAME?</v>
      </c>
      <c r="AI40" s="66" t="e">
        <f t="shared" si="89"/>
        <v>#NAME?</v>
      </c>
      <c r="AJ40" s="67" t="e">
        <f t="shared" si="52"/>
        <v>#NAME?</v>
      </c>
      <c r="AK40" s="67" t="e">
        <f t="shared" si="7"/>
        <v>#NAME?</v>
      </c>
      <c r="AL40" s="67" t="e">
        <f t="shared" si="8"/>
        <v>#NAME?</v>
      </c>
      <c r="AM40" s="67" t="e">
        <f t="shared" si="90"/>
        <v>#NAME?</v>
      </c>
      <c r="AN40" s="67" t="e">
        <f t="shared" si="91"/>
        <v>#NAME?</v>
      </c>
      <c r="AO40" s="67" t="e">
        <f t="shared" si="92"/>
        <v>#NAME?</v>
      </c>
      <c r="AP40" s="66" t="e">
        <f t="shared" si="93"/>
        <v>#NAME?</v>
      </c>
      <c r="AQ40" s="66" t="e">
        <f t="shared" si="94"/>
        <v>#NAME?</v>
      </c>
      <c r="AR40" s="66" t="e">
        <f t="shared" si="95"/>
        <v>#NAME?</v>
      </c>
      <c r="AS40" s="66" t="e">
        <f t="shared" si="96"/>
        <v>#NAME?</v>
      </c>
      <c r="AT40" s="66" t="e">
        <f t="shared" si="97"/>
        <v>#NAME?</v>
      </c>
      <c r="AU40" s="66" t="e">
        <f t="shared" si="98"/>
        <v>#NAME?</v>
      </c>
      <c r="AV40" s="66" t="e">
        <f t="shared" si="99"/>
        <v>#NAME?</v>
      </c>
      <c r="AW40" s="66" t="e">
        <f t="shared" si="100"/>
        <v>#NAME?</v>
      </c>
      <c r="AX40" s="66" t="e">
        <f t="shared" si="101"/>
        <v>#NAME?</v>
      </c>
      <c r="AY40" s="66" t="e">
        <f t="shared" si="102"/>
        <v>#NAME?</v>
      </c>
      <c r="AZ40" s="66" t="e">
        <f t="shared" si="103"/>
        <v>#NAME?</v>
      </c>
      <c r="BA40" s="66" t="e">
        <f t="shared" si="104"/>
        <v>#NAME?</v>
      </c>
      <c r="BB40" s="67" t="e">
        <f t="shared" si="57"/>
        <v>#NAME?</v>
      </c>
      <c r="BC40" s="67" t="e">
        <f t="shared" si="10"/>
        <v>#NAME?</v>
      </c>
      <c r="BD40" s="67" t="e">
        <f t="shared" si="11"/>
        <v>#NAME?</v>
      </c>
      <c r="BE40" s="67" t="e">
        <f t="shared" si="105"/>
        <v>#NAME?</v>
      </c>
      <c r="BF40" s="67" t="e">
        <f t="shared" si="106"/>
        <v>#NAME?</v>
      </c>
      <c r="BG40" s="67" t="e">
        <f t="shared" si="107"/>
        <v>#NAME?</v>
      </c>
    </row>
    <row r="41" spans="1:59" ht="15.75" x14ac:dyDescent="0.25">
      <c r="A41" s="8" t="s">
        <v>78</v>
      </c>
      <c r="B41" s="11" t="s">
        <v>79</v>
      </c>
      <c r="C41" s="63" t="s">
        <v>80</v>
      </c>
      <c r="D41" s="64"/>
      <c r="E41" s="65"/>
      <c r="F41" s="66" t="e">
        <f t="shared" si="63"/>
        <v>#NAME?</v>
      </c>
      <c r="G41" s="66" t="e">
        <f t="shared" si="64"/>
        <v>#NAME?</v>
      </c>
      <c r="H41" s="66" t="e">
        <f t="shared" si="65"/>
        <v>#NAME?</v>
      </c>
      <c r="I41" s="66" t="e">
        <f t="shared" si="66"/>
        <v>#NAME?</v>
      </c>
      <c r="J41" s="66" t="e">
        <f t="shared" si="67"/>
        <v>#NAME?</v>
      </c>
      <c r="K41" s="66" t="e">
        <f t="shared" si="68"/>
        <v>#NAME?</v>
      </c>
      <c r="L41" s="66" t="e">
        <f t="shared" si="69"/>
        <v>#NAME?</v>
      </c>
      <c r="M41" s="66" t="e">
        <f t="shared" si="70"/>
        <v>#NAME?</v>
      </c>
      <c r="N41" s="66" t="e">
        <f t="shared" si="71"/>
        <v>#NAME?</v>
      </c>
      <c r="O41" s="66" t="e">
        <f t="shared" si="72"/>
        <v>#NAME?</v>
      </c>
      <c r="P41" s="66" t="e">
        <f t="shared" si="73"/>
        <v>#NAME?</v>
      </c>
      <c r="Q41" s="66" t="e">
        <f t="shared" si="74"/>
        <v>#NAME?</v>
      </c>
      <c r="R41" s="67" t="e">
        <f t="shared" si="46"/>
        <v>#NAME?</v>
      </c>
      <c r="S41" s="67" t="e">
        <f t="shared" si="4"/>
        <v>#NAME?</v>
      </c>
      <c r="T41" s="67" t="e">
        <f t="shared" si="5"/>
        <v>#NAME?</v>
      </c>
      <c r="U41" s="67" t="e">
        <f t="shared" si="75"/>
        <v>#NAME?</v>
      </c>
      <c r="V41" s="67" t="e">
        <f t="shared" si="76"/>
        <v>#NAME?</v>
      </c>
      <c r="W41" s="67" t="e">
        <f t="shared" si="77"/>
        <v>#NAME?</v>
      </c>
      <c r="X41" s="66" t="e">
        <f t="shared" si="78"/>
        <v>#NAME?</v>
      </c>
      <c r="Y41" s="66" t="e">
        <f t="shared" si="79"/>
        <v>#NAME?</v>
      </c>
      <c r="Z41" s="66" t="e">
        <f t="shared" si="80"/>
        <v>#NAME?</v>
      </c>
      <c r="AA41" s="66" t="e">
        <f t="shared" si="81"/>
        <v>#NAME?</v>
      </c>
      <c r="AB41" s="66" t="e">
        <f t="shared" si="82"/>
        <v>#NAME?</v>
      </c>
      <c r="AC41" s="66" t="e">
        <f t="shared" si="83"/>
        <v>#NAME?</v>
      </c>
      <c r="AD41" s="66" t="e">
        <f t="shared" si="84"/>
        <v>#NAME?</v>
      </c>
      <c r="AE41" s="66" t="e">
        <f t="shared" si="85"/>
        <v>#NAME?</v>
      </c>
      <c r="AF41" s="66" t="e">
        <f t="shared" si="86"/>
        <v>#NAME?</v>
      </c>
      <c r="AG41" s="66" t="e">
        <f t="shared" si="87"/>
        <v>#NAME?</v>
      </c>
      <c r="AH41" s="66" t="e">
        <f t="shared" si="88"/>
        <v>#NAME?</v>
      </c>
      <c r="AI41" s="66" t="e">
        <f t="shared" si="89"/>
        <v>#NAME?</v>
      </c>
      <c r="AJ41" s="67" t="e">
        <f t="shared" si="52"/>
        <v>#NAME?</v>
      </c>
      <c r="AK41" s="67" t="e">
        <f t="shared" si="7"/>
        <v>#NAME?</v>
      </c>
      <c r="AL41" s="67" t="e">
        <f t="shared" si="8"/>
        <v>#NAME?</v>
      </c>
      <c r="AM41" s="67" t="e">
        <f t="shared" si="90"/>
        <v>#NAME?</v>
      </c>
      <c r="AN41" s="67" t="e">
        <f t="shared" si="91"/>
        <v>#NAME?</v>
      </c>
      <c r="AO41" s="67" t="e">
        <f t="shared" si="92"/>
        <v>#NAME?</v>
      </c>
      <c r="AP41" s="66" t="e">
        <f t="shared" si="93"/>
        <v>#NAME?</v>
      </c>
      <c r="AQ41" s="66" t="e">
        <f t="shared" si="94"/>
        <v>#NAME?</v>
      </c>
      <c r="AR41" s="66" t="e">
        <f t="shared" si="95"/>
        <v>#NAME?</v>
      </c>
      <c r="AS41" s="66" t="e">
        <f t="shared" si="96"/>
        <v>#NAME?</v>
      </c>
      <c r="AT41" s="66" t="e">
        <f t="shared" si="97"/>
        <v>#NAME?</v>
      </c>
      <c r="AU41" s="66" t="e">
        <f t="shared" si="98"/>
        <v>#NAME?</v>
      </c>
      <c r="AV41" s="66" t="e">
        <f t="shared" si="99"/>
        <v>#NAME?</v>
      </c>
      <c r="AW41" s="66" t="e">
        <f t="shared" si="100"/>
        <v>#NAME?</v>
      </c>
      <c r="AX41" s="66" t="e">
        <f t="shared" si="101"/>
        <v>#NAME?</v>
      </c>
      <c r="AY41" s="66" t="e">
        <f t="shared" si="102"/>
        <v>#NAME?</v>
      </c>
      <c r="AZ41" s="66" t="e">
        <f t="shared" si="103"/>
        <v>#NAME?</v>
      </c>
      <c r="BA41" s="66" t="e">
        <f t="shared" si="104"/>
        <v>#NAME?</v>
      </c>
      <c r="BB41" s="67" t="e">
        <f t="shared" si="57"/>
        <v>#NAME?</v>
      </c>
      <c r="BC41" s="67" t="e">
        <f t="shared" si="10"/>
        <v>#NAME?</v>
      </c>
      <c r="BD41" s="67" t="e">
        <f t="shared" si="11"/>
        <v>#NAME?</v>
      </c>
      <c r="BE41" s="67" t="e">
        <f t="shared" si="105"/>
        <v>#NAME?</v>
      </c>
      <c r="BF41" s="67" t="e">
        <f t="shared" si="106"/>
        <v>#NAME?</v>
      </c>
      <c r="BG41" s="67" t="e">
        <f t="shared" si="107"/>
        <v>#NAME?</v>
      </c>
    </row>
    <row r="42" spans="1:59" ht="15.75" x14ac:dyDescent="0.25">
      <c r="A42" s="8" t="s">
        <v>81</v>
      </c>
      <c r="B42" s="11" t="s">
        <v>82</v>
      </c>
      <c r="C42" s="63" t="s">
        <v>83</v>
      </c>
      <c r="D42" s="64"/>
      <c r="E42" s="65"/>
      <c r="F42" s="66" t="e">
        <f t="shared" si="63"/>
        <v>#NAME?</v>
      </c>
      <c r="G42" s="66" t="e">
        <f t="shared" si="64"/>
        <v>#NAME?</v>
      </c>
      <c r="H42" s="66" t="e">
        <f t="shared" si="65"/>
        <v>#NAME?</v>
      </c>
      <c r="I42" s="66" t="e">
        <f t="shared" si="66"/>
        <v>#NAME?</v>
      </c>
      <c r="J42" s="66" t="e">
        <f t="shared" si="67"/>
        <v>#NAME?</v>
      </c>
      <c r="K42" s="66" t="e">
        <f t="shared" si="68"/>
        <v>#NAME?</v>
      </c>
      <c r="L42" s="66" t="e">
        <f t="shared" si="69"/>
        <v>#NAME?</v>
      </c>
      <c r="M42" s="66" t="e">
        <f t="shared" si="70"/>
        <v>#NAME?</v>
      </c>
      <c r="N42" s="66" t="e">
        <f t="shared" si="71"/>
        <v>#NAME?</v>
      </c>
      <c r="O42" s="66" t="e">
        <f t="shared" si="72"/>
        <v>#NAME?</v>
      </c>
      <c r="P42" s="66" t="e">
        <f t="shared" si="73"/>
        <v>#NAME?</v>
      </c>
      <c r="Q42" s="66" t="e">
        <f t="shared" si="74"/>
        <v>#NAME?</v>
      </c>
      <c r="R42" s="67" t="e">
        <f t="shared" si="46"/>
        <v>#NAME?</v>
      </c>
      <c r="S42" s="67" t="e">
        <f t="shared" si="4"/>
        <v>#NAME?</v>
      </c>
      <c r="T42" s="67" t="e">
        <f t="shared" si="5"/>
        <v>#NAME?</v>
      </c>
      <c r="U42" s="67" t="e">
        <f t="shared" si="75"/>
        <v>#NAME?</v>
      </c>
      <c r="V42" s="67" t="e">
        <f t="shared" si="76"/>
        <v>#NAME?</v>
      </c>
      <c r="W42" s="67" t="e">
        <f t="shared" si="77"/>
        <v>#NAME?</v>
      </c>
      <c r="X42" s="66" t="e">
        <f t="shared" si="78"/>
        <v>#NAME?</v>
      </c>
      <c r="Y42" s="66" t="e">
        <f t="shared" si="79"/>
        <v>#NAME?</v>
      </c>
      <c r="Z42" s="66" t="e">
        <f t="shared" si="80"/>
        <v>#NAME?</v>
      </c>
      <c r="AA42" s="66" t="e">
        <f t="shared" si="81"/>
        <v>#NAME?</v>
      </c>
      <c r="AB42" s="66" t="e">
        <f t="shared" si="82"/>
        <v>#NAME?</v>
      </c>
      <c r="AC42" s="66" t="e">
        <f t="shared" si="83"/>
        <v>#NAME?</v>
      </c>
      <c r="AD42" s="66" t="e">
        <f t="shared" si="84"/>
        <v>#NAME?</v>
      </c>
      <c r="AE42" s="66" t="e">
        <f t="shared" si="85"/>
        <v>#NAME?</v>
      </c>
      <c r="AF42" s="66" t="e">
        <f t="shared" si="86"/>
        <v>#NAME?</v>
      </c>
      <c r="AG42" s="66" t="e">
        <f t="shared" si="87"/>
        <v>#NAME?</v>
      </c>
      <c r="AH42" s="66" t="e">
        <f t="shared" si="88"/>
        <v>#NAME?</v>
      </c>
      <c r="AI42" s="66" t="e">
        <f t="shared" si="89"/>
        <v>#NAME?</v>
      </c>
      <c r="AJ42" s="67" t="e">
        <f t="shared" si="52"/>
        <v>#NAME?</v>
      </c>
      <c r="AK42" s="67" t="e">
        <f t="shared" si="7"/>
        <v>#NAME?</v>
      </c>
      <c r="AL42" s="67" t="e">
        <f t="shared" si="8"/>
        <v>#NAME?</v>
      </c>
      <c r="AM42" s="67" t="e">
        <f t="shared" si="90"/>
        <v>#NAME?</v>
      </c>
      <c r="AN42" s="67" t="e">
        <f t="shared" si="91"/>
        <v>#NAME?</v>
      </c>
      <c r="AO42" s="67" t="e">
        <f t="shared" si="92"/>
        <v>#NAME?</v>
      </c>
      <c r="AP42" s="66" t="e">
        <f t="shared" si="93"/>
        <v>#NAME?</v>
      </c>
      <c r="AQ42" s="66" t="e">
        <f t="shared" si="94"/>
        <v>#NAME?</v>
      </c>
      <c r="AR42" s="66" t="e">
        <f t="shared" si="95"/>
        <v>#NAME?</v>
      </c>
      <c r="AS42" s="66" t="e">
        <f t="shared" si="96"/>
        <v>#NAME?</v>
      </c>
      <c r="AT42" s="66" t="e">
        <f t="shared" si="97"/>
        <v>#NAME?</v>
      </c>
      <c r="AU42" s="66" t="e">
        <f t="shared" si="98"/>
        <v>#NAME?</v>
      </c>
      <c r="AV42" s="66" t="e">
        <f t="shared" si="99"/>
        <v>#NAME?</v>
      </c>
      <c r="AW42" s="66" t="e">
        <f t="shared" si="100"/>
        <v>#NAME?</v>
      </c>
      <c r="AX42" s="66" t="e">
        <f t="shared" si="101"/>
        <v>#NAME?</v>
      </c>
      <c r="AY42" s="66" t="e">
        <f t="shared" si="102"/>
        <v>#NAME?</v>
      </c>
      <c r="AZ42" s="66" t="e">
        <f t="shared" si="103"/>
        <v>#NAME?</v>
      </c>
      <c r="BA42" s="66" t="e">
        <f t="shared" si="104"/>
        <v>#NAME?</v>
      </c>
      <c r="BB42" s="67" t="e">
        <f t="shared" si="57"/>
        <v>#NAME?</v>
      </c>
      <c r="BC42" s="67" t="e">
        <f t="shared" si="10"/>
        <v>#NAME?</v>
      </c>
      <c r="BD42" s="67" t="e">
        <f t="shared" si="11"/>
        <v>#NAME?</v>
      </c>
      <c r="BE42" s="67" t="e">
        <f t="shared" si="105"/>
        <v>#NAME?</v>
      </c>
      <c r="BF42" s="67" t="e">
        <f t="shared" si="106"/>
        <v>#NAME?</v>
      </c>
      <c r="BG42" s="67" t="e">
        <f t="shared" si="107"/>
        <v>#NAME?</v>
      </c>
    </row>
    <row r="43" spans="1:59" ht="15.75" x14ac:dyDescent="0.25">
      <c r="A43" s="8" t="s">
        <v>84</v>
      </c>
      <c r="B43" s="11" t="s">
        <v>85</v>
      </c>
      <c r="C43" s="63" t="s">
        <v>299</v>
      </c>
      <c r="D43" s="64"/>
      <c r="E43" s="65"/>
      <c r="F43" s="66" t="e">
        <f t="shared" si="63"/>
        <v>#NAME?</v>
      </c>
      <c r="G43" s="66" t="e">
        <f t="shared" si="64"/>
        <v>#NAME?</v>
      </c>
      <c r="H43" s="66" t="e">
        <f t="shared" si="65"/>
        <v>#NAME?</v>
      </c>
      <c r="I43" s="66" t="e">
        <f t="shared" si="66"/>
        <v>#NAME?</v>
      </c>
      <c r="J43" s="66" t="e">
        <f t="shared" si="67"/>
        <v>#NAME?</v>
      </c>
      <c r="K43" s="66" t="e">
        <f t="shared" si="68"/>
        <v>#NAME?</v>
      </c>
      <c r="L43" s="66" t="e">
        <f t="shared" si="69"/>
        <v>#NAME?</v>
      </c>
      <c r="M43" s="66" t="e">
        <f t="shared" si="70"/>
        <v>#NAME?</v>
      </c>
      <c r="N43" s="66" t="e">
        <f t="shared" si="71"/>
        <v>#NAME?</v>
      </c>
      <c r="O43" s="66" t="e">
        <f t="shared" si="72"/>
        <v>#NAME?</v>
      </c>
      <c r="P43" s="66" t="e">
        <f t="shared" si="73"/>
        <v>#NAME?</v>
      </c>
      <c r="Q43" s="66" t="e">
        <f t="shared" si="74"/>
        <v>#NAME?</v>
      </c>
      <c r="R43" s="67" t="e">
        <f t="shared" si="46"/>
        <v>#NAME?</v>
      </c>
      <c r="S43" s="67" t="e">
        <f t="shared" si="4"/>
        <v>#NAME?</v>
      </c>
      <c r="T43" s="67" t="e">
        <f t="shared" si="5"/>
        <v>#NAME?</v>
      </c>
      <c r="U43" s="67" t="e">
        <f t="shared" si="75"/>
        <v>#NAME?</v>
      </c>
      <c r="V43" s="67" t="e">
        <f t="shared" si="76"/>
        <v>#NAME?</v>
      </c>
      <c r="W43" s="67" t="e">
        <f t="shared" si="77"/>
        <v>#NAME?</v>
      </c>
      <c r="X43" s="66" t="e">
        <f t="shared" si="78"/>
        <v>#NAME?</v>
      </c>
      <c r="Y43" s="66" t="e">
        <f t="shared" si="79"/>
        <v>#NAME?</v>
      </c>
      <c r="Z43" s="66" t="e">
        <f t="shared" si="80"/>
        <v>#NAME?</v>
      </c>
      <c r="AA43" s="66" t="e">
        <f t="shared" si="81"/>
        <v>#NAME?</v>
      </c>
      <c r="AB43" s="66" t="e">
        <f t="shared" si="82"/>
        <v>#NAME?</v>
      </c>
      <c r="AC43" s="66" t="e">
        <f t="shared" si="83"/>
        <v>#NAME?</v>
      </c>
      <c r="AD43" s="66" t="e">
        <f t="shared" si="84"/>
        <v>#NAME?</v>
      </c>
      <c r="AE43" s="66" t="e">
        <f t="shared" si="85"/>
        <v>#NAME?</v>
      </c>
      <c r="AF43" s="66" t="e">
        <f t="shared" si="86"/>
        <v>#NAME?</v>
      </c>
      <c r="AG43" s="66" t="e">
        <f t="shared" si="87"/>
        <v>#NAME?</v>
      </c>
      <c r="AH43" s="66" t="e">
        <f t="shared" si="88"/>
        <v>#NAME?</v>
      </c>
      <c r="AI43" s="66" t="e">
        <f t="shared" si="89"/>
        <v>#NAME?</v>
      </c>
      <c r="AJ43" s="67" t="e">
        <f t="shared" si="52"/>
        <v>#NAME?</v>
      </c>
      <c r="AK43" s="67" t="e">
        <f t="shared" si="7"/>
        <v>#NAME?</v>
      </c>
      <c r="AL43" s="67" t="e">
        <f t="shared" si="8"/>
        <v>#NAME?</v>
      </c>
      <c r="AM43" s="67" t="e">
        <f t="shared" si="90"/>
        <v>#NAME?</v>
      </c>
      <c r="AN43" s="67" t="e">
        <f t="shared" si="91"/>
        <v>#NAME?</v>
      </c>
      <c r="AO43" s="67" t="e">
        <f t="shared" si="92"/>
        <v>#NAME?</v>
      </c>
      <c r="AP43" s="66" t="e">
        <f t="shared" si="93"/>
        <v>#NAME?</v>
      </c>
      <c r="AQ43" s="66" t="e">
        <f t="shared" si="94"/>
        <v>#NAME?</v>
      </c>
      <c r="AR43" s="66" t="e">
        <f t="shared" si="95"/>
        <v>#NAME?</v>
      </c>
      <c r="AS43" s="66" t="e">
        <f t="shared" si="96"/>
        <v>#NAME?</v>
      </c>
      <c r="AT43" s="66" t="e">
        <f t="shared" si="97"/>
        <v>#NAME?</v>
      </c>
      <c r="AU43" s="66" t="e">
        <f t="shared" si="98"/>
        <v>#NAME?</v>
      </c>
      <c r="AV43" s="66" t="e">
        <f t="shared" si="99"/>
        <v>#NAME?</v>
      </c>
      <c r="AW43" s="66" t="e">
        <f t="shared" si="100"/>
        <v>#NAME?</v>
      </c>
      <c r="AX43" s="66" t="e">
        <f t="shared" si="101"/>
        <v>#NAME?</v>
      </c>
      <c r="AY43" s="66" t="e">
        <f t="shared" si="102"/>
        <v>#NAME?</v>
      </c>
      <c r="AZ43" s="66" t="e">
        <f t="shared" si="103"/>
        <v>#NAME?</v>
      </c>
      <c r="BA43" s="66" t="e">
        <f t="shared" si="104"/>
        <v>#NAME?</v>
      </c>
      <c r="BB43" s="67" t="e">
        <f t="shared" si="57"/>
        <v>#NAME?</v>
      </c>
      <c r="BC43" s="67" t="e">
        <f t="shared" si="10"/>
        <v>#NAME?</v>
      </c>
      <c r="BD43" s="67" t="e">
        <f t="shared" si="11"/>
        <v>#NAME?</v>
      </c>
      <c r="BE43" s="67" t="e">
        <f t="shared" si="105"/>
        <v>#NAME?</v>
      </c>
      <c r="BF43" s="67" t="e">
        <f t="shared" si="106"/>
        <v>#NAME?</v>
      </c>
      <c r="BG43" s="67" t="e">
        <f t="shared" si="107"/>
        <v>#NAME?</v>
      </c>
    </row>
    <row r="44" spans="1:59" ht="15.75" x14ac:dyDescent="0.25">
      <c r="A44" s="8" t="s">
        <v>86</v>
      </c>
      <c r="B44" s="11" t="s">
        <v>87</v>
      </c>
      <c r="C44" s="63" t="s">
        <v>88</v>
      </c>
      <c r="D44" s="64"/>
      <c r="E44" s="65"/>
      <c r="F44" s="66" t="e">
        <f t="shared" si="63"/>
        <v>#NAME?</v>
      </c>
      <c r="G44" s="66" t="e">
        <f t="shared" si="64"/>
        <v>#NAME?</v>
      </c>
      <c r="H44" s="66" t="e">
        <f t="shared" si="65"/>
        <v>#NAME?</v>
      </c>
      <c r="I44" s="66" t="e">
        <f t="shared" si="66"/>
        <v>#NAME?</v>
      </c>
      <c r="J44" s="66" t="e">
        <f t="shared" si="67"/>
        <v>#NAME?</v>
      </c>
      <c r="K44" s="66" t="e">
        <f t="shared" si="68"/>
        <v>#NAME?</v>
      </c>
      <c r="L44" s="66" t="e">
        <f t="shared" si="69"/>
        <v>#NAME?</v>
      </c>
      <c r="M44" s="66" t="e">
        <f t="shared" si="70"/>
        <v>#NAME?</v>
      </c>
      <c r="N44" s="66" t="e">
        <f t="shared" si="71"/>
        <v>#NAME?</v>
      </c>
      <c r="O44" s="66" t="e">
        <f t="shared" si="72"/>
        <v>#NAME?</v>
      </c>
      <c r="P44" s="66" t="e">
        <f t="shared" si="73"/>
        <v>#NAME?</v>
      </c>
      <c r="Q44" s="66" t="e">
        <f t="shared" si="74"/>
        <v>#NAME?</v>
      </c>
      <c r="R44" s="67" t="e">
        <f t="shared" si="46"/>
        <v>#NAME?</v>
      </c>
      <c r="S44" s="67" t="e">
        <f t="shared" si="4"/>
        <v>#NAME?</v>
      </c>
      <c r="T44" s="67" t="e">
        <f t="shared" si="5"/>
        <v>#NAME?</v>
      </c>
      <c r="U44" s="67" t="e">
        <f t="shared" si="75"/>
        <v>#NAME?</v>
      </c>
      <c r="V44" s="67" t="e">
        <f t="shared" si="76"/>
        <v>#NAME?</v>
      </c>
      <c r="W44" s="67" t="e">
        <f t="shared" si="77"/>
        <v>#NAME?</v>
      </c>
      <c r="X44" s="66" t="e">
        <f t="shared" si="78"/>
        <v>#NAME?</v>
      </c>
      <c r="Y44" s="66" t="e">
        <f t="shared" si="79"/>
        <v>#NAME?</v>
      </c>
      <c r="Z44" s="66" t="e">
        <f t="shared" si="80"/>
        <v>#NAME?</v>
      </c>
      <c r="AA44" s="66" t="e">
        <f t="shared" si="81"/>
        <v>#NAME?</v>
      </c>
      <c r="AB44" s="66" t="e">
        <f t="shared" si="82"/>
        <v>#NAME?</v>
      </c>
      <c r="AC44" s="66" t="e">
        <f t="shared" si="83"/>
        <v>#NAME?</v>
      </c>
      <c r="AD44" s="66" t="e">
        <f t="shared" si="84"/>
        <v>#NAME?</v>
      </c>
      <c r="AE44" s="66" t="e">
        <f t="shared" si="85"/>
        <v>#NAME?</v>
      </c>
      <c r="AF44" s="66" t="e">
        <f t="shared" si="86"/>
        <v>#NAME?</v>
      </c>
      <c r="AG44" s="66" t="e">
        <f t="shared" si="87"/>
        <v>#NAME?</v>
      </c>
      <c r="AH44" s="66" t="e">
        <f t="shared" si="88"/>
        <v>#NAME?</v>
      </c>
      <c r="AI44" s="66" t="e">
        <f t="shared" si="89"/>
        <v>#NAME?</v>
      </c>
      <c r="AJ44" s="67" t="e">
        <f t="shared" si="52"/>
        <v>#NAME?</v>
      </c>
      <c r="AK44" s="67" t="e">
        <f t="shared" si="7"/>
        <v>#NAME?</v>
      </c>
      <c r="AL44" s="67" t="e">
        <f t="shared" si="8"/>
        <v>#NAME?</v>
      </c>
      <c r="AM44" s="67" t="e">
        <f t="shared" si="90"/>
        <v>#NAME?</v>
      </c>
      <c r="AN44" s="67" t="e">
        <f t="shared" si="91"/>
        <v>#NAME?</v>
      </c>
      <c r="AO44" s="67" t="e">
        <f t="shared" si="92"/>
        <v>#NAME?</v>
      </c>
      <c r="AP44" s="66" t="e">
        <f t="shared" si="93"/>
        <v>#NAME?</v>
      </c>
      <c r="AQ44" s="66" t="e">
        <f t="shared" si="94"/>
        <v>#NAME?</v>
      </c>
      <c r="AR44" s="66" t="e">
        <f t="shared" si="95"/>
        <v>#NAME?</v>
      </c>
      <c r="AS44" s="66" t="e">
        <f t="shared" si="96"/>
        <v>#NAME?</v>
      </c>
      <c r="AT44" s="66" t="e">
        <f t="shared" si="97"/>
        <v>#NAME?</v>
      </c>
      <c r="AU44" s="66" t="e">
        <f t="shared" si="98"/>
        <v>#NAME?</v>
      </c>
      <c r="AV44" s="66" t="e">
        <f t="shared" si="99"/>
        <v>#NAME?</v>
      </c>
      <c r="AW44" s="66" t="e">
        <f t="shared" si="100"/>
        <v>#NAME?</v>
      </c>
      <c r="AX44" s="66" t="e">
        <f t="shared" si="101"/>
        <v>#NAME?</v>
      </c>
      <c r="AY44" s="66" t="e">
        <f t="shared" si="102"/>
        <v>#NAME?</v>
      </c>
      <c r="AZ44" s="66" t="e">
        <f t="shared" si="103"/>
        <v>#NAME?</v>
      </c>
      <c r="BA44" s="66" t="e">
        <f t="shared" si="104"/>
        <v>#NAME?</v>
      </c>
      <c r="BB44" s="67" t="e">
        <f t="shared" si="57"/>
        <v>#NAME?</v>
      </c>
      <c r="BC44" s="67" t="e">
        <f t="shared" si="10"/>
        <v>#NAME?</v>
      </c>
      <c r="BD44" s="67" t="e">
        <f t="shared" si="11"/>
        <v>#NAME?</v>
      </c>
      <c r="BE44" s="67" t="e">
        <f t="shared" si="105"/>
        <v>#NAME?</v>
      </c>
      <c r="BF44" s="67" t="e">
        <f t="shared" si="106"/>
        <v>#NAME?</v>
      </c>
      <c r="BG44" s="67" t="e">
        <f t="shared" si="107"/>
        <v>#NAME?</v>
      </c>
    </row>
    <row r="45" spans="1:59" ht="15.75" x14ac:dyDescent="0.25">
      <c r="A45" s="8" t="s">
        <v>89</v>
      </c>
      <c r="B45" s="11" t="s">
        <v>90</v>
      </c>
      <c r="C45" s="63" t="s">
        <v>91</v>
      </c>
      <c r="D45" s="64"/>
      <c r="E45" s="65"/>
      <c r="F45" s="66" t="e">
        <f t="shared" si="63"/>
        <v>#NAME?</v>
      </c>
      <c r="G45" s="66" t="e">
        <f t="shared" si="64"/>
        <v>#NAME?</v>
      </c>
      <c r="H45" s="66" t="e">
        <f t="shared" si="65"/>
        <v>#NAME?</v>
      </c>
      <c r="I45" s="66" t="e">
        <f t="shared" si="66"/>
        <v>#NAME?</v>
      </c>
      <c r="J45" s="66" t="e">
        <f t="shared" si="67"/>
        <v>#NAME?</v>
      </c>
      <c r="K45" s="66" t="e">
        <f t="shared" si="68"/>
        <v>#NAME?</v>
      </c>
      <c r="L45" s="66" t="e">
        <f t="shared" si="69"/>
        <v>#NAME?</v>
      </c>
      <c r="M45" s="66" t="e">
        <f t="shared" si="70"/>
        <v>#NAME?</v>
      </c>
      <c r="N45" s="66" t="e">
        <f t="shared" si="71"/>
        <v>#NAME?</v>
      </c>
      <c r="O45" s="66" t="e">
        <f t="shared" si="72"/>
        <v>#NAME?</v>
      </c>
      <c r="P45" s="66" t="e">
        <f t="shared" si="73"/>
        <v>#NAME?</v>
      </c>
      <c r="Q45" s="66" t="e">
        <f t="shared" si="74"/>
        <v>#NAME?</v>
      </c>
      <c r="R45" s="67" t="e">
        <f t="shared" si="46"/>
        <v>#NAME?</v>
      </c>
      <c r="S45" s="67" t="e">
        <f t="shared" si="4"/>
        <v>#NAME?</v>
      </c>
      <c r="T45" s="67" t="e">
        <f t="shared" si="5"/>
        <v>#NAME?</v>
      </c>
      <c r="U45" s="67" t="e">
        <f t="shared" si="75"/>
        <v>#NAME?</v>
      </c>
      <c r="V45" s="67" t="e">
        <f t="shared" si="76"/>
        <v>#NAME?</v>
      </c>
      <c r="W45" s="67" t="e">
        <f t="shared" si="77"/>
        <v>#NAME?</v>
      </c>
      <c r="X45" s="66" t="e">
        <f t="shared" si="78"/>
        <v>#NAME?</v>
      </c>
      <c r="Y45" s="66" t="e">
        <f t="shared" si="79"/>
        <v>#NAME?</v>
      </c>
      <c r="Z45" s="66" t="e">
        <f t="shared" si="80"/>
        <v>#NAME?</v>
      </c>
      <c r="AA45" s="66" t="e">
        <f t="shared" si="81"/>
        <v>#NAME?</v>
      </c>
      <c r="AB45" s="66" t="e">
        <f t="shared" si="82"/>
        <v>#NAME?</v>
      </c>
      <c r="AC45" s="66" t="e">
        <f t="shared" si="83"/>
        <v>#NAME?</v>
      </c>
      <c r="AD45" s="66" t="e">
        <f t="shared" si="84"/>
        <v>#NAME?</v>
      </c>
      <c r="AE45" s="66" t="e">
        <f t="shared" si="85"/>
        <v>#NAME?</v>
      </c>
      <c r="AF45" s="66" t="e">
        <f t="shared" si="86"/>
        <v>#NAME?</v>
      </c>
      <c r="AG45" s="66" t="e">
        <f t="shared" si="87"/>
        <v>#NAME?</v>
      </c>
      <c r="AH45" s="66" t="e">
        <f t="shared" si="88"/>
        <v>#NAME?</v>
      </c>
      <c r="AI45" s="66" t="e">
        <f t="shared" si="89"/>
        <v>#NAME?</v>
      </c>
      <c r="AJ45" s="67" t="e">
        <f t="shared" si="52"/>
        <v>#NAME?</v>
      </c>
      <c r="AK45" s="67" t="e">
        <f t="shared" si="7"/>
        <v>#NAME?</v>
      </c>
      <c r="AL45" s="67" t="e">
        <f t="shared" si="8"/>
        <v>#NAME?</v>
      </c>
      <c r="AM45" s="67" t="e">
        <f t="shared" si="90"/>
        <v>#NAME?</v>
      </c>
      <c r="AN45" s="67" t="e">
        <f t="shared" si="91"/>
        <v>#NAME?</v>
      </c>
      <c r="AO45" s="67" t="e">
        <f t="shared" si="92"/>
        <v>#NAME?</v>
      </c>
      <c r="AP45" s="66" t="e">
        <f t="shared" si="93"/>
        <v>#NAME?</v>
      </c>
      <c r="AQ45" s="66" t="e">
        <f t="shared" si="94"/>
        <v>#NAME?</v>
      </c>
      <c r="AR45" s="66" t="e">
        <f t="shared" si="95"/>
        <v>#NAME?</v>
      </c>
      <c r="AS45" s="66" t="e">
        <f t="shared" si="96"/>
        <v>#NAME?</v>
      </c>
      <c r="AT45" s="66" t="e">
        <f t="shared" si="97"/>
        <v>#NAME?</v>
      </c>
      <c r="AU45" s="66" t="e">
        <f t="shared" si="98"/>
        <v>#NAME?</v>
      </c>
      <c r="AV45" s="66" t="e">
        <f t="shared" si="99"/>
        <v>#NAME?</v>
      </c>
      <c r="AW45" s="66" t="e">
        <f t="shared" si="100"/>
        <v>#NAME?</v>
      </c>
      <c r="AX45" s="66" t="e">
        <f t="shared" si="101"/>
        <v>#NAME?</v>
      </c>
      <c r="AY45" s="66" t="e">
        <f t="shared" si="102"/>
        <v>#NAME?</v>
      </c>
      <c r="AZ45" s="66" t="e">
        <f t="shared" si="103"/>
        <v>#NAME?</v>
      </c>
      <c r="BA45" s="66" t="e">
        <f t="shared" si="104"/>
        <v>#NAME?</v>
      </c>
      <c r="BB45" s="67" t="e">
        <f t="shared" si="57"/>
        <v>#NAME?</v>
      </c>
      <c r="BC45" s="67" t="e">
        <f t="shared" si="10"/>
        <v>#NAME?</v>
      </c>
      <c r="BD45" s="67" t="e">
        <f t="shared" si="11"/>
        <v>#NAME?</v>
      </c>
      <c r="BE45" s="67" t="e">
        <f t="shared" si="105"/>
        <v>#NAME?</v>
      </c>
      <c r="BF45" s="67" t="e">
        <f t="shared" si="106"/>
        <v>#NAME?</v>
      </c>
      <c r="BG45" s="67" t="e">
        <f t="shared" si="107"/>
        <v>#NAME?</v>
      </c>
    </row>
    <row r="46" spans="1:59" ht="15.75" x14ac:dyDescent="0.25">
      <c r="A46" s="8" t="s">
        <v>92</v>
      </c>
      <c r="B46" s="68">
        <v>32</v>
      </c>
      <c r="C46" s="63" t="s">
        <v>93</v>
      </c>
      <c r="D46" s="64"/>
      <c r="E46" s="65"/>
      <c r="F46" s="66" t="e">
        <f t="shared" si="63"/>
        <v>#NAME?</v>
      </c>
      <c r="G46" s="66" t="e">
        <f t="shared" si="64"/>
        <v>#NAME?</v>
      </c>
      <c r="H46" s="66" t="e">
        <f t="shared" si="65"/>
        <v>#NAME?</v>
      </c>
      <c r="I46" s="66" t="e">
        <f t="shared" si="66"/>
        <v>#NAME?</v>
      </c>
      <c r="J46" s="66" t="e">
        <f t="shared" si="67"/>
        <v>#NAME?</v>
      </c>
      <c r="K46" s="66" t="e">
        <f t="shared" si="68"/>
        <v>#NAME?</v>
      </c>
      <c r="L46" s="66" t="e">
        <f t="shared" si="69"/>
        <v>#NAME?</v>
      </c>
      <c r="M46" s="66" t="e">
        <f t="shared" si="70"/>
        <v>#NAME?</v>
      </c>
      <c r="N46" s="66" t="e">
        <f t="shared" si="71"/>
        <v>#NAME?</v>
      </c>
      <c r="O46" s="66" t="e">
        <f t="shared" si="72"/>
        <v>#NAME?</v>
      </c>
      <c r="P46" s="66" t="e">
        <f t="shared" si="73"/>
        <v>#NAME?</v>
      </c>
      <c r="Q46" s="66" t="e">
        <f t="shared" si="74"/>
        <v>#NAME?</v>
      </c>
      <c r="R46" s="67" t="e">
        <f t="shared" si="46"/>
        <v>#NAME?</v>
      </c>
      <c r="S46" s="67" t="e">
        <f t="shared" si="4"/>
        <v>#NAME?</v>
      </c>
      <c r="T46" s="67" t="e">
        <f t="shared" si="5"/>
        <v>#NAME?</v>
      </c>
      <c r="U46" s="67" t="e">
        <f t="shared" si="75"/>
        <v>#NAME?</v>
      </c>
      <c r="V46" s="67" t="e">
        <f t="shared" si="76"/>
        <v>#NAME?</v>
      </c>
      <c r="W46" s="67" t="e">
        <f t="shared" si="77"/>
        <v>#NAME?</v>
      </c>
      <c r="X46" s="66" t="e">
        <f t="shared" si="78"/>
        <v>#NAME?</v>
      </c>
      <c r="Y46" s="66" t="e">
        <f t="shared" si="79"/>
        <v>#NAME?</v>
      </c>
      <c r="Z46" s="66" t="e">
        <f t="shared" si="80"/>
        <v>#NAME?</v>
      </c>
      <c r="AA46" s="66" t="e">
        <f t="shared" si="81"/>
        <v>#NAME?</v>
      </c>
      <c r="AB46" s="66" t="e">
        <f t="shared" si="82"/>
        <v>#NAME?</v>
      </c>
      <c r="AC46" s="66" t="e">
        <f t="shared" si="83"/>
        <v>#NAME?</v>
      </c>
      <c r="AD46" s="66" t="e">
        <f t="shared" si="84"/>
        <v>#NAME?</v>
      </c>
      <c r="AE46" s="66" t="e">
        <f t="shared" si="85"/>
        <v>#NAME?</v>
      </c>
      <c r="AF46" s="66" t="e">
        <f t="shared" si="86"/>
        <v>#NAME?</v>
      </c>
      <c r="AG46" s="66" t="e">
        <f t="shared" si="87"/>
        <v>#NAME?</v>
      </c>
      <c r="AH46" s="66" t="e">
        <f t="shared" si="88"/>
        <v>#NAME?</v>
      </c>
      <c r="AI46" s="66" t="e">
        <f t="shared" si="89"/>
        <v>#NAME?</v>
      </c>
      <c r="AJ46" s="67" t="e">
        <f t="shared" si="52"/>
        <v>#NAME?</v>
      </c>
      <c r="AK46" s="67" t="e">
        <f t="shared" si="7"/>
        <v>#NAME?</v>
      </c>
      <c r="AL46" s="67" t="e">
        <f t="shared" si="8"/>
        <v>#NAME?</v>
      </c>
      <c r="AM46" s="67" t="e">
        <f t="shared" si="90"/>
        <v>#NAME?</v>
      </c>
      <c r="AN46" s="67" t="e">
        <f t="shared" si="91"/>
        <v>#NAME?</v>
      </c>
      <c r="AO46" s="67" t="e">
        <f t="shared" si="92"/>
        <v>#NAME?</v>
      </c>
      <c r="AP46" s="66" t="e">
        <f t="shared" si="93"/>
        <v>#NAME?</v>
      </c>
      <c r="AQ46" s="66" t="e">
        <f t="shared" si="94"/>
        <v>#NAME?</v>
      </c>
      <c r="AR46" s="66" t="e">
        <f t="shared" si="95"/>
        <v>#NAME?</v>
      </c>
      <c r="AS46" s="66" t="e">
        <f t="shared" si="96"/>
        <v>#NAME?</v>
      </c>
      <c r="AT46" s="66" t="e">
        <f t="shared" si="97"/>
        <v>#NAME?</v>
      </c>
      <c r="AU46" s="66" t="e">
        <f t="shared" si="98"/>
        <v>#NAME?</v>
      </c>
      <c r="AV46" s="66" t="e">
        <f t="shared" si="99"/>
        <v>#NAME?</v>
      </c>
      <c r="AW46" s="66" t="e">
        <f t="shared" si="100"/>
        <v>#NAME?</v>
      </c>
      <c r="AX46" s="66" t="e">
        <f t="shared" si="101"/>
        <v>#NAME?</v>
      </c>
      <c r="AY46" s="66" t="e">
        <f t="shared" si="102"/>
        <v>#NAME?</v>
      </c>
      <c r="AZ46" s="66" t="e">
        <f t="shared" si="103"/>
        <v>#NAME?</v>
      </c>
      <c r="BA46" s="66" t="e">
        <f t="shared" si="104"/>
        <v>#NAME?</v>
      </c>
      <c r="BB46" s="67" t="e">
        <f t="shared" si="57"/>
        <v>#NAME?</v>
      </c>
      <c r="BC46" s="67" t="e">
        <f t="shared" si="10"/>
        <v>#NAME?</v>
      </c>
      <c r="BD46" s="67" t="e">
        <f t="shared" si="11"/>
        <v>#NAME?</v>
      </c>
      <c r="BE46" s="67" t="e">
        <f t="shared" si="105"/>
        <v>#NAME?</v>
      </c>
      <c r="BF46" s="67" t="e">
        <f t="shared" si="106"/>
        <v>#NAME?</v>
      </c>
      <c r="BG46" s="67" t="e">
        <f t="shared" si="107"/>
        <v>#NAME?</v>
      </c>
    </row>
    <row r="47" spans="1:59" s="62" customFormat="1" ht="15.75" x14ac:dyDescent="0.25">
      <c r="A47" s="69" t="s">
        <v>94</v>
      </c>
      <c r="B47" s="70">
        <v>33</v>
      </c>
      <c r="C47" s="71" t="s">
        <v>95</v>
      </c>
      <c r="D47" s="59"/>
      <c r="E47" s="60"/>
      <c r="F47" s="61" t="e">
        <f>SUM(F48:F53)</f>
        <v>#NAME?</v>
      </c>
      <c r="G47" s="61" t="e">
        <f>SUM(G48:G53)</f>
        <v>#NAME?</v>
      </c>
      <c r="H47" s="61" t="e">
        <f t="shared" ref="H47:Q47" si="108">SUM(H48:H53)</f>
        <v>#NAME?</v>
      </c>
      <c r="I47" s="61" t="e">
        <f t="shared" si="108"/>
        <v>#NAME?</v>
      </c>
      <c r="J47" s="61" t="e">
        <f t="shared" si="108"/>
        <v>#NAME?</v>
      </c>
      <c r="K47" s="61" t="e">
        <f t="shared" si="108"/>
        <v>#NAME?</v>
      </c>
      <c r="L47" s="61" t="e">
        <f t="shared" si="108"/>
        <v>#NAME?</v>
      </c>
      <c r="M47" s="61" t="e">
        <f>SUM(M48:M53)</f>
        <v>#NAME?</v>
      </c>
      <c r="N47" s="61" t="e">
        <f t="shared" si="108"/>
        <v>#NAME?</v>
      </c>
      <c r="O47" s="61" t="e">
        <f t="shared" si="108"/>
        <v>#NAME?</v>
      </c>
      <c r="P47" s="61" t="e">
        <f t="shared" si="108"/>
        <v>#NAME?</v>
      </c>
      <c r="Q47" s="61" t="e">
        <f t="shared" si="108"/>
        <v>#NAME?</v>
      </c>
      <c r="R47" s="61" t="e">
        <f t="shared" si="46"/>
        <v>#NAME?</v>
      </c>
      <c r="S47" s="61" t="e">
        <f t="shared" si="4"/>
        <v>#NAME?</v>
      </c>
      <c r="T47" s="61" t="e">
        <f t="shared" si="5"/>
        <v>#NAME?</v>
      </c>
      <c r="U47" s="61" t="e">
        <f t="shared" ref="U47:AI47" si="109">SUM(U48:U53)</f>
        <v>#NAME?</v>
      </c>
      <c r="V47" s="61" t="e">
        <f t="shared" si="109"/>
        <v>#NAME?</v>
      </c>
      <c r="W47" s="61" t="e">
        <f t="shared" si="109"/>
        <v>#NAME?</v>
      </c>
      <c r="X47" s="61" t="e">
        <f t="shared" si="109"/>
        <v>#NAME?</v>
      </c>
      <c r="Y47" s="61" t="e">
        <f t="shared" si="109"/>
        <v>#NAME?</v>
      </c>
      <c r="Z47" s="61" t="e">
        <f t="shared" si="109"/>
        <v>#NAME?</v>
      </c>
      <c r="AA47" s="61" t="e">
        <f t="shared" si="109"/>
        <v>#NAME?</v>
      </c>
      <c r="AB47" s="61" t="e">
        <f t="shared" si="109"/>
        <v>#NAME?</v>
      </c>
      <c r="AC47" s="61" t="e">
        <f t="shared" si="109"/>
        <v>#NAME?</v>
      </c>
      <c r="AD47" s="61" t="e">
        <f t="shared" si="109"/>
        <v>#NAME?</v>
      </c>
      <c r="AE47" s="61" t="e">
        <f t="shared" si="109"/>
        <v>#NAME?</v>
      </c>
      <c r="AF47" s="61" t="e">
        <f t="shared" si="109"/>
        <v>#NAME?</v>
      </c>
      <c r="AG47" s="61" t="e">
        <f t="shared" si="109"/>
        <v>#NAME?</v>
      </c>
      <c r="AH47" s="61" t="e">
        <f t="shared" si="109"/>
        <v>#NAME?</v>
      </c>
      <c r="AI47" s="61" t="e">
        <f t="shared" si="109"/>
        <v>#NAME?</v>
      </c>
      <c r="AJ47" s="61" t="e">
        <f t="shared" si="52"/>
        <v>#NAME?</v>
      </c>
      <c r="AK47" s="61" t="e">
        <f t="shared" si="7"/>
        <v>#NAME?</v>
      </c>
      <c r="AL47" s="61" t="e">
        <f t="shared" si="8"/>
        <v>#NAME?</v>
      </c>
      <c r="AM47" s="61" t="e">
        <f t="shared" ref="AM47:BA47" si="110">SUM(AM48:AM53)</f>
        <v>#NAME?</v>
      </c>
      <c r="AN47" s="61" t="e">
        <f t="shared" si="110"/>
        <v>#NAME?</v>
      </c>
      <c r="AO47" s="61" t="e">
        <f t="shared" si="110"/>
        <v>#NAME?</v>
      </c>
      <c r="AP47" s="61" t="e">
        <f t="shared" si="110"/>
        <v>#NAME?</v>
      </c>
      <c r="AQ47" s="61" t="e">
        <f t="shared" si="110"/>
        <v>#NAME?</v>
      </c>
      <c r="AR47" s="61" t="e">
        <f t="shared" si="110"/>
        <v>#NAME?</v>
      </c>
      <c r="AS47" s="61" t="e">
        <f t="shared" si="110"/>
        <v>#NAME?</v>
      </c>
      <c r="AT47" s="61" t="e">
        <f t="shared" si="110"/>
        <v>#NAME?</v>
      </c>
      <c r="AU47" s="61" t="e">
        <f t="shared" si="110"/>
        <v>#NAME?</v>
      </c>
      <c r="AV47" s="61" t="e">
        <f t="shared" si="110"/>
        <v>#NAME?</v>
      </c>
      <c r="AW47" s="61" t="e">
        <f t="shared" si="110"/>
        <v>#NAME?</v>
      </c>
      <c r="AX47" s="61" t="e">
        <f t="shared" si="110"/>
        <v>#NAME?</v>
      </c>
      <c r="AY47" s="61" t="e">
        <f t="shared" si="110"/>
        <v>#NAME?</v>
      </c>
      <c r="AZ47" s="61" t="e">
        <f t="shared" si="110"/>
        <v>#NAME?</v>
      </c>
      <c r="BA47" s="61" t="e">
        <f t="shared" si="110"/>
        <v>#NAME?</v>
      </c>
      <c r="BB47" s="61" t="e">
        <f t="shared" si="57"/>
        <v>#NAME?</v>
      </c>
      <c r="BC47" s="61" t="e">
        <f t="shared" si="10"/>
        <v>#NAME?</v>
      </c>
      <c r="BD47" s="61" t="e">
        <f t="shared" si="11"/>
        <v>#NAME?</v>
      </c>
      <c r="BE47" s="61" t="e">
        <f>SUM(BE48:BE53)</f>
        <v>#NAME?</v>
      </c>
      <c r="BF47" s="61" t="e">
        <f>SUM(BF48:BF53)</f>
        <v>#NAME?</v>
      </c>
      <c r="BG47" s="61" t="e">
        <f>SUM(BG48:BG53)</f>
        <v>#NAME?</v>
      </c>
    </row>
    <row r="48" spans="1:59" ht="15.75" x14ac:dyDescent="0.25">
      <c r="A48" s="14" t="s">
        <v>96</v>
      </c>
      <c r="B48" s="72">
        <v>34</v>
      </c>
      <c r="C48" s="16" t="s">
        <v>97</v>
      </c>
      <c r="D48" s="64"/>
      <c r="E48" s="65"/>
      <c r="F48" s="66" t="e">
        <f t="shared" ref="F48:F53" si="111">X48+AP48</f>
        <v>#NAME?</v>
      </c>
      <c r="G48" s="66" t="e">
        <f t="shared" ref="G48:G53" si="112">Y48+AQ48</f>
        <v>#NAME?</v>
      </c>
      <c r="H48" s="66" t="e">
        <f t="shared" ref="H48:H53" si="113">I48+J48</f>
        <v>#NAME?</v>
      </c>
      <c r="I48" s="66" t="e">
        <f t="shared" ref="I48:I53" si="114">AA48+AS48</f>
        <v>#NAME?</v>
      </c>
      <c r="J48" s="66" t="e">
        <f t="shared" ref="J48:J53" si="115">AB48+AT48</f>
        <v>#NAME?</v>
      </c>
      <c r="K48" s="66" t="e">
        <f t="shared" ref="K48:K53" si="116">AC48+AU48</f>
        <v>#NAME?</v>
      </c>
      <c r="L48" s="66" t="e">
        <f t="shared" ref="L48:L53" si="117">AD48+AV48</f>
        <v>#NAME?</v>
      </c>
      <c r="M48" s="66" t="e">
        <f t="shared" ref="M48:M53" si="118">AE48+AW48</f>
        <v>#NAME?</v>
      </c>
      <c r="N48" s="66" t="e">
        <f t="shared" ref="N48:N53" si="119">O48+Q48</f>
        <v>#NAME?</v>
      </c>
      <c r="O48" s="66" t="e">
        <f t="shared" ref="O48:O53" si="120">AG48+AY48</f>
        <v>#NAME?</v>
      </c>
      <c r="P48" s="66" t="e">
        <f t="shared" ref="P48:P53" si="121">AH48+AZ48</f>
        <v>#NAME?</v>
      </c>
      <c r="Q48" s="66" t="e">
        <f t="shared" ref="Q48:Q53" si="122">AI48+BA48</f>
        <v>#NAME?</v>
      </c>
      <c r="R48" s="67" t="e">
        <f t="shared" si="46"/>
        <v>#NAME?</v>
      </c>
      <c r="S48" s="67" t="e">
        <f t="shared" si="4"/>
        <v>#NAME?</v>
      </c>
      <c r="T48" s="67" t="e">
        <f t="shared" si="5"/>
        <v>#NAME?</v>
      </c>
      <c r="U48" s="67" t="e">
        <f t="shared" ref="U48:U53" si="123">AM48+BE48</f>
        <v>#NAME?</v>
      </c>
      <c r="V48" s="67" t="e">
        <f t="shared" ref="V48:V53" si="124">(G48+K48+L48-O48-U48)</f>
        <v>#NAME?</v>
      </c>
      <c r="W48" s="67" t="e">
        <f t="shared" ref="W48:W53" si="125">(I48-O48)</f>
        <v>#NAME?</v>
      </c>
      <c r="X48" s="66" t="e">
        <f t="shared" ref="X48:X53" si="126">КОЛ4020/$G$1</f>
        <v>#NAME?</v>
      </c>
      <c r="Y48" s="66" t="e">
        <f t="shared" ref="Y48:Y53" si="127">КОЛ4005/$G$1</f>
        <v>#NAME?</v>
      </c>
      <c r="Z48" s="66" t="e">
        <f t="shared" ref="Z48:Z53" si="128">AA48+AB48</f>
        <v>#NAME?</v>
      </c>
      <c r="AA48" s="66" t="e">
        <f t="shared" ref="AA48:AA53" si="129">КОЛ4007/$G$1</f>
        <v>#NAME?</v>
      </c>
      <c r="AB48" s="66" t="e">
        <f t="shared" ref="AB48:AB53" si="130">КОЛ4008/$G$1</f>
        <v>#NAME?</v>
      </c>
      <c r="AC48" s="66" t="e">
        <f t="shared" ref="AC48:AC53" si="131">КОЛ4009/$G$1</f>
        <v>#NAME?</v>
      </c>
      <c r="AD48" s="66" t="e">
        <f t="shared" ref="AD48:AD53" si="132">КОЛ4010/$G$1</f>
        <v>#NAME?</v>
      </c>
      <c r="AE48" s="66" t="e">
        <f t="shared" ref="AE48:AE53" si="133">КОЛ4011/$G$1</f>
        <v>#NAME?</v>
      </c>
      <c r="AF48" s="66" t="e">
        <f t="shared" ref="AF48:AF53" si="134">AG48+AI48</f>
        <v>#NAME?</v>
      </c>
      <c r="AG48" s="66" t="e">
        <f t="shared" ref="AG48:AG53" si="135">КОЛ4013/$G$1</f>
        <v>#NAME?</v>
      </c>
      <c r="AH48" s="66" t="e">
        <f t="shared" ref="AH48:AH53" si="136">КОЛ4014/$G$1</f>
        <v>#NAME?</v>
      </c>
      <c r="AI48" s="66" t="e">
        <f t="shared" ref="AI48:AI53" si="137">КОЛ4015/$G$1</f>
        <v>#NAME?</v>
      </c>
      <c r="AJ48" s="67" t="e">
        <f t="shared" si="52"/>
        <v>#NAME?</v>
      </c>
      <c r="AK48" s="67" t="e">
        <f t="shared" si="7"/>
        <v>#NAME?</v>
      </c>
      <c r="AL48" s="67" t="e">
        <f t="shared" si="8"/>
        <v>#NAME?</v>
      </c>
      <c r="AM48" s="67" t="e">
        <f t="shared" ref="AM48:AM53" si="138">КОЛ4017/$G$1</f>
        <v>#NAME?</v>
      </c>
      <c r="AN48" s="67" t="e">
        <f t="shared" ref="AN48:AN53" si="139">(Y48+AC48+AD48-AG48-AM48)</f>
        <v>#NAME?</v>
      </c>
      <c r="AO48" s="67" t="e">
        <f t="shared" ref="AO48:AO53" si="140">(AA48-AG48)</f>
        <v>#NAME?</v>
      </c>
      <c r="AP48" s="66" t="e">
        <f t="shared" ref="AP48:AP53" si="141">КОЛ4120/$G$1</f>
        <v>#NAME?</v>
      </c>
      <c r="AQ48" s="66" t="e">
        <f t="shared" ref="AQ48:AQ53" si="142">КОЛ4105/$G$1</f>
        <v>#NAME?</v>
      </c>
      <c r="AR48" s="66" t="e">
        <f t="shared" ref="AR48:AR53" si="143">AS48+AT48</f>
        <v>#NAME?</v>
      </c>
      <c r="AS48" s="66" t="e">
        <f t="shared" ref="AS48:AS53" si="144">КОЛ4107/$G$1</f>
        <v>#NAME?</v>
      </c>
      <c r="AT48" s="66" t="e">
        <f t="shared" ref="AT48:AT53" si="145">КОЛ4108/$G$1</f>
        <v>#NAME?</v>
      </c>
      <c r="AU48" s="66" t="e">
        <f t="shared" ref="AU48:AU53" si="146">КОЛ4109/$G$1</f>
        <v>#NAME?</v>
      </c>
      <c r="AV48" s="66" t="e">
        <f t="shared" ref="AV48:AV53" si="147">КОЛ4110/$G$1</f>
        <v>#NAME?</v>
      </c>
      <c r="AW48" s="66" t="e">
        <f t="shared" ref="AW48:AW53" si="148">КОЛ4111/$G$1</f>
        <v>#NAME?</v>
      </c>
      <c r="AX48" s="66" t="e">
        <f t="shared" ref="AX48:AX53" si="149">AY48+BA48</f>
        <v>#NAME?</v>
      </c>
      <c r="AY48" s="66" t="e">
        <f t="shared" ref="AY48:AY53" si="150">КОЛ4113/$G$1</f>
        <v>#NAME?</v>
      </c>
      <c r="AZ48" s="66" t="e">
        <f t="shared" ref="AZ48:AZ53" si="151">КОЛ4114/$G$1</f>
        <v>#NAME?</v>
      </c>
      <c r="BA48" s="66" t="e">
        <f t="shared" ref="BA48:BA53" si="152">КОЛ4115/$G$1</f>
        <v>#NAME?</v>
      </c>
      <c r="BB48" s="67" t="e">
        <f t="shared" si="57"/>
        <v>#NAME?</v>
      </c>
      <c r="BC48" s="67" t="e">
        <f t="shared" si="10"/>
        <v>#NAME?</v>
      </c>
      <c r="BD48" s="67" t="e">
        <f t="shared" si="11"/>
        <v>#NAME?</v>
      </c>
      <c r="BE48" s="67" t="e">
        <f t="shared" ref="BE48:BE53" si="153">КОЛ4117/$G$1</f>
        <v>#NAME?</v>
      </c>
      <c r="BF48" s="67" t="e">
        <f t="shared" ref="BF48:BF53" si="154">(AQ48+AU48+AV48-AY48-BE48)</f>
        <v>#NAME?</v>
      </c>
      <c r="BG48" s="67" t="e">
        <f t="shared" ref="BG48:BG53" si="155">(AS48-AY48)</f>
        <v>#NAME?</v>
      </c>
    </row>
    <row r="49" spans="1:59" ht="15.75" x14ac:dyDescent="0.25">
      <c r="A49" s="14" t="s">
        <v>98</v>
      </c>
      <c r="B49" s="72">
        <v>35</v>
      </c>
      <c r="C49" s="16" t="s">
        <v>99</v>
      </c>
      <c r="D49" s="64"/>
      <c r="E49" s="65"/>
      <c r="F49" s="66" t="e">
        <f t="shared" si="111"/>
        <v>#NAME?</v>
      </c>
      <c r="G49" s="66" t="e">
        <f t="shared" si="112"/>
        <v>#NAME?</v>
      </c>
      <c r="H49" s="66" t="e">
        <f t="shared" si="113"/>
        <v>#NAME?</v>
      </c>
      <c r="I49" s="66" t="e">
        <f t="shared" si="114"/>
        <v>#NAME?</v>
      </c>
      <c r="J49" s="66" t="e">
        <f t="shared" si="115"/>
        <v>#NAME?</v>
      </c>
      <c r="K49" s="66" t="e">
        <f t="shared" si="116"/>
        <v>#NAME?</v>
      </c>
      <c r="L49" s="66" t="e">
        <f t="shared" si="117"/>
        <v>#NAME?</v>
      </c>
      <c r="M49" s="66" t="e">
        <f t="shared" si="118"/>
        <v>#NAME?</v>
      </c>
      <c r="N49" s="66" t="e">
        <f t="shared" si="119"/>
        <v>#NAME?</v>
      </c>
      <c r="O49" s="66" t="e">
        <f t="shared" si="120"/>
        <v>#NAME?</v>
      </c>
      <c r="P49" s="66" t="e">
        <f t="shared" si="121"/>
        <v>#NAME?</v>
      </c>
      <c r="Q49" s="66" t="e">
        <f t="shared" si="122"/>
        <v>#NAME?</v>
      </c>
      <c r="R49" s="67" t="e">
        <f t="shared" si="46"/>
        <v>#NAME?</v>
      </c>
      <c r="S49" s="67" t="e">
        <f t="shared" si="4"/>
        <v>#NAME?</v>
      </c>
      <c r="T49" s="67" t="e">
        <f t="shared" si="5"/>
        <v>#NAME?</v>
      </c>
      <c r="U49" s="67" t="e">
        <f t="shared" si="123"/>
        <v>#NAME?</v>
      </c>
      <c r="V49" s="67" t="e">
        <f t="shared" si="124"/>
        <v>#NAME?</v>
      </c>
      <c r="W49" s="67" t="e">
        <f t="shared" si="125"/>
        <v>#NAME?</v>
      </c>
      <c r="X49" s="66" t="e">
        <f t="shared" si="126"/>
        <v>#NAME?</v>
      </c>
      <c r="Y49" s="66" t="e">
        <f t="shared" si="127"/>
        <v>#NAME?</v>
      </c>
      <c r="Z49" s="66" t="e">
        <f t="shared" si="128"/>
        <v>#NAME?</v>
      </c>
      <c r="AA49" s="66" t="e">
        <f t="shared" si="129"/>
        <v>#NAME?</v>
      </c>
      <c r="AB49" s="66" t="e">
        <f t="shared" si="130"/>
        <v>#NAME?</v>
      </c>
      <c r="AC49" s="66" t="e">
        <f t="shared" si="131"/>
        <v>#NAME?</v>
      </c>
      <c r="AD49" s="66" t="e">
        <f t="shared" si="132"/>
        <v>#NAME?</v>
      </c>
      <c r="AE49" s="66" t="e">
        <f t="shared" si="133"/>
        <v>#NAME?</v>
      </c>
      <c r="AF49" s="66" t="e">
        <f t="shared" si="134"/>
        <v>#NAME?</v>
      </c>
      <c r="AG49" s="66" t="e">
        <f t="shared" si="135"/>
        <v>#NAME?</v>
      </c>
      <c r="AH49" s="66" t="e">
        <f t="shared" si="136"/>
        <v>#NAME?</v>
      </c>
      <c r="AI49" s="66" t="e">
        <f t="shared" si="137"/>
        <v>#NAME?</v>
      </c>
      <c r="AJ49" s="67" t="e">
        <f t="shared" si="52"/>
        <v>#NAME?</v>
      </c>
      <c r="AK49" s="67" t="e">
        <f t="shared" si="7"/>
        <v>#NAME?</v>
      </c>
      <c r="AL49" s="67" t="e">
        <f t="shared" si="8"/>
        <v>#NAME?</v>
      </c>
      <c r="AM49" s="67" t="e">
        <f t="shared" si="138"/>
        <v>#NAME?</v>
      </c>
      <c r="AN49" s="67" t="e">
        <f t="shared" si="139"/>
        <v>#NAME?</v>
      </c>
      <c r="AO49" s="67" t="e">
        <f t="shared" si="140"/>
        <v>#NAME?</v>
      </c>
      <c r="AP49" s="66" t="e">
        <f t="shared" si="141"/>
        <v>#NAME?</v>
      </c>
      <c r="AQ49" s="66" t="e">
        <f t="shared" si="142"/>
        <v>#NAME?</v>
      </c>
      <c r="AR49" s="66" t="e">
        <f t="shared" si="143"/>
        <v>#NAME?</v>
      </c>
      <c r="AS49" s="66" t="e">
        <f t="shared" si="144"/>
        <v>#NAME?</v>
      </c>
      <c r="AT49" s="66" t="e">
        <f t="shared" si="145"/>
        <v>#NAME?</v>
      </c>
      <c r="AU49" s="66" t="e">
        <f t="shared" si="146"/>
        <v>#NAME?</v>
      </c>
      <c r="AV49" s="66" t="e">
        <f t="shared" si="147"/>
        <v>#NAME?</v>
      </c>
      <c r="AW49" s="66" t="e">
        <f t="shared" si="148"/>
        <v>#NAME?</v>
      </c>
      <c r="AX49" s="66" t="e">
        <f t="shared" si="149"/>
        <v>#NAME?</v>
      </c>
      <c r="AY49" s="66" t="e">
        <f t="shared" si="150"/>
        <v>#NAME?</v>
      </c>
      <c r="AZ49" s="66" t="e">
        <f t="shared" si="151"/>
        <v>#NAME?</v>
      </c>
      <c r="BA49" s="66" t="e">
        <f t="shared" si="152"/>
        <v>#NAME?</v>
      </c>
      <c r="BB49" s="67" t="e">
        <f t="shared" si="57"/>
        <v>#NAME?</v>
      </c>
      <c r="BC49" s="67" t="e">
        <f t="shared" si="10"/>
        <v>#NAME?</v>
      </c>
      <c r="BD49" s="67" t="e">
        <f t="shared" si="11"/>
        <v>#NAME?</v>
      </c>
      <c r="BE49" s="67" t="e">
        <f t="shared" si="153"/>
        <v>#NAME?</v>
      </c>
      <c r="BF49" s="67" t="e">
        <f t="shared" si="154"/>
        <v>#NAME?</v>
      </c>
      <c r="BG49" s="67" t="e">
        <f t="shared" si="155"/>
        <v>#NAME?</v>
      </c>
    </row>
    <row r="50" spans="1:59" ht="15.75" x14ac:dyDescent="0.25">
      <c r="A50" s="14" t="s">
        <v>100</v>
      </c>
      <c r="B50" s="72">
        <v>36</v>
      </c>
      <c r="C50" s="16" t="s">
        <v>101</v>
      </c>
      <c r="D50" s="64"/>
      <c r="E50" s="65"/>
      <c r="F50" s="66" t="e">
        <f t="shared" si="111"/>
        <v>#NAME?</v>
      </c>
      <c r="G50" s="66" t="e">
        <f t="shared" si="112"/>
        <v>#NAME?</v>
      </c>
      <c r="H50" s="66" t="e">
        <f t="shared" si="113"/>
        <v>#NAME?</v>
      </c>
      <c r="I50" s="66" t="e">
        <f t="shared" si="114"/>
        <v>#NAME?</v>
      </c>
      <c r="J50" s="66" t="e">
        <f t="shared" si="115"/>
        <v>#NAME?</v>
      </c>
      <c r="K50" s="66" t="e">
        <f t="shared" si="116"/>
        <v>#NAME?</v>
      </c>
      <c r="L50" s="66" t="e">
        <f t="shared" si="117"/>
        <v>#NAME?</v>
      </c>
      <c r="M50" s="66" t="e">
        <f t="shared" si="118"/>
        <v>#NAME?</v>
      </c>
      <c r="N50" s="66" t="e">
        <f t="shared" si="119"/>
        <v>#NAME?</v>
      </c>
      <c r="O50" s="66" t="e">
        <f t="shared" si="120"/>
        <v>#NAME?</v>
      </c>
      <c r="P50" s="66" t="e">
        <f t="shared" si="121"/>
        <v>#NAME?</v>
      </c>
      <c r="Q50" s="66" t="e">
        <f t="shared" si="122"/>
        <v>#NAME?</v>
      </c>
      <c r="R50" s="67" t="e">
        <f t="shared" si="46"/>
        <v>#NAME?</v>
      </c>
      <c r="S50" s="67" t="e">
        <f t="shared" si="4"/>
        <v>#NAME?</v>
      </c>
      <c r="T50" s="67" t="e">
        <f t="shared" si="5"/>
        <v>#NAME?</v>
      </c>
      <c r="U50" s="67" t="e">
        <f t="shared" si="123"/>
        <v>#NAME?</v>
      </c>
      <c r="V50" s="67" t="e">
        <f t="shared" si="124"/>
        <v>#NAME?</v>
      </c>
      <c r="W50" s="67" t="e">
        <f t="shared" si="125"/>
        <v>#NAME?</v>
      </c>
      <c r="X50" s="66" t="e">
        <f t="shared" si="126"/>
        <v>#NAME?</v>
      </c>
      <c r="Y50" s="66" t="e">
        <f t="shared" si="127"/>
        <v>#NAME?</v>
      </c>
      <c r="Z50" s="66" t="e">
        <f t="shared" si="128"/>
        <v>#NAME?</v>
      </c>
      <c r="AA50" s="66" t="e">
        <f t="shared" si="129"/>
        <v>#NAME?</v>
      </c>
      <c r="AB50" s="66" t="e">
        <f t="shared" si="130"/>
        <v>#NAME?</v>
      </c>
      <c r="AC50" s="66" t="e">
        <f t="shared" si="131"/>
        <v>#NAME?</v>
      </c>
      <c r="AD50" s="66" t="e">
        <f t="shared" si="132"/>
        <v>#NAME?</v>
      </c>
      <c r="AE50" s="66" t="e">
        <f t="shared" si="133"/>
        <v>#NAME?</v>
      </c>
      <c r="AF50" s="66" t="e">
        <f t="shared" si="134"/>
        <v>#NAME?</v>
      </c>
      <c r="AG50" s="66" t="e">
        <f t="shared" si="135"/>
        <v>#NAME?</v>
      </c>
      <c r="AH50" s="66" t="e">
        <f t="shared" si="136"/>
        <v>#NAME?</v>
      </c>
      <c r="AI50" s="66" t="e">
        <f t="shared" si="137"/>
        <v>#NAME?</v>
      </c>
      <c r="AJ50" s="67" t="e">
        <f t="shared" si="52"/>
        <v>#NAME?</v>
      </c>
      <c r="AK50" s="67" t="e">
        <f t="shared" si="7"/>
        <v>#NAME?</v>
      </c>
      <c r="AL50" s="67" t="e">
        <f t="shared" si="8"/>
        <v>#NAME?</v>
      </c>
      <c r="AM50" s="67" t="e">
        <f t="shared" si="138"/>
        <v>#NAME?</v>
      </c>
      <c r="AN50" s="67" t="e">
        <f t="shared" si="139"/>
        <v>#NAME?</v>
      </c>
      <c r="AO50" s="67" t="e">
        <f t="shared" si="140"/>
        <v>#NAME?</v>
      </c>
      <c r="AP50" s="66" t="e">
        <f t="shared" si="141"/>
        <v>#NAME?</v>
      </c>
      <c r="AQ50" s="66" t="e">
        <f t="shared" si="142"/>
        <v>#NAME?</v>
      </c>
      <c r="AR50" s="66" t="e">
        <f t="shared" si="143"/>
        <v>#NAME?</v>
      </c>
      <c r="AS50" s="66" t="e">
        <f t="shared" si="144"/>
        <v>#NAME?</v>
      </c>
      <c r="AT50" s="66" t="e">
        <f t="shared" si="145"/>
        <v>#NAME?</v>
      </c>
      <c r="AU50" s="66" t="e">
        <f t="shared" si="146"/>
        <v>#NAME?</v>
      </c>
      <c r="AV50" s="66" t="e">
        <f t="shared" si="147"/>
        <v>#NAME?</v>
      </c>
      <c r="AW50" s="66" t="e">
        <f t="shared" si="148"/>
        <v>#NAME?</v>
      </c>
      <c r="AX50" s="66" t="e">
        <f t="shared" si="149"/>
        <v>#NAME?</v>
      </c>
      <c r="AY50" s="66" t="e">
        <f t="shared" si="150"/>
        <v>#NAME?</v>
      </c>
      <c r="AZ50" s="66" t="e">
        <f t="shared" si="151"/>
        <v>#NAME?</v>
      </c>
      <c r="BA50" s="66" t="e">
        <f t="shared" si="152"/>
        <v>#NAME?</v>
      </c>
      <c r="BB50" s="67" t="e">
        <f t="shared" si="57"/>
        <v>#NAME?</v>
      </c>
      <c r="BC50" s="67" t="e">
        <f t="shared" si="10"/>
        <v>#NAME?</v>
      </c>
      <c r="BD50" s="67" t="e">
        <f t="shared" si="11"/>
        <v>#NAME?</v>
      </c>
      <c r="BE50" s="67" t="e">
        <f t="shared" si="153"/>
        <v>#NAME?</v>
      </c>
      <c r="BF50" s="67" t="e">
        <f t="shared" si="154"/>
        <v>#NAME?</v>
      </c>
      <c r="BG50" s="67" t="e">
        <f t="shared" si="155"/>
        <v>#NAME?</v>
      </c>
    </row>
    <row r="51" spans="1:59" ht="15.75" x14ac:dyDescent="0.25">
      <c r="A51" s="14" t="s">
        <v>102</v>
      </c>
      <c r="B51" s="72">
        <v>37</v>
      </c>
      <c r="C51" s="16" t="s">
        <v>103</v>
      </c>
      <c r="D51" s="64"/>
      <c r="E51" s="65"/>
      <c r="F51" s="66" t="e">
        <f t="shared" si="111"/>
        <v>#NAME?</v>
      </c>
      <c r="G51" s="66" t="e">
        <f t="shared" si="112"/>
        <v>#NAME?</v>
      </c>
      <c r="H51" s="66" t="e">
        <f t="shared" si="113"/>
        <v>#NAME?</v>
      </c>
      <c r="I51" s="66" t="e">
        <f t="shared" si="114"/>
        <v>#NAME?</v>
      </c>
      <c r="J51" s="66" t="e">
        <f t="shared" si="115"/>
        <v>#NAME?</v>
      </c>
      <c r="K51" s="66" t="e">
        <f t="shared" si="116"/>
        <v>#NAME?</v>
      </c>
      <c r="L51" s="66" t="e">
        <f t="shared" si="117"/>
        <v>#NAME?</v>
      </c>
      <c r="M51" s="66" t="e">
        <f t="shared" si="118"/>
        <v>#NAME?</v>
      </c>
      <c r="N51" s="66" t="e">
        <f t="shared" si="119"/>
        <v>#NAME?</v>
      </c>
      <c r="O51" s="66" t="e">
        <f t="shared" si="120"/>
        <v>#NAME?</v>
      </c>
      <c r="P51" s="66" t="e">
        <f t="shared" si="121"/>
        <v>#NAME?</v>
      </c>
      <c r="Q51" s="66" t="e">
        <f t="shared" si="122"/>
        <v>#NAME?</v>
      </c>
      <c r="R51" s="67" t="e">
        <f t="shared" si="46"/>
        <v>#NAME?</v>
      </c>
      <c r="S51" s="67" t="e">
        <f t="shared" si="4"/>
        <v>#NAME?</v>
      </c>
      <c r="T51" s="67" t="e">
        <f t="shared" si="5"/>
        <v>#NAME?</v>
      </c>
      <c r="U51" s="67" t="e">
        <f t="shared" si="123"/>
        <v>#NAME?</v>
      </c>
      <c r="V51" s="67" t="e">
        <f t="shared" si="124"/>
        <v>#NAME?</v>
      </c>
      <c r="W51" s="67" t="e">
        <f t="shared" si="125"/>
        <v>#NAME?</v>
      </c>
      <c r="X51" s="66" t="e">
        <f t="shared" si="126"/>
        <v>#NAME?</v>
      </c>
      <c r="Y51" s="66" t="e">
        <f t="shared" si="127"/>
        <v>#NAME?</v>
      </c>
      <c r="Z51" s="66" t="e">
        <f t="shared" si="128"/>
        <v>#NAME?</v>
      </c>
      <c r="AA51" s="66" t="e">
        <f t="shared" si="129"/>
        <v>#NAME?</v>
      </c>
      <c r="AB51" s="66" t="e">
        <f t="shared" si="130"/>
        <v>#NAME?</v>
      </c>
      <c r="AC51" s="66" t="e">
        <f t="shared" si="131"/>
        <v>#NAME?</v>
      </c>
      <c r="AD51" s="66" t="e">
        <f t="shared" si="132"/>
        <v>#NAME?</v>
      </c>
      <c r="AE51" s="66" t="e">
        <f t="shared" si="133"/>
        <v>#NAME?</v>
      </c>
      <c r="AF51" s="66" t="e">
        <f t="shared" si="134"/>
        <v>#NAME?</v>
      </c>
      <c r="AG51" s="66" t="e">
        <f t="shared" si="135"/>
        <v>#NAME?</v>
      </c>
      <c r="AH51" s="66" t="e">
        <f t="shared" si="136"/>
        <v>#NAME?</v>
      </c>
      <c r="AI51" s="66" t="e">
        <f t="shared" si="137"/>
        <v>#NAME?</v>
      </c>
      <c r="AJ51" s="67" t="e">
        <f t="shared" si="52"/>
        <v>#NAME?</v>
      </c>
      <c r="AK51" s="67" t="e">
        <f t="shared" si="7"/>
        <v>#NAME?</v>
      </c>
      <c r="AL51" s="67" t="e">
        <f t="shared" si="8"/>
        <v>#NAME?</v>
      </c>
      <c r="AM51" s="67" t="e">
        <f t="shared" si="138"/>
        <v>#NAME?</v>
      </c>
      <c r="AN51" s="67" t="e">
        <f t="shared" si="139"/>
        <v>#NAME?</v>
      </c>
      <c r="AO51" s="67" t="e">
        <f t="shared" si="140"/>
        <v>#NAME?</v>
      </c>
      <c r="AP51" s="66" t="e">
        <f t="shared" si="141"/>
        <v>#NAME?</v>
      </c>
      <c r="AQ51" s="66" t="e">
        <f t="shared" si="142"/>
        <v>#NAME?</v>
      </c>
      <c r="AR51" s="66" t="e">
        <f t="shared" si="143"/>
        <v>#NAME?</v>
      </c>
      <c r="AS51" s="66" t="e">
        <f t="shared" si="144"/>
        <v>#NAME?</v>
      </c>
      <c r="AT51" s="66" t="e">
        <f t="shared" si="145"/>
        <v>#NAME?</v>
      </c>
      <c r="AU51" s="66" t="e">
        <f t="shared" si="146"/>
        <v>#NAME?</v>
      </c>
      <c r="AV51" s="66" t="e">
        <f t="shared" si="147"/>
        <v>#NAME?</v>
      </c>
      <c r="AW51" s="66" t="e">
        <f t="shared" si="148"/>
        <v>#NAME?</v>
      </c>
      <c r="AX51" s="66" t="e">
        <f t="shared" si="149"/>
        <v>#NAME?</v>
      </c>
      <c r="AY51" s="66" t="e">
        <f t="shared" si="150"/>
        <v>#NAME?</v>
      </c>
      <c r="AZ51" s="66" t="e">
        <f t="shared" si="151"/>
        <v>#NAME?</v>
      </c>
      <c r="BA51" s="66" t="e">
        <f t="shared" si="152"/>
        <v>#NAME?</v>
      </c>
      <c r="BB51" s="67" t="e">
        <f t="shared" si="57"/>
        <v>#NAME?</v>
      </c>
      <c r="BC51" s="67" t="e">
        <f t="shared" si="10"/>
        <v>#NAME?</v>
      </c>
      <c r="BD51" s="67" t="e">
        <f t="shared" si="11"/>
        <v>#NAME?</v>
      </c>
      <c r="BE51" s="67" t="e">
        <f t="shared" si="153"/>
        <v>#NAME?</v>
      </c>
      <c r="BF51" s="67" t="e">
        <f t="shared" si="154"/>
        <v>#NAME?</v>
      </c>
      <c r="BG51" s="67" t="e">
        <f t="shared" si="155"/>
        <v>#NAME?</v>
      </c>
    </row>
    <row r="52" spans="1:59" ht="15.75" x14ac:dyDescent="0.25">
      <c r="A52" s="14" t="s">
        <v>104</v>
      </c>
      <c r="B52" s="72">
        <v>38</v>
      </c>
      <c r="C52" s="16" t="s">
        <v>105</v>
      </c>
      <c r="D52" s="64"/>
      <c r="E52" s="65"/>
      <c r="F52" s="66" t="e">
        <f t="shared" si="111"/>
        <v>#NAME?</v>
      </c>
      <c r="G52" s="66" t="e">
        <f t="shared" si="112"/>
        <v>#NAME?</v>
      </c>
      <c r="H52" s="66" t="e">
        <f t="shared" si="113"/>
        <v>#NAME?</v>
      </c>
      <c r="I52" s="66" t="e">
        <f t="shared" si="114"/>
        <v>#NAME?</v>
      </c>
      <c r="J52" s="66" t="e">
        <f t="shared" si="115"/>
        <v>#NAME?</v>
      </c>
      <c r="K52" s="66" t="e">
        <f t="shared" si="116"/>
        <v>#NAME?</v>
      </c>
      <c r="L52" s="66" t="e">
        <f t="shared" si="117"/>
        <v>#NAME?</v>
      </c>
      <c r="M52" s="66" t="e">
        <f t="shared" si="118"/>
        <v>#NAME?</v>
      </c>
      <c r="N52" s="66" t="e">
        <f t="shared" si="119"/>
        <v>#NAME?</v>
      </c>
      <c r="O52" s="66" t="e">
        <f t="shared" si="120"/>
        <v>#NAME?</v>
      </c>
      <c r="P52" s="66" t="e">
        <f t="shared" si="121"/>
        <v>#NAME?</v>
      </c>
      <c r="Q52" s="66" t="e">
        <f t="shared" si="122"/>
        <v>#NAME?</v>
      </c>
      <c r="R52" s="67" t="e">
        <f t="shared" si="46"/>
        <v>#NAME?</v>
      </c>
      <c r="S52" s="67" t="e">
        <f t="shared" si="4"/>
        <v>#NAME?</v>
      </c>
      <c r="T52" s="67" t="e">
        <f t="shared" si="5"/>
        <v>#NAME?</v>
      </c>
      <c r="U52" s="67" t="e">
        <f t="shared" si="123"/>
        <v>#NAME?</v>
      </c>
      <c r="V52" s="67" t="e">
        <f t="shared" si="124"/>
        <v>#NAME?</v>
      </c>
      <c r="W52" s="67" t="e">
        <f t="shared" si="125"/>
        <v>#NAME?</v>
      </c>
      <c r="X52" s="66" t="e">
        <f t="shared" si="126"/>
        <v>#NAME?</v>
      </c>
      <c r="Y52" s="66" t="e">
        <f t="shared" si="127"/>
        <v>#NAME?</v>
      </c>
      <c r="Z52" s="66" t="e">
        <f t="shared" si="128"/>
        <v>#NAME?</v>
      </c>
      <c r="AA52" s="66" t="e">
        <f t="shared" si="129"/>
        <v>#NAME?</v>
      </c>
      <c r="AB52" s="66" t="e">
        <f t="shared" si="130"/>
        <v>#NAME?</v>
      </c>
      <c r="AC52" s="66" t="e">
        <f t="shared" si="131"/>
        <v>#NAME?</v>
      </c>
      <c r="AD52" s="66" t="e">
        <f t="shared" si="132"/>
        <v>#NAME?</v>
      </c>
      <c r="AE52" s="66" t="e">
        <f t="shared" si="133"/>
        <v>#NAME?</v>
      </c>
      <c r="AF52" s="66" t="e">
        <f t="shared" si="134"/>
        <v>#NAME?</v>
      </c>
      <c r="AG52" s="66" t="e">
        <f t="shared" si="135"/>
        <v>#NAME?</v>
      </c>
      <c r="AH52" s="66" t="e">
        <f t="shared" si="136"/>
        <v>#NAME?</v>
      </c>
      <c r="AI52" s="66" t="e">
        <f t="shared" si="137"/>
        <v>#NAME?</v>
      </c>
      <c r="AJ52" s="67" t="e">
        <f t="shared" si="52"/>
        <v>#NAME?</v>
      </c>
      <c r="AK52" s="67" t="e">
        <f t="shared" si="7"/>
        <v>#NAME?</v>
      </c>
      <c r="AL52" s="67" t="e">
        <f t="shared" si="8"/>
        <v>#NAME?</v>
      </c>
      <c r="AM52" s="67" t="e">
        <f t="shared" si="138"/>
        <v>#NAME?</v>
      </c>
      <c r="AN52" s="67" t="e">
        <f t="shared" si="139"/>
        <v>#NAME?</v>
      </c>
      <c r="AO52" s="67" t="e">
        <f t="shared" si="140"/>
        <v>#NAME?</v>
      </c>
      <c r="AP52" s="66" t="e">
        <f t="shared" si="141"/>
        <v>#NAME?</v>
      </c>
      <c r="AQ52" s="66" t="e">
        <f t="shared" si="142"/>
        <v>#NAME?</v>
      </c>
      <c r="AR52" s="66" t="e">
        <f t="shared" si="143"/>
        <v>#NAME?</v>
      </c>
      <c r="AS52" s="66" t="e">
        <f t="shared" si="144"/>
        <v>#NAME?</v>
      </c>
      <c r="AT52" s="66" t="e">
        <f t="shared" si="145"/>
        <v>#NAME?</v>
      </c>
      <c r="AU52" s="66" t="e">
        <f t="shared" si="146"/>
        <v>#NAME?</v>
      </c>
      <c r="AV52" s="66" t="e">
        <f t="shared" si="147"/>
        <v>#NAME?</v>
      </c>
      <c r="AW52" s="66" t="e">
        <f t="shared" si="148"/>
        <v>#NAME?</v>
      </c>
      <c r="AX52" s="66" t="e">
        <f t="shared" si="149"/>
        <v>#NAME?</v>
      </c>
      <c r="AY52" s="66" t="e">
        <f t="shared" si="150"/>
        <v>#NAME?</v>
      </c>
      <c r="AZ52" s="66" t="e">
        <f t="shared" si="151"/>
        <v>#NAME?</v>
      </c>
      <c r="BA52" s="66" t="e">
        <f t="shared" si="152"/>
        <v>#NAME?</v>
      </c>
      <c r="BB52" s="67" t="e">
        <f t="shared" si="57"/>
        <v>#NAME?</v>
      </c>
      <c r="BC52" s="67" t="e">
        <f t="shared" si="10"/>
        <v>#NAME?</v>
      </c>
      <c r="BD52" s="67" t="e">
        <f t="shared" si="11"/>
        <v>#NAME?</v>
      </c>
      <c r="BE52" s="67" t="e">
        <f t="shared" si="153"/>
        <v>#NAME?</v>
      </c>
      <c r="BF52" s="67" t="e">
        <f t="shared" si="154"/>
        <v>#NAME?</v>
      </c>
      <c r="BG52" s="67" t="e">
        <f t="shared" si="155"/>
        <v>#NAME?</v>
      </c>
    </row>
    <row r="53" spans="1:59" ht="15.75" x14ac:dyDescent="0.25">
      <c r="A53" s="14" t="s">
        <v>106</v>
      </c>
      <c r="B53" s="68">
        <v>39</v>
      </c>
      <c r="C53" s="16" t="s">
        <v>107</v>
      </c>
      <c r="D53" s="64"/>
      <c r="E53" s="65"/>
      <c r="F53" s="66" t="e">
        <f t="shared" si="111"/>
        <v>#NAME?</v>
      </c>
      <c r="G53" s="66" t="e">
        <f t="shared" si="112"/>
        <v>#NAME?</v>
      </c>
      <c r="H53" s="66" t="e">
        <f t="shared" si="113"/>
        <v>#NAME?</v>
      </c>
      <c r="I53" s="66" t="e">
        <f t="shared" si="114"/>
        <v>#NAME?</v>
      </c>
      <c r="J53" s="66" t="e">
        <f t="shared" si="115"/>
        <v>#NAME?</v>
      </c>
      <c r="K53" s="66" t="e">
        <f t="shared" si="116"/>
        <v>#NAME?</v>
      </c>
      <c r="L53" s="66" t="e">
        <f t="shared" si="117"/>
        <v>#NAME?</v>
      </c>
      <c r="M53" s="66" t="e">
        <f t="shared" si="118"/>
        <v>#NAME?</v>
      </c>
      <c r="N53" s="66" t="e">
        <f t="shared" si="119"/>
        <v>#NAME?</v>
      </c>
      <c r="O53" s="66" t="e">
        <f t="shared" si="120"/>
        <v>#NAME?</v>
      </c>
      <c r="P53" s="66" t="e">
        <f t="shared" si="121"/>
        <v>#NAME?</v>
      </c>
      <c r="Q53" s="66" t="e">
        <f t="shared" si="122"/>
        <v>#NAME?</v>
      </c>
      <c r="R53" s="67" t="e">
        <f t="shared" si="46"/>
        <v>#NAME?</v>
      </c>
      <c r="S53" s="67" t="e">
        <f t="shared" si="4"/>
        <v>#NAME?</v>
      </c>
      <c r="T53" s="67" t="e">
        <f t="shared" si="5"/>
        <v>#NAME?</v>
      </c>
      <c r="U53" s="67" t="e">
        <f t="shared" si="123"/>
        <v>#NAME?</v>
      </c>
      <c r="V53" s="67" t="e">
        <f t="shared" si="124"/>
        <v>#NAME?</v>
      </c>
      <c r="W53" s="67" t="e">
        <f t="shared" si="125"/>
        <v>#NAME?</v>
      </c>
      <c r="X53" s="66" t="e">
        <f t="shared" si="126"/>
        <v>#NAME?</v>
      </c>
      <c r="Y53" s="66" t="e">
        <f t="shared" si="127"/>
        <v>#NAME?</v>
      </c>
      <c r="Z53" s="66" t="e">
        <f t="shared" si="128"/>
        <v>#NAME?</v>
      </c>
      <c r="AA53" s="66" t="e">
        <f t="shared" si="129"/>
        <v>#NAME?</v>
      </c>
      <c r="AB53" s="66" t="e">
        <f t="shared" si="130"/>
        <v>#NAME?</v>
      </c>
      <c r="AC53" s="66" t="e">
        <f t="shared" si="131"/>
        <v>#NAME?</v>
      </c>
      <c r="AD53" s="66" t="e">
        <f t="shared" si="132"/>
        <v>#NAME?</v>
      </c>
      <c r="AE53" s="66" t="e">
        <f t="shared" si="133"/>
        <v>#NAME?</v>
      </c>
      <c r="AF53" s="66" t="e">
        <f t="shared" si="134"/>
        <v>#NAME?</v>
      </c>
      <c r="AG53" s="66" t="e">
        <f t="shared" si="135"/>
        <v>#NAME?</v>
      </c>
      <c r="AH53" s="66" t="e">
        <f t="shared" si="136"/>
        <v>#NAME?</v>
      </c>
      <c r="AI53" s="66" t="e">
        <f t="shared" si="137"/>
        <v>#NAME?</v>
      </c>
      <c r="AJ53" s="67" t="e">
        <f t="shared" si="52"/>
        <v>#NAME?</v>
      </c>
      <c r="AK53" s="67" t="e">
        <f t="shared" si="7"/>
        <v>#NAME?</v>
      </c>
      <c r="AL53" s="67" t="e">
        <f t="shared" si="8"/>
        <v>#NAME?</v>
      </c>
      <c r="AM53" s="67" t="e">
        <f t="shared" si="138"/>
        <v>#NAME?</v>
      </c>
      <c r="AN53" s="67" t="e">
        <f t="shared" si="139"/>
        <v>#NAME?</v>
      </c>
      <c r="AO53" s="67" t="e">
        <f t="shared" si="140"/>
        <v>#NAME?</v>
      </c>
      <c r="AP53" s="66" t="e">
        <f t="shared" si="141"/>
        <v>#NAME?</v>
      </c>
      <c r="AQ53" s="66" t="e">
        <f t="shared" si="142"/>
        <v>#NAME?</v>
      </c>
      <c r="AR53" s="66" t="e">
        <f t="shared" si="143"/>
        <v>#NAME?</v>
      </c>
      <c r="AS53" s="66" t="e">
        <f t="shared" si="144"/>
        <v>#NAME?</v>
      </c>
      <c r="AT53" s="66" t="e">
        <f t="shared" si="145"/>
        <v>#NAME?</v>
      </c>
      <c r="AU53" s="66" t="e">
        <f t="shared" si="146"/>
        <v>#NAME?</v>
      </c>
      <c r="AV53" s="66" t="e">
        <f t="shared" si="147"/>
        <v>#NAME?</v>
      </c>
      <c r="AW53" s="66" t="e">
        <f t="shared" si="148"/>
        <v>#NAME?</v>
      </c>
      <c r="AX53" s="66" t="e">
        <f t="shared" si="149"/>
        <v>#NAME?</v>
      </c>
      <c r="AY53" s="66" t="e">
        <f t="shared" si="150"/>
        <v>#NAME?</v>
      </c>
      <c r="AZ53" s="66" t="e">
        <f t="shared" si="151"/>
        <v>#NAME?</v>
      </c>
      <c r="BA53" s="66" t="e">
        <f t="shared" si="152"/>
        <v>#NAME?</v>
      </c>
      <c r="BB53" s="67" t="e">
        <f t="shared" si="57"/>
        <v>#NAME?</v>
      </c>
      <c r="BC53" s="67" t="e">
        <f t="shared" si="10"/>
        <v>#NAME?</v>
      </c>
      <c r="BD53" s="67" t="e">
        <f t="shared" si="11"/>
        <v>#NAME?</v>
      </c>
      <c r="BE53" s="67" t="e">
        <f t="shared" si="153"/>
        <v>#NAME?</v>
      </c>
      <c r="BF53" s="67" t="e">
        <f t="shared" si="154"/>
        <v>#NAME?</v>
      </c>
      <c r="BG53" s="67" t="e">
        <f t="shared" si="155"/>
        <v>#NAME?</v>
      </c>
    </row>
    <row r="54" spans="1:59" s="62" customFormat="1" ht="15.75" x14ac:dyDescent="0.25">
      <c r="A54" s="69" t="s">
        <v>108</v>
      </c>
      <c r="B54" s="70">
        <v>40</v>
      </c>
      <c r="C54" s="73" t="s">
        <v>109</v>
      </c>
      <c r="D54" s="59"/>
      <c r="E54" s="60"/>
      <c r="F54" s="61" t="e">
        <f>SUM(F55:F61)</f>
        <v>#NAME?</v>
      </c>
      <c r="G54" s="61" t="e">
        <f>SUM(G55:G61)</f>
        <v>#NAME?</v>
      </c>
      <c r="H54" s="61" t="e">
        <f t="shared" ref="H54:Q54" si="156">SUM(H55:H61)</f>
        <v>#NAME?</v>
      </c>
      <c r="I54" s="61" t="e">
        <f t="shared" si="156"/>
        <v>#NAME?</v>
      </c>
      <c r="J54" s="61" t="e">
        <f t="shared" si="156"/>
        <v>#NAME?</v>
      </c>
      <c r="K54" s="61" t="e">
        <f t="shared" si="156"/>
        <v>#NAME?</v>
      </c>
      <c r="L54" s="61" t="e">
        <f t="shared" si="156"/>
        <v>#NAME?</v>
      </c>
      <c r="M54" s="61" t="e">
        <f>SUM(M55:M61)</f>
        <v>#NAME?</v>
      </c>
      <c r="N54" s="61" t="e">
        <f t="shared" si="156"/>
        <v>#NAME?</v>
      </c>
      <c r="O54" s="61" t="e">
        <f t="shared" si="156"/>
        <v>#NAME?</v>
      </c>
      <c r="P54" s="61" t="e">
        <f t="shared" si="156"/>
        <v>#NAME?</v>
      </c>
      <c r="Q54" s="61" t="e">
        <f t="shared" si="156"/>
        <v>#NAME?</v>
      </c>
      <c r="R54" s="61" t="e">
        <f t="shared" si="46"/>
        <v>#NAME?</v>
      </c>
      <c r="S54" s="61" t="e">
        <f t="shared" si="4"/>
        <v>#NAME?</v>
      </c>
      <c r="T54" s="61" t="e">
        <f t="shared" si="5"/>
        <v>#NAME?</v>
      </c>
      <c r="U54" s="61" t="e">
        <f t="shared" ref="U54:AI54" si="157">SUM(U55:U61)</f>
        <v>#NAME?</v>
      </c>
      <c r="V54" s="61" t="e">
        <f t="shared" si="157"/>
        <v>#NAME?</v>
      </c>
      <c r="W54" s="61" t="e">
        <f t="shared" si="157"/>
        <v>#NAME?</v>
      </c>
      <c r="X54" s="61" t="e">
        <f t="shared" si="157"/>
        <v>#NAME?</v>
      </c>
      <c r="Y54" s="61" t="e">
        <f t="shared" si="157"/>
        <v>#NAME?</v>
      </c>
      <c r="Z54" s="61" t="e">
        <f t="shared" si="157"/>
        <v>#NAME?</v>
      </c>
      <c r="AA54" s="61" t="e">
        <f t="shared" si="157"/>
        <v>#NAME?</v>
      </c>
      <c r="AB54" s="61" t="e">
        <f t="shared" si="157"/>
        <v>#NAME?</v>
      </c>
      <c r="AC54" s="61" t="e">
        <f t="shared" si="157"/>
        <v>#NAME?</v>
      </c>
      <c r="AD54" s="61" t="e">
        <f t="shared" si="157"/>
        <v>#NAME?</v>
      </c>
      <c r="AE54" s="61" t="e">
        <f t="shared" si="157"/>
        <v>#NAME?</v>
      </c>
      <c r="AF54" s="61" t="e">
        <f t="shared" si="157"/>
        <v>#NAME?</v>
      </c>
      <c r="AG54" s="61" t="e">
        <f t="shared" si="157"/>
        <v>#NAME?</v>
      </c>
      <c r="AH54" s="61" t="e">
        <f t="shared" si="157"/>
        <v>#NAME?</v>
      </c>
      <c r="AI54" s="61" t="e">
        <f t="shared" si="157"/>
        <v>#NAME?</v>
      </c>
      <c r="AJ54" s="61" t="e">
        <f t="shared" si="52"/>
        <v>#NAME?</v>
      </c>
      <c r="AK54" s="61" t="e">
        <f t="shared" si="7"/>
        <v>#NAME?</v>
      </c>
      <c r="AL54" s="61" t="e">
        <f t="shared" si="8"/>
        <v>#NAME?</v>
      </c>
      <c r="AM54" s="61" t="e">
        <f t="shared" ref="AM54:BA54" si="158">SUM(AM55:AM61)</f>
        <v>#NAME?</v>
      </c>
      <c r="AN54" s="61" t="e">
        <f t="shared" si="158"/>
        <v>#NAME?</v>
      </c>
      <c r="AO54" s="61" t="e">
        <f t="shared" si="158"/>
        <v>#NAME?</v>
      </c>
      <c r="AP54" s="61" t="e">
        <f t="shared" si="158"/>
        <v>#NAME?</v>
      </c>
      <c r="AQ54" s="61" t="e">
        <f t="shared" si="158"/>
        <v>#NAME?</v>
      </c>
      <c r="AR54" s="61" t="e">
        <f t="shared" si="158"/>
        <v>#NAME?</v>
      </c>
      <c r="AS54" s="61" t="e">
        <f t="shared" si="158"/>
        <v>#NAME?</v>
      </c>
      <c r="AT54" s="61" t="e">
        <f t="shared" si="158"/>
        <v>#NAME?</v>
      </c>
      <c r="AU54" s="61" t="e">
        <f t="shared" si="158"/>
        <v>#NAME?</v>
      </c>
      <c r="AV54" s="61" t="e">
        <f t="shared" si="158"/>
        <v>#NAME?</v>
      </c>
      <c r="AW54" s="61" t="e">
        <f t="shared" si="158"/>
        <v>#NAME?</v>
      </c>
      <c r="AX54" s="61" t="e">
        <f t="shared" si="158"/>
        <v>#NAME?</v>
      </c>
      <c r="AY54" s="61" t="e">
        <f t="shared" si="158"/>
        <v>#NAME?</v>
      </c>
      <c r="AZ54" s="61" t="e">
        <f t="shared" si="158"/>
        <v>#NAME?</v>
      </c>
      <c r="BA54" s="61" t="e">
        <f t="shared" si="158"/>
        <v>#NAME?</v>
      </c>
      <c r="BB54" s="61" t="e">
        <f t="shared" si="57"/>
        <v>#NAME?</v>
      </c>
      <c r="BC54" s="61" t="e">
        <f t="shared" si="10"/>
        <v>#NAME?</v>
      </c>
      <c r="BD54" s="61" t="e">
        <f t="shared" si="11"/>
        <v>#NAME?</v>
      </c>
      <c r="BE54" s="61" t="e">
        <f>SUM(BE55:BE61)</f>
        <v>#NAME?</v>
      </c>
      <c r="BF54" s="61" t="e">
        <f>SUM(BF55:BF61)</f>
        <v>#NAME?</v>
      </c>
      <c r="BG54" s="61" t="e">
        <f>SUM(BG55:BG61)</f>
        <v>#NAME?</v>
      </c>
    </row>
    <row r="55" spans="1:59" ht="15.75" x14ac:dyDescent="0.25">
      <c r="A55" s="14" t="s">
        <v>110</v>
      </c>
      <c r="B55" s="72">
        <v>41</v>
      </c>
      <c r="C55" s="16" t="s">
        <v>111</v>
      </c>
      <c r="D55" s="64"/>
      <c r="E55" s="65"/>
      <c r="F55" s="66" t="e">
        <f t="shared" ref="F55:F61" si="159">X55+AP55</f>
        <v>#NAME?</v>
      </c>
      <c r="G55" s="66" t="e">
        <f t="shared" ref="G55:G61" si="160">Y55+AQ55</f>
        <v>#NAME?</v>
      </c>
      <c r="H55" s="66" t="e">
        <f t="shared" ref="H55:H61" si="161">I55+J55</f>
        <v>#NAME?</v>
      </c>
      <c r="I55" s="66" t="e">
        <f t="shared" ref="I55:I61" si="162">AA55+AS55</f>
        <v>#NAME?</v>
      </c>
      <c r="J55" s="66" t="e">
        <f t="shared" ref="J55:J61" si="163">AB55+AT55</f>
        <v>#NAME?</v>
      </c>
      <c r="K55" s="66" t="e">
        <f t="shared" ref="K55:K61" si="164">AC55+AU55</f>
        <v>#NAME?</v>
      </c>
      <c r="L55" s="66" t="e">
        <f t="shared" ref="L55:L61" si="165">AD55+AV55</f>
        <v>#NAME?</v>
      </c>
      <c r="M55" s="66" t="e">
        <f t="shared" ref="M55:M61" si="166">AE55+AW55</f>
        <v>#NAME?</v>
      </c>
      <c r="N55" s="66" t="e">
        <f t="shared" ref="N55:N61" si="167">O55+Q55</f>
        <v>#NAME?</v>
      </c>
      <c r="O55" s="66" t="e">
        <f t="shared" ref="O55:O61" si="168">AG55+AY55</f>
        <v>#NAME?</v>
      </c>
      <c r="P55" s="66" t="e">
        <f t="shared" ref="P55:P61" si="169">AH55+AZ55</f>
        <v>#NAME?</v>
      </c>
      <c r="Q55" s="66" t="e">
        <f t="shared" ref="Q55:Q61" si="170">AI55+BA55</f>
        <v>#NAME?</v>
      </c>
      <c r="R55" s="67" t="e">
        <f t="shared" si="46"/>
        <v>#NAME?</v>
      </c>
      <c r="S55" s="67" t="e">
        <f t="shared" si="4"/>
        <v>#NAME?</v>
      </c>
      <c r="T55" s="67" t="e">
        <f t="shared" si="5"/>
        <v>#NAME?</v>
      </c>
      <c r="U55" s="67" t="e">
        <f t="shared" ref="U55:U61" si="171">AM55+BE55</f>
        <v>#NAME?</v>
      </c>
      <c r="V55" s="67" t="e">
        <f t="shared" ref="V55:V61" si="172">(G55+K55+L55-O55-U55)</f>
        <v>#NAME?</v>
      </c>
      <c r="W55" s="67" t="e">
        <f t="shared" ref="W55:W61" si="173">(I55-O55)</f>
        <v>#NAME?</v>
      </c>
      <c r="X55" s="66" t="e">
        <f t="shared" ref="X55:X61" si="174">КОЛ4020/$G$1</f>
        <v>#NAME?</v>
      </c>
      <c r="Y55" s="66" t="e">
        <f t="shared" ref="Y55:Y61" si="175">КОЛ4005/$G$1</f>
        <v>#NAME?</v>
      </c>
      <c r="Z55" s="66" t="e">
        <f t="shared" ref="Z55:Z61" si="176">AA55+AB55</f>
        <v>#NAME?</v>
      </c>
      <c r="AA55" s="66" t="e">
        <f t="shared" ref="AA55:AA61" si="177">КОЛ4007/$G$1</f>
        <v>#NAME?</v>
      </c>
      <c r="AB55" s="66" t="e">
        <f t="shared" ref="AB55:AB61" si="178">КОЛ4008/$G$1</f>
        <v>#NAME?</v>
      </c>
      <c r="AC55" s="66" t="e">
        <f t="shared" ref="AC55:AC61" si="179">КОЛ4009/$G$1</f>
        <v>#NAME?</v>
      </c>
      <c r="AD55" s="66" t="e">
        <f t="shared" ref="AD55:AD61" si="180">КОЛ4010/$G$1</f>
        <v>#NAME?</v>
      </c>
      <c r="AE55" s="66" t="e">
        <f t="shared" ref="AE55:AE61" si="181">КОЛ4011/$G$1</f>
        <v>#NAME?</v>
      </c>
      <c r="AF55" s="66" t="e">
        <f t="shared" ref="AF55:AF61" si="182">AG55+AI55</f>
        <v>#NAME?</v>
      </c>
      <c r="AG55" s="66" t="e">
        <f t="shared" ref="AG55:AG61" si="183">КОЛ4013/$G$1</f>
        <v>#NAME?</v>
      </c>
      <c r="AH55" s="66" t="e">
        <f t="shared" ref="AH55:AH61" si="184">КОЛ4014/$G$1</f>
        <v>#NAME?</v>
      </c>
      <c r="AI55" s="66" t="e">
        <f t="shared" ref="AI55:AI61" si="185">КОЛ4015/$G$1</f>
        <v>#NAME?</v>
      </c>
      <c r="AJ55" s="67" t="e">
        <f t="shared" si="52"/>
        <v>#NAME?</v>
      </c>
      <c r="AK55" s="67" t="e">
        <f t="shared" si="7"/>
        <v>#NAME?</v>
      </c>
      <c r="AL55" s="67" t="e">
        <f t="shared" si="8"/>
        <v>#NAME?</v>
      </c>
      <c r="AM55" s="67" t="e">
        <f t="shared" ref="AM55:AM61" si="186">КОЛ4017/$G$1</f>
        <v>#NAME?</v>
      </c>
      <c r="AN55" s="67" t="e">
        <f t="shared" ref="AN55:AN61" si="187">(Y55+AC55+AD55-AG55-AM55)</f>
        <v>#NAME?</v>
      </c>
      <c r="AO55" s="67" t="e">
        <f t="shared" ref="AO55:AO61" si="188">(AA55-AG55)</f>
        <v>#NAME?</v>
      </c>
      <c r="AP55" s="66" t="e">
        <f t="shared" ref="AP55:AP61" si="189">КОЛ4120/$G$1</f>
        <v>#NAME?</v>
      </c>
      <c r="AQ55" s="66" t="e">
        <f t="shared" ref="AQ55:AQ61" si="190">КОЛ4105/$G$1</f>
        <v>#NAME?</v>
      </c>
      <c r="AR55" s="66" t="e">
        <f t="shared" ref="AR55:AR61" si="191">AS55+AT55</f>
        <v>#NAME?</v>
      </c>
      <c r="AS55" s="66" t="e">
        <f t="shared" ref="AS55:AS61" si="192">КОЛ4107/$G$1</f>
        <v>#NAME?</v>
      </c>
      <c r="AT55" s="66" t="e">
        <f t="shared" ref="AT55:AT61" si="193">КОЛ4108/$G$1</f>
        <v>#NAME?</v>
      </c>
      <c r="AU55" s="66" t="e">
        <f t="shared" ref="AU55:AU61" si="194">КОЛ4109/$G$1</f>
        <v>#NAME?</v>
      </c>
      <c r="AV55" s="66" t="e">
        <f t="shared" ref="AV55:AV61" si="195">КОЛ4110/$G$1</f>
        <v>#NAME?</v>
      </c>
      <c r="AW55" s="66" t="e">
        <f t="shared" ref="AW55:AW61" si="196">КОЛ4111/$G$1</f>
        <v>#NAME?</v>
      </c>
      <c r="AX55" s="66" t="e">
        <f t="shared" ref="AX55:AX61" si="197">AY55+BA55</f>
        <v>#NAME?</v>
      </c>
      <c r="AY55" s="66" t="e">
        <f t="shared" ref="AY55:AY61" si="198">КОЛ4113/$G$1</f>
        <v>#NAME?</v>
      </c>
      <c r="AZ55" s="66" t="e">
        <f t="shared" ref="AZ55:AZ61" si="199">КОЛ4114/$G$1</f>
        <v>#NAME?</v>
      </c>
      <c r="BA55" s="66" t="e">
        <f t="shared" ref="BA55:BA61" si="200">КОЛ4115/$G$1</f>
        <v>#NAME?</v>
      </c>
      <c r="BB55" s="67" t="e">
        <f t="shared" si="57"/>
        <v>#NAME?</v>
      </c>
      <c r="BC55" s="67" t="e">
        <f t="shared" si="10"/>
        <v>#NAME?</v>
      </c>
      <c r="BD55" s="67" t="e">
        <f t="shared" si="11"/>
        <v>#NAME?</v>
      </c>
      <c r="BE55" s="67" t="e">
        <f t="shared" ref="BE55:BE61" si="201">КОЛ4117/$G$1</f>
        <v>#NAME?</v>
      </c>
      <c r="BF55" s="67" t="e">
        <f t="shared" ref="BF55:BF61" si="202">(AQ55+AU55+AV55-AY55-BE55)</f>
        <v>#NAME?</v>
      </c>
      <c r="BG55" s="67" t="e">
        <f t="shared" ref="BG55:BG61" si="203">(AS55-AY55)</f>
        <v>#NAME?</v>
      </c>
    </row>
    <row r="56" spans="1:59" ht="15.75" x14ac:dyDescent="0.25">
      <c r="A56" s="14" t="s">
        <v>112</v>
      </c>
      <c r="B56" s="72">
        <v>42</v>
      </c>
      <c r="C56" s="16" t="s">
        <v>113</v>
      </c>
      <c r="D56" s="64"/>
      <c r="E56" s="65"/>
      <c r="F56" s="66" t="e">
        <f t="shared" si="159"/>
        <v>#NAME?</v>
      </c>
      <c r="G56" s="66" t="e">
        <f t="shared" si="160"/>
        <v>#NAME?</v>
      </c>
      <c r="H56" s="66" t="e">
        <f t="shared" si="161"/>
        <v>#NAME?</v>
      </c>
      <c r="I56" s="66" t="e">
        <f t="shared" si="162"/>
        <v>#NAME?</v>
      </c>
      <c r="J56" s="66" t="e">
        <f t="shared" si="163"/>
        <v>#NAME?</v>
      </c>
      <c r="K56" s="66" t="e">
        <f t="shared" si="164"/>
        <v>#NAME?</v>
      </c>
      <c r="L56" s="66" t="e">
        <f t="shared" si="165"/>
        <v>#NAME?</v>
      </c>
      <c r="M56" s="66" t="e">
        <f t="shared" si="166"/>
        <v>#NAME?</v>
      </c>
      <c r="N56" s="66" t="e">
        <f t="shared" si="167"/>
        <v>#NAME?</v>
      </c>
      <c r="O56" s="66" t="e">
        <f t="shared" si="168"/>
        <v>#NAME?</v>
      </c>
      <c r="P56" s="66" t="e">
        <f t="shared" si="169"/>
        <v>#NAME?</v>
      </c>
      <c r="Q56" s="66" t="e">
        <f t="shared" si="170"/>
        <v>#NAME?</v>
      </c>
      <c r="R56" s="67" t="e">
        <f t="shared" si="46"/>
        <v>#NAME?</v>
      </c>
      <c r="S56" s="67" t="e">
        <f t="shared" si="4"/>
        <v>#NAME?</v>
      </c>
      <c r="T56" s="67" t="e">
        <f t="shared" si="5"/>
        <v>#NAME?</v>
      </c>
      <c r="U56" s="67" t="e">
        <f t="shared" si="171"/>
        <v>#NAME?</v>
      </c>
      <c r="V56" s="67" t="e">
        <f t="shared" si="172"/>
        <v>#NAME?</v>
      </c>
      <c r="W56" s="67" t="e">
        <f t="shared" si="173"/>
        <v>#NAME?</v>
      </c>
      <c r="X56" s="66" t="e">
        <f t="shared" si="174"/>
        <v>#NAME?</v>
      </c>
      <c r="Y56" s="66" t="e">
        <f t="shared" si="175"/>
        <v>#NAME?</v>
      </c>
      <c r="Z56" s="66" t="e">
        <f t="shared" si="176"/>
        <v>#NAME?</v>
      </c>
      <c r="AA56" s="66" t="e">
        <f t="shared" si="177"/>
        <v>#NAME?</v>
      </c>
      <c r="AB56" s="66" t="e">
        <f t="shared" si="178"/>
        <v>#NAME?</v>
      </c>
      <c r="AC56" s="66" t="e">
        <f t="shared" si="179"/>
        <v>#NAME?</v>
      </c>
      <c r="AD56" s="66" t="e">
        <f t="shared" si="180"/>
        <v>#NAME?</v>
      </c>
      <c r="AE56" s="66" t="e">
        <f t="shared" si="181"/>
        <v>#NAME?</v>
      </c>
      <c r="AF56" s="66" t="e">
        <f t="shared" si="182"/>
        <v>#NAME?</v>
      </c>
      <c r="AG56" s="66" t="e">
        <f t="shared" si="183"/>
        <v>#NAME?</v>
      </c>
      <c r="AH56" s="66" t="e">
        <f t="shared" si="184"/>
        <v>#NAME?</v>
      </c>
      <c r="AI56" s="66" t="e">
        <f t="shared" si="185"/>
        <v>#NAME?</v>
      </c>
      <c r="AJ56" s="67" t="e">
        <f t="shared" si="52"/>
        <v>#NAME?</v>
      </c>
      <c r="AK56" s="67" t="e">
        <f t="shared" si="7"/>
        <v>#NAME?</v>
      </c>
      <c r="AL56" s="67" t="e">
        <f t="shared" si="8"/>
        <v>#NAME?</v>
      </c>
      <c r="AM56" s="67" t="e">
        <f t="shared" si="186"/>
        <v>#NAME?</v>
      </c>
      <c r="AN56" s="67" t="e">
        <f t="shared" si="187"/>
        <v>#NAME?</v>
      </c>
      <c r="AO56" s="67" t="e">
        <f t="shared" si="188"/>
        <v>#NAME?</v>
      </c>
      <c r="AP56" s="66" t="e">
        <f t="shared" si="189"/>
        <v>#NAME?</v>
      </c>
      <c r="AQ56" s="66" t="e">
        <f t="shared" si="190"/>
        <v>#NAME?</v>
      </c>
      <c r="AR56" s="66" t="e">
        <f t="shared" si="191"/>
        <v>#NAME?</v>
      </c>
      <c r="AS56" s="66" t="e">
        <f t="shared" si="192"/>
        <v>#NAME?</v>
      </c>
      <c r="AT56" s="66" t="e">
        <f t="shared" si="193"/>
        <v>#NAME?</v>
      </c>
      <c r="AU56" s="66" t="e">
        <f t="shared" si="194"/>
        <v>#NAME?</v>
      </c>
      <c r="AV56" s="66" t="e">
        <f t="shared" si="195"/>
        <v>#NAME?</v>
      </c>
      <c r="AW56" s="66" t="e">
        <f t="shared" si="196"/>
        <v>#NAME?</v>
      </c>
      <c r="AX56" s="66" t="e">
        <f t="shared" si="197"/>
        <v>#NAME?</v>
      </c>
      <c r="AY56" s="66" t="e">
        <f t="shared" si="198"/>
        <v>#NAME?</v>
      </c>
      <c r="AZ56" s="66" t="e">
        <f t="shared" si="199"/>
        <v>#NAME?</v>
      </c>
      <c r="BA56" s="66" t="e">
        <f t="shared" si="200"/>
        <v>#NAME?</v>
      </c>
      <c r="BB56" s="67" t="e">
        <f t="shared" si="57"/>
        <v>#NAME?</v>
      </c>
      <c r="BC56" s="67" t="e">
        <f t="shared" si="10"/>
        <v>#NAME?</v>
      </c>
      <c r="BD56" s="67" t="e">
        <f t="shared" si="11"/>
        <v>#NAME?</v>
      </c>
      <c r="BE56" s="67" t="e">
        <f t="shared" si="201"/>
        <v>#NAME?</v>
      </c>
      <c r="BF56" s="67" t="e">
        <f t="shared" si="202"/>
        <v>#NAME?</v>
      </c>
      <c r="BG56" s="67" t="e">
        <f t="shared" si="203"/>
        <v>#NAME?</v>
      </c>
    </row>
    <row r="57" spans="1:59" ht="15.75" x14ac:dyDescent="0.25">
      <c r="A57" s="14" t="s">
        <v>114</v>
      </c>
      <c r="B57" s="72">
        <v>43</v>
      </c>
      <c r="C57" s="16" t="s">
        <v>115</v>
      </c>
      <c r="D57" s="64"/>
      <c r="E57" s="65"/>
      <c r="F57" s="66" t="e">
        <f t="shared" si="159"/>
        <v>#NAME?</v>
      </c>
      <c r="G57" s="66" t="e">
        <f t="shared" si="160"/>
        <v>#NAME?</v>
      </c>
      <c r="H57" s="66" t="e">
        <f t="shared" si="161"/>
        <v>#NAME?</v>
      </c>
      <c r="I57" s="66" t="e">
        <f t="shared" si="162"/>
        <v>#NAME?</v>
      </c>
      <c r="J57" s="66" t="e">
        <f t="shared" si="163"/>
        <v>#NAME?</v>
      </c>
      <c r="K57" s="66" t="e">
        <f t="shared" si="164"/>
        <v>#NAME?</v>
      </c>
      <c r="L57" s="66" t="e">
        <f t="shared" si="165"/>
        <v>#NAME?</v>
      </c>
      <c r="M57" s="66" t="e">
        <f t="shared" si="166"/>
        <v>#NAME?</v>
      </c>
      <c r="N57" s="66" t="e">
        <f t="shared" si="167"/>
        <v>#NAME?</v>
      </c>
      <c r="O57" s="66" t="e">
        <f t="shared" si="168"/>
        <v>#NAME?</v>
      </c>
      <c r="P57" s="66" t="e">
        <f t="shared" si="169"/>
        <v>#NAME?</v>
      </c>
      <c r="Q57" s="66" t="e">
        <f t="shared" si="170"/>
        <v>#NAME?</v>
      </c>
      <c r="R57" s="67" t="e">
        <f t="shared" si="46"/>
        <v>#NAME?</v>
      </c>
      <c r="S57" s="67" t="e">
        <f t="shared" si="4"/>
        <v>#NAME?</v>
      </c>
      <c r="T57" s="67" t="e">
        <f t="shared" si="5"/>
        <v>#NAME?</v>
      </c>
      <c r="U57" s="67" t="e">
        <f t="shared" si="171"/>
        <v>#NAME?</v>
      </c>
      <c r="V57" s="67" t="e">
        <f t="shared" si="172"/>
        <v>#NAME?</v>
      </c>
      <c r="W57" s="67" t="e">
        <f t="shared" si="173"/>
        <v>#NAME?</v>
      </c>
      <c r="X57" s="66" t="e">
        <f t="shared" si="174"/>
        <v>#NAME?</v>
      </c>
      <c r="Y57" s="66" t="e">
        <f t="shared" si="175"/>
        <v>#NAME?</v>
      </c>
      <c r="Z57" s="66" t="e">
        <f t="shared" si="176"/>
        <v>#NAME?</v>
      </c>
      <c r="AA57" s="66" t="e">
        <f t="shared" si="177"/>
        <v>#NAME?</v>
      </c>
      <c r="AB57" s="66" t="e">
        <f t="shared" si="178"/>
        <v>#NAME?</v>
      </c>
      <c r="AC57" s="66" t="e">
        <f t="shared" si="179"/>
        <v>#NAME?</v>
      </c>
      <c r="AD57" s="66" t="e">
        <f t="shared" si="180"/>
        <v>#NAME?</v>
      </c>
      <c r="AE57" s="66" t="e">
        <f t="shared" si="181"/>
        <v>#NAME?</v>
      </c>
      <c r="AF57" s="66" t="e">
        <f t="shared" si="182"/>
        <v>#NAME?</v>
      </c>
      <c r="AG57" s="66" t="e">
        <f t="shared" si="183"/>
        <v>#NAME?</v>
      </c>
      <c r="AH57" s="66" t="e">
        <f t="shared" si="184"/>
        <v>#NAME?</v>
      </c>
      <c r="AI57" s="66" t="e">
        <f t="shared" si="185"/>
        <v>#NAME?</v>
      </c>
      <c r="AJ57" s="67" t="e">
        <f t="shared" si="52"/>
        <v>#NAME?</v>
      </c>
      <c r="AK57" s="67" t="e">
        <f t="shared" si="7"/>
        <v>#NAME?</v>
      </c>
      <c r="AL57" s="67" t="e">
        <f t="shared" si="8"/>
        <v>#NAME?</v>
      </c>
      <c r="AM57" s="67" t="e">
        <f t="shared" si="186"/>
        <v>#NAME?</v>
      </c>
      <c r="AN57" s="67" t="e">
        <f t="shared" si="187"/>
        <v>#NAME?</v>
      </c>
      <c r="AO57" s="67" t="e">
        <f t="shared" si="188"/>
        <v>#NAME?</v>
      </c>
      <c r="AP57" s="66" t="e">
        <f t="shared" si="189"/>
        <v>#NAME?</v>
      </c>
      <c r="AQ57" s="66" t="e">
        <f t="shared" si="190"/>
        <v>#NAME?</v>
      </c>
      <c r="AR57" s="66" t="e">
        <f t="shared" si="191"/>
        <v>#NAME?</v>
      </c>
      <c r="AS57" s="66" t="e">
        <f t="shared" si="192"/>
        <v>#NAME?</v>
      </c>
      <c r="AT57" s="66" t="e">
        <f t="shared" si="193"/>
        <v>#NAME?</v>
      </c>
      <c r="AU57" s="66" t="e">
        <f t="shared" si="194"/>
        <v>#NAME?</v>
      </c>
      <c r="AV57" s="66" t="e">
        <f t="shared" si="195"/>
        <v>#NAME?</v>
      </c>
      <c r="AW57" s="66" t="e">
        <f t="shared" si="196"/>
        <v>#NAME?</v>
      </c>
      <c r="AX57" s="66" t="e">
        <f t="shared" si="197"/>
        <v>#NAME?</v>
      </c>
      <c r="AY57" s="66" t="e">
        <f t="shared" si="198"/>
        <v>#NAME?</v>
      </c>
      <c r="AZ57" s="66" t="e">
        <f t="shared" si="199"/>
        <v>#NAME?</v>
      </c>
      <c r="BA57" s="66" t="e">
        <f t="shared" si="200"/>
        <v>#NAME?</v>
      </c>
      <c r="BB57" s="67" t="e">
        <f t="shared" si="57"/>
        <v>#NAME?</v>
      </c>
      <c r="BC57" s="67" t="e">
        <f t="shared" si="10"/>
        <v>#NAME?</v>
      </c>
      <c r="BD57" s="67" t="e">
        <f t="shared" si="11"/>
        <v>#NAME?</v>
      </c>
      <c r="BE57" s="67" t="e">
        <f t="shared" si="201"/>
        <v>#NAME?</v>
      </c>
      <c r="BF57" s="67" t="e">
        <f t="shared" si="202"/>
        <v>#NAME?</v>
      </c>
      <c r="BG57" s="67" t="e">
        <f t="shared" si="203"/>
        <v>#NAME?</v>
      </c>
    </row>
    <row r="58" spans="1:59" ht="15.75" x14ac:dyDescent="0.25">
      <c r="A58" s="14" t="s">
        <v>116</v>
      </c>
      <c r="B58" s="72">
        <v>44</v>
      </c>
      <c r="C58" s="16" t="s">
        <v>117</v>
      </c>
      <c r="D58" s="64"/>
      <c r="E58" s="65"/>
      <c r="F58" s="66" t="e">
        <f t="shared" si="159"/>
        <v>#NAME?</v>
      </c>
      <c r="G58" s="66" t="e">
        <f t="shared" si="160"/>
        <v>#NAME?</v>
      </c>
      <c r="H58" s="66" t="e">
        <f t="shared" si="161"/>
        <v>#NAME?</v>
      </c>
      <c r="I58" s="66" t="e">
        <f t="shared" si="162"/>
        <v>#NAME?</v>
      </c>
      <c r="J58" s="66" t="e">
        <f t="shared" si="163"/>
        <v>#NAME?</v>
      </c>
      <c r="K58" s="66" t="e">
        <f t="shared" si="164"/>
        <v>#NAME?</v>
      </c>
      <c r="L58" s="66" t="e">
        <f t="shared" si="165"/>
        <v>#NAME?</v>
      </c>
      <c r="M58" s="66" t="e">
        <f t="shared" si="166"/>
        <v>#NAME?</v>
      </c>
      <c r="N58" s="66" t="e">
        <f t="shared" si="167"/>
        <v>#NAME?</v>
      </c>
      <c r="O58" s="66" t="e">
        <f t="shared" si="168"/>
        <v>#NAME?</v>
      </c>
      <c r="P58" s="66" t="e">
        <f t="shared" si="169"/>
        <v>#NAME?</v>
      </c>
      <c r="Q58" s="66" t="e">
        <f t="shared" si="170"/>
        <v>#NAME?</v>
      </c>
      <c r="R58" s="67" t="e">
        <f t="shared" si="46"/>
        <v>#NAME?</v>
      </c>
      <c r="S58" s="67" t="e">
        <f t="shared" si="4"/>
        <v>#NAME?</v>
      </c>
      <c r="T58" s="67" t="e">
        <f t="shared" si="5"/>
        <v>#NAME?</v>
      </c>
      <c r="U58" s="67" t="e">
        <f t="shared" si="171"/>
        <v>#NAME?</v>
      </c>
      <c r="V58" s="67" t="e">
        <f t="shared" si="172"/>
        <v>#NAME?</v>
      </c>
      <c r="W58" s="67" t="e">
        <f t="shared" si="173"/>
        <v>#NAME?</v>
      </c>
      <c r="X58" s="66" t="e">
        <f t="shared" si="174"/>
        <v>#NAME?</v>
      </c>
      <c r="Y58" s="66" t="e">
        <f t="shared" si="175"/>
        <v>#NAME?</v>
      </c>
      <c r="Z58" s="66" t="e">
        <f t="shared" si="176"/>
        <v>#NAME?</v>
      </c>
      <c r="AA58" s="66" t="e">
        <f t="shared" si="177"/>
        <v>#NAME?</v>
      </c>
      <c r="AB58" s="66" t="e">
        <f t="shared" si="178"/>
        <v>#NAME?</v>
      </c>
      <c r="AC58" s="66" t="e">
        <f t="shared" si="179"/>
        <v>#NAME?</v>
      </c>
      <c r="AD58" s="66" t="e">
        <f t="shared" si="180"/>
        <v>#NAME?</v>
      </c>
      <c r="AE58" s="66" t="e">
        <f t="shared" si="181"/>
        <v>#NAME?</v>
      </c>
      <c r="AF58" s="66" t="e">
        <f t="shared" si="182"/>
        <v>#NAME?</v>
      </c>
      <c r="AG58" s="66" t="e">
        <f t="shared" si="183"/>
        <v>#NAME?</v>
      </c>
      <c r="AH58" s="66" t="e">
        <f t="shared" si="184"/>
        <v>#NAME?</v>
      </c>
      <c r="AI58" s="66" t="e">
        <f t="shared" si="185"/>
        <v>#NAME?</v>
      </c>
      <c r="AJ58" s="67" t="e">
        <f t="shared" si="52"/>
        <v>#NAME?</v>
      </c>
      <c r="AK58" s="67" t="e">
        <f t="shared" si="7"/>
        <v>#NAME?</v>
      </c>
      <c r="AL58" s="67" t="e">
        <f t="shared" si="8"/>
        <v>#NAME?</v>
      </c>
      <c r="AM58" s="67" t="e">
        <f t="shared" si="186"/>
        <v>#NAME?</v>
      </c>
      <c r="AN58" s="67" t="e">
        <f t="shared" si="187"/>
        <v>#NAME?</v>
      </c>
      <c r="AO58" s="67" t="e">
        <f t="shared" si="188"/>
        <v>#NAME?</v>
      </c>
      <c r="AP58" s="66" t="e">
        <f t="shared" si="189"/>
        <v>#NAME?</v>
      </c>
      <c r="AQ58" s="66" t="e">
        <f t="shared" si="190"/>
        <v>#NAME?</v>
      </c>
      <c r="AR58" s="66" t="e">
        <f t="shared" si="191"/>
        <v>#NAME?</v>
      </c>
      <c r="AS58" s="66" t="e">
        <f t="shared" si="192"/>
        <v>#NAME?</v>
      </c>
      <c r="AT58" s="66" t="e">
        <f t="shared" si="193"/>
        <v>#NAME?</v>
      </c>
      <c r="AU58" s="66" t="e">
        <f t="shared" si="194"/>
        <v>#NAME?</v>
      </c>
      <c r="AV58" s="66" t="e">
        <f t="shared" si="195"/>
        <v>#NAME?</v>
      </c>
      <c r="AW58" s="66" t="e">
        <f t="shared" si="196"/>
        <v>#NAME?</v>
      </c>
      <c r="AX58" s="66" t="e">
        <f t="shared" si="197"/>
        <v>#NAME?</v>
      </c>
      <c r="AY58" s="66" t="e">
        <f t="shared" si="198"/>
        <v>#NAME?</v>
      </c>
      <c r="AZ58" s="66" t="e">
        <f t="shared" si="199"/>
        <v>#NAME?</v>
      </c>
      <c r="BA58" s="66" t="e">
        <f t="shared" si="200"/>
        <v>#NAME?</v>
      </c>
      <c r="BB58" s="67" t="e">
        <f t="shared" si="57"/>
        <v>#NAME?</v>
      </c>
      <c r="BC58" s="67" t="e">
        <f t="shared" si="10"/>
        <v>#NAME?</v>
      </c>
      <c r="BD58" s="67" t="e">
        <f t="shared" si="11"/>
        <v>#NAME?</v>
      </c>
      <c r="BE58" s="67" t="e">
        <f t="shared" si="201"/>
        <v>#NAME?</v>
      </c>
      <c r="BF58" s="67" t="e">
        <f t="shared" si="202"/>
        <v>#NAME?</v>
      </c>
      <c r="BG58" s="67" t="e">
        <f t="shared" si="203"/>
        <v>#NAME?</v>
      </c>
    </row>
    <row r="59" spans="1:59" ht="25.5" x14ac:dyDescent="0.25">
      <c r="A59" s="14" t="s">
        <v>118</v>
      </c>
      <c r="B59" s="72">
        <v>45</v>
      </c>
      <c r="C59" s="16" t="s">
        <v>119</v>
      </c>
      <c r="D59" s="64"/>
      <c r="E59" s="65"/>
      <c r="F59" s="66" t="e">
        <f t="shared" si="159"/>
        <v>#NAME?</v>
      </c>
      <c r="G59" s="66" t="e">
        <f t="shared" si="160"/>
        <v>#NAME?</v>
      </c>
      <c r="H59" s="66" t="e">
        <f t="shared" si="161"/>
        <v>#NAME?</v>
      </c>
      <c r="I59" s="66" t="e">
        <f t="shared" si="162"/>
        <v>#NAME?</v>
      </c>
      <c r="J59" s="66" t="e">
        <f t="shared" si="163"/>
        <v>#NAME?</v>
      </c>
      <c r="K59" s="66" t="e">
        <f t="shared" si="164"/>
        <v>#NAME?</v>
      </c>
      <c r="L59" s="66" t="e">
        <f t="shared" si="165"/>
        <v>#NAME?</v>
      </c>
      <c r="M59" s="66" t="e">
        <f t="shared" si="166"/>
        <v>#NAME?</v>
      </c>
      <c r="N59" s="66" t="e">
        <f t="shared" si="167"/>
        <v>#NAME?</v>
      </c>
      <c r="O59" s="66" t="e">
        <f t="shared" si="168"/>
        <v>#NAME?</v>
      </c>
      <c r="P59" s="66" t="e">
        <f t="shared" si="169"/>
        <v>#NAME?</v>
      </c>
      <c r="Q59" s="66" t="e">
        <f t="shared" si="170"/>
        <v>#NAME?</v>
      </c>
      <c r="R59" s="67" t="e">
        <f t="shared" si="46"/>
        <v>#NAME?</v>
      </c>
      <c r="S59" s="67" t="e">
        <f t="shared" si="4"/>
        <v>#NAME?</v>
      </c>
      <c r="T59" s="67" t="e">
        <f t="shared" si="5"/>
        <v>#NAME?</v>
      </c>
      <c r="U59" s="67" t="e">
        <f t="shared" si="171"/>
        <v>#NAME?</v>
      </c>
      <c r="V59" s="67" t="e">
        <f t="shared" si="172"/>
        <v>#NAME?</v>
      </c>
      <c r="W59" s="67" t="e">
        <f t="shared" si="173"/>
        <v>#NAME?</v>
      </c>
      <c r="X59" s="66" t="e">
        <f t="shared" si="174"/>
        <v>#NAME?</v>
      </c>
      <c r="Y59" s="66" t="e">
        <f t="shared" si="175"/>
        <v>#NAME?</v>
      </c>
      <c r="Z59" s="66" t="e">
        <f t="shared" si="176"/>
        <v>#NAME?</v>
      </c>
      <c r="AA59" s="66" t="e">
        <f t="shared" si="177"/>
        <v>#NAME?</v>
      </c>
      <c r="AB59" s="66" t="e">
        <f t="shared" si="178"/>
        <v>#NAME?</v>
      </c>
      <c r="AC59" s="66" t="e">
        <f t="shared" si="179"/>
        <v>#NAME?</v>
      </c>
      <c r="AD59" s="66" t="e">
        <f t="shared" si="180"/>
        <v>#NAME?</v>
      </c>
      <c r="AE59" s="66" t="e">
        <f t="shared" si="181"/>
        <v>#NAME?</v>
      </c>
      <c r="AF59" s="66" t="e">
        <f t="shared" si="182"/>
        <v>#NAME?</v>
      </c>
      <c r="AG59" s="66" t="e">
        <f t="shared" si="183"/>
        <v>#NAME?</v>
      </c>
      <c r="AH59" s="66" t="e">
        <f t="shared" si="184"/>
        <v>#NAME?</v>
      </c>
      <c r="AI59" s="66" t="e">
        <f t="shared" si="185"/>
        <v>#NAME?</v>
      </c>
      <c r="AJ59" s="67" t="e">
        <f t="shared" si="52"/>
        <v>#NAME?</v>
      </c>
      <c r="AK59" s="67" t="e">
        <f t="shared" si="7"/>
        <v>#NAME?</v>
      </c>
      <c r="AL59" s="67" t="e">
        <f t="shared" si="8"/>
        <v>#NAME?</v>
      </c>
      <c r="AM59" s="67" t="e">
        <f t="shared" si="186"/>
        <v>#NAME?</v>
      </c>
      <c r="AN59" s="67" t="e">
        <f t="shared" si="187"/>
        <v>#NAME?</v>
      </c>
      <c r="AO59" s="67" t="e">
        <f t="shared" si="188"/>
        <v>#NAME?</v>
      </c>
      <c r="AP59" s="66" t="e">
        <f t="shared" si="189"/>
        <v>#NAME?</v>
      </c>
      <c r="AQ59" s="66" t="e">
        <f t="shared" si="190"/>
        <v>#NAME?</v>
      </c>
      <c r="AR59" s="66" t="e">
        <f t="shared" si="191"/>
        <v>#NAME?</v>
      </c>
      <c r="AS59" s="66" t="e">
        <f t="shared" si="192"/>
        <v>#NAME?</v>
      </c>
      <c r="AT59" s="66" t="e">
        <f t="shared" si="193"/>
        <v>#NAME?</v>
      </c>
      <c r="AU59" s="66" t="e">
        <f t="shared" si="194"/>
        <v>#NAME?</v>
      </c>
      <c r="AV59" s="66" t="e">
        <f t="shared" si="195"/>
        <v>#NAME?</v>
      </c>
      <c r="AW59" s="66" t="e">
        <f t="shared" si="196"/>
        <v>#NAME?</v>
      </c>
      <c r="AX59" s="66" t="e">
        <f t="shared" si="197"/>
        <v>#NAME?</v>
      </c>
      <c r="AY59" s="66" t="e">
        <f t="shared" si="198"/>
        <v>#NAME?</v>
      </c>
      <c r="AZ59" s="66" t="e">
        <f t="shared" si="199"/>
        <v>#NAME?</v>
      </c>
      <c r="BA59" s="66" t="e">
        <f t="shared" si="200"/>
        <v>#NAME?</v>
      </c>
      <c r="BB59" s="67" t="e">
        <f t="shared" si="57"/>
        <v>#NAME?</v>
      </c>
      <c r="BC59" s="67" t="e">
        <f t="shared" si="10"/>
        <v>#NAME?</v>
      </c>
      <c r="BD59" s="67" t="e">
        <f t="shared" si="11"/>
        <v>#NAME?</v>
      </c>
      <c r="BE59" s="67" t="e">
        <f t="shared" si="201"/>
        <v>#NAME?</v>
      </c>
      <c r="BF59" s="67" t="e">
        <f t="shared" si="202"/>
        <v>#NAME?</v>
      </c>
      <c r="BG59" s="67" t="e">
        <f t="shared" si="203"/>
        <v>#NAME?</v>
      </c>
    </row>
    <row r="60" spans="1:59" ht="15.75" x14ac:dyDescent="0.25">
      <c r="A60" s="14" t="s">
        <v>120</v>
      </c>
      <c r="B60" s="11" t="s">
        <v>121</v>
      </c>
      <c r="C60" s="16" t="s">
        <v>122</v>
      </c>
      <c r="D60" s="64"/>
      <c r="E60" s="65"/>
      <c r="F60" s="66" t="e">
        <f t="shared" si="159"/>
        <v>#NAME?</v>
      </c>
      <c r="G60" s="66" t="e">
        <f t="shared" si="160"/>
        <v>#NAME?</v>
      </c>
      <c r="H60" s="66" t="e">
        <f t="shared" si="161"/>
        <v>#NAME?</v>
      </c>
      <c r="I60" s="66" t="e">
        <f t="shared" si="162"/>
        <v>#NAME?</v>
      </c>
      <c r="J60" s="66" t="e">
        <f t="shared" si="163"/>
        <v>#NAME?</v>
      </c>
      <c r="K60" s="66" t="e">
        <f t="shared" si="164"/>
        <v>#NAME?</v>
      </c>
      <c r="L60" s="66" t="e">
        <f t="shared" si="165"/>
        <v>#NAME?</v>
      </c>
      <c r="M60" s="66" t="e">
        <f t="shared" si="166"/>
        <v>#NAME?</v>
      </c>
      <c r="N60" s="66" t="e">
        <f t="shared" si="167"/>
        <v>#NAME?</v>
      </c>
      <c r="O60" s="66" t="e">
        <f t="shared" si="168"/>
        <v>#NAME?</v>
      </c>
      <c r="P60" s="66" t="e">
        <f t="shared" si="169"/>
        <v>#NAME?</v>
      </c>
      <c r="Q60" s="66" t="e">
        <f t="shared" si="170"/>
        <v>#NAME?</v>
      </c>
      <c r="R60" s="67" t="e">
        <f t="shared" si="46"/>
        <v>#NAME?</v>
      </c>
      <c r="S60" s="67" t="e">
        <f t="shared" si="4"/>
        <v>#NAME?</v>
      </c>
      <c r="T60" s="67" t="e">
        <f t="shared" si="5"/>
        <v>#NAME?</v>
      </c>
      <c r="U60" s="67" t="e">
        <f t="shared" si="171"/>
        <v>#NAME?</v>
      </c>
      <c r="V60" s="67" t="e">
        <f t="shared" si="172"/>
        <v>#NAME?</v>
      </c>
      <c r="W60" s="67" t="e">
        <f t="shared" si="173"/>
        <v>#NAME?</v>
      </c>
      <c r="X60" s="66" t="e">
        <f t="shared" si="174"/>
        <v>#NAME?</v>
      </c>
      <c r="Y60" s="66" t="e">
        <f t="shared" si="175"/>
        <v>#NAME?</v>
      </c>
      <c r="Z60" s="66" t="e">
        <f t="shared" si="176"/>
        <v>#NAME?</v>
      </c>
      <c r="AA60" s="66" t="e">
        <f t="shared" si="177"/>
        <v>#NAME?</v>
      </c>
      <c r="AB60" s="66" t="e">
        <f t="shared" si="178"/>
        <v>#NAME?</v>
      </c>
      <c r="AC60" s="66" t="e">
        <f t="shared" si="179"/>
        <v>#NAME?</v>
      </c>
      <c r="AD60" s="66" t="e">
        <f t="shared" si="180"/>
        <v>#NAME?</v>
      </c>
      <c r="AE60" s="66" t="e">
        <f t="shared" si="181"/>
        <v>#NAME?</v>
      </c>
      <c r="AF60" s="66" t="e">
        <f t="shared" si="182"/>
        <v>#NAME?</v>
      </c>
      <c r="AG60" s="66" t="e">
        <f t="shared" si="183"/>
        <v>#NAME?</v>
      </c>
      <c r="AH60" s="66" t="e">
        <f t="shared" si="184"/>
        <v>#NAME?</v>
      </c>
      <c r="AI60" s="66" t="e">
        <f t="shared" si="185"/>
        <v>#NAME?</v>
      </c>
      <c r="AJ60" s="67" t="e">
        <f t="shared" si="52"/>
        <v>#NAME?</v>
      </c>
      <c r="AK60" s="67" t="e">
        <f t="shared" si="7"/>
        <v>#NAME?</v>
      </c>
      <c r="AL60" s="67" t="e">
        <f t="shared" si="8"/>
        <v>#NAME?</v>
      </c>
      <c r="AM60" s="67" t="e">
        <f t="shared" si="186"/>
        <v>#NAME?</v>
      </c>
      <c r="AN60" s="67" t="e">
        <f t="shared" si="187"/>
        <v>#NAME?</v>
      </c>
      <c r="AO60" s="67" t="e">
        <f t="shared" si="188"/>
        <v>#NAME?</v>
      </c>
      <c r="AP60" s="66" t="e">
        <f t="shared" si="189"/>
        <v>#NAME?</v>
      </c>
      <c r="AQ60" s="66" t="e">
        <f t="shared" si="190"/>
        <v>#NAME?</v>
      </c>
      <c r="AR60" s="66" t="e">
        <f t="shared" si="191"/>
        <v>#NAME?</v>
      </c>
      <c r="AS60" s="66" t="e">
        <f t="shared" si="192"/>
        <v>#NAME?</v>
      </c>
      <c r="AT60" s="66" t="e">
        <f t="shared" si="193"/>
        <v>#NAME?</v>
      </c>
      <c r="AU60" s="66" t="e">
        <f t="shared" si="194"/>
        <v>#NAME?</v>
      </c>
      <c r="AV60" s="66" t="e">
        <f t="shared" si="195"/>
        <v>#NAME?</v>
      </c>
      <c r="AW60" s="66" t="e">
        <f t="shared" si="196"/>
        <v>#NAME?</v>
      </c>
      <c r="AX60" s="66" t="e">
        <f t="shared" si="197"/>
        <v>#NAME?</v>
      </c>
      <c r="AY60" s="66" t="e">
        <f t="shared" si="198"/>
        <v>#NAME?</v>
      </c>
      <c r="AZ60" s="66" t="e">
        <f t="shared" si="199"/>
        <v>#NAME?</v>
      </c>
      <c r="BA60" s="66" t="e">
        <f t="shared" si="200"/>
        <v>#NAME?</v>
      </c>
      <c r="BB60" s="67" t="e">
        <f t="shared" si="57"/>
        <v>#NAME?</v>
      </c>
      <c r="BC60" s="67" t="e">
        <f t="shared" si="10"/>
        <v>#NAME?</v>
      </c>
      <c r="BD60" s="67" t="e">
        <f t="shared" si="11"/>
        <v>#NAME?</v>
      </c>
      <c r="BE60" s="67" t="e">
        <f t="shared" si="201"/>
        <v>#NAME?</v>
      </c>
      <c r="BF60" s="67" t="e">
        <f t="shared" si="202"/>
        <v>#NAME?</v>
      </c>
      <c r="BG60" s="67" t="e">
        <f t="shared" si="203"/>
        <v>#NAME?</v>
      </c>
    </row>
    <row r="61" spans="1:59" ht="15.75" x14ac:dyDescent="0.25">
      <c r="A61" s="14" t="s">
        <v>123</v>
      </c>
      <c r="B61" s="74" t="s">
        <v>124</v>
      </c>
      <c r="C61" s="16" t="s">
        <v>125</v>
      </c>
      <c r="D61" s="64"/>
      <c r="E61" s="65"/>
      <c r="F61" s="66" t="e">
        <f t="shared" si="159"/>
        <v>#NAME?</v>
      </c>
      <c r="G61" s="66" t="e">
        <f t="shared" si="160"/>
        <v>#NAME?</v>
      </c>
      <c r="H61" s="66" t="e">
        <f t="shared" si="161"/>
        <v>#NAME?</v>
      </c>
      <c r="I61" s="66" t="e">
        <f t="shared" si="162"/>
        <v>#NAME?</v>
      </c>
      <c r="J61" s="66" t="e">
        <f t="shared" si="163"/>
        <v>#NAME?</v>
      </c>
      <c r="K61" s="66" t="e">
        <f t="shared" si="164"/>
        <v>#NAME?</v>
      </c>
      <c r="L61" s="66" t="e">
        <f t="shared" si="165"/>
        <v>#NAME?</v>
      </c>
      <c r="M61" s="66" t="e">
        <f t="shared" si="166"/>
        <v>#NAME?</v>
      </c>
      <c r="N61" s="66" t="e">
        <f t="shared" si="167"/>
        <v>#NAME?</v>
      </c>
      <c r="O61" s="66" t="e">
        <f t="shared" si="168"/>
        <v>#NAME?</v>
      </c>
      <c r="P61" s="66" t="e">
        <f t="shared" si="169"/>
        <v>#NAME?</v>
      </c>
      <c r="Q61" s="66" t="e">
        <f t="shared" si="170"/>
        <v>#NAME?</v>
      </c>
      <c r="R61" s="67" t="e">
        <f t="shared" si="46"/>
        <v>#NAME?</v>
      </c>
      <c r="S61" s="67" t="e">
        <f t="shared" si="4"/>
        <v>#NAME?</v>
      </c>
      <c r="T61" s="67" t="e">
        <f t="shared" si="5"/>
        <v>#NAME?</v>
      </c>
      <c r="U61" s="67" t="e">
        <f t="shared" si="171"/>
        <v>#NAME?</v>
      </c>
      <c r="V61" s="67" t="e">
        <f t="shared" si="172"/>
        <v>#NAME?</v>
      </c>
      <c r="W61" s="67" t="e">
        <f t="shared" si="173"/>
        <v>#NAME?</v>
      </c>
      <c r="X61" s="66" t="e">
        <f t="shared" si="174"/>
        <v>#NAME?</v>
      </c>
      <c r="Y61" s="66" t="e">
        <f t="shared" si="175"/>
        <v>#NAME?</v>
      </c>
      <c r="Z61" s="66" t="e">
        <f t="shared" si="176"/>
        <v>#NAME?</v>
      </c>
      <c r="AA61" s="66" t="e">
        <f t="shared" si="177"/>
        <v>#NAME?</v>
      </c>
      <c r="AB61" s="66" t="e">
        <f t="shared" si="178"/>
        <v>#NAME?</v>
      </c>
      <c r="AC61" s="66" t="e">
        <f t="shared" si="179"/>
        <v>#NAME?</v>
      </c>
      <c r="AD61" s="66" t="e">
        <f t="shared" si="180"/>
        <v>#NAME?</v>
      </c>
      <c r="AE61" s="66" t="e">
        <f t="shared" si="181"/>
        <v>#NAME?</v>
      </c>
      <c r="AF61" s="66" t="e">
        <f t="shared" si="182"/>
        <v>#NAME?</v>
      </c>
      <c r="AG61" s="66" t="e">
        <f t="shared" si="183"/>
        <v>#NAME?</v>
      </c>
      <c r="AH61" s="66" t="e">
        <f t="shared" si="184"/>
        <v>#NAME?</v>
      </c>
      <c r="AI61" s="66" t="e">
        <f t="shared" si="185"/>
        <v>#NAME?</v>
      </c>
      <c r="AJ61" s="67" t="e">
        <f t="shared" si="52"/>
        <v>#NAME?</v>
      </c>
      <c r="AK61" s="67" t="e">
        <f t="shared" si="7"/>
        <v>#NAME?</v>
      </c>
      <c r="AL61" s="67" t="e">
        <f t="shared" si="8"/>
        <v>#NAME?</v>
      </c>
      <c r="AM61" s="67" t="e">
        <f t="shared" si="186"/>
        <v>#NAME?</v>
      </c>
      <c r="AN61" s="67" t="e">
        <f t="shared" si="187"/>
        <v>#NAME?</v>
      </c>
      <c r="AO61" s="67" t="e">
        <f t="shared" si="188"/>
        <v>#NAME?</v>
      </c>
      <c r="AP61" s="66" t="e">
        <f t="shared" si="189"/>
        <v>#NAME?</v>
      </c>
      <c r="AQ61" s="66" t="e">
        <f t="shared" si="190"/>
        <v>#NAME?</v>
      </c>
      <c r="AR61" s="66" t="e">
        <f t="shared" si="191"/>
        <v>#NAME?</v>
      </c>
      <c r="AS61" s="66" t="e">
        <f t="shared" si="192"/>
        <v>#NAME?</v>
      </c>
      <c r="AT61" s="66" t="e">
        <f t="shared" si="193"/>
        <v>#NAME?</v>
      </c>
      <c r="AU61" s="66" t="e">
        <f t="shared" si="194"/>
        <v>#NAME?</v>
      </c>
      <c r="AV61" s="66" t="e">
        <f t="shared" si="195"/>
        <v>#NAME?</v>
      </c>
      <c r="AW61" s="66" t="e">
        <f t="shared" si="196"/>
        <v>#NAME?</v>
      </c>
      <c r="AX61" s="66" t="e">
        <f t="shared" si="197"/>
        <v>#NAME?</v>
      </c>
      <c r="AY61" s="66" t="e">
        <f t="shared" si="198"/>
        <v>#NAME?</v>
      </c>
      <c r="AZ61" s="66" t="e">
        <f t="shared" si="199"/>
        <v>#NAME?</v>
      </c>
      <c r="BA61" s="66" t="e">
        <f t="shared" si="200"/>
        <v>#NAME?</v>
      </c>
      <c r="BB61" s="67" t="e">
        <f t="shared" si="57"/>
        <v>#NAME?</v>
      </c>
      <c r="BC61" s="67" t="e">
        <f t="shared" si="10"/>
        <v>#NAME?</v>
      </c>
      <c r="BD61" s="67" t="e">
        <f t="shared" si="11"/>
        <v>#NAME?</v>
      </c>
      <c r="BE61" s="67" t="e">
        <f t="shared" si="201"/>
        <v>#NAME?</v>
      </c>
      <c r="BF61" s="67" t="e">
        <f t="shared" si="202"/>
        <v>#NAME?</v>
      </c>
      <c r="BG61" s="67" t="e">
        <f t="shared" si="203"/>
        <v>#NAME?</v>
      </c>
    </row>
    <row r="62" spans="1:59" s="62" customFormat="1" ht="15.75" x14ac:dyDescent="0.25">
      <c r="A62" s="56" t="s">
        <v>126</v>
      </c>
      <c r="B62" s="57">
        <v>48</v>
      </c>
      <c r="C62" s="58" t="s">
        <v>128</v>
      </c>
      <c r="D62" s="59"/>
      <c r="E62" s="60"/>
      <c r="F62" s="61" t="e">
        <f>SUM(F63:F76)</f>
        <v>#NAME?</v>
      </c>
      <c r="G62" s="61" t="e">
        <f>SUM(G63:G76)</f>
        <v>#NAME?</v>
      </c>
      <c r="H62" s="61" t="e">
        <f t="shared" ref="H62:Q62" si="204">SUM(H63:H76)</f>
        <v>#NAME?</v>
      </c>
      <c r="I62" s="61" t="e">
        <f t="shared" si="204"/>
        <v>#NAME?</v>
      </c>
      <c r="J62" s="61" t="e">
        <f t="shared" si="204"/>
        <v>#NAME?</v>
      </c>
      <c r="K62" s="61" t="e">
        <f t="shared" si="204"/>
        <v>#NAME?</v>
      </c>
      <c r="L62" s="61" t="e">
        <f t="shared" si="204"/>
        <v>#NAME?</v>
      </c>
      <c r="M62" s="61" t="e">
        <f>SUM(M63:M76)</f>
        <v>#NAME?</v>
      </c>
      <c r="N62" s="61" t="e">
        <f t="shared" si="204"/>
        <v>#NAME?</v>
      </c>
      <c r="O62" s="61" t="e">
        <f t="shared" si="204"/>
        <v>#NAME?</v>
      </c>
      <c r="P62" s="61" t="e">
        <f t="shared" si="204"/>
        <v>#NAME?</v>
      </c>
      <c r="Q62" s="61" t="e">
        <f t="shared" si="204"/>
        <v>#NAME?</v>
      </c>
      <c r="R62" s="61" t="e">
        <f t="shared" si="46"/>
        <v>#NAME?</v>
      </c>
      <c r="S62" s="61" t="e">
        <f t="shared" si="4"/>
        <v>#NAME?</v>
      </c>
      <c r="T62" s="61" t="e">
        <f t="shared" si="5"/>
        <v>#NAME?</v>
      </c>
      <c r="U62" s="61" t="e">
        <f t="shared" ref="U62:AI62" si="205">SUM(U63:U76)</f>
        <v>#NAME?</v>
      </c>
      <c r="V62" s="61" t="e">
        <f t="shared" si="205"/>
        <v>#NAME?</v>
      </c>
      <c r="W62" s="61" t="e">
        <f t="shared" si="205"/>
        <v>#NAME?</v>
      </c>
      <c r="X62" s="61" t="e">
        <f t="shared" si="205"/>
        <v>#NAME?</v>
      </c>
      <c r="Y62" s="61" t="e">
        <f t="shared" si="205"/>
        <v>#NAME?</v>
      </c>
      <c r="Z62" s="61" t="e">
        <f t="shared" si="205"/>
        <v>#NAME?</v>
      </c>
      <c r="AA62" s="61" t="e">
        <f t="shared" si="205"/>
        <v>#NAME?</v>
      </c>
      <c r="AB62" s="61" t="e">
        <f t="shared" si="205"/>
        <v>#NAME?</v>
      </c>
      <c r="AC62" s="61" t="e">
        <f t="shared" si="205"/>
        <v>#NAME?</v>
      </c>
      <c r="AD62" s="61" t="e">
        <f t="shared" si="205"/>
        <v>#NAME?</v>
      </c>
      <c r="AE62" s="61" t="e">
        <f t="shared" si="205"/>
        <v>#NAME?</v>
      </c>
      <c r="AF62" s="61" t="e">
        <f t="shared" si="205"/>
        <v>#NAME?</v>
      </c>
      <c r="AG62" s="61" t="e">
        <f t="shared" si="205"/>
        <v>#NAME?</v>
      </c>
      <c r="AH62" s="61" t="e">
        <f t="shared" si="205"/>
        <v>#NAME?</v>
      </c>
      <c r="AI62" s="61" t="e">
        <f t="shared" si="205"/>
        <v>#NAME?</v>
      </c>
      <c r="AJ62" s="61" t="e">
        <f t="shared" si="52"/>
        <v>#NAME?</v>
      </c>
      <c r="AK62" s="61" t="e">
        <f t="shared" si="7"/>
        <v>#NAME?</v>
      </c>
      <c r="AL62" s="61" t="e">
        <f t="shared" si="8"/>
        <v>#NAME?</v>
      </c>
      <c r="AM62" s="61" t="e">
        <f t="shared" ref="AM62:BA62" si="206">SUM(AM63:AM76)</f>
        <v>#NAME?</v>
      </c>
      <c r="AN62" s="61" t="e">
        <f t="shared" si="206"/>
        <v>#NAME?</v>
      </c>
      <c r="AO62" s="61" t="e">
        <f t="shared" si="206"/>
        <v>#NAME?</v>
      </c>
      <c r="AP62" s="61" t="e">
        <f t="shared" si="206"/>
        <v>#NAME?</v>
      </c>
      <c r="AQ62" s="61" t="e">
        <f t="shared" si="206"/>
        <v>#NAME?</v>
      </c>
      <c r="AR62" s="61" t="e">
        <f t="shared" si="206"/>
        <v>#NAME?</v>
      </c>
      <c r="AS62" s="61" t="e">
        <f t="shared" si="206"/>
        <v>#NAME?</v>
      </c>
      <c r="AT62" s="61" t="e">
        <f t="shared" si="206"/>
        <v>#NAME?</v>
      </c>
      <c r="AU62" s="61" t="e">
        <f t="shared" si="206"/>
        <v>#NAME?</v>
      </c>
      <c r="AV62" s="61" t="e">
        <f t="shared" si="206"/>
        <v>#NAME?</v>
      </c>
      <c r="AW62" s="61" t="e">
        <f t="shared" si="206"/>
        <v>#NAME?</v>
      </c>
      <c r="AX62" s="61" t="e">
        <f t="shared" si="206"/>
        <v>#NAME?</v>
      </c>
      <c r="AY62" s="61" t="e">
        <f t="shared" si="206"/>
        <v>#NAME?</v>
      </c>
      <c r="AZ62" s="61" t="e">
        <f t="shared" si="206"/>
        <v>#NAME?</v>
      </c>
      <c r="BA62" s="61" t="e">
        <f t="shared" si="206"/>
        <v>#NAME?</v>
      </c>
      <c r="BB62" s="61" t="e">
        <f t="shared" si="57"/>
        <v>#NAME?</v>
      </c>
      <c r="BC62" s="61" t="e">
        <f t="shared" si="10"/>
        <v>#NAME?</v>
      </c>
      <c r="BD62" s="61" t="e">
        <f t="shared" si="11"/>
        <v>#NAME?</v>
      </c>
      <c r="BE62" s="61" t="e">
        <f>SUM(BE63:BE76)</f>
        <v>#NAME?</v>
      </c>
      <c r="BF62" s="61" t="e">
        <f>SUM(BF63:BF76)</f>
        <v>#NAME?</v>
      </c>
      <c r="BG62" s="61" t="e">
        <f>SUM(BG63:BG76)</f>
        <v>#NAME?</v>
      </c>
    </row>
    <row r="63" spans="1:59" ht="15.75" x14ac:dyDescent="0.25">
      <c r="A63" s="8" t="s">
        <v>129</v>
      </c>
      <c r="B63" s="11" t="s">
        <v>130</v>
      </c>
      <c r="C63" s="63" t="s">
        <v>131</v>
      </c>
      <c r="D63" s="64"/>
      <c r="E63" s="65"/>
      <c r="F63" s="66" t="e">
        <f t="shared" ref="F63:F76" si="207">X63+AP63</f>
        <v>#NAME?</v>
      </c>
      <c r="G63" s="66" t="e">
        <f t="shared" ref="G63:G76" si="208">Y63+AQ63</f>
        <v>#NAME?</v>
      </c>
      <c r="H63" s="66" t="e">
        <f t="shared" ref="H63:H76" si="209">I63+J63</f>
        <v>#NAME?</v>
      </c>
      <c r="I63" s="66" t="e">
        <f t="shared" ref="I63:I76" si="210">AA63+AS63</f>
        <v>#NAME?</v>
      </c>
      <c r="J63" s="66" t="e">
        <f t="shared" ref="J63:J76" si="211">AB63+AT63</f>
        <v>#NAME?</v>
      </c>
      <c r="K63" s="66" t="e">
        <f t="shared" ref="K63:K76" si="212">AC63+AU63</f>
        <v>#NAME?</v>
      </c>
      <c r="L63" s="66" t="e">
        <f t="shared" ref="L63:L76" si="213">AD63+AV63</f>
        <v>#NAME?</v>
      </c>
      <c r="M63" s="66" t="e">
        <f t="shared" ref="M63:M76" si="214">AE63+AW63</f>
        <v>#NAME?</v>
      </c>
      <c r="N63" s="66" t="e">
        <f t="shared" ref="N63:N76" si="215">O63+Q63</f>
        <v>#NAME?</v>
      </c>
      <c r="O63" s="66" t="e">
        <f t="shared" ref="O63:O76" si="216">AG63+AY63</f>
        <v>#NAME?</v>
      </c>
      <c r="P63" s="66" t="e">
        <f t="shared" ref="P63:P76" si="217">AH63+AZ63</f>
        <v>#NAME?</v>
      </c>
      <c r="Q63" s="66" t="e">
        <f t="shared" ref="Q63:Q76" si="218">AI63+BA63</f>
        <v>#NAME?</v>
      </c>
      <c r="R63" s="67" t="e">
        <f t="shared" si="46"/>
        <v>#NAME?</v>
      </c>
      <c r="S63" s="67" t="e">
        <f t="shared" si="4"/>
        <v>#NAME?</v>
      </c>
      <c r="T63" s="67" t="e">
        <f t="shared" si="5"/>
        <v>#NAME?</v>
      </c>
      <c r="U63" s="67" t="e">
        <f t="shared" ref="U63:U76" si="219">AM63+BE63</f>
        <v>#NAME?</v>
      </c>
      <c r="V63" s="67" t="e">
        <f t="shared" ref="V63:V76" si="220">(G63+K63+L63-O63-U63)</f>
        <v>#NAME?</v>
      </c>
      <c r="W63" s="67" t="e">
        <f t="shared" ref="W63:W76" si="221">(I63-O63)</f>
        <v>#NAME?</v>
      </c>
      <c r="X63" s="66" t="e">
        <f t="shared" ref="X63:X76" si="222">КОЛ4020/$G$1</f>
        <v>#NAME?</v>
      </c>
      <c r="Y63" s="66" t="e">
        <f t="shared" ref="Y63:Y76" si="223">КОЛ4005/$G$1</f>
        <v>#NAME?</v>
      </c>
      <c r="Z63" s="66" t="e">
        <f t="shared" ref="Z63:Z76" si="224">AA63+AB63</f>
        <v>#NAME?</v>
      </c>
      <c r="AA63" s="66" t="e">
        <f t="shared" ref="AA63:AA76" si="225">КОЛ4007/$G$1</f>
        <v>#NAME?</v>
      </c>
      <c r="AB63" s="66" t="e">
        <f t="shared" ref="AB63:AB76" si="226">КОЛ4008/$G$1</f>
        <v>#NAME?</v>
      </c>
      <c r="AC63" s="66" t="e">
        <f t="shared" ref="AC63:AC76" si="227">КОЛ4009/$G$1</f>
        <v>#NAME?</v>
      </c>
      <c r="AD63" s="66" t="e">
        <f t="shared" ref="AD63:AD76" si="228">КОЛ4010/$G$1</f>
        <v>#NAME?</v>
      </c>
      <c r="AE63" s="66" t="e">
        <f t="shared" ref="AE63:AE76" si="229">КОЛ4011/$G$1</f>
        <v>#NAME?</v>
      </c>
      <c r="AF63" s="66" t="e">
        <f t="shared" ref="AF63:AF76" si="230">AG63+AI63</f>
        <v>#NAME?</v>
      </c>
      <c r="AG63" s="66" t="e">
        <f t="shared" ref="AG63:AG76" si="231">КОЛ4013/$G$1</f>
        <v>#NAME?</v>
      </c>
      <c r="AH63" s="66" t="e">
        <f t="shared" ref="AH63:AH76" si="232">КОЛ4014/$G$1</f>
        <v>#NAME?</v>
      </c>
      <c r="AI63" s="66" t="e">
        <f t="shared" ref="AI63:AI76" si="233">КОЛ4015/$G$1</f>
        <v>#NAME?</v>
      </c>
      <c r="AJ63" s="67" t="e">
        <f t="shared" si="52"/>
        <v>#NAME?</v>
      </c>
      <c r="AK63" s="67" t="e">
        <f t="shared" si="7"/>
        <v>#NAME?</v>
      </c>
      <c r="AL63" s="67" t="e">
        <f t="shared" si="8"/>
        <v>#NAME?</v>
      </c>
      <c r="AM63" s="67" t="e">
        <f t="shared" ref="AM63:AM76" si="234">КОЛ4017/$G$1</f>
        <v>#NAME?</v>
      </c>
      <c r="AN63" s="67" t="e">
        <f t="shared" ref="AN63:AN76" si="235">(Y63+AC63+AD63-AG63-AM63)</f>
        <v>#NAME?</v>
      </c>
      <c r="AO63" s="67" t="e">
        <f t="shared" ref="AO63:AO76" si="236">(AA63-AG63)</f>
        <v>#NAME?</v>
      </c>
      <c r="AP63" s="66" t="e">
        <f t="shared" ref="AP63:AP76" si="237">КОЛ4120/$G$1</f>
        <v>#NAME?</v>
      </c>
      <c r="AQ63" s="66" t="e">
        <f t="shared" ref="AQ63:AQ76" si="238">КОЛ4105/$G$1</f>
        <v>#NAME?</v>
      </c>
      <c r="AR63" s="66" t="e">
        <f t="shared" ref="AR63:AR76" si="239">AS63+AT63</f>
        <v>#NAME?</v>
      </c>
      <c r="AS63" s="66" t="e">
        <f t="shared" ref="AS63:AS76" si="240">КОЛ4107/$G$1</f>
        <v>#NAME?</v>
      </c>
      <c r="AT63" s="66" t="e">
        <f t="shared" ref="AT63:AT76" si="241">КОЛ4108/$G$1</f>
        <v>#NAME?</v>
      </c>
      <c r="AU63" s="66" t="e">
        <f t="shared" ref="AU63:AU76" si="242">КОЛ4109/$G$1</f>
        <v>#NAME?</v>
      </c>
      <c r="AV63" s="66" t="e">
        <f t="shared" ref="AV63:AV76" si="243">КОЛ4110/$G$1</f>
        <v>#NAME?</v>
      </c>
      <c r="AW63" s="66" t="e">
        <f t="shared" ref="AW63:AW76" si="244">КОЛ4111/$G$1</f>
        <v>#NAME?</v>
      </c>
      <c r="AX63" s="66" t="e">
        <f t="shared" ref="AX63:AX76" si="245">AY63+BA63</f>
        <v>#NAME?</v>
      </c>
      <c r="AY63" s="66" t="e">
        <f t="shared" ref="AY63:AY76" si="246">КОЛ4113/$G$1</f>
        <v>#NAME?</v>
      </c>
      <c r="AZ63" s="66" t="e">
        <f t="shared" ref="AZ63:AZ76" si="247">КОЛ4114/$G$1</f>
        <v>#NAME?</v>
      </c>
      <c r="BA63" s="66" t="e">
        <f t="shared" ref="BA63:BA76" si="248">КОЛ4115/$G$1</f>
        <v>#NAME?</v>
      </c>
      <c r="BB63" s="67" t="e">
        <f t="shared" si="57"/>
        <v>#NAME?</v>
      </c>
      <c r="BC63" s="67" t="e">
        <f t="shared" si="10"/>
        <v>#NAME?</v>
      </c>
      <c r="BD63" s="67" t="e">
        <f t="shared" si="11"/>
        <v>#NAME?</v>
      </c>
      <c r="BE63" s="67" t="e">
        <f t="shared" ref="BE63:BE76" si="249">КОЛ4117/$G$1</f>
        <v>#NAME?</v>
      </c>
      <c r="BF63" s="67" t="e">
        <f t="shared" ref="BF63:BF76" si="250">(AQ63+AU63+AV63-AY63-BE63)</f>
        <v>#NAME?</v>
      </c>
      <c r="BG63" s="67" t="e">
        <f t="shared" ref="BG63:BG76" si="251">(AS63-AY63)</f>
        <v>#NAME?</v>
      </c>
    </row>
    <row r="64" spans="1:59" ht="15.75" x14ac:dyDescent="0.25">
      <c r="A64" s="8" t="s">
        <v>132</v>
      </c>
      <c r="B64" s="11" t="s">
        <v>133</v>
      </c>
      <c r="C64" s="63" t="s">
        <v>134</v>
      </c>
      <c r="D64" s="64"/>
      <c r="E64" s="65"/>
      <c r="F64" s="66" t="e">
        <f t="shared" si="207"/>
        <v>#NAME?</v>
      </c>
      <c r="G64" s="66" t="e">
        <f t="shared" si="208"/>
        <v>#NAME?</v>
      </c>
      <c r="H64" s="66" t="e">
        <f t="shared" si="209"/>
        <v>#NAME?</v>
      </c>
      <c r="I64" s="66" t="e">
        <f t="shared" si="210"/>
        <v>#NAME?</v>
      </c>
      <c r="J64" s="66" t="e">
        <f t="shared" si="211"/>
        <v>#NAME?</v>
      </c>
      <c r="K64" s="66" t="e">
        <f t="shared" si="212"/>
        <v>#NAME?</v>
      </c>
      <c r="L64" s="66" t="e">
        <f t="shared" si="213"/>
        <v>#NAME?</v>
      </c>
      <c r="M64" s="66" t="e">
        <f t="shared" si="214"/>
        <v>#NAME?</v>
      </c>
      <c r="N64" s="66" t="e">
        <f t="shared" si="215"/>
        <v>#NAME?</v>
      </c>
      <c r="O64" s="66" t="e">
        <f t="shared" si="216"/>
        <v>#NAME?</v>
      </c>
      <c r="P64" s="66" t="e">
        <f t="shared" si="217"/>
        <v>#NAME?</v>
      </c>
      <c r="Q64" s="66" t="e">
        <f t="shared" si="218"/>
        <v>#NAME?</v>
      </c>
      <c r="R64" s="67" t="e">
        <f t="shared" si="46"/>
        <v>#NAME?</v>
      </c>
      <c r="S64" s="67" t="e">
        <f t="shared" si="4"/>
        <v>#NAME?</v>
      </c>
      <c r="T64" s="67" t="e">
        <f t="shared" si="5"/>
        <v>#NAME?</v>
      </c>
      <c r="U64" s="67" t="e">
        <f t="shared" si="219"/>
        <v>#NAME?</v>
      </c>
      <c r="V64" s="67" t="e">
        <f t="shared" si="220"/>
        <v>#NAME?</v>
      </c>
      <c r="W64" s="67" t="e">
        <f t="shared" si="221"/>
        <v>#NAME?</v>
      </c>
      <c r="X64" s="66" t="e">
        <f t="shared" si="222"/>
        <v>#NAME?</v>
      </c>
      <c r="Y64" s="66" t="e">
        <f t="shared" si="223"/>
        <v>#NAME?</v>
      </c>
      <c r="Z64" s="66" t="e">
        <f t="shared" si="224"/>
        <v>#NAME?</v>
      </c>
      <c r="AA64" s="66" t="e">
        <f t="shared" si="225"/>
        <v>#NAME?</v>
      </c>
      <c r="AB64" s="66" t="e">
        <f t="shared" si="226"/>
        <v>#NAME?</v>
      </c>
      <c r="AC64" s="66" t="e">
        <f t="shared" si="227"/>
        <v>#NAME?</v>
      </c>
      <c r="AD64" s="66" t="e">
        <f t="shared" si="228"/>
        <v>#NAME?</v>
      </c>
      <c r="AE64" s="66" t="e">
        <f t="shared" si="229"/>
        <v>#NAME?</v>
      </c>
      <c r="AF64" s="66" t="e">
        <f t="shared" si="230"/>
        <v>#NAME?</v>
      </c>
      <c r="AG64" s="66" t="e">
        <f t="shared" si="231"/>
        <v>#NAME?</v>
      </c>
      <c r="AH64" s="66" t="e">
        <f t="shared" si="232"/>
        <v>#NAME?</v>
      </c>
      <c r="AI64" s="66" t="e">
        <f t="shared" si="233"/>
        <v>#NAME?</v>
      </c>
      <c r="AJ64" s="67" t="e">
        <f t="shared" si="52"/>
        <v>#NAME?</v>
      </c>
      <c r="AK64" s="67" t="e">
        <f t="shared" si="7"/>
        <v>#NAME?</v>
      </c>
      <c r="AL64" s="67" t="e">
        <f t="shared" si="8"/>
        <v>#NAME?</v>
      </c>
      <c r="AM64" s="67" t="e">
        <f t="shared" si="234"/>
        <v>#NAME?</v>
      </c>
      <c r="AN64" s="67" t="e">
        <f t="shared" si="235"/>
        <v>#NAME?</v>
      </c>
      <c r="AO64" s="67" t="e">
        <f t="shared" si="236"/>
        <v>#NAME?</v>
      </c>
      <c r="AP64" s="66" t="e">
        <f t="shared" si="237"/>
        <v>#NAME?</v>
      </c>
      <c r="AQ64" s="66" t="e">
        <f t="shared" si="238"/>
        <v>#NAME?</v>
      </c>
      <c r="AR64" s="66" t="e">
        <f t="shared" si="239"/>
        <v>#NAME?</v>
      </c>
      <c r="AS64" s="66" t="e">
        <f t="shared" si="240"/>
        <v>#NAME?</v>
      </c>
      <c r="AT64" s="66" t="e">
        <f t="shared" si="241"/>
        <v>#NAME?</v>
      </c>
      <c r="AU64" s="66" t="e">
        <f t="shared" si="242"/>
        <v>#NAME?</v>
      </c>
      <c r="AV64" s="66" t="e">
        <f t="shared" si="243"/>
        <v>#NAME?</v>
      </c>
      <c r="AW64" s="66" t="e">
        <f t="shared" si="244"/>
        <v>#NAME?</v>
      </c>
      <c r="AX64" s="66" t="e">
        <f t="shared" si="245"/>
        <v>#NAME?</v>
      </c>
      <c r="AY64" s="66" t="e">
        <f t="shared" si="246"/>
        <v>#NAME?</v>
      </c>
      <c r="AZ64" s="66" t="e">
        <f t="shared" si="247"/>
        <v>#NAME?</v>
      </c>
      <c r="BA64" s="66" t="e">
        <f t="shared" si="248"/>
        <v>#NAME?</v>
      </c>
      <c r="BB64" s="67" t="e">
        <f t="shared" si="57"/>
        <v>#NAME?</v>
      </c>
      <c r="BC64" s="67" t="e">
        <f t="shared" si="10"/>
        <v>#NAME?</v>
      </c>
      <c r="BD64" s="67" t="e">
        <f t="shared" si="11"/>
        <v>#NAME?</v>
      </c>
      <c r="BE64" s="67" t="e">
        <f t="shared" si="249"/>
        <v>#NAME?</v>
      </c>
      <c r="BF64" s="67" t="e">
        <f t="shared" si="250"/>
        <v>#NAME?</v>
      </c>
      <c r="BG64" s="67" t="e">
        <f t="shared" si="251"/>
        <v>#NAME?</v>
      </c>
    </row>
    <row r="65" spans="1:59" ht="15.75" x14ac:dyDescent="0.25">
      <c r="A65" s="8" t="s">
        <v>135</v>
      </c>
      <c r="B65" s="11" t="s">
        <v>136</v>
      </c>
      <c r="C65" s="63" t="s">
        <v>137</v>
      </c>
      <c r="D65" s="64"/>
      <c r="E65" s="65"/>
      <c r="F65" s="66" t="e">
        <f t="shared" si="207"/>
        <v>#NAME?</v>
      </c>
      <c r="G65" s="66" t="e">
        <f t="shared" si="208"/>
        <v>#NAME?</v>
      </c>
      <c r="H65" s="66" t="e">
        <f t="shared" si="209"/>
        <v>#NAME?</v>
      </c>
      <c r="I65" s="66" t="e">
        <f t="shared" si="210"/>
        <v>#NAME?</v>
      </c>
      <c r="J65" s="66" t="e">
        <f t="shared" si="211"/>
        <v>#NAME?</v>
      </c>
      <c r="K65" s="66" t="e">
        <f t="shared" si="212"/>
        <v>#NAME?</v>
      </c>
      <c r="L65" s="66" t="e">
        <f t="shared" si="213"/>
        <v>#NAME?</v>
      </c>
      <c r="M65" s="66" t="e">
        <f t="shared" si="214"/>
        <v>#NAME?</v>
      </c>
      <c r="N65" s="66" t="e">
        <f t="shared" si="215"/>
        <v>#NAME?</v>
      </c>
      <c r="O65" s="66" t="e">
        <f t="shared" si="216"/>
        <v>#NAME?</v>
      </c>
      <c r="P65" s="66" t="e">
        <f t="shared" si="217"/>
        <v>#NAME?</v>
      </c>
      <c r="Q65" s="66" t="e">
        <f t="shared" si="218"/>
        <v>#NAME?</v>
      </c>
      <c r="R65" s="67" t="e">
        <f t="shared" si="46"/>
        <v>#NAME?</v>
      </c>
      <c r="S65" s="67" t="e">
        <f t="shared" si="4"/>
        <v>#NAME?</v>
      </c>
      <c r="T65" s="67" t="e">
        <f t="shared" si="5"/>
        <v>#NAME?</v>
      </c>
      <c r="U65" s="67" t="e">
        <f t="shared" si="219"/>
        <v>#NAME?</v>
      </c>
      <c r="V65" s="67" t="e">
        <f t="shared" si="220"/>
        <v>#NAME?</v>
      </c>
      <c r="W65" s="67" t="e">
        <f t="shared" si="221"/>
        <v>#NAME?</v>
      </c>
      <c r="X65" s="66" t="e">
        <f t="shared" si="222"/>
        <v>#NAME?</v>
      </c>
      <c r="Y65" s="66" t="e">
        <f t="shared" si="223"/>
        <v>#NAME?</v>
      </c>
      <c r="Z65" s="66" t="e">
        <f t="shared" si="224"/>
        <v>#NAME?</v>
      </c>
      <c r="AA65" s="66" t="e">
        <f t="shared" si="225"/>
        <v>#NAME?</v>
      </c>
      <c r="AB65" s="66" t="e">
        <f t="shared" si="226"/>
        <v>#NAME?</v>
      </c>
      <c r="AC65" s="66" t="e">
        <f t="shared" si="227"/>
        <v>#NAME?</v>
      </c>
      <c r="AD65" s="66" t="e">
        <f t="shared" si="228"/>
        <v>#NAME?</v>
      </c>
      <c r="AE65" s="66" t="e">
        <f t="shared" si="229"/>
        <v>#NAME?</v>
      </c>
      <c r="AF65" s="66" t="e">
        <f t="shared" si="230"/>
        <v>#NAME?</v>
      </c>
      <c r="AG65" s="66" t="e">
        <f t="shared" si="231"/>
        <v>#NAME?</v>
      </c>
      <c r="AH65" s="66" t="e">
        <f t="shared" si="232"/>
        <v>#NAME?</v>
      </c>
      <c r="AI65" s="66" t="e">
        <f t="shared" si="233"/>
        <v>#NAME?</v>
      </c>
      <c r="AJ65" s="67" t="e">
        <f t="shared" si="52"/>
        <v>#NAME?</v>
      </c>
      <c r="AK65" s="67" t="e">
        <f t="shared" si="7"/>
        <v>#NAME?</v>
      </c>
      <c r="AL65" s="67" t="e">
        <f t="shared" si="8"/>
        <v>#NAME?</v>
      </c>
      <c r="AM65" s="67" t="e">
        <f t="shared" si="234"/>
        <v>#NAME?</v>
      </c>
      <c r="AN65" s="67" t="e">
        <f t="shared" si="235"/>
        <v>#NAME?</v>
      </c>
      <c r="AO65" s="67" t="e">
        <f t="shared" si="236"/>
        <v>#NAME?</v>
      </c>
      <c r="AP65" s="66" t="e">
        <f t="shared" si="237"/>
        <v>#NAME?</v>
      </c>
      <c r="AQ65" s="66" t="e">
        <f t="shared" si="238"/>
        <v>#NAME?</v>
      </c>
      <c r="AR65" s="66" t="e">
        <f t="shared" si="239"/>
        <v>#NAME?</v>
      </c>
      <c r="AS65" s="66" t="e">
        <f t="shared" si="240"/>
        <v>#NAME?</v>
      </c>
      <c r="AT65" s="66" t="e">
        <f t="shared" si="241"/>
        <v>#NAME?</v>
      </c>
      <c r="AU65" s="66" t="e">
        <f t="shared" si="242"/>
        <v>#NAME?</v>
      </c>
      <c r="AV65" s="66" t="e">
        <f t="shared" si="243"/>
        <v>#NAME?</v>
      </c>
      <c r="AW65" s="66" t="e">
        <f t="shared" si="244"/>
        <v>#NAME?</v>
      </c>
      <c r="AX65" s="66" t="e">
        <f t="shared" si="245"/>
        <v>#NAME?</v>
      </c>
      <c r="AY65" s="66" t="e">
        <f t="shared" si="246"/>
        <v>#NAME?</v>
      </c>
      <c r="AZ65" s="66" t="e">
        <f t="shared" si="247"/>
        <v>#NAME?</v>
      </c>
      <c r="BA65" s="66" t="e">
        <f t="shared" si="248"/>
        <v>#NAME?</v>
      </c>
      <c r="BB65" s="67" t="e">
        <f t="shared" si="57"/>
        <v>#NAME?</v>
      </c>
      <c r="BC65" s="67" t="e">
        <f t="shared" si="10"/>
        <v>#NAME?</v>
      </c>
      <c r="BD65" s="67" t="e">
        <f t="shared" si="11"/>
        <v>#NAME?</v>
      </c>
      <c r="BE65" s="67" t="e">
        <f t="shared" si="249"/>
        <v>#NAME?</v>
      </c>
      <c r="BF65" s="67" t="e">
        <f t="shared" si="250"/>
        <v>#NAME?</v>
      </c>
      <c r="BG65" s="67" t="e">
        <f t="shared" si="251"/>
        <v>#NAME?</v>
      </c>
    </row>
    <row r="66" spans="1:59" ht="15.75" x14ac:dyDescent="0.25">
      <c r="A66" s="8" t="s">
        <v>138</v>
      </c>
      <c r="B66" s="11" t="s">
        <v>139</v>
      </c>
      <c r="C66" s="63" t="s">
        <v>140</v>
      </c>
      <c r="D66" s="64"/>
      <c r="E66" s="65"/>
      <c r="F66" s="66" t="e">
        <f t="shared" si="207"/>
        <v>#NAME?</v>
      </c>
      <c r="G66" s="66" t="e">
        <f t="shared" si="208"/>
        <v>#NAME?</v>
      </c>
      <c r="H66" s="66" t="e">
        <f t="shared" si="209"/>
        <v>#NAME?</v>
      </c>
      <c r="I66" s="66" t="e">
        <f t="shared" si="210"/>
        <v>#NAME?</v>
      </c>
      <c r="J66" s="66" t="e">
        <f t="shared" si="211"/>
        <v>#NAME?</v>
      </c>
      <c r="K66" s="66" t="e">
        <f t="shared" si="212"/>
        <v>#NAME?</v>
      </c>
      <c r="L66" s="66" t="e">
        <f t="shared" si="213"/>
        <v>#NAME?</v>
      </c>
      <c r="M66" s="66" t="e">
        <f t="shared" si="214"/>
        <v>#NAME?</v>
      </c>
      <c r="N66" s="66" t="e">
        <f t="shared" si="215"/>
        <v>#NAME?</v>
      </c>
      <c r="O66" s="66" t="e">
        <f t="shared" si="216"/>
        <v>#NAME?</v>
      </c>
      <c r="P66" s="66" t="e">
        <f t="shared" si="217"/>
        <v>#NAME?</v>
      </c>
      <c r="Q66" s="66" t="e">
        <f t="shared" si="218"/>
        <v>#NAME?</v>
      </c>
      <c r="R66" s="67" t="e">
        <f t="shared" si="46"/>
        <v>#NAME?</v>
      </c>
      <c r="S66" s="67" t="e">
        <f t="shared" si="4"/>
        <v>#NAME?</v>
      </c>
      <c r="T66" s="67" t="e">
        <f t="shared" si="5"/>
        <v>#NAME?</v>
      </c>
      <c r="U66" s="67" t="e">
        <f t="shared" si="219"/>
        <v>#NAME?</v>
      </c>
      <c r="V66" s="67" t="e">
        <f t="shared" si="220"/>
        <v>#NAME?</v>
      </c>
      <c r="W66" s="67" t="e">
        <f t="shared" si="221"/>
        <v>#NAME?</v>
      </c>
      <c r="X66" s="66" t="e">
        <f t="shared" si="222"/>
        <v>#NAME?</v>
      </c>
      <c r="Y66" s="66" t="e">
        <f t="shared" si="223"/>
        <v>#NAME?</v>
      </c>
      <c r="Z66" s="66" t="e">
        <f t="shared" si="224"/>
        <v>#NAME?</v>
      </c>
      <c r="AA66" s="66" t="e">
        <f t="shared" si="225"/>
        <v>#NAME?</v>
      </c>
      <c r="AB66" s="66" t="e">
        <f t="shared" si="226"/>
        <v>#NAME?</v>
      </c>
      <c r="AC66" s="66" t="e">
        <f t="shared" si="227"/>
        <v>#NAME?</v>
      </c>
      <c r="AD66" s="66" t="e">
        <f t="shared" si="228"/>
        <v>#NAME?</v>
      </c>
      <c r="AE66" s="66" t="e">
        <f t="shared" si="229"/>
        <v>#NAME?</v>
      </c>
      <c r="AF66" s="66" t="e">
        <f t="shared" si="230"/>
        <v>#NAME?</v>
      </c>
      <c r="AG66" s="66" t="e">
        <f t="shared" si="231"/>
        <v>#NAME?</v>
      </c>
      <c r="AH66" s="66" t="e">
        <f t="shared" si="232"/>
        <v>#NAME?</v>
      </c>
      <c r="AI66" s="66" t="e">
        <f t="shared" si="233"/>
        <v>#NAME?</v>
      </c>
      <c r="AJ66" s="67" t="e">
        <f t="shared" si="52"/>
        <v>#NAME?</v>
      </c>
      <c r="AK66" s="67" t="e">
        <f t="shared" si="7"/>
        <v>#NAME?</v>
      </c>
      <c r="AL66" s="67" t="e">
        <f t="shared" si="8"/>
        <v>#NAME?</v>
      </c>
      <c r="AM66" s="67" t="e">
        <f t="shared" si="234"/>
        <v>#NAME?</v>
      </c>
      <c r="AN66" s="67" t="e">
        <f t="shared" si="235"/>
        <v>#NAME?</v>
      </c>
      <c r="AO66" s="67" t="e">
        <f t="shared" si="236"/>
        <v>#NAME?</v>
      </c>
      <c r="AP66" s="66" t="e">
        <f t="shared" si="237"/>
        <v>#NAME?</v>
      </c>
      <c r="AQ66" s="66" t="e">
        <f t="shared" si="238"/>
        <v>#NAME?</v>
      </c>
      <c r="AR66" s="66" t="e">
        <f t="shared" si="239"/>
        <v>#NAME?</v>
      </c>
      <c r="AS66" s="66" t="e">
        <f t="shared" si="240"/>
        <v>#NAME?</v>
      </c>
      <c r="AT66" s="66" t="e">
        <f t="shared" si="241"/>
        <v>#NAME?</v>
      </c>
      <c r="AU66" s="66" t="e">
        <f t="shared" si="242"/>
        <v>#NAME?</v>
      </c>
      <c r="AV66" s="66" t="e">
        <f t="shared" si="243"/>
        <v>#NAME?</v>
      </c>
      <c r="AW66" s="66" t="e">
        <f t="shared" si="244"/>
        <v>#NAME?</v>
      </c>
      <c r="AX66" s="66" t="e">
        <f t="shared" si="245"/>
        <v>#NAME?</v>
      </c>
      <c r="AY66" s="66" t="e">
        <f t="shared" si="246"/>
        <v>#NAME?</v>
      </c>
      <c r="AZ66" s="66" t="e">
        <f t="shared" si="247"/>
        <v>#NAME?</v>
      </c>
      <c r="BA66" s="66" t="e">
        <f t="shared" si="248"/>
        <v>#NAME?</v>
      </c>
      <c r="BB66" s="67" t="e">
        <f t="shared" si="57"/>
        <v>#NAME?</v>
      </c>
      <c r="BC66" s="67" t="e">
        <f t="shared" si="10"/>
        <v>#NAME?</v>
      </c>
      <c r="BD66" s="67" t="e">
        <f t="shared" si="11"/>
        <v>#NAME?</v>
      </c>
      <c r="BE66" s="67" t="e">
        <f t="shared" si="249"/>
        <v>#NAME?</v>
      </c>
      <c r="BF66" s="67" t="e">
        <f t="shared" si="250"/>
        <v>#NAME?</v>
      </c>
      <c r="BG66" s="67" t="e">
        <f t="shared" si="251"/>
        <v>#NAME?</v>
      </c>
    </row>
    <row r="67" spans="1:59" ht="15.75" x14ac:dyDescent="0.25">
      <c r="A67" s="8" t="s">
        <v>141</v>
      </c>
      <c r="B67" s="11" t="s">
        <v>142</v>
      </c>
      <c r="C67" s="63" t="s">
        <v>143</v>
      </c>
      <c r="D67" s="64"/>
      <c r="E67" s="65"/>
      <c r="F67" s="66" t="e">
        <f t="shared" si="207"/>
        <v>#NAME?</v>
      </c>
      <c r="G67" s="66" t="e">
        <f t="shared" si="208"/>
        <v>#NAME?</v>
      </c>
      <c r="H67" s="66" t="e">
        <f t="shared" si="209"/>
        <v>#NAME?</v>
      </c>
      <c r="I67" s="66" t="e">
        <f t="shared" si="210"/>
        <v>#NAME?</v>
      </c>
      <c r="J67" s="66" t="e">
        <f t="shared" si="211"/>
        <v>#NAME?</v>
      </c>
      <c r="K67" s="66" t="e">
        <f t="shared" si="212"/>
        <v>#NAME?</v>
      </c>
      <c r="L67" s="66" t="e">
        <f t="shared" si="213"/>
        <v>#NAME?</v>
      </c>
      <c r="M67" s="66" t="e">
        <f t="shared" si="214"/>
        <v>#NAME?</v>
      </c>
      <c r="N67" s="66" t="e">
        <f t="shared" si="215"/>
        <v>#NAME?</v>
      </c>
      <c r="O67" s="66" t="e">
        <f t="shared" si="216"/>
        <v>#NAME?</v>
      </c>
      <c r="P67" s="66" t="e">
        <f t="shared" si="217"/>
        <v>#NAME?</v>
      </c>
      <c r="Q67" s="66" t="e">
        <f t="shared" si="218"/>
        <v>#NAME?</v>
      </c>
      <c r="R67" s="67" t="e">
        <f t="shared" si="46"/>
        <v>#NAME?</v>
      </c>
      <c r="S67" s="67" t="e">
        <f t="shared" si="4"/>
        <v>#NAME?</v>
      </c>
      <c r="T67" s="67" t="e">
        <f t="shared" si="5"/>
        <v>#NAME?</v>
      </c>
      <c r="U67" s="67" t="e">
        <f t="shared" si="219"/>
        <v>#NAME?</v>
      </c>
      <c r="V67" s="67" t="e">
        <f t="shared" si="220"/>
        <v>#NAME?</v>
      </c>
      <c r="W67" s="67" t="e">
        <f t="shared" si="221"/>
        <v>#NAME?</v>
      </c>
      <c r="X67" s="66" t="e">
        <f t="shared" si="222"/>
        <v>#NAME?</v>
      </c>
      <c r="Y67" s="66" t="e">
        <f t="shared" si="223"/>
        <v>#NAME?</v>
      </c>
      <c r="Z67" s="66" t="e">
        <f t="shared" si="224"/>
        <v>#NAME?</v>
      </c>
      <c r="AA67" s="66" t="e">
        <f t="shared" si="225"/>
        <v>#NAME?</v>
      </c>
      <c r="AB67" s="66" t="e">
        <f t="shared" si="226"/>
        <v>#NAME?</v>
      </c>
      <c r="AC67" s="66" t="e">
        <f t="shared" si="227"/>
        <v>#NAME?</v>
      </c>
      <c r="AD67" s="66" t="e">
        <f t="shared" si="228"/>
        <v>#NAME?</v>
      </c>
      <c r="AE67" s="66" t="e">
        <f t="shared" si="229"/>
        <v>#NAME?</v>
      </c>
      <c r="AF67" s="66" t="e">
        <f t="shared" si="230"/>
        <v>#NAME?</v>
      </c>
      <c r="AG67" s="66" t="e">
        <f t="shared" si="231"/>
        <v>#NAME?</v>
      </c>
      <c r="AH67" s="66" t="e">
        <f t="shared" si="232"/>
        <v>#NAME?</v>
      </c>
      <c r="AI67" s="66" t="e">
        <f t="shared" si="233"/>
        <v>#NAME?</v>
      </c>
      <c r="AJ67" s="67" t="e">
        <f t="shared" si="52"/>
        <v>#NAME?</v>
      </c>
      <c r="AK67" s="67" t="e">
        <f t="shared" si="7"/>
        <v>#NAME?</v>
      </c>
      <c r="AL67" s="67" t="e">
        <f t="shared" si="8"/>
        <v>#NAME?</v>
      </c>
      <c r="AM67" s="67" t="e">
        <f t="shared" si="234"/>
        <v>#NAME?</v>
      </c>
      <c r="AN67" s="67" t="e">
        <f t="shared" si="235"/>
        <v>#NAME?</v>
      </c>
      <c r="AO67" s="67" t="e">
        <f t="shared" si="236"/>
        <v>#NAME?</v>
      </c>
      <c r="AP67" s="66" t="e">
        <f t="shared" si="237"/>
        <v>#NAME?</v>
      </c>
      <c r="AQ67" s="66" t="e">
        <f t="shared" si="238"/>
        <v>#NAME?</v>
      </c>
      <c r="AR67" s="66" t="e">
        <f t="shared" si="239"/>
        <v>#NAME?</v>
      </c>
      <c r="AS67" s="66" t="e">
        <f t="shared" si="240"/>
        <v>#NAME?</v>
      </c>
      <c r="AT67" s="66" t="e">
        <f t="shared" si="241"/>
        <v>#NAME?</v>
      </c>
      <c r="AU67" s="66" t="e">
        <f t="shared" si="242"/>
        <v>#NAME?</v>
      </c>
      <c r="AV67" s="66" t="e">
        <f t="shared" si="243"/>
        <v>#NAME?</v>
      </c>
      <c r="AW67" s="66" t="e">
        <f t="shared" si="244"/>
        <v>#NAME?</v>
      </c>
      <c r="AX67" s="66" t="e">
        <f t="shared" si="245"/>
        <v>#NAME?</v>
      </c>
      <c r="AY67" s="66" t="e">
        <f t="shared" si="246"/>
        <v>#NAME?</v>
      </c>
      <c r="AZ67" s="66" t="e">
        <f t="shared" si="247"/>
        <v>#NAME?</v>
      </c>
      <c r="BA67" s="66" t="e">
        <f t="shared" si="248"/>
        <v>#NAME?</v>
      </c>
      <c r="BB67" s="67" t="e">
        <f t="shared" si="57"/>
        <v>#NAME?</v>
      </c>
      <c r="BC67" s="67" t="e">
        <f t="shared" si="10"/>
        <v>#NAME?</v>
      </c>
      <c r="BD67" s="67" t="e">
        <f t="shared" si="11"/>
        <v>#NAME?</v>
      </c>
      <c r="BE67" s="67" t="e">
        <f t="shared" si="249"/>
        <v>#NAME?</v>
      </c>
      <c r="BF67" s="67" t="e">
        <f t="shared" si="250"/>
        <v>#NAME?</v>
      </c>
      <c r="BG67" s="67" t="e">
        <f t="shared" si="251"/>
        <v>#NAME?</v>
      </c>
    </row>
    <row r="68" spans="1:59" ht="15.75" x14ac:dyDescent="0.25">
      <c r="A68" s="8" t="s">
        <v>144</v>
      </c>
      <c r="B68" s="11" t="s">
        <v>145</v>
      </c>
      <c r="C68" s="63" t="s">
        <v>146</v>
      </c>
      <c r="D68" s="64"/>
      <c r="E68" s="65"/>
      <c r="F68" s="66" t="e">
        <f t="shared" si="207"/>
        <v>#NAME?</v>
      </c>
      <c r="G68" s="66" t="e">
        <f t="shared" si="208"/>
        <v>#NAME?</v>
      </c>
      <c r="H68" s="66" t="e">
        <f t="shared" si="209"/>
        <v>#NAME?</v>
      </c>
      <c r="I68" s="66" t="e">
        <f t="shared" si="210"/>
        <v>#NAME?</v>
      </c>
      <c r="J68" s="66" t="e">
        <f t="shared" si="211"/>
        <v>#NAME?</v>
      </c>
      <c r="K68" s="66" t="e">
        <f t="shared" si="212"/>
        <v>#NAME?</v>
      </c>
      <c r="L68" s="66" t="e">
        <f t="shared" si="213"/>
        <v>#NAME?</v>
      </c>
      <c r="M68" s="66" t="e">
        <f t="shared" si="214"/>
        <v>#NAME?</v>
      </c>
      <c r="N68" s="66" t="e">
        <f t="shared" si="215"/>
        <v>#NAME?</v>
      </c>
      <c r="O68" s="66" t="e">
        <f t="shared" si="216"/>
        <v>#NAME?</v>
      </c>
      <c r="P68" s="66" t="e">
        <f t="shared" si="217"/>
        <v>#NAME?</v>
      </c>
      <c r="Q68" s="66" t="e">
        <f t="shared" si="218"/>
        <v>#NAME?</v>
      </c>
      <c r="R68" s="67" t="e">
        <f t="shared" si="46"/>
        <v>#NAME?</v>
      </c>
      <c r="S68" s="67" t="e">
        <f t="shared" si="4"/>
        <v>#NAME?</v>
      </c>
      <c r="T68" s="67" t="e">
        <f t="shared" si="5"/>
        <v>#NAME?</v>
      </c>
      <c r="U68" s="67" t="e">
        <f t="shared" si="219"/>
        <v>#NAME?</v>
      </c>
      <c r="V68" s="67" t="e">
        <f t="shared" si="220"/>
        <v>#NAME?</v>
      </c>
      <c r="W68" s="67" t="e">
        <f t="shared" si="221"/>
        <v>#NAME?</v>
      </c>
      <c r="X68" s="66" t="e">
        <f t="shared" si="222"/>
        <v>#NAME?</v>
      </c>
      <c r="Y68" s="66" t="e">
        <f t="shared" si="223"/>
        <v>#NAME?</v>
      </c>
      <c r="Z68" s="66" t="e">
        <f t="shared" si="224"/>
        <v>#NAME?</v>
      </c>
      <c r="AA68" s="66" t="e">
        <f t="shared" si="225"/>
        <v>#NAME?</v>
      </c>
      <c r="AB68" s="66" t="e">
        <f t="shared" si="226"/>
        <v>#NAME?</v>
      </c>
      <c r="AC68" s="66" t="e">
        <f t="shared" si="227"/>
        <v>#NAME?</v>
      </c>
      <c r="AD68" s="66" t="e">
        <f t="shared" si="228"/>
        <v>#NAME?</v>
      </c>
      <c r="AE68" s="66" t="e">
        <f t="shared" si="229"/>
        <v>#NAME?</v>
      </c>
      <c r="AF68" s="66" t="e">
        <f t="shared" si="230"/>
        <v>#NAME?</v>
      </c>
      <c r="AG68" s="66" t="e">
        <f t="shared" si="231"/>
        <v>#NAME?</v>
      </c>
      <c r="AH68" s="66" t="e">
        <f t="shared" si="232"/>
        <v>#NAME?</v>
      </c>
      <c r="AI68" s="66" t="e">
        <f t="shared" si="233"/>
        <v>#NAME?</v>
      </c>
      <c r="AJ68" s="67" t="e">
        <f t="shared" si="52"/>
        <v>#NAME?</v>
      </c>
      <c r="AK68" s="67" t="e">
        <f t="shared" si="7"/>
        <v>#NAME?</v>
      </c>
      <c r="AL68" s="67" t="e">
        <f t="shared" si="8"/>
        <v>#NAME?</v>
      </c>
      <c r="AM68" s="67" t="e">
        <f t="shared" si="234"/>
        <v>#NAME?</v>
      </c>
      <c r="AN68" s="67" t="e">
        <f t="shared" si="235"/>
        <v>#NAME?</v>
      </c>
      <c r="AO68" s="67" t="e">
        <f t="shared" si="236"/>
        <v>#NAME?</v>
      </c>
      <c r="AP68" s="66" t="e">
        <f t="shared" si="237"/>
        <v>#NAME?</v>
      </c>
      <c r="AQ68" s="66" t="e">
        <f t="shared" si="238"/>
        <v>#NAME?</v>
      </c>
      <c r="AR68" s="66" t="e">
        <f t="shared" si="239"/>
        <v>#NAME?</v>
      </c>
      <c r="AS68" s="66" t="e">
        <f t="shared" si="240"/>
        <v>#NAME?</v>
      </c>
      <c r="AT68" s="66" t="e">
        <f t="shared" si="241"/>
        <v>#NAME?</v>
      </c>
      <c r="AU68" s="66" t="e">
        <f t="shared" si="242"/>
        <v>#NAME?</v>
      </c>
      <c r="AV68" s="66" t="e">
        <f t="shared" si="243"/>
        <v>#NAME?</v>
      </c>
      <c r="AW68" s="66" t="e">
        <f t="shared" si="244"/>
        <v>#NAME?</v>
      </c>
      <c r="AX68" s="66" t="e">
        <f t="shared" si="245"/>
        <v>#NAME?</v>
      </c>
      <c r="AY68" s="66" t="e">
        <f t="shared" si="246"/>
        <v>#NAME?</v>
      </c>
      <c r="AZ68" s="66" t="e">
        <f t="shared" si="247"/>
        <v>#NAME?</v>
      </c>
      <c r="BA68" s="66" t="e">
        <f t="shared" si="248"/>
        <v>#NAME?</v>
      </c>
      <c r="BB68" s="67" t="e">
        <f t="shared" si="57"/>
        <v>#NAME?</v>
      </c>
      <c r="BC68" s="67" t="e">
        <f t="shared" si="10"/>
        <v>#NAME?</v>
      </c>
      <c r="BD68" s="67" t="e">
        <f t="shared" si="11"/>
        <v>#NAME?</v>
      </c>
      <c r="BE68" s="67" t="e">
        <f t="shared" si="249"/>
        <v>#NAME?</v>
      </c>
      <c r="BF68" s="67" t="e">
        <f t="shared" si="250"/>
        <v>#NAME?</v>
      </c>
      <c r="BG68" s="67" t="e">
        <f t="shared" si="251"/>
        <v>#NAME?</v>
      </c>
    </row>
    <row r="69" spans="1:59" ht="15.75" x14ac:dyDescent="0.25">
      <c r="A69" s="8" t="s">
        <v>147</v>
      </c>
      <c r="B69" s="11" t="s">
        <v>148</v>
      </c>
      <c r="C69" s="63" t="s">
        <v>149</v>
      </c>
      <c r="D69" s="64"/>
      <c r="E69" s="65"/>
      <c r="F69" s="66" t="e">
        <f t="shared" si="207"/>
        <v>#NAME?</v>
      </c>
      <c r="G69" s="66" t="e">
        <f t="shared" si="208"/>
        <v>#NAME?</v>
      </c>
      <c r="H69" s="66" t="e">
        <f t="shared" si="209"/>
        <v>#NAME?</v>
      </c>
      <c r="I69" s="66" t="e">
        <f t="shared" si="210"/>
        <v>#NAME?</v>
      </c>
      <c r="J69" s="66" t="e">
        <f t="shared" si="211"/>
        <v>#NAME?</v>
      </c>
      <c r="K69" s="66" t="e">
        <f t="shared" si="212"/>
        <v>#NAME?</v>
      </c>
      <c r="L69" s="66" t="e">
        <f t="shared" si="213"/>
        <v>#NAME?</v>
      </c>
      <c r="M69" s="66" t="e">
        <f t="shared" si="214"/>
        <v>#NAME?</v>
      </c>
      <c r="N69" s="66" t="e">
        <f t="shared" si="215"/>
        <v>#NAME?</v>
      </c>
      <c r="O69" s="66" t="e">
        <f t="shared" si="216"/>
        <v>#NAME?</v>
      </c>
      <c r="P69" s="66" t="e">
        <f t="shared" si="217"/>
        <v>#NAME?</v>
      </c>
      <c r="Q69" s="66" t="e">
        <f t="shared" si="218"/>
        <v>#NAME?</v>
      </c>
      <c r="R69" s="67" t="e">
        <f t="shared" si="46"/>
        <v>#NAME?</v>
      </c>
      <c r="S69" s="67" t="e">
        <f t="shared" si="4"/>
        <v>#NAME?</v>
      </c>
      <c r="T69" s="67" t="e">
        <f t="shared" si="5"/>
        <v>#NAME?</v>
      </c>
      <c r="U69" s="67" t="e">
        <f t="shared" si="219"/>
        <v>#NAME?</v>
      </c>
      <c r="V69" s="67" t="e">
        <f t="shared" si="220"/>
        <v>#NAME?</v>
      </c>
      <c r="W69" s="67" t="e">
        <f t="shared" si="221"/>
        <v>#NAME?</v>
      </c>
      <c r="X69" s="66" t="e">
        <f t="shared" si="222"/>
        <v>#NAME?</v>
      </c>
      <c r="Y69" s="66" t="e">
        <f t="shared" si="223"/>
        <v>#NAME?</v>
      </c>
      <c r="Z69" s="66" t="e">
        <f t="shared" si="224"/>
        <v>#NAME?</v>
      </c>
      <c r="AA69" s="66" t="e">
        <f t="shared" si="225"/>
        <v>#NAME?</v>
      </c>
      <c r="AB69" s="66" t="e">
        <f t="shared" si="226"/>
        <v>#NAME?</v>
      </c>
      <c r="AC69" s="66" t="e">
        <f t="shared" si="227"/>
        <v>#NAME?</v>
      </c>
      <c r="AD69" s="66" t="e">
        <f t="shared" si="228"/>
        <v>#NAME?</v>
      </c>
      <c r="AE69" s="66" t="e">
        <f t="shared" si="229"/>
        <v>#NAME?</v>
      </c>
      <c r="AF69" s="66" t="e">
        <f t="shared" si="230"/>
        <v>#NAME?</v>
      </c>
      <c r="AG69" s="66" t="e">
        <f t="shared" si="231"/>
        <v>#NAME?</v>
      </c>
      <c r="AH69" s="66" t="e">
        <f t="shared" si="232"/>
        <v>#NAME?</v>
      </c>
      <c r="AI69" s="66" t="e">
        <f t="shared" si="233"/>
        <v>#NAME?</v>
      </c>
      <c r="AJ69" s="67" t="e">
        <f t="shared" si="52"/>
        <v>#NAME?</v>
      </c>
      <c r="AK69" s="67" t="e">
        <f t="shared" si="7"/>
        <v>#NAME?</v>
      </c>
      <c r="AL69" s="67" t="e">
        <f t="shared" si="8"/>
        <v>#NAME?</v>
      </c>
      <c r="AM69" s="67" t="e">
        <f t="shared" si="234"/>
        <v>#NAME?</v>
      </c>
      <c r="AN69" s="67" t="e">
        <f t="shared" si="235"/>
        <v>#NAME?</v>
      </c>
      <c r="AO69" s="67" t="e">
        <f t="shared" si="236"/>
        <v>#NAME?</v>
      </c>
      <c r="AP69" s="66" t="e">
        <f t="shared" si="237"/>
        <v>#NAME?</v>
      </c>
      <c r="AQ69" s="66" t="e">
        <f t="shared" si="238"/>
        <v>#NAME?</v>
      </c>
      <c r="AR69" s="66" t="e">
        <f t="shared" si="239"/>
        <v>#NAME?</v>
      </c>
      <c r="AS69" s="66" t="e">
        <f t="shared" si="240"/>
        <v>#NAME?</v>
      </c>
      <c r="AT69" s="66" t="e">
        <f t="shared" si="241"/>
        <v>#NAME?</v>
      </c>
      <c r="AU69" s="66" t="e">
        <f t="shared" si="242"/>
        <v>#NAME?</v>
      </c>
      <c r="AV69" s="66" t="e">
        <f t="shared" si="243"/>
        <v>#NAME?</v>
      </c>
      <c r="AW69" s="66" t="e">
        <f t="shared" si="244"/>
        <v>#NAME?</v>
      </c>
      <c r="AX69" s="66" t="e">
        <f t="shared" si="245"/>
        <v>#NAME?</v>
      </c>
      <c r="AY69" s="66" t="e">
        <f t="shared" si="246"/>
        <v>#NAME?</v>
      </c>
      <c r="AZ69" s="66" t="e">
        <f t="shared" si="247"/>
        <v>#NAME?</v>
      </c>
      <c r="BA69" s="66" t="e">
        <f t="shared" si="248"/>
        <v>#NAME?</v>
      </c>
      <c r="BB69" s="67" t="e">
        <f t="shared" si="57"/>
        <v>#NAME?</v>
      </c>
      <c r="BC69" s="67" t="e">
        <f t="shared" si="10"/>
        <v>#NAME?</v>
      </c>
      <c r="BD69" s="67" t="e">
        <f t="shared" si="11"/>
        <v>#NAME?</v>
      </c>
      <c r="BE69" s="67" t="e">
        <f t="shared" si="249"/>
        <v>#NAME?</v>
      </c>
      <c r="BF69" s="67" t="e">
        <f t="shared" si="250"/>
        <v>#NAME?</v>
      </c>
      <c r="BG69" s="67" t="e">
        <f t="shared" si="251"/>
        <v>#NAME?</v>
      </c>
    </row>
    <row r="70" spans="1:59" ht="15.75" x14ac:dyDescent="0.25">
      <c r="A70" s="8" t="s">
        <v>150</v>
      </c>
      <c r="B70" s="11" t="s">
        <v>151</v>
      </c>
      <c r="C70" s="63" t="s">
        <v>152</v>
      </c>
      <c r="D70" s="64"/>
      <c r="E70" s="65"/>
      <c r="F70" s="66" t="e">
        <f t="shared" si="207"/>
        <v>#NAME?</v>
      </c>
      <c r="G70" s="66" t="e">
        <f t="shared" si="208"/>
        <v>#NAME?</v>
      </c>
      <c r="H70" s="66" t="e">
        <f t="shared" si="209"/>
        <v>#NAME?</v>
      </c>
      <c r="I70" s="66" t="e">
        <f t="shared" si="210"/>
        <v>#NAME?</v>
      </c>
      <c r="J70" s="66" t="e">
        <f t="shared" si="211"/>
        <v>#NAME?</v>
      </c>
      <c r="K70" s="66" t="e">
        <f t="shared" si="212"/>
        <v>#NAME?</v>
      </c>
      <c r="L70" s="66" t="e">
        <f t="shared" si="213"/>
        <v>#NAME?</v>
      </c>
      <c r="M70" s="66" t="e">
        <f t="shared" si="214"/>
        <v>#NAME?</v>
      </c>
      <c r="N70" s="66" t="e">
        <f t="shared" si="215"/>
        <v>#NAME?</v>
      </c>
      <c r="O70" s="66" t="e">
        <f t="shared" si="216"/>
        <v>#NAME?</v>
      </c>
      <c r="P70" s="66" t="e">
        <f t="shared" si="217"/>
        <v>#NAME?</v>
      </c>
      <c r="Q70" s="66" t="e">
        <f t="shared" si="218"/>
        <v>#NAME?</v>
      </c>
      <c r="R70" s="67" t="e">
        <f t="shared" si="46"/>
        <v>#NAME?</v>
      </c>
      <c r="S70" s="67" t="e">
        <f t="shared" si="4"/>
        <v>#NAME?</v>
      </c>
      <c r="T70" s="67" t="e">
        <f t="shared" si="5"/>
        <v>#NAME?</v>
      </c>
      <c r="U70" s="67" t="e">
        <f t="shared" si="219"/>
        <v>#NAME?</v>
      </c>
      <c r="V70" s="67" t="e">
        <f t="shared" si="220"/>
        <v>#NAME?</v>
      </c>
      <c r="W70" s="67" t="e">
        <f t="shared" si="221"/>
        <v>#NAME?</v>
      </c>
      <c r="X70" s="66" t="e">
        <f t="shared" si="222"/>
        <v>#NAME?</v>
      </c>
      <c r="Y70" s="66" t="e">
        <f t="shared" si="223"/>
        <v>#NAME?</v>
      </c>
      <c r="Z70" s="66" t="e">
        <f t="shared" si="224"/>
        <v>#NAME?</v>
      </c>
      <c r="AA70" s="66" t="e">
        <f t="shared" si="225"/>
        <v>#NAME?</v>
      </c>
      <c r="AB70" s="66" t="e">
        <f t="shared" si="226"/>
        <v>#NAME?</v>
      </c>
      <c r="AC70" s="66" t="e">
        <f t="shared" si="227"/>
        <v>#NAME?</v>
      </c>
      <c r="AD70" s="66" t="e">
        <f t="shared" si="228"/>
        <v>#NAME?</v>
      </c>
      <c r="AE70" s="66" t="e">
        <f t="shared" si="229"/>
        <v>#NAME?</v>
      </c>
      <c r="AF70" s="66" t="e">
        <f t="shared" si="230"/>
        <v>#NAME?</v>
      </c>
      <c r="AG70" s="66" t="e">
        <f t="shared" si="231"/>
        <v>#NAME?</v>
      </c>
      <c r="AH70" s="66" t="e">
        <f t="shared" si="232"/>
        <v>#NAME?</v>
      </c>
      <c r="AI70" s="66" t="e">
        <f t="shared" si="233"/>
        <v>#NAME?</v>
      </c>
      <c r="AJ70" s="67" t="e">
        <f t="shared" si="52"/>
        <v>#NAME?</v>
      </c>
      <c r="AK70" s="67" t="e">
        <f t="shared" si="7"/>
        <v>#NAME?</v>
      </c>
      <c r="AL70" s="67" t="e">
        <f t="shared" si="8"/>
        <v>#NAME?</v>
      </c>
      <c r="AM70" s="67" t="e">
        <f t="shared" si="234"/>
        <v>#NAME?</v>
      </c>
      <c r="AN70" s="67" t="e">
        <f t="shared" si="235"/>
        <v>#NAME?</v>
      </c>
      <c r="AO70" s="67" t="e">
        <f t="shared" si="236"/>
        <v>#NAME?</v>
      </c>
      <c r="AP70" s="66" t="e">
        <f t="shared" si="237"/>
        <v>#NAME?</v>
      </c>
      <c r="AQ70" s="66" t="e">
        <f t="shared" si="238"/>
        <v>#NAME?</v>
      </c>
      <c r="AR70" s="66" t="e">
        <f t="shared" si="239"/>
        <v>#NAME?</v>
      </c>
      <c r="AS70" s="66" t="e">
        <f t="shared" si="240"/>
        <v>#NAME?</v>
      </c>
      <c r="AT70" s="66" t="e">
        <f t="shared" si="241"/>
        <v>#NAME?</v>
      </c>
      <c r="AU70" s="66" t="e">
        <f t="shared" si="242"/>
        <v>#NAME?</v>
      </c>
      <c r="AV70" s="66" t="e">
        <f t="shared" si="243"/>
        <v>#NAME?</v>
      </c>
      <c r="AW70" s="66" t="e">
        <f t="shared" si="244"/>
        <v>#NAME?</v>
      </c>
      <c r="AX70" s="66" t="e">
        <f t="shared" si="245"/>
        <v>#NAME?</v>
      </c>
      <c r="AY70" s="66" t="e">
        <f t="shared" si="246"/>
        <v>#NAME?</v>
      </c>
      <c r="AZ70" s="66" t="e">
        <f t="shared" si="247"/>
        <v>#NAME?</v>
      </c>
      <c r="BA70" s="66" t="e">
        <f t="shared" si="248"/>
        <v>#NAME?</v>
      </c>
      <c r="BB70" s="67" t="e">
        <f t="shared" si="57"/>
        <v>#NAME?</v>
      </c>
      <c r="BC70" s="67" t="e">
        <f t="shared" si="10"/>
        <v>#NAME?</v>
      </c>
      <c r="BD70" s="67" t="e">
        <f t="shared" si="11"/>
        <v>#NAME?</v>
      </c>
      <c r="BE70" s="67" t="e">
        <f t="shared" si="249"/>
        <v>#NAME?</v>
      </c>
      <c r="BF70" s="67" t="e">
        <f t="shared" si="250"/>
        <v>#NAME?</v>
      </c>
      <c r="BG70" s="67" t="e">
        <f t="shared" si="251"/>
        <v>#NAME?</v>
      </c>
    </row>
    <row r="71" spans="1:59" ht="15.75" x14ac:dyDescent="0.25">
      <c r="A71" s="8" t="s">
        <v>153</v>
      </c>
      <c r="B71" s="11" t="s">
        <v>154</v>
      </c>
      <c r="C71" s="63" t="s">
        <v>155</v>
      </c>
      <c r="D71" s="64"/>
      <c r="E71" s="65"/>
      <c r="F71" s="66" t="e">
        <f t="shared" si="207"/>
        <v>#NAME?</v>
      </c>
      <c r="G71" s="66" t="e">
        <f t="shared" si="208"/>
        <v>#NAME?</v>
      </c>
      <c r="H71" s="66" t="e">
        <f t="shared" si="209"/>
        <v>#NAME?</v>
      </c>
      <c r="I71" s="66" t="e">
        <f t="shared" si="210"/>
        <v>#NAME?</v>
      </c>
      <c r="J71" s="66" t="e">
        <f t="shared" si="211"/>
        <v>#NAME?</v>
      </c>
      <c r="K71" s="66" t="e">
        <f t="shared" si="212"/>
        <v>#NAME?</v>
      </c>
      <c r="L71" s="66" t="e">
        <f t="shared" si="213"/>
        <v>#NAME?</v>
      </c>
      <c r="M71" s="66" t="e">
        <f t="shared" si="214"/>
        <v>#NAME?</v>
      </c>
      <c r="N71" s="66" t="e">
        <f t="shared" si="215"/>
        <v>#NAME?</v>
      </c>
      <c r="O71" s="66" t="e">
        <f t="shared" si="216"/>
        <v>#NAME?</v>
      </c>
      <c r="P71" s="66" t="e">
        <f t="shared" si="217"/>
        <v>#NAME?</v>
      </c>
      <c r="Q71" s="66" t="e">
        <f t="shared" si="218"/>
        <v>#NAME?</v>
      </c>
      <c r="R71" s="67" t="e">
        <f t="shared" si="46"/>
        <v>#NAME?</v>
      </c>
      <c r="S71" s="67" t="e">
        <f t="shared" si="4"/>
        <v>#NAME?</v>
      </c>
      <c r="T71" s="67" t="e">
        <f t="shared" si="5"/>
        <v>#NAME?</v>
      </c>
      <c r="U71" s="67" t="e">
        <f t="shared" si="219"/>
        <v>#NAME?</v>
      </c>
      <c r="V71" s="67" t="e">
        <f t="shared" si="220"/>
        <v>#NAME?</v>
      </c>
      <c r="W71" s="67" t="e">
        <f t="shared" si="221"/>
        <v>#NAME?</v>
      </c>
      <c r="X71" s="66" t="e">
        <f t="shared" si="222"/>
        <v>#NAME?</v>
      </c>
      <c r="Y71" s="66" t="e">
        <f t="shared" si="223"/>
        <v>#NAME?</v>
      </c>
      <c r="Z71" s="66" t="e">
        <f t="shared" si="224"/>
        <v>#NAME?</v>
      </c>
      <c r="AA71" s="66" t="e">
        <f t="shared" si="225"/>
        <v>#NAME?</v>
      </c>
      <c r="AB71" s="66" t="e">
        <f t="shared" si="226"/>
        <v>#NAME?</v>
      </c>
      <c r="AC71" s="66" t="e">
        <f t="shared" si="227"/>
        <v>#NAME?</v>
      </c>
      <c r="AD71" s="66" t="e">
        <f t="shared" si="228"/>
        <v>#NAME?</v>
      </c>
      <c r="AE71" s="66" t="e">
        <f t="shared" si="229"/>
        <v>#NAME?</v>
      </c>
      <c r="AF71" s="66" t="e">
        <f t="shared" si="230"/>
        <v>#NAME?</v>
      </c>
      <c r="AG71" s="66" t="e">
        <f t="shared" si="231"/>
        <v>#NAME?</v>
      </c>
      <c r="AH71" s="66" t="e">
        <f t="shared" si="232"/>
        <v>#NAME?</v>
      </c>
      <c r="AI71" s="66" t="e">
        <f t="shared" si="233"/>
        <v>#NAME?</v>
      </c>
      <c r="AJ71" s="67" t="e">
        <f t="shared" si="52"/>
        <v>#NAME?</v>
      </c>
      <c r="AK71" s="67" t="e">
        <f t="shared" si="7"/>
        <v>#NAME?</v>
      </c>
      <c r="AL71" s="67" t="e">
        <f t="shared" si="8"/>
        <v>#NAME?</v>
      </c>
      <c r="AM71" s="67" t="e">
        <f t="shared" si="234"/>
        <v>#NAME?</v>
      </c>
      <c r="AN71" s="67" t="e">
        <f t="shared" si="235"/>
        <v>#NAME?</v>
      </c>
      <c r="AO71" s="67" t="e">
        <f t="shared" si="236"/>
        <v>#NAME?</v>
      </c>
      <c r="AP71" s="66" t="e">
        <f t="shared" si="237"/>
        <v>#NAME?</v>
      </c>
      <c r="AQ71" s="66" t="e">
        <f t="shared" si="238"/>
        <v>#NAME?</v>
      </c>
      <c r="AR71" s="66" t="e">
        <f t="shared" si="239"/>
        <v>#NAME?</v>
      </c>
      <c r="AS71" s="66" t="e">
        <f t="shared" si="240"/>
        <v>#NAME?</v>
      </c>
      <c r="AT71" s="66" t="e">
        <f t="shared" si="241"/>
        <v>#NAME?</v>
      </c>
      <c r="AU71" s="66" t="e">
        <f t="shared" si="242"/>
        <v>#NAME?</v>
      </c>
      <c r="AV71" s="66" t="e">
        <f t="shared" si="243"/>
        <v>#NAME?</v>
      </c>
      <c r="AW71" s="66" t="e">
        <f t="shared" si="244"/>
        <v>#NAME?</v>
      </c>
      <c r="AX71" s="66" t="e">
        <f t="shared" si="245"/>
        <v>#NAME?</v>
      </c>
      <c r="AY71" s="66" t="e">
        <f t="shared" si="246"/>
        <v>#NAME?</v>
      </c>
      <c r="AZ71" s="66" t="e">
        <f t="shared" si="247"/>
        <v>#NAME?</v>
      </c>
      <c r="BA71" s="66" t="e">
        <f t="shared" si="248"/>
        <v>#NAME?</v>
      </c>
      <c r="BB71" s="67" t="e">
        <f t="shared" si="57"/>
        <v>#NAME?</v>
      </c>
      <c r="BC71" s="67" t="e">
        <f t="shared" si="10"/>
        <v>#NAME?</v>
      </c>
      <c r="BD71" s="67" t="e">
        <f t="shared" si="11"/>
        <v>#NAME?</v>
      </c>
      <c r="BE71" s="67" t="e">
        <f t="shared" si="249"/>
        <v>#NAME?</v>
      </c>
      <c r="BF71" s="67" t="e">
        <f t="shared" si="250"/>
        <v>#NAME?</v>
      </c>
      <c r="BG71" s="67" t="e">
        <f t="shared" si="251"/>
        <v>#NAME?</v>
      </c>
    </row>
    <row r="72" spans="1:59" ht="15.75" x14ac:dyDescent="0.25">
      <c r="A72" s="8" t="s">
        <v>156</v>
      </c>
      <c r="B72" s="11" t="s">
        <v>157</v>
      </c>
      <c r="C72" s="63" t="s">
        <v>158</v>
      </c>
      <c r="D72" s="64"/>
      <c r="E72" s="65"/>
      <c r="F72" s="66" t="e">
        <f t="shared" si="207"/>
        <v>#NAME?</v>
      </c>
      <c r="G72" s="66" t="e">
        <f t="shared" si="208"/>
        <v>#NAME?</v>
      </c>
      <c r="H72" s="66" t="e">
        <f t="shared" si="209"/>
        <v>#NAME?</v>
      </c>
      <c r="I72" s="66" t="e">
        <f t="shared" si="210"/>
        <v>#NAME?</v>
      </c>
      <c r="J72" s="66" t="e">
        <f t="shared" si="211"/>
        <v>#NAME?</v>
      </c>
      <c r="K72" s="66" t="e">
        <f t="shared" si="212"/>
        <v>#NAME?</v>
      </c>
      <c r="L72" s="66" t="e">
        <f t="shared" si="213"/>
        <v>#NAME?</v>
      </c>
      <c r="M72" s="66" t="e">
        <f t="shared" si="214"/>
        <v>#NAME?</v>
      </c>
      <c r="N72" s="66" t="e">
        <f t="shared" si="215"/>
        <v>#NAME?</v>
      </c>
      <c r="O72" s="66" t="e">
        <f t="shared" si="216"/>
        <v>#NAME?</v>
      </c>
      <c r="P72" s="66" t="e">
        <f t="shared" si="217"/>
        <v>#NAME?</v>
      </c>
      <c r="Q72" s="66" t="e">
        <f t="shared" si="218"/>
        <v>#NAME?</v>
      </c>
      <c r="R72" s="67" t="e">
        <f t="shared" si="46"/>
        <v>#NAME?</v>
      </c>
      <c r="S72" s="67" t="e">
        <f t="shared" si="4"/>
        <v>#NAME?</v>
      </c>
      <c r="T72" s="67" t="e">
        <f t="shared" si="5"/>
        <v>#NAME?</v>
      </c>
      <c r="U72" s="67" t="e">
        <f t="shared" si="219"/>
        <v>#NAME?</v>
      </c>
      <c r="V72" s="67" t="e">
        <f t="shared" si="220"/>
        <v>#NAME?</v>
      </c>
      <c r="W72" s="67" t="e">
        <f t="shared" si="221"/>
        <v>#NAME?</v>
      </c>
      <c r="X72" s="66" t="e">
        <f t="shared" si="222"/>
        <v>#NAME?</v>
      </c>
      <c r="Y72" s="66" t="e">
        <f t="shared" si="223"/>
        <v>#NAME?</v>
      </c>
      <c r="Z72" s="66" t="e">
        <f t="shared" si="224"/>
        <v>#NAME?</v>
      </c>
      <c r="AA72" s="66" t="e">
        <f t="shared" si="225"/>
        <v>#NAME?</v>
      </c>
      <c r="AB72" s="66" t="e">
        <f t="shared" si="226"/>
        <v>#NAME?</v>
      </c>
      <c r="AC72" s="66" t="e">
        <f t="shared" si="227"/>
        <v>#NAME?</v>
      </c>
      <c r="AD72" s="66" t="e">
        <f t="shared" si="228"/>
        <v>#NAME?</v>
      </c>
      <c r="AE72" s="66" t="e">
        <f t="shared" si="229"/>
        <v>#NAME?</v>
      </c>
      <c r="AF72" s="66" t="e">
        <f t="shared" si="230"/>
        <v>#NAME?</v>
      </c>
      <c r="AG72" s="66" t="e">
        <f t="shared" si="231"/>
        <v>#NAME?</v>
      </c>
      <c r="AH72" s="66" t="e">
        <f t="shared" si="232"/>
        <v>#NAME?</v>
      </c>
      <c r="AI72" s="66" t="e">
        <f t="shared" si="233"/>
        <v>#NAME?</v>
      </c>
      <c r="AJ72" s="67" t="e">
        <f t="shared" si="52"/>
        <v>#NAME?</v>
      </c>
      <c r="AK72" s="67" t="e">
        <f t="shared" si="7"/>
        <v>#NAME?</v>
      </c>
      <c r="AL72" s="67" t="e">
        <f t="shared" si="8"/>
        <v>#NAME?</v>
      </c>
      <c r="AM72" s="67" t="e">
        <f t="shared" si="234"/>
        <v>#NAME?</v>
      </c>
      <c r="AN72" s="67" t="e">
        <f t="shared" si="235"/>
        <v>#NAME?</v>
      </c>
      <c r="AO72" s="67" t="e">
        <f t="shared" si="236"/>
        <v>#NAME?</v>
      </c>
      <c r="AP72" s="66" t="e">
        <f t="shared" si="237"/>
        <v>#NAME?</v>
      </c>
      <c r="AQ72" s="66" t="e">
        <f t="shared" si="238"/>
        <v>#NAME?</v>
      </c>
      <c r="AR72" s="66" t="e">
        <f t="shared" si="239"/>
        <v>#NAME?</v>
      </c>
      <c r="AS72" s="66" t="e">
        <f t="shared" si="240"/>
        <v>#NAME?</v>
      </c>
      <c r="AT72" s="66" t="e">
        <f t="shared" si="241"/>
        <v>#NAME?</v>
      </c>
      <c r="AU72" s="66" t="e">
        <f t="shared" si="242"/>
        <v>#NAME?</v>
      </c>
      <c r="AV72" s="66" t="e">
        <f t="shared" si="243"/>
        <v>#NAME?</v>
      </c>
      <c r="AW72" s="66" t="e">
        <f t="shared" si="244"/>
        <v>#NAME?</v>
      </c>
      <c r="AX72" s="66" t="e">
        <f t="shared" si="245"/>
        <v>#NAME?</v>
      </c>
      <c r="AY72" s="66" t="e">
        <f t="shared" si="246"/>
        <v>#NAME?</v>
      </c>
      <c r="AZ72" s="66" t="e">
        <f t="shared" si="247"/>
        <v>#NAME?</v>
      </c>
      <c r="BA72" s="66" t="e">
        <f t="shared" si="248"/>
        <v>#NAME?</v>
      </c>
      <c r="BB72" s="67" t="e">
        <f t="shared" si="57"/>
        <v>#NAME?</v>
      </c>
      <c r="BC72" s="67" t="e">
        <f t="shared" si="10"/>
        <v>#NAME?</v>
      </c>
      <c r="BD72" s="67" t="e">
        <f t="shared" si="11"/>
        <v>#NAME?</v>
      </c>
      <c r="BE72" s="67" t="e">
        <f t="shared" si="249"/>
        <v>#NAME?</v>
      </c>
      <c r="BF72" s="67" t="e">
        <f t="shared" si="250"/>
        <v>#NAME?</v>
      </c>
      <c r="BG72" s="67" t="e">
        <f t="shared" si="251"/>
        <v>#NAME?</v>
      </c>
    </row>
    <row r="73" spans="1:59" ht="15.75" x14ac:dyDescent="0.25">
      <c r="A73" s="8" t="s">
        <v>159</v>
      </c>
      <c r="B73" s="11" t="s">
        <v>160</v>
      </c>
      <c r="C73" s="63" t="s">
        <v>161</v>
      </c>
      <c r="D73" s="64"/>
      <c r="E73" s="65"/>
      <c r="F73" s="66" t="e">
        <f t="shared" si="207"/>
        <v>#NAME?</v>
      </c>
      <c r="G73" s="66" t="e">
        <f t="shared" si="208"/>
        <v>#NAME?</v>
      </c>
      <c r="H73" s="66" t="e">
        <f t="shared" si="209"/>
        <v>#NAME?</v>
      </c>
      <c r="I73" s="66" t="e">
        <f t="shared" si="210"/>
        <v>#NAME?</v>
      </c>
      <c r="J73" s="66" t="e">
        <f t="shared" si="211"/>
        <v>#NAME?</v>
      </c>
      <c r="K73" s="66" t="e">
        <f t="shared" si="212"/>
        <v>#NAME?</v>
      </c>
      <c r="L73" s="66" t="e">
        <f t="shared" si="213"/>
        <v>#NAME?</v>
      </c>
      <c r="M73" s="66" t="e">
        <f t="shared" si="214"/>
        <v>#NAME?</v>
      </c>
      <c r="N73" s="66" t="e">
        <f t="shared" si="215"/>
        <v>#NAME?</v>
      </c>
      <c r="O73" s="66" t="e">
        <f t="shared" si="216"/>
        <v>#NAME?</v>
      </c>
      <c r="P73" s="66" t="e">
        <f t="shared" si="217"/>
        <v>#NAME?</v>
      </c>
      <c r="Q73" s="66" t="e">
        <f t="shared" si="218"/>
        <v>#NAME?</v>
      </c>
      <c r="R73" s="67" t="e">
        <f t="shared" si="46"/>
        <v>#NAME?</v>
      </c>
      <c r="S73" s="67" t="e">
        <f t="shared" si="4"/>
        <v>#NAME?</v>
      </c>
      <c r="T73" s="67" t="e">
        <f t="shared" si="5"/>
        <v>#NAME?</v>
      </c>
      <c r="U73" s="67" t="e">
        <f t="shared" si="219"/>
        <v>#NAME?</v>
      </c>
      <c r="V73" s="67" t="e">
        <f t="shared" si="220"/>
        <v>#NAME?</v>
      </c>
      <c r="W73" s="67" t="e">
        <f t="shared" si="221"/>
        <v>#NAME?</v>
      </c>
      <c r="X73" s="66" t="e">
        <f t="shared" si="222"/>
        <v>#NAME?</v>
      </c>
      <c r="Y73" s="66" t="e">
        <f t="shared" si="223"/>
        <v>#NAME?</v>
      </c>
      <c r="Z73" s="66" t="e">
        <f t="shared" si="224"/>
        <v>#NAME?</v>
      </c>
      <c r="AA73" s="66" t="e">
        <f t="shared" si="225"/>
        <v>#NAME?</v>
      </c>
      <c r="AB73" s="66" t="e">
        <f t="shared" si="226"/>
        <v>#NAME?</v>
      </c>
      <c r="AC73" s="66" t="e">
        <f t="shared" si="227"/>
        <v>#NAME?</v>
      </c>
      <c r="AD73" s="66" t="e">
        <f t="shared" si="228"/>
        <v>#NAME?</v>
      </c>
      <c r="AE73" s="66" t="e">
        <f t="shared" si="229"/>
        <v>#NAME?</v>
      </c>
      <c r="AF73" s="66" t="e">
        <f t="shared" si="230"/>
        <v>#NAME?</v>
      </c>
      <c r="AG73" s="66" t="e">
        <f t="shared" si="231"/>
        <v>#NAME?</v>
      </c>
      <c r="AH73" s="66" t="e">
        <f t="shared" si="232"/>
        <v>#NAME?</v>
      </c>
      <c r="AI73" s="66" t="e">
        <f t="shared" si="233"/>
        <v>#NAME?</v>
      </c>
      <c r="AJ73" s="67" t="e">
        <f t="shared" si="52"/>
        <v>#NAME?</v>
      </c>
      <c r="AK73" s="67" t="e">
        <f t="shared" si="7"/>
        <v>#NAME?</v>
      </c>
      <c r="AL73" s="67" t="e">
        <f t="shared" si="8"/>
        <v>#NAME?</v>
      </c>
      <c r="AM73" s="67" t="e">
        <f t="shared" si="234"/>
        <v>#NAME?</v>
      </c>
      <c r="AN73" s="67" t="e">
        <f t="shared" si="235"/>
        <v>#NAME?</v>
      </c>
      <c r="AO73" s="67" t="e">
        <f t="shared" si="236"/>
        <v>#NAME?</v>
      </c>
      <c r="AP73" s="66" t="e">
        <f t="shared" si="237"/>
        <v>#NAME?</v>
      </c>
      <c r="AQ73" s="66" t="e">
        <f t="shared" si="238"/>
        <v>#NAME?</v>
      </c>
      <c r="AR73" s="66" t="e">
        <f t="shared" si="239"/>
        <v>#NAME?</v>
      </c>
      <c r="AS73" s="66" t="e">
        <f t="shared" si="240"/>
        <v>#NAME?</v>
      </c>
      <c r="AT73" s="66" t="e">
        <f t="shared" si="241"/>
        <v>#NAME?</v>
      </c>
      <c r="AU73" s="66" t="e">
        <f t="shared" si="242"/>
        <v>#NAME?</v>
      </c>
      <c r="AV73" s="66" t="e">
        <f t="shared" si="243"/>
        <v>#NAME?</v>
      </c>
      <c r="AW73" s="66" t="e">
        <f t="shared" si="244"/>
        <v>#NAME?</v>
      </c>
      <c r="AX73" s="66" t="e">
        <f t="shared" si="245"/>
        <v>#NAME?</v>
      </c>
      <c r="AY73" s="66" t="e">
        <f t="shared" si="246"/>
        <v>#NAME?</v>
      </c>
      <c r="AZ73" s="66" t="e">
        <f t="shared" si="247"/>
        <v>#NAME?</v>
      </c>
      <c r="BA73" s="66" t="e">
        <f t="shared" si="248"/>
        <v>#NAME?</v>
      </c>
      <c r="BB73" s="67" t="e">
        <f t="shared" si="57"/>
        <v>#NAME?</v>
      </c>
      <c r="BC73" s="67" t="e">
        <f t="shared" si="10"/>
        <v>#NAME?</v>
      </c>
      <c r="BD73" s="67" t="e">
        <f t="shared" si="11"/>
        <v>#NAME?</v>
      </c>
      <c r="BE73" s="67" t="e">
        <f t="shared" si="249"/>
        <v>#NAME?</v>
      </c>
      <c r="BF73" s="67" t="e">
        <f t="shared" si="250"/>
        <v>#NAME?</v>
      </c>
      <c r="BG73" s="67" t="e">
        <f t="shared" si="251"/>
        <v>#NAME?</v>
      </c>
    </row>
    <row r="74" spans="1:59" ht="15.75" x14ac:dyDescent="0.25">
      <c r="A74" s="8" t="s">
        <v>162</v>
      </c>
      <c r="B74" s="11" t="s">
        <v>163</v>
      </c>
      <c r="C74" s="63" t="s">
        <v>164</v>
      </c>
      <c r="D74" s="64"/>
      <c r="E74" s="65"/>
      <c r="F74" s="66" t="e">
        <f t="shared" si="207"/>
        <v>#NAME?</v>
      </c>
      <c r="G74" s="66" t="e">
        <f t="shared" si="208"/>
        <v>#NAME?</v>
      </c>
      <c r="H74" s="66" t="e">
        <f t="shared" si="209"/>
        <v>#NAME?</v>
      </c>
      <c r="I74" s="66" t="e">
        <f t="shared" si="210"/>
        <v>#NAME?</v>
      </c>
      <c r="J74" s="66" t="e">
        <f t="shared" si="211"/>
        <v>#NAME?</v>
      </c>
      <c r="K74" s="66" t="e">
        <f t="shared" si="212"/>
        <v>#NAME?</v>
      </c>
      <c r="L74" s="66" t="e">
        <f t="shared" si="213"/>
        <v>#NAME?</v>
      </c>
      <c r="M74" s="66" t="e">
        <f t="shared" si="214"/>
        <v>#NAME?</v>
      </c>
      <c r="N74" s="66" t="e">
        <f t="shared" si="215"/>
        <v>#NAME?</v>
      </c>
      <c r="O74" s="66" t="e">
        <f t="shared" si="216"/>
        <v>#NAME?</v>
      </c>
      <c r="P74" s="66" t="e">
        <f t="shared" si="217"/>
        <v>#NAME?</v>
      </c>
      <c r="Q74" s="66" t="e">
        <f t="shared" si="218"/>
        <v>#NAME?</v>
      </c>
      <c r="R74" s="67" t="e">
        <f t="shared" si="46"/>
        <v>#NAME?</v>
      </c>
      <c r="S74" s="67" t="e">
        <f t="shared" si="4"/>
        <v>#NAME?</v>
      </c>
      <c r="T74" s="67" t="e">
        <f t="shared" si="5"/>
        <v>#NAME?</v>
      </c>
      <c r="U74" s="67" t="e">
        <f t="shared" si="219"/>
        <v>#NAME?</v>
      </c>
      <c r="V74" s="67" t="e">
        <f t="shared" si="220"/>
        <v>#NAME?</v>
      </c>
      <c r="W74" s="67" t="e">
        <f t="shared" si="221"/>
        <v>#NAME?</v>
      </c>
      <c r="X74" s="66" t="e">
        <f t="shared" si="222"/>
        <v>#NAME?</v>
      </c>
      <c r="Y74" s="66" t="e">
        <f t="shared" si="223"/>
        <v>#NAME?</v>
      </c>
      <c r="Z74" s="66" t="e">
        <f t="shared" si="224"/>
        <v>#NAME?</v>
      </c>
      <c r="AA74" s="66" t="e">
        <f t="shared" si="225"/>
        <v>#NAME?</v>
      </c>
      <c r="AB74" s="66" t="e">
        <f t="shared" si="226"/>
        <v>#NAME?</v>
      </c>
      <c r="AC74" s="66" t="e">
        <f t="shared" si="227"/>
        <v>#NAME?</v>
      </c>
      <c r="AD74" s="66" t="e">
        <f t="shared" si="228"/>
        <v>#NAME?</v>
      </c>
      <c r="AE74" s="66" t="e">
        <f t="shared" si="229"/>
        <v>#NAME?</v>
      </c>
      <c r="AF74" s="66" t="e">
        <f t="shared" si="230"/>
        <v>#NAME?</v>
      </c>
      <c r="AG74" s="66" t="e">
        <f t="shared" si="231"/>
        <v>#NAME?</v>
      </c>
      <c r="AH74" s="66" t="e">
        <f t="shared" si="232"/>
        <v>#NAME?</v>
      </c>
      <c r="AI74" s="66" t="e">
        <f t="shared" si="233"/>
        <v>#NAME?</v>
      </c>
      <c r="AJ74" s="67" t="e">
        <f t="shared" si="52"/>
        <v>#NAME?</v>
      </c>
      <c r="AK74" s="67" t="e">
        <f t="shared" si="7"/>
        <v>#NAME?</v>
      </c>
      <c r="AL74" s="67" t="e">
        <f t="shared" si="8"/>
        <v>#NAME?</v>
      </c>
      <c r="AM74" s="67" t="e">
        <f t="shared" si="234"/>
        <v>#NAME?</v>
      </c>
      <c r="AN74" s="67" t="e">
        <f t="shared" si="235"/>
        <v>#NAME?</v>
      </c>
      <c r="AO74" s="67" t="e">
        <f t="shared" si="236"/>
        <v>#NAME?</v>
      </c>
      <c r="AP74" s="66" t="e">
        <f t="shared" si="237"/>
        <v>#NAME?</v>
      </c>
      <c r="AQ74" s="66" t="e">
        <f t="shared" si="238"/>
        <v>#NAME?</v>
      </c>
      <c r="AR74" s="66" t="e">
        <f t="shared" si="239"/>
        <v>#NAME?</v>
      </c>
      <c r="AS74" s="66" t="e">
        <f t="shared" si="240"/>
        <v>#NAME?</v>
      </c>
      <c r="AT74" s="66" t="e">
        <f t="shared" si="241"/>
        <v>#NAME?</v>
      </c>
      <c r="AU74" s="66" t="e">
        <f t="shared" si="242"/>
        <v>#NAME?</v>
      </c>
      <c r="AV74" s="66" t="e">
        <f t="shared" si="243"/>
        <v>#NAME?</v>
      </c>
      <c r="AW74" s="66" t="e">
        <f t="shared" si="244"/>
        <v>#NAME?</v>
      </c>
      <c r="AX74" s="66" t="e">
        <f t="shared" si="245"/>
        <v>#NAME?</v>
      </c>
      <c r="AY74" s="66" t="e">
        <f t="shared" si="246"/>
        <v>#NAME?</v>
      </c>
      <c r="AZ74" s="66" t="e">
        <f t="shared" si="247"/>
        <v>#NAME?</v>
      </c>
      <c r="BA74" s="66" t="e">
        <f t="shared" si="248"/>
        <v>#NAME?</v>
      </c>
      <c r="BB74" s="67" t="e">
        <f t="shared" si="57"/>
        <v>#NAME?</v>
      </c>
      <c r="BC74" s="67" t="e">
        <f t="shared" si="10"/>
        <v>#NAME?</v>
      </c>
      <c r="BD74" s="67" t="e">
        <f t="shared" si="11"/>
        <v>#NAME?</v>
      </c>
      <c r="BE74" s="67" t="e">
        <f t="shared" si="249"/>
        <v>#NAME?</v>
      </c>
      <c r="BF74" s="67" t="e">
        <f t="shared" si="250"/>
        <v>#NAME?</v>
      </c>
      <c r="BG74" s="67" t="e">
        <f t="shared" si="251"/>
        <v>#NAME?</v>
      </c>
    </row>
    <row r="75" spans="1:59" ht="15.75" x14ac:dyDescent="0.25">
      <c r="A75" s="8" t="s">
        <v>165</v>
      </c>
      <c r="B75" s="11" t="s">
        <v>166</v>
      </c>
      <c r="C75" s="63" t="s">
        <v>167</v>
      </c>
      <c r="D75" s="64"/>
      <c r="E75" s="65"/>
      <c r="F75" s="66" t="e">
        <f t="shared" si="207"/>
        <v>#NAME?</v>
      </c>
      <c r="G75" s="66" t="e">
        <f t="shared" si="208"/>
        <v>#NAME?</v>
      </c>
      <c r="H75" s="66" t="e">
        <f t="shared" si="209"/>
        <v>#NAME?</v>
      </c>
      <c r="I75" s="66" t="e">
        <f t="shared" si="210"/>
        <v>#NAME?</v>
      </c>
      <c r="J75" s="66" t="e">
        <f t="shared" si="211"/>
        <v>#NAME?</v>
      </c>
      <c r="K75" s="66" t="e">
        <f t="shared" si="212"/>
        <v>#NAME?</v>
      </c>
      <c r="L75" s="66" t="e">
        <f t="shared" si="213"/>
        <v>#NAME?</v>
      </c>
      <c r="M75" s="66" t="e">
        <f t="shared" si="214"/>
        <v>#NAME?</v>
      </c>
      <c r="N75" s="66" t="e">
        <f t="shared" si="215"/>
        <v>#NAME?</v>
      </c>
      <c r="O75" s="66" t="e">
        <f t="shared" si="216"/>
        <v>#NAME?</v>
      </c>
      <c r="P75" s="66" t="e">
        <f t="shared" si="217"/>
        <v>#NAME?</v>
      </c>
      <c r="Q75" s="66" t="e">
        <f t="shared" si="218"/>
        <v>#NAME?</v>
      </c>
      <c r="R75" s="67" t="e">
        <f t="shared" si="46"/>
        <v>#NAME?</v>
      </c>
      <c r="S75" s="67" t="e">
        <f t="shared" si="4"/>
        <v>#NAME?</v>
      </c>
      <c r="T75" s="67" t="e">
        <f t="shared" si="5"/>
        <v>#NAME?</v>
      </c>
      <c r="U75" s="67" t="e">
        <f t="shared" si="219"/>
        <v>#NAME?</v>
      </c>
      <c r="V75" s="67" t="e">
        <f t="shared" si="220"/>
        <v>#NAME?</v>
      </c>
      <c r="W75" s="67" t="e">
        <f t="shared" si="221"/>
        <v>#NAME?</v>
      </c>
      <c r="X75" s="66" t="e">
        <f t="shared" si="222"/>
        <v>#NAME?</v>
      </c>
      <c r="Y75" s="66" t="e">
        <f t="shared" si="223"/>
        <v>#NAME?</v>
      </c>
      <c r="Z75" s="66" t="e">
        <f t="shared" si="224"/>
        <v>#NAME?</v>
      </c>
      <c r="AA75" s="66" t="e">
        <f t="shared" si="225"/>
        <v>#NAME?</v>
      </c>
      <c r="AB75" s="66" t="e">
        <f t="shared" si="226"/>
        <v>#NAME?</v>
      </c>
      <c r="AC75" s="66" t="e">
        <f t="shared" si="227"/>
        <v>#NAME?</v>
      </c>
      <c r="AD75" s="66" t="e">
        <f t="shared" si="228"/>
        <v>#NAME?</v>
      </c>
      <c r="AE75" s="66" t="e">
        <f t="shared" si="229"/>
        <v>#NAME?</v>
      </c>
      <c r="AF75" s="66" t="e">
        <f t="shared" si="230"/>
        <v>#NAME?</v>
      </c>
      <c r="AG75" s="66" t="e">
        <f t="shared" si="231"/>
        <v>#NAME?</v>
      </c>
      <c r="AH75" s="66" t="e">
        <f t="shared" si="232"/>
        <v>#NAME?</v>
      </c>
      <c r="AI75" s="66" t="e">
        <f t="shared" si="233"/>
        <v>#NAME?</v>
      </c>
      <c r="AJ75" s="67" t="e">
        <f t="shared" si="52"/>
        <v>#NAME?</v>
      </c>
      <c r="AK75" s="67" t="e">
        <f t="shared" si="7"/>
        <v>#NAME?</v>
      </c>
      <c r="AL75" s="67" t="e">
        <f t="shared" si="8"/>
        <v>#NAME?</v>
      </c>
      <c r="AM75" s="67" t="e">
        <f t="shared" si="234"/>
        <v>#NAME?</v>
      </c>
      <c r="AN75" s="67" t="e">
        <f t="shared" si="235"/>
        <v>#NAME?</v>
      </c>
      <c r="AO75" s="67" t="e">
        <f t="shared" si="236"/>
        <v>#NAME?</v>
      </c>
      <c r="AP75" s="66" t="e">
        <f t="shared" si="237"/>
        <v>#NAME?</v>
      </c>
      <c r="AQ75" s="66" t="e">
        <f t="shared" si="238"/>
        <v>#NAME?</v>
      </c>
      <c r="AR75" s="66" t="e">
        <f t="shared" si="239"/>
        <v>#NAME?</v>
      </c>
      <c r="AS75" s="66" t="e">
        <f t="shared" si="240"/>
        <v>#NAME?</v>
      </c>
      <c r="AT75" s="66" t="e">
        <f t="shared" si="241"/>
        <v>#NAME?</v>
      </c>
      <c r="AU75" s="66" t="e">
        <f t="shared" si="242"/>
        <v>#NAME?</v>
      </c>
      <c r="AV75" s="66" t="e">
        <f t="shared" si="243"/>
        <v>#NAME?</v>
      </c>
      <c r="AW75" s="66" t="e">
        <f t="shared" si="244"/>
        <v>#NAME?</v>
      </c>
      <c r="AX75" s="66" t="e">
        <f t="shared" si="245"/>
        <v>#NAME?</v>
      </c>
      <c r="AY75" s="66" t="e">
        <f t="shared" si="246"/>
        <v>#NAME?</v>
      </c>
      <c r="AZ75" s="66" t="e">
        <f t="shared" si="247"/>
        <v>#NAME?</v>
      </c>
      <c r="BA75" s="66" t="e">
        <f t="shared" si="248"/>
        <v>#NAME?</v>
      </c>
      <c r="BB75" s="67" t="e">
        <f t="shared" si="57"/>
        <v>#NAME?</v>
      </c>
      <c r="BC75" s="67" t="e">
        <f t="shared" si="10"/>
        <v>#NAME?</v>
      </c>
      <c r="BD75" s="67" t="e">
        <f t="shared" si="11"/>
        <v>#NAME?</v>
      </c>
      <c r="BE75" s="67" t="e">
        <f t="shared" si="249"/>
        <v>#NAME?</v>
      </c>
      <c r="BF75" s="67" t="e">
        <f t="shared" si="250"/>
        <v>#NAME?</v>
      </c>
      <c r="BG75" s="67" t="e">
        <f t="shared" si="251"/>
        <v>#NAME?</v>
      </c>
    </row>
    <row r="76" spans="1:59" ht="15.75" x14ac:dyDescent="0.25">
      <c r="A76" s="8" t="s">
        <v>168</v>
      </c>
      <c r="B76" s="74" t="s">
        <v>169</v>
      </c>
      <c r="C76" s="63" t="s">
        <v>170</v>
      </c>
      <c r="D76" s="64"/>
      <c r="E76" s="65"/>
      <c r="F76" s="66" t="e">
        <f t="shared" si="207"/>
        <v>#NAME?</v>
      </c>
      <c r="G76" s="66" t="e">
        <f t="shared" si="208"/>
        <v>#NAME?</v>
      </c>
      <c r="H76" s="66" t="e">
        <f t="shared" si="209"/>
        <v>#NAME?</v>
      </c>
      <c r="I76" s="66" t="e">
        <f t="shared" si="210"/>
        <v>#NAME?</v>
      </c>
      <c r="J76" s="66" t="e">
        <f t="shared" si="211"/>
        <v>#NAME?</v>
      </c>
      <c r="K76" s="66" t="e">
        <f t="shared" si="212"/>
        <v>#NAME?</v>
      </c>
      <c r="L76" s="66" t="e">
        <f t="shared" si="213"/>
        <v>#NAME?</v>
      </c>
      <c r="M76" s="66" t="e">
        <f t="shared" si="214"/>
        <v>#NAME?</v>
      </c>
      <c r="N76" s="66" t="e">
        <f t="shared" si="215"/>
        <v>#NAME?</v>
      </c>
      <c r="O76" s="66" t="e">
        <f t="shared" si="216"/>
        <v>#NAME?</v>
      </c>
      <c r="P76" s="66" t="e">
        <f t="shared" si="217"/>
        <v>#NAME?</v>
      </c>
      <c r="Q76" s="66" t="e">
        <f t="shared" si="218"/>
        <v>#NAME?</v>
      </c>
      <c r="R76" s="67" t="e">
        <f t="shared" si="46"/>
        <v>#NAME?</v>
      </c>
      <c r="S76" s="67" t="e">
        <f t="shared" si="4"/>
        <v>#NAME?</v>
      </c>
      <c r="T76" s="67" t="e">
        <f t="shared" si="5"/>
        <v>#NAME?</v>
      </c>
      <c r="U76" s="67" t="e">
        <f t="shared" si="219"/>
        <v>#NAME?</v>
      </c>
      <c r="V76" s="67" t="e">
        <f t="shared" si="220"/>
        <v>#NAME?</v>
      </c>
      <c r="W76" s="67" t="e">
        <f t="shared" si="221"/>
        <v>#NAME?</v>
      </c>
      <c r="X76" s="66" t="e">
        <f t="shared" si="222"/>
        <v>#NAME?</v>
      </c>
      <c r="Y76" s="66" t="e">
        <f t="shared" si="223"/>
        <v>#NAME?</v>
      </c>
      <c r="Z76" s="66" t="e">
        <f t="shared" si="224"/>
        <v>#NAME?</v>
      </c>
      <c r="AA76" s="66" t="e">
        <f t="shared" si="225"/>
        <v>#NAME?</v>
      </c>
      <c r="AB76" s="66" t="e">
        <f t="shared" si="226"/>
        <v>#NAME?</v>
      </c>
      <c r="AC76" s="66" t="e">
        <f t="shared" si="227"/>
        <v>#NAME?</v>
      </c>
      <c r="AD76" s="66" t="e">
        <f t="shared" si="228"/>
        <v>#NAME?</v>
      </c>
      <c r="AE76" s="66" t="e">
        <f t="shared" si="229"/>
        <v>#NAME?</v>
      </c>
      <c r="AF76" s="66" t="e">
        <f t="shared" si="230"/>
        <v>#NAME?</v>
      </c>
      <c r="AG76" s="66" t="e">
        <f t="shared" si="231"/>
        <v>#NAME?</v>
      </c>
      <c r="AH76" s="66" t="e">
        <f t="shared" si="232"/>
        <v>#NAME?</v>
      </c>
      <c r="AI76" s="66" t="e">
        <f t="shared" si="233"/>
        <v>#NAME?</v>
      </c>
      <c r="AJ76" s="67" t="e">
        <f t="shared" si="52"/>
        <v>#NAME?</v>
      </c>
      <c r="AK76" s="67" t="e">
        <f t="shared" si="7"/>
        <v>#NAME?</v>
      </c>
      <c r="AL76" s="67" t="e">
        <f t="shared" si="8"/>
        <v>#NAME?</v>
      </c>
      <c r="AM76" s="67" t="e">
        <f t="shared" si="234"/>
        <v>#NAME?</v>
      </c>
      <c r="AN76" s="67" t="e">
        <f t="shared" si="235"/>
        <v>#NAME?</v>
      </c>
      <c r="AO76" s="67" t="e">
        <f t="shared" si="236"/>
        <v>#NAME?</v>
      </c>
      <c r="AP76" s="66" t="e">
        <f t="shared" si="237"/>
        <v>#NAME?</v>
      </c>
      <c r="AQ76" s="66" t="e">
        <f t="shared" si="238"/>
        <v>#NAME?</v>
      </c>
      <c r="AR76" s="66" t="e">
        <f t="shared" si="239"/>
        <v>#NAME?</v>
      </c>
      <c r="AS76" s="66" t="e">
        <f t="shared" si="240"/>
        <v>#NAME?</v>
      </c>
      <c r="AT76" s="66" t="e">
        <f t="shared" si="241"/>
        <v>#NAME?</v>
      </c>
      <c r="AU76" s="66" t="e">
        <f t="shared" si="242"/>
        <v>#NAME?</v>
      </c>
      <c r="AV76" s="66" t="e">
        <f t="shared" si="243"/>
        <v>#NAME?</v>
      </c>
      <c r="AW76" s="66" t="e">
        <f t="shared" si="244"/>
        <v>#NAME?</v>
      </c>
      <c r="AX76" s="66" t="e">
        <f t="shared" si="245"/>
        <v>#NAME?</v>
      </c>
      <c r="AY76" s="66" t="e">
        <f t="shared" si="246"/>
        <v>#NAME?</v>
      </c>
      <c r="AZ76" s="66" t="e">
        <f t="shared" si="247"/>
        <v>#NAME?</v>
      </c>
      <c r="BA76" s="66" t="e">
        <f t="shared" si="248"/>
        <v>#NAME?</v>
      </c>
      <c r="BB76" s="67" t="e">
        <f t="shared" si="57"/>
        <v>#NAME?</v>
      </c>
      <c r="BC76" s="67" t="e">
        <f t="shared" si="10"/>
        <v>#NAME?</v>
      </c>
      <c r="BD76" s="67" t="e">
        <f t="shared" si="11"/>
        <v>#NAME?</v>
      </c>
      <c r="BE76" s="67" t="e">
        <f t="shared" si="249"/>
        <v>#NAME?</v>
      </c>
      <c r="BF76" s="67" t="e">
        <f t="shared" si="250"/>
        <v>#NAME?</v>
      </c>
      <c r="BG76" s="67" t="e">
        <f t="shared" si="251"/>
        <v>#NAME?</v>
      </c>
    </row>
    <row r="77" spans="1:59" s="62" customFormat="1" ht="15.75" x14ac:dyDescent="0.25">
      <c r="A77" s="56" t="s">
        <v>171</v>
      </c>
      <c r="B77" s="57">
        <v>63</v>
      </c>
      <c r="C77" s="58" t="s">
        <v>173</v>
      </c>
      <c r="D77" s="59"/>
      <c r="E77" s="60"/>
      <c r="F77" s="61" t="e">
        <f>SUM(F78:F83)</f>
        <v>#NAME?</v>
      </c>
      <c r="G77" s="61" t="e">
        <f>SUM(G78:G83)</f>
        <v>#NAME?</v>
      </c>
      <c r="H77" s="61" t="e">
        <f t="shared" ref="H77:Q77" si="252">SUM(H78:H83)</f>
        <v>#NAME?</v>
      </c>
      <c r="I77" s="61" t="e">
        <f t="shared" si="252"/>
        <v>#NAME?</v>
      </c>
      <c r="J77" s="61" t="e">
        <f t="shared" si="252"/>
        <v>#NAME?</v>
      </c>
      <c r="K77" s="61" t="e">
        <f t="shared" si="252"/>
        <v>#NAME?</v>
      </c>
      <c r="L77" s="61" t="e">
        <f t="shared" si="252"/>
        <v>#NAME?</v>
      </c>
      <c r="M77" s="61" t="e">
        <f>SUM(M78:M83)</f>
        <v>#NAME?</v>
      </c>
      <c r="N77" s="61" t="e">
        <f t="shared" si="252"/>
        <v>#NAME?</v>
      </c>
      <c r="O77" s="61" t="e">
        <f t="shared" si="252"/>
        <v>#NAME?</v>
      </c>
      <c r="P77" s="61" t="e">
        <f t="shared" si="252"/>
        <v>#NAME?</v>
      </c>
      <c r="Q77" s="61" t="e">
        <f t="shared" si="252"/>
        <v>#NAME?</v>
      </c>
      <c r="R77" s="61" t="e">
        <f t="shared" si="46"/>
        <v>#NAME?</v>
      </c>
      <c r="S77" s="61" t="e">
        <f t="shared" si="4"/>
        <v>#NAME?</v>
      </c>
      <c r="T77" s="61" t="e">
        <f t="shared" si="5"/>
        <v>#NAME?</v>
      </c>
      <c r="U77" s="61" t="e">
        <f t="shared" ref="U77:AI77" si="253">SUM(U78:U83)</f>
        <v>#NAME?</v>
      </c>
      <c r="V77" s="61" t="e">
        <f t="shared" si="253"/>
        <v>#NAME?</v>
      </c>
      <c r="W77" s="61" t="e">
        <f t="shared" si="253"/>
        <v>#NAME?</v>
      </c>
      <c r="X77" s="61" t="e">
        <f t="shared" si="253"/>
        <v>#NAME?</v>
      </c>
      <c r="Y77" s="61" t="e">
        <f t="shared" si="253"/>
        <v>#NAME?</v>
      </c>
      <c r="Z77" s="61" t="e">
        <f t="shared" si="253"/>
        <v>#NAME?</v>
      </c>
      <c r="AA77" s="61" t="e">
        <f t="shared" si="253"/>
        <v>#NAME?</v>
      </c>
      <c r="AB77" s="61" t="e">
        <f t="shared" si="253"/>
        <v>#NAME?</v>
      </c>
      <c r="AC77" s="61" t="e">
        <f t="shared" si="253"/>
        <v>#NAME?</v>
      </c>
      <c r="AD77" s="61" t="e">
        <f t="shared" si="253"/>
        <v>#NAME?</v>
      </c>
      <c r="AE77" s="61" t="e">
        <f t="shared" si="253"/>
        <v>#NAME?</v>
      </c>
      <c r="AF77" s="61" t="e">
        <f t="shared" si="253"/>
        <v>#NAME?</v>
      </c>
      <c r="AG77" s="61" t="e">
        <f t="shared" si="253"/>
        <v>#NAME?</v>
      </c>
      <c r="AH77" s="61" t="e">
        <f t="shared" si="253"/>
        <v>#NAME?</v>
      </c>
      <c r="AI77" s="61" t="e">
        <f t="shared" si="253"/>
        <v>#NAME?</v>
      </c>
      <c r="AJ77" s="61" t="e">
        <f t="shared" si="52"/>
        <v>#NAME?</v>
      </c>
      <c r="AK77" s="61" t="e">
        <f t="shared" si="7"/>
        <v>#NAME?</v>
      </c>
      <c r="AL77" s="61" t="e">
        <f t="shared" si="8"/>
        <v>#NAME?</v>
      </c>
      <c r="AM77" s="61" t="e">
        <f t="shared" ref="AM77:BA77" si="254">SUM(AM78:AM83)</f>
        <v>#NAME?</v>
      </c>
      <c r="AN77" s="61" t="e">
        <f t="shared" si="254"/>
        <v>#NAME?</v>
      </c>
      <c r="AO77" s="61" t="e">
        <f t="shared" si="254"/>
        <v>#NAME?</v>
      </c>
      <c r="AP77" s="61" t="e">
        <f t="shared" si="254"/>
        <v>#NAME?</v>
      </c>
      <c r="AQ77" s="61" t="e">
        <f t="shared" si="254"/>
        <v>#NAME?</v>
      </c>
      <c r="AR77" s="61" t="e">
        <f t="shared" si="254"/>
        <v>#NAME?</v>
      </c>
      <c r="AS77" s="61" t="e">
        <f t="shared" si="254"/>
        <v>#NAME?</v>
      </c>
      <c r="AT77" s="61" t="e">
        <f t="shared" si="254"/>
        <v>#NAME?</v>
      </c>
      <c r="AU77" s="61" t="e">
        <f t="shared" si="254"/>
        <v>#NAME?</v>
      </c>
      <c r="AV77" s="61" t="e">
        <f t="shared" si="254"/>
        <v>#NAME?</v>
      </c>
      <c r="AW77" s="61" t="e">
        <f t="shared" si="254"/>
        <v>#NAME?</v>
      </c>
      <c r="AX77" s="61" t="e">
        <f t="shared" si="254"/>
        <v>#NAME?</v>
      </c>
      <c r="AY77" s="61" t="e">
        <f t="shared" si="254"/>
        <v>#NAME?</v>
      </c>
      <c r="AZ77" s="61" t="e">
        <f t="shared" si="254"/>
        <v>#NAME?</v>
      </c>
      <c r="BA77" s="61" t="e">
        <f t="shared" si="254"/>
        <v>#NAME?</v>
      </c>
      <c r="BB77" s="61" t="e">
        <f t="shared" si="57"/>
        <v>#NAME?</v>
      </c>
      <c r="BC77" s="61" t="e">
        <f t="shared" si="10"/>
        <v>#NAME?</v>
      </c>
      <c r="BD77" s="61" t="e">
        <f t="shared" si="11"/>
        <v>#NAME?</v>
      </c>
      <c r="BE77" s="61" t="e">
        <f>SUM(BE78:BE83)</f>
        <v>#NAME?</v>
      </c>
      <c r="BF77" s="61" t="e">
        <f>SUM(BF78:BF83)</f>
        <v>#NAME?</v>
      </c>
      <c r="BG77" s="61" t="e">
        <f>SUM(BG78:BG83)</f>
        <v>#NAME?</v>
      </c>
    </row>
    <row r="78" spans="1:59" ht="15.75" x14ac:dyDescent="0.25">
      <c r="A78" s="8" t="s">
        <v>174</v>
      </c>
      <c r="B78" s="11" t="s">
        <v>175</v>
      </c>
      <c r="C78" s="63" t="s">
        <v>176</v>
      </c>
      <c r="D78" s="64"/>
      <c r="E78" s="65"/>
      <c r="F78" s="66" t="e">
        <f t="shared" ref="F78:F83" si="255">X78+AP78</f>
        <v>#NAME?</v>
      </c>
      <c r="G78" s="66" t="e">
        <f t="shared" ref="G78:G83" si="256">Y78+AQ78</f>
        <v>#NAME?</v>
      </c>
      <c r="H78" s="66" t="e">
        <f t="shared" ref="H78:H83" si="257">I78+J78</f>
        <v>#NAME?</v>
      </c>
      <c r="I78" s="66" t="e">
        <f t="shared" ref="I78:I83" si="258">AA78+AS78</f>
        <v>#NAME?</v>
      </c>
      <c r="J78" s="66" t="e">
        <f t="shared" ref="J78:J83" si="259">AB78+AT78</f>
        <v>#NAME?</v>
      </c>
      <c r="K78" s="66" t="e">
        <f t="shared" ref="K78:K83" si="260">AC78+AU78</f>
        <v>#NAME?</v>
      </c>
      <c r="L78" s="66" t="e">
        <f t="shared" ref="L78:L83" si="261">AD78+AV78</f>
        <v>#NAME?</v>
      </c>
      <c r="M78" s="66" t="e">
        <f t="shared" ref="M78:M83" si="262">AE78+AW78</f>
        <v>#NAME?</v>
      </c>
      <c r="N78" s="66" t="e">
        <f t="shared" ref="N78:N83" si="263">O78+Q78</f>
        <v>#NAME?</v>
      </c>
      <c r="O78" s="66" t="e">
        <f t="shared" ref="O78:O83" si="264">AG78+AY78</f>
        <v>#NAME?</v>
      </c>
      <c r="P78" s="66" t="e">
        <f t="shared" ref="P78:P83" si="265">AH78+AZ78</f>
        <v>#NAME?</v>
      </c>
      <c r="Q78" s="66" t="e">
        <f t="shared" ref="Q78:Q83" si="266">AI78+BA78</f>
        <v>#NAME?</v>
      </c>
      <c r="R78" s="67" t="e">
        <f t="shared" si="46"/>
        <v>#NAME?</v>
      </c>
      <c r="S78" s="67" t="e">
        <f t="shared" si="4"/>
        <v>#NAME?</v>
      </c>
      <c r="T78" s="67" t="e">
        <f t="shared" si="5"/>
        <v>#NAME?</v>
      </c>
      <c r="U78" s="67" t="e">
        <f t="shared" ref="U78:U83" si="267">AM78+BE78</f>
        <v>#NAME?</v>
      </c>
      <c r="V78" s="67" t="e">
        <f t="shared" ref="V78:V83" si="268">(G78+K78+L78-O78-U78)</f>
        <v>#NAME?</v>
      </c>
      <c r="W78" s="67" t="e">
        <f t="shared" ref="W78:W83" si="269">(I78-O78)</f>
        <v>#NAME?</v>
      </c>
      <c r="X78" s="66" t="e">
        <f t="shared" ref="X78:X83" si="270">КОЛ4020/$G$1</f>
        <v>#NAME?</v>
      </c>
      <c r="Y78" s="66" t="e">
        <f t="shared" ref="Y78:Y83" si="271">КОЛ4005/$G$1</f>
        <v>#NAME?</v>
      </c>
      <c r="Z78" s="66" t="e">
        <f t="shared" ref="Z78:Z83" si="272">AA78+AB78</f>
        <v>#NAME?</v>
      </c>
      <c r="AA78" s="66" t="e">
        <f t="shared" ref="AA78:AA83" si="273">КОЛ4007/$G$1</f>
        <v>#NAME?</v>
      </c>
      <c r="AB78" s="66" t="e">
        <f t="shared" ref="AB78:AB83" si="274">КОЛ4008/$G$1</f>
        <v>#NAME?</v>
      </c>
      <c r="AC78" s="66" t="e">
        <f t="shared" ref="AC78:AC83" si="275">КОЛ4009/$G$1</f>
        <v>#NAME?</v>
      </c>
      <c r="AD78" s="66" t="e">
        <f t="shared" ref="AD78:AD83" si="276">КОЛ4010/$G$1</f>
        <v>#NAME?</v>
      </c>
      <c r="AE78" s="66" t="e">
        <f t="shared" ref="AE78:AE83" si="277">КОЛ4011/$G$1</f>
        <v>#NAME?</v>
      </c>
      <c r="AF78" s="66" t="e">
        <f t="shared" ref="AF78:AF83" si="278">AG78+AI78</f>
        <v>#NAME?</v>
      </c>
      <c r="AG78" s="66" t="e">
        <f t="shared" ref="AG78:AG83" si="279">КОЛ4013/$G$1</f>
        <v>#NAME?</v>
      </c>
      <c r="AH78" s="66" t="e">
        <f t="shared" ref="AH78:AH83" si="280">КОЛ4014/$G$1</f>
        <v>#NAME?</v>
      </c>
      <c r="AI78" s="66" t="e">
        <f t="shared" ref="AI78:AI83" si="281">КОЛ4015/$G$1</f>
        <v>#NAME?</v>
      </c>
      <c r="AJ78" s="67" t="e">
        <f t="shared" si="52"/>
        <v>#NAME?</v>
      </c>
      <c r="AK78" s="67" t="e">
        <f t="shared" si="7"/>
        <v>#NAME?</v>
      </c>
      <c r="AL78" s="67" t="e">
        <f t="shared" si="8"/>
        <v>#NAME?</v>
      </c>
      <c r="AM78" s="67" t="e">
        <f t="shared" ref="AM78:AM83" si="282">КОЛ4017/$G$1</f>
        <v>#NAME?</v>
      </c>
      <c r="AN78" s="67" t="e">
        <f t="shared" ref="AN78:AN83" si="283">(Y78+AC78+AD78-AG78-AM78)</f>
        <v>#NAME?</v>
      </c>
      <c r="AO78" s="67" t="e">
        <f t="shared" ref="AO78:AO83" si="284">(AA78-AG78)</f>
        <v>#NAME?</v>
      </c>
      <c r="AP78" s="66" t="e">
        <f t="shared" ref="AP78:AP83" si="285">КОЛ4120/$G$1</f>
        <v>#NAME?</v>
      </c>
      <c r="AQ78" s="66" t="e">
        <f t="shared" ref="AQ78:AQ83" si="286">КОЛ4105/$G$1</f>
        <v>#NAME?</v>
      </c>
      <c r="AR78" s="66" t="e">
        <f t="shared" ref="AR78:AR83" si="287">AS78+AT78</f>
        <v>#NAME?</v>
      </c>
      <c r="AS78" s="66" t="e">
        <f t="shared" ref="AS78:AS83" si="288">КОЛ4107/$G$1</f>
        <v>#NAME?</v>
      </c>
      <c r="AT78" s="66" t="e">
        <f t="shared" ref="AT78:AT83" si="289">КОЛ4108/$G$1</f>
        <v>#NAME?</v>
      </c>
      <c r="AU78" s="66" t="e">
        <f t="shared" ref="AU78:AU83" si="290">КОЛ4109/$G$1</f>
        <v>#NAME?</v>
      </c>
      <c r="AV78" s="66" t="e">
        <f t="shared" ref="AV78:AV83" si="291">КОЛ4110/$G$1</f>
        <v>#NAME?</v>
      </c>
      <c r="AW78" s="66" t="e">
        <f t="shared" ref="AW78:AW83" si="292">КОЛ4111/$G$1</f>
        <v>#NAME?</v>
      </c>
      <c r="AX78" s="66" t="e">
        <f t="shared" ref="AX78:AX83" si="293">AY78+BA78</f>
        <v>#NAME?</v>
      </c>
      <c r="AY78" s="66" t="e">
        <f t="shared" ref="AY78:AY83" si="294">КОЛ4113/$G$1</f>
        <v>#NAME?</v>
      </c>
      <c r="AZ78" s="66" t="e">
        <f t="shared" ref="AZ78:AZ83" si="295">КОЛ4114/$G$1</f>
        <v>#NAME?</v>
      </c>
      <c r="BA78" s="66" t="e">
        <f t="shared" ref="BA78:BA83" si="296">КОЛ4115/$G$1</f>
        <v>#NAME?</v>
      </c>
      <c r="BB78" s="67" t="e">
        <f t="shared" si="57"/>
        <v>#NAME?</v>
      </c>
      <c r="BC78" s="67" t="e">
        <f t="shared" si="10"/>
        <v>#NAME?</v>
      </c>
      <c r="BD78" s="67" t="e">
        <f t="shared" si="11"/>
        <v>#NAME?</v>
      </c>
      <c r="BE78" s="67" t="e">
        <f t="shared" ref="BE78:BE83" si="297">КОЛ4117/$G$1</f>
        <v>#NAME?</v>
      </c>
      <c r="BF78" s="67" t="e">
        <f t="shared" ref="BF78:BF83" si="298">(AQ78+AU78+AV78-AY78-BE78)</f>
        <v>#NAME?</v>
      </c>
      <c r="BG78" s="67" t="e">
        <f t="shared" ref="BG78:BG83" si="299">(AS78-AY78)</f>
        <v>#NAME?</v>
      </c>
    </row>
    <row r="79" spans="1:59" ht="15.75" x14ac:dyDescent="0.25">
      <c r="A79" s="8" t="s">
        <v>177</v>
      </c>
      <c r="B79" s="11" t="s">
        <v>178</v>
      </c>
      <c r="C79" s="63" t="s">
        <v>179</v>
      </c>
      <c r="D79" s="64"/>
      <c r="E79" s="65"/>
      <c r="F79" s="66" t="e">
        <f t="shared" si="255"/>
        <v>#NAME?</v>
      </c>
      <c r="G79" s="66" t="e">
        <f t="shared" si="256"/>
        <v>#NAME?</v>
      </c>
      <c r="H79" s="66" t="e">
        <f t="shared" si="257"/>
        <v>#NAME?</v>
      </c>
      <c r="I79" s="66" t="e">
        <f t="shared" si="258"/>
        <v>#NAME?</v>
      </c>
      <c r="J79" s="66" t="e">
        <f t="shared" si="259"/>
        <v>#NAME?</v>
      </c>
      <c r="K79" s="66" t="e">
        <f t="shared" si="260"/>
        <v>#NAME?</v>
      </c>
      <c r="L79" s="66" t="e">
        <f t="shared" si="261"/>
        <v>#NAME?</v>
      </c>
      <c r="M79" s="66" t="e">
        <f t="shared" si="262"/>
        <v>#NAME?</v>
      </c>
      <c r="N79" s="66" t="e">
        <f t="shared" si="263"/>
        <v>#NAME?</v>
      </c>
      <c r="O79" s="66" t="e">
        <f t="shared" si="264"/>
        <v>#NAME?</v>
      </c>
      <c r="P79" s="66" t="e">
        <f t="shared" si="265"/>
        <v>#NAME?</v>
      </c>
      <c r="Q79" s="66" t="e">
        <f t="shared" si="266"/>
        <v>#NAME?</v>
      </c>
      <c r="R79" s="67" t="e">
        <f t="shared" si="46"/>
        <v>#NAME?</v>
      </c>
      <c r="S79" s="67" t="e">
        <f t="shared" si="4"/>
        <v>#NAME?</v>
      </c>
      <c r="T79" s="67" t="e">
        <f t="shared" si="5"/>
        <v>#NAME?</v>
      </c>
      <c r="U79" s="67" t="e">
        <f t="shared" si="267"/>
        <v>#NAME?</v>
      </c>
      <c r="V79" s="67" t="e">
        <f t="shared" si="268"/>
        <v>#NAME?</v>
      </c>
      <c r="W79" s="67" t="e">
        <f t="shared" si="269"/>
        <v>#NAME?</v>
      </c>
      <c r="X79" s="66" t="e">
        <f t="shared" si="270"/>
        <v>#NAME?</v>
      </c>
      <c r="Y79" s="66" t="e">
        <f t="shared" si="271"/>
        <v>#NAME?</v>
      </c>
      <c r="Z79" s="66" t="e">
        <f t="shared" si="272"/>
        <v>#NAME?</v>
      </c>
      <c r="AA79" s="66" t="e">
        <f t="shared" si="273"/>
        <v>#NAME?</v>
      </c>
      <c r="AB79" s="66" t="e">
        <f t="shared" si="274"/>
        <v>#NAME?</v>
      </c>
      <c r="AC79" s="66" t="e">
        <f t="shared" si="275"/>
        <v>#NAME?</v>
      </c>
      <c r="AD79" s="66" t="e">
        <f t="shared" si="276"/>
        <v>#NAME?</v>
      </c>
      <c r="AE79" s="66" t="e">
        <f t="shared" si="277"/>
        <v>#NAME?</v>
      </c>
      <c r="AF79" s="66" t="e">
        <f t="shared" si="278"/>
        <v>#NAME?</v>
      </c>
      <c r="AG79" s="66" t="e">
        <f t="shared" si="279"/>
        <v>#NAME?</v>
      </c>
      <c r="AH79" s="66" t="e">
        <f t="shared" si="280"/>
        <v>#NAME?</v>
      </c>
      <c r="AI79" s="66" t="e">
        <f t="shared" si="281"/>
        <v>#NAME?</v>
      </c>
      <c r="AJ79" s="67" t="e">
        <f t="shared" si="52"/>
        <v>#NAME?</v>
      </c>
      <c r="AK79" s="67" t="e">
        <f t="shared" si="7"/>
        <v>#NAME?</v>
      </c>
      <c r="AL79" s="67" t="e">
        <f t="shared" si="8"/>
        <v>#NAME?</v>
      </c>
      <c r="AM79" s="67" t="e">
        <f t="shared" si="282"/>
        <v>#NAME?</v>
      </c>
      <c r="AN79" s="67" t="e">
        <f t="shared" si="283"/>
        <v>#NAME?</v>
      </c>
      <c r="AO79" s="67" t="e">
        <f t="shared" si="284"/>
        <v>#NAME?</v>
      </c>
      <c r="AP79" s="66" t="e">
        <f t="shared" si="285"/>
        <v>#NAME?</v>
      </c>
      <c r="AQ79" s="66" t="e">
        <f t="shared" si="286"/>
        <v>#NAME?</v>
      </c>
      <c r="AR79" s="66" t="e">
        <f t="shared" si="287"/>
        <v>#NAME?</v>
      </c>
      <c r="AS79" s="66" t="e">
        <f t="shared" si="288"/>
        <v>#NAME?</v>
      </c>
      <c r="AT79" s="66" t="e">
        <f t="shared" si="289"/>
        <v>#NAME?</v>
      </c>
      <c r="AU79" s="66" t="e">
        <f t="shared" si="290"/>
        <v>#NAME?</v>
      </c>
      <c r="AV79" s="66" t="e">
        <f t="shared" si="291"/>
        <v>#NAME?</v>
      </c>
      <c r="AW79" s="66" t="e">
        <f t="shared" si="292"/>
        <v>#NAME?</v>
      </c>
      <c r="AX79" s="66" t="e">
        <f t="shared" si="293"/>
        <v>#NAME?</v>
      </c>
      <c r="AY79" s="66" t="e">
        <f t="shared" si="294"/>
        <v>#NAME?</v>
      </c>
      <c r="AZ79" s="66" t="e">
        <f t="shared" si="295"/>
        <v>#NAME?</v>
      </c>
      <c r="BA79" s="66" t="e">
        <f t="shared" si="296"/>
        <v>#NAME?</v>
      </c>
      <c r="BB79" s="67" t="e">
        <f t="shared" si="57"/>
        <v>#NAME?</v>
      </c>
      <c r="BC79" s="67" t="e">
        <f t="shared" si="10"/>
        <v>#NAME?</v>
      </c>
      <c r="BD79" s="67" t="e">
        <f t="shared" si="11"/>
        <v>#NAME?</v>
      </c>
      <c r="BE79" s="67" t="e">
        <f t="shared" si="297"/>
        <v>#NAME?</v>
      </c>
      <c r="BF79" s="67" t="e">
        <f t="shared" si="298"/>
        <v>#NAME?</v>
      </c>
      <c r="BG79" s="67" t="e">
        <f t="shared" si="299"/>
        <v>#NAME?</v>
      </c>
    </row>
    <row r="80" spans="1:59" ht="15.75" x14ac:dyDescent="0.25">
      <c r="A80" s="8" t="s">
        <v>180</v>
      </c>
      <c r="B80" s="11" t="s">
        <v>181</v>
      </c>
      <c r="C80" s="63" t="s">
        <v>182</v>
      </c>
      <c r="D80" s="64"/>
      <c r="E80" s="65"/>
      <c r="F80" s="66" t="e">
        <f t="shared" si="255"/>
        <v>#NAME?</v>
      </c>
      <c r="G80" s="66" t="e">
        <f t="shared" si="256"/>
        <v>#NAME?</v>
      </c>
      <c r="H80" s="66" t="e">
        <f t="shared" si="257"/>
        <v>#NAME?</v>
      </c>
      <c r="I80" s="66" t="e">
        <f t="shared" si="258"/>
        <v>#NAME?</v>
      </c>
      <c r="J80" s="66" t="e">
        <f t="shared" si="259"/>
        <v>#NAME?</v>
      </c>
      <c r="K80" s="66" t="e">
        <f t="shared" si="260"/>
        <v>#NAME?</v>
      </c>
      <c r="L80" s="66" t="e">
        <f t="shared" si="261"/>
        <v>#NAME?</v>
      </c>
      <c r="M80" s="66" t="e">
        <f t="shared" si="262"/>
        <v>#NAME?</v>
      </c>
      <c r="N80" s="66" t="e">
        <f t="shared" si="263"/>
        <v>#NAME?</v>
      </c>
      <c r="O80" s="66" t="e">
        <f t="shared" si="264"/>
        <v>#NAME?</v>
      </c>
      <c r="P80" s="66" t="e">
        <f t="shared" si="265"/>
        <v>#NAME?</v>
      </c>
      <c r="Q80" s="66" t="e">
        <f t="shared" si="266"/>
        <v>#NAME?</v>
      </c>
      <c r="R80" s="67" t="e">
        <f t="shared" si="46"/>
        <v>#NAME?</v>
      </c>
      <c r="S80" s="67" t="e">
        <f t="shared" ref="S80:S106" si="300">IF(J80=0," ",Q80/J80*100)</f>
        <v>#NAME?</v>
      </c>
      <c r="T80" s="67" t="e">
        <f t="shared" ref="T80:T106" si="301">IF(N80=0,0,Q80/N80*100)</f>
        <v>#NAME?</v>
      </c>
      <c r="U80" s="67" t="e">
        <f t="shared" si="267"/>
        <v>#NAME?</v>
      </c>
      <c r="V80" s="67" t="e">
        <f t="shared" si="268"/>
        <v>#NAME?</v>
      </c>
      <c r="W80" s="67" t="e">
        <f t="shared" si="269"/>
        <v>#NAME?</v>
      </c>
      <c r="X80" s="66" t="e">
        <f t="shared" si="270"/>
        <v>#NAME?</v>
      </c>
      <c r="Y80" s="66" t="e">
        <f t="shared" si="271"/>
        <v>#NAME?</v>
      </c>
      <c r="Z80" s="66" t="e">
        <f t="shared" si="272"/>
        <v>#NAME?</v>
      </c>
      <c r="AA80" s="66" t="e">
        <f t="shared" si="273"/>
        <v>#NAME?</v>
      </c>
      <c r="AB80" s="66" t="e">
        <f t="shared" si="274"/>
        <v>#NAME?</v>
      </c>
      <c r="AC80" s="66" t="e">
        <f t="shared" si="275"/>
        <v>#NAME?</v>
      </c>
      <c r="AD80" s="66" t="e">
        <f t="shared" si="276"/>
        <v>#NAME?</v>
      </c>
      <c r="AE80" s="66" t="e">
        <f t="shared" si="277"/>
        <v>#NAME?</v>
      </c>
      <c r="AF80" s="66" t="e">
        <f t="shared" si="278"/>
        <v>#NAME?</v>
      </c>
      <c r="AG80" s="66" t="e">
        <f t="shared" si="279"/>
        <v>#NAME?</v>
      </c>
      <c r="AH80" s="66" t="e">
        <f t="shared" si="280"/>
        <v>#NAME?</v>
      </c>
      <c r="AI80" s="66" t="e">
        <f t="shared" si="281"/>
        <v>#NAME?</v>
      </c>
      <c r="AJ80" s="67" t="e">
        <f t="shared" si="52"/>
        <v>#NAME?</v>
      </c>
      <c r="AK80" s="67" t="e">
        <f t="shared" ref="AK80:AK106" si="302">IF(AB80=0," ",AI80/AB80*100)</f>
        <v>#NAME?</v>
      </c>
      <c r="AL80" s="67" t="e">
        <f t="shared" ref="AL80:AL106" si="303">IF(AF80=0,0,AI80/AF80*100)</f>
        <v>#NAME?</v>
      </c>
      <c r="AM80" s="67" t="e">
        <f t="shared" si="282"/>
        <v>#NAME?</v>
      </c>
      <c r="AN80" s="67" t="e">
        <f t="shared" si="283"/>
        <v>#NAME?</v>
      </c>
      <c r="AO80" s="67" t="e">
        <f t="shared" si="284"/>
        <v>#NAME?</v>
      </c>
      <c r="AP80" s="66" t="e">
        <f t="shared" si="285"/>
        <v>#NAME?</v>
      </c>
      <c r="AQ80" s="66" t="e">
        <f t="shared" si="286"/>
        <v>#NAME?</v>
      </c>
      <c r="AR80" s="66" t="e">
        <f t="shared" si="287"/>
        <v>#NAME?</v>
      </c>
      <c r="AS80" s="66" t="e">
        <f t="shared" si="288"/>
        <v>#NAME?</v>
      </c>
      <c r="AT80" s="66" t="e">
        <f t="shared" si="289"/>
        <v>#NAME?</v>
      </c>
      <c r="AU80" s="66" t="e">
        <f t="shared" si="290"/>
        <v>#NAME?</v>
      </c>
      <c r="AV80" s="66" t="e">
        <f t="shared" si="291"/>
        <v>#NAME?</v>
      </c>
      <c r="AW80" s="66" t="e">
        <f t="shared" si="292"/>
        <v>#NAME?</v>
      </c>
      <c r="AX80" s="66" t="e">
        <f t="shared" si="293"/>
        <v>#NAME?</v>
      </c>
      <c r="AY80" s="66" t="e">
        <f t="shared" si="294"/>
        <v>#NAME?</v>
      </c>
      <c r="AZ80" s="66" t="e">
        <f t="shared" si="295"/>
        <v>#NAME?</v>
      </c>
      <c r="BA80" s="66" t="e">
        <f t="shared" si="296"/>
        <v>#NAME?</v>
      </c>
      <c r="BB80" s="67" t="e">
        <f t="shared" si="57"/>
        <v>#NAME?</v>
      </c>
      <c r="BC80" s="67" t="e">
        <f t="shared" ref="BC80:BC106" si="304">IF(AT80=0," ",BA80/AT80*100)</f>
        <v>#NAME?</v>
      </c>
      <c r="BD80" s="67" t="e">
        <f t="shared" ref="BD80:BD106" si="305">IF(AX80=0,0,BA80/AX80*100)</f>
        <v>#NAME?</v>
      </c>
      <c r="BE80" s="67" t="e">
        <f t="shared" si="297"/>
        <v>#NAME?</v>
      </c>
      <c r="BF80" s="67" t="e">
        <f t="shared" si="298"/>
        <v>#NAME?</v>
      </c>
      <c r="BG80" s="67" t="e">
        <f t="shared" si="299"/>
        <v>#NAME?</v>
      </c>
    </row>
    <row r="81" spans="1:59" ht="26.25" x14ac:dyDescent="0.25">
      <c r="A81" s="8" t="s">
        <v>183</v>
      </c>
      <c r="B81" s="11" t="s">
        <v>184</v>
      </c>
      <c r="C81" s="75" t="s">
        <v>300</v>
      </c>
      <c r="D81" s="64"/>
      <c r="E81" s="65"/>
      <c r="F81" s="66" t="e">
        <f t="shared" si="255"/>
        <v>#NAME?</v>
      </c>
      <c r="G81" s="66" t="e">
        <f t="shared" si="256"/>
        <v>#NAME?</v>
      </c>
      <c r="H81" s="66" t="e">
        <f t="shared" si="257"/>
        <v>#NAME?</v>
      </c>
      <c r="I81" s="66" t="e">
        <f t="shared" si="258"/>
        <v>#NAME?</v>
      </c>
      <c r="J81" s="66" t="e">
        <f t="shared" si="259"/>
        <v>#NAME?</v>
      </c>
      <c r="K81" s="66" t="e">
        <f t="shared" si="260"/>
        <v>#NAME?</v>
      </c>
      <c r="L81" s="66" t="e">
        <f t="shared" si="261"/>
        <v>#NAME?</v>
      </c>
      <c r="M81" s="66" t="e">
        <f t="shared" si="262"/>
        <v>#NAME?</v>
      </c>
      <c r="N81" s="66" t="e">
        <f t="shared" si="263"/>
        <v>#NAME?</v>
      </c>
      <c r="O81" s="66" t="e">
        <f t="shared" si="264"/>
        <v>#NAME?</v>
      </c>
      <c r="P81" s="66" t="e">
        <f t="shared" si="265"/>
        <v>#NAME?</v>
      </c>
      <c r="Q81" s="66" t="e">
        <f t="shared" si="266"/>
        <v>#NAME?</v>
      </c>
      <c r="R81" s="67" t="e">
        <f t="shared" si="46"/>
        <v>#NAME?</v>
      </c>
      <c r="S81" s="67" t="e">
        <f t="shared" si="300"/>
        <v>#NAME?</v>
      </c>
      <c r="T81" s="67" t="e">
        <f t="shared" si="301"/>
        <v>#NAME?</v>
      </c>
      <c r="U81" s="67" t="e">
        <f t="shared" si="267"/>
        <v>#NAME?</v>
      </c>
      <c r="V81" s="67" t="e">
        <f t="shared" si="268"/>
        <v>#NAME?</v>
      </c>
      <c r="W81" s="67" t="e">
        <f t="shared" si="269"/>
        <v>#NAME?</v>
      </c>
      <c r="X81" s="66" t="e">
        <f t="shared" si="270"/>
        <v>#NAME?</v>
      </c>
      <c r="Y81" s="66" t="e">
        <f t="shared" si="271"/>
        <v>#NAME?</v>
      </c>
      <c r="Z81" s="66" t="e">
        <f t="shared" si="272"/>
        <v>#NAME?</v>
      </c>
      <c r="AA81" s="66" t="e">
        <f t="shared" si="273"/>
        <v>#NAME?</v>
      </c>
      <c r="AB81" s="66" t="e">
        <f t="shared" si="274"/>
        <v>#NAME?</v>
      </c>
      <c r="AC81" s="66" t="e">
        <f t="shared" si="275"/>
        <v>#NAME?</v>
      </c>
      <c r="AD81" s="66" t="e">
        <f t="shared" si="276"/>
        <v>#NAME?</v>
      </c>
      <c r="AE81" s="66" t="e">
        <f t="shared" si="277"/>
        <v>#NAME?</v>
      </c>
      <c r="AF81" s="66" t="e">
        <f t="shared" si="278"/>
        <v>#NAME?</v>
      </c>
      <c r="AG81" s="66" t="e">
        <f t="shared" si="279"/>
        <v>#NAME?</v>
      </c>
      <c r="AH81" s="66" t="e">
        <f t="shared" si="280"/>
        <v>#NAME?</v>
      </c>
      <c r="AI81" s="66" t="e">
        <f t="shared" si="281"/>
        <v>#NAME?</v>
      </c>
      <c r="AJ81" s="67" t="e">
        <f t="shared" si="52"/>
        <v>#NAME?</v>
      </c>
      <c r="AK81" s="67" t="e">
        <f t="shared" si="302"/>
        <v>#NAME?</v>
      </c>
      <c r="AL81" s="67" t="e">
        <f t="shared" si="303"/>
        <v>#NAME?</v>
      </c>
      <c r="AM81" s="67" t="e">
        <f t="shared" si="282"/>
        <v>#NAME?</v>
      </c>
      <c r="AN81" s="67" t="e">
        <f t="shared" si="283"/>
        <v>#NAME?</v>
      </c>
      <c r="AO81" s="67" t="e">
        <f t="shared" si="284"/>
        <v>#NAME?</v>
      </c>
      <c r="AP81" s="66" t="e">
        <f t="shared" si="285"/>
        <v>#NAME?</v>
      </c>
      <c r="AQ81" s="66" t="e">
        <f t="shared" si="286"/>
        <v>#NAME?</v>
      </c>
      <c r="AR81" s="66" t="e">
        <f t="shared" si="287"/>
        <v>#NAME?</v>
      </c>
      <c r="AS81" s="66" t="e">
        <f t="shared" si="288"/>
        <v>#NAME?</v>
      </c>
      <c r="AT81" s="66" t="e">
        <f t="shared" si="289"/>
        <v>#NAME?</v>
      </c>
      <c r="AU81" s="66" t="e">
        <f t="shared" si="290"/>
        <v>#NAME?</v>
      </c>
      <c r="AV81" s="66" t="e">
        <f t="shared" si="291"/>
        <v>#NAME?</v>
      </c>
      <c r="AW81" s="66" t="e">
        <f t="shared" si="292"/>
        <v>#NAME?</v>
      </c>
      <c r="AX81" s="66" t="e">
        <f t="shared" si="293"/>
        <v>#NAME?</v>
      </c>
      <c r="AY81" s="66" t="e">
        <f t="shared" si="294"/>
        <v>#NAME?</v>
      </c>
      <c r="AZ81" s="66" t="e">
        <f t="shared" si="295"/>
        <v>#NAME?</v>
      </c>
      <c r="BA81" s="66" t="e">
        <f t="shared" si="296"/>
        <v>#NAME?</v>
      </c>
      <c r="BB81" s="67" t="e">
        <f t="shared" si="57"/>
        <v>#NAME?</v>
      </c>
      <c r="BC81" s="67" t="e">
        <f t="shared" si="304"/>
        <v>#NAME?</v>
      </c>
      <c r="BD81" s="67" t="e">
        <f t="shared" si="305"/>
        <v>#NAME?</v>
      </c>
      <c r="BE81" s="67" t="e">
        <f t="shared" si="297"/>
        <v>#NAME?</v>
      </c>
      <c r="BF81" s="67" t="e">
        <f t="shared" si="298"/>
        <v>#NAME?</v>
      </c>
      <c r="BG81" s="67" t="e">
        <f t="shared" si="299"/>
        <v>#NAME?</v>
      </c>
    </row>
    <row r="82" spans="1:59" ht="26.25" x14ac:dyDescent="0.25">
      <c r="A82" s="8" t="s">
        <v>185</v>
      </c>
      <c r="B82" s="11" t="s">
        <v>186</v>
      </c>
      <c r="C82" s="75" t="s">
        <v>301</v>
      </c>
      <c r="D82" s="64"/>
      <c r="E82" s="65"/>
      <c r="F82" s="66" t="e">
        <f t="shared" si="255"/>
        <v>#NAME?</v>
      </c>
      <c r="G82" s="66" t="e">
        <f t="shared" si="256"/>
        <v>#NAME?</v>
      </c>
      <c r="H82" s="66" t="e">
        <f t="shared" si="257"/>
        <v>#NAME?</v>
      </c>
      <c r="I82" s="66" t="e">
        <f t="shared" si="258"/>
        <v>#NAME?</v>
      </c>
      <c r="J82" s="66" t="e">
        <f t="shared" si="259"/>
        <v>#NAME?</v>
      </c>
      <c r="K82" s="66" t="e">
        <f t="shared" si="260"/>
        <v>#NAME?</v>
      </c>
      <c r="L82" s="66" t="e">
        <f t="shared" si="261"/>
        <v>#NAME?</v>
      </c>
      <c r="M82" s="66" t="e">
        <f t="shared" si="262"/>
        <v>#NAME?</v>
      </c>
      <c r="N82" s="66" t="e">
        <f t="shared" si="263"/>
        <v>#NAME?</v>
      </c>
      <c r="O82" s="66" t="e">
        <f t="shared" si="264"/>
        <v>#NAME?</v>
      </c>
      <c r="P82" s="66" t="e">
        <f t="shared" si="265"/>
        <v>#NAME?</v>
      </c>
      <c r="Q82" s="66" t="e">
        <f t="shared" si="266"/>
        <v>#NAME?</v>
      </c>
      <c r="R82" s="67" t="e">
        <f t="shared" ref="R82:R106" si="306">IF(F82+G82=0," ",O82/(F82+G82+M82)*100)</f>
        <v>#NAME?</v>
      </c>
      <c r="S82" s="67" t="e">
        <f t="shared" si="300"/>
        <v>#NAME?</v>
      </c>
      <c r="T82" s="67" t="e">
        <f t="shared" si="301"/>
        <v>#NAME?</v>
      </c>
      <c r="U82" s="67" t="e">
        <f t="shared" si="267"/>
        <v>#NAME?</v>
      </c>
      <c r="V82" s="67" t="e">
        <f t="shared" si="268"/>
        <v>#NAME?</v>
      </c>
      <c r="W82" s="67" t="e">
        <f t="shared" si="269"/>
        <v>#NAME?</v>
      </c>
      <c r="X82" s="66" t="e">
        <f t="shared" si="270"/>
        <v>#NAME?</v>
      </c>
      <c r="Y82" s="66" t="e">
        <f t="shared" si="271"/>
        <v>#NAME?</v>
      </c>
      <c r="Z82" s="66" t="e">
        <f t="shared" si="272"/>
        <v>#NAME?</v>
      </c>
      <c r="AA82" s="66" t="e">
        <f t="shared" si="273"/>
        <v>#NAME?</v>
      </c>
      <c r="AB82" s="66" t="e">
        <f t="shared" si="274"/>
        <v>#NAME?</v>
      </c>
      <c r="AC82" s="66" t="e">
        <f t="shared" si="275"/>
        <v>#NAME?</v>
      </c>
      <c r="AD82" s="66" t="e">
        <f t="shared" si="276"/>
        <v>#NAME?</v>
      </c>
      <c r="AE82" s="66" t="e">
        <f t="shared" si="277"/>
        <v>#NAME?</v>
      </c>
      <c r="AF82" s="66" t="e">
        <f t="shared" si="278"/>
        <v>#NAME?</v>
      </c>
      <c r="AG82" s="66" t="e">
        <f t="shared" si="279"/>
        <v>#NAME?</v>
      </c>
      <c r="AH82" s="66" t="e">
        <f t="shared" si="280"/>
        <v>#NAME?</v>
      </c>
      <c r="AI82" s="66" t="e">
        <f t="shared" si="281"/>
        <v>#NAME?</v>
      </c>
      <c r="AJ82" s="67" t="e">
        <f t="shared" ref="AJ82:AJ106" si="307">IF(X82+Y82=0," ",AG82/(X82+Y82+AE82)*100)</f>
        <v>#NAME?</v>
      </c>
      <c r="AK82" s="67" t="e">
        <f t="shared" si="302"/>
        <v>#NAME?</v>
      </c>
      <c r="AL82" s="67" t="e">
        <f t="shared" si="303"/>
        <v>#NAME?</v>
      </c>
      <c r="AM82" s="67" t="e">
        <f t="shared" si="282"/>
        <v>#NAME?</v>
      </c>
      <c r="AN82" s="67" t="e">
        <f t="shared" si="283"/>
        <v>#NAME?</v>
      </c>
      <c r="AO82" s="67" t="e">
        <f t="shared" si="284"/>
        <v>#NAME?</v>
      </c>
      <c r="AP82" s="66" t="e">
        <f t="shared" si="285"/>
        <v>#NAME?</v>
      </c>
      <c r="AQ82" s="66" t="e">
        <f t="shared" si="286"/>
        <v>#NAME?</v>
      </c>
      <c r="AR82" s="66" t="e">
        <f t="shared" si="287"/>
        <v>#NAME?</v>
      </c>
      <c r="AS82" s="66" t="e">
        <f t="shared" si="288"/>
        <v>#NAME?</v>
      </c>
      <c r="AT82" s="66" t="e">
        <f t="shared" si="289"/>
        <v>#NAME?</v>
      </c>
      <c r="AU82" s="66" t="e">
        <f t="shared" si="290"/>
        <v>#NAME?</v>
      </c>
      <c r="AV82" s="66" t="e">
        <f t="shared" si="291"/>
        <v>#NAME?</v>
      </c>
      <c r="AW82" s="66" t="e">
        <f t="shared" si="292"/>
        <v>#NAME?</v>
      </c>
      <c r="AX82" s="66" t="e">
        <f t="shared" si="293"/>
        <v>#NAME?</v>
      </c>
      <c r="AY82" s="66" t="e">
        <f t="shared" si="294"/>
        <v>#NAME?</v>
      </c>
      <c r="AZ82" s="66" t="e">
        <f t="shared" si="295"/>
        <v>#NAME?</v>
      </c>
      <c r="BA82" s="66" t="e">
        <f t="shared" si="296"/>
        <v>#NAME?</v>
      </c>
      <c r="BB82" s="67" t="e">
        <f t="shared" ref="BB82:BB106" si="308">IF(AP82+AQ82=0," ",AY82/(AP82+AQ82+AW82)*100)</f>
        <v>#NAME?</v>
      </c>
      <c r="BC82" s="67" t="e">
        <f t="shared" si="304"/>
        <v>#NAME?</v>
      </c>
      <c r="BD82" s="67" t="e">
        <f t="shared" si="305"/>
        <v>#NAME?</v>
      </c>
      <c r="BE82" s="67" t="e">
        <f t="shared" si="297"/>
        <v>#NAME?</v>
      </c>
      <c r="BF82" s="67" t="e">
        <f t="shared" si="298"/>
        <v>#NAME?</v>
      </c>
      <c r="BG82" s="67" t="e">
        <f t="shared" si="299"/>
        <v>#NAME?</v>
      </c>
    </row>
    <row r="83" spans="1:59" ht="15.75" x14ac:dyDescent="0.25">
      <c r="A83" s="8" t="s">
        <v>187</v>
      </c>
      <c r="B83" s="74" t="s">
        <v>188</v>
      </c>
      <c r="C83" s="63" t="s">
        <v>189</v>
      </c>
      <c r="D83" s="64"/>
      <c r="E83" s="65"/>
      <c r="F83" s="66" t="e">
        <f t="shared" si="255"/>
        <v>#NAME?</v>
      </c>
      <c r="G83" s="66" t="e">
        <f t="shared" si="256"/>
        <v>#NAME?</v>
      </c>
      <c r="H83" s="66" t="e">
        <f t="shared" si="257"/>
        <v>#NAME?</v>
      </c>
      <c r="I83" s="66" t="e">
        <f t="shared" si="258"/>
        <v>#NAME?</v>
      </c>
      <c r="J83" s="66" t="e">
        <f t="shared" si="259"/>
        <v>#NAME?</v>
      </c>
      <c r="K83" s="66" t="e">
        <f t="shared" si="260"/>
        <v>#NAME?</v>
      </c>
      <c r="L83" s="66" t="e">
        <f t="shared" si="261"/>
        <v>#NAME?</v>
      </c>
      <c r="M83" s="66" t="e">
        <f t="shared" si="262"/>
        <v>#NAME?</v>
      </c>
      <c r="N83" s="66" t="e">
        <f t="shared" si="263"/>
        <v>#NAME?</v>
      </c>
      <c r="O83" s="66" t="e">
        <f t="shared" si="264"/>
        <v>#NAME?</v>
      </c>
      <c r="P83" s="66" t="e">
        <f t="shared" si="265"/>
        <v>#NAME?</v>
      </c>
      <c r="Q83" s="66" t="e">
        <f t="shared" si="266"/>
        <v>#NAME?</v>
      </c>
      <c r="R83" s="67" t="e">
        <f t="shared" si="306"/>
        <v>#NAME?</v>
      </c>
      <c r="S83" s="67" t="e">
        <f t="shared" si="300"/>
        <v>#NAME?</v>
      </c>
      <c r="T83" s="67" t="e">
        <f t="shared" si="301"/>
        <v>#NAME?</v>
      </c>
      <c r="U83" s="67" t="e">
        <f t="shared" si="267"/>
        <v>#NAME?</v>
      </c>
      <c r="V83" s="67" t="e">
        <f t="shared" si="268"/>
        <v>#NAME?</v>
      </c>
      <c r="W83" s="67" t="e">
        <f t="shared" si="269"/>
        <v>#NAME?</v>
      </c>
      <c r="X83" s="66" t="e">
        <f t="shared" si="270"/>
        <v>#NAME?</v>
      </c>
      <c r="Y83" s="66" t="e">
        <f t="shared" si="271"/>
        <v>#NAME?</v>
      </c>
      <c r="Z83" s="66" t="e">
        <f t="shared" si="272"/>
        <v>#NAME?</v>
      </c>
      <c r="AA83" s="66" t="e">
        <f t="shared" si="273"/>
        <v>#NAME?</v>
      </c>
      <c r="AB83" s="66" t="e">
        <f t="shared" si="274"/>
        <v>#NAME?</v>
      </c>
      <c r="AC83" s="66" t="e">
        <f t="shared" si="275"/>
        <v>#NAME?</v>
      </c>
      <c r="AD83" s="66" t="e">
        <f t="shared" si="276"/>
        <v>#NAME?</v>
      </c>
      <c r="AE83" s="66" t="e">
        <f t="shared" si="277"/>
        <v>#NAME?</v>
      </c>
      <c r="AF83" s="66" t="e">
        <f t="shared" si="278"/>
        <v>#NAME?</v>
      </c>
      <c r="AG83" s="66" t="e">
        <f t="shared" si="279"/>
        <v>#NAME?</v>
      </c>
      <c r="AH83" s="66" t="e">
        <f t="shared" si="280"/>
        <v>#NAME?</v>
      </c>
      <c r="AI83" s="66" t="e">
        <f t="shared" si="281"/>
        <v>#NAME?</v>
      </c>
      <c r="AJ83" s="67" t="e">
        <f t="shared" si="307"/>
        <v>#NAME?</v>
      </c>
      <c r="AK83" s="67" t="e">
        <f t="shared" si="302"/>
        <v>#NAME?</v>
      </c>
      <c r="AL83" s="67" t="e">
        <f t="shared" si="303"/>
        <v>#NAME?</v>
      </c>
      <c r="AM83" s="67" t="e">
        <f t="shared" si="282"/>
        <v>#NAME?</v>
      </c>
      <c r="AN83" s="67" t="e">
        <f t="shared" si="283"/>
        <v>#NAME?</v>
      </c>
      <c r="AO83" s="67" t="e">
        <f t="shared" si="284"/>
        <v>#NAME?</v>
      </c>
      <c r="AP83" s="66" t="e">
        <f t="shared" si="285"/>
        <v>#NAME?</v>
      </c>
      <c r="AQ83" s="66" t="e">
        <f t="shared" si="286"/>
        <v>#NAME?</v>
      </c>
      <c r="AR83" s="66" t="e">
        <f t="shared" si="287"/>
        <v>#NAME?</v>
      </c>
      <c r="AS83" s="66" t="e">
        <f t="shared" si="288"/>
        <v>#NAME?</v>
      </c>
      <c r="AT83" s="66" t="e">
        <f t="shared" si="289"/>
        <v>#NAME?</v>
      </c>
      <c r="AU83" s="66" t="e">
        <f t="shared" si="290"/>
        <v>#NAME?</v>
      </c>
      <c r="AV83" s="66" t="e">
        <f t="shared" si="291"/>
        <v>#NAME?</v>
      </c>
      <c r="AW83" s="66" t="e">
        <f t="shared" si="292"/>
        <v>#NAME?</v>
      </c>
      <c r="AX83" s="66" t="e">
        <f t="shared" si="293"/>
        <v>#NAME?</v>
      </c>
      <c r="AY83" s="66" t="e">
        <f t="shared" si="294"/>
        <v>#NAME?</v>
      </c>
      <c r="AZ83" s="66" t="e">
        <f t="shared" si="295"/>
        <v>#NAME?</v>
      </c>
      <c r="BA83" s="66" t="e">
        <f t="shared" si="296"/>
        <v>#NAME?</v>
      </c>
      <c r="BB83" s="67" t="e">
        <f t="shared" si="308"/>
        <v>#NAME?</v>
      </c>
      <c r="BC83" s="67" t="e">
        <f t="shared" si="304"/>
        <v>#NAME?</v>
      </c>
      <c r="BD83" s="67" t="e">
        <f t="shared" si="305"/>
        <v>#NAME?</v>
      </c>
      <c r="BE83" s="67" t="e">
        <f t="shared" si="297"/>
        <v>#NAME?</v>
      </c>
      <c r="BF83" s="67" t="e">
        <f t="shared" si="298"/>
        <v>#NAME?</v>
      </c>
      <c r="BG83" s="67" t="e">
        <f t="shared" si="299"/>
        <v>#NAME?</v>
      </c>
    </row>
    <row r="84" spans="1:59" s="62" customFormat="1" ht="15.75" x14ac:dyDescent="0.25">
      <c r="A84" s="56" t="s">
        <v>190</v>
      </c>
      <c r="B84" s="57">
        <v>70</v>
      </c>
      <c r="C84" s="58" t="s">
        <v>192</v>
      </c>
      <c r="D84" s="59"/>
      <c r="E84" s="60"/>
      <c r="F84" s="61" t="e">
        <f>SUM(F85:F96)</f>
        <v>#NAME?</v>
      </c>
      <c r="G84" s="61" t="e">
        <f>SUM(G85:G96)</f>
        <v>#NAME?</v>
      </c>
      <c r="H84" s="61" t="e">
        <f t="shared" ref="H84:Q84" si="309">SUM(H85:H96)</f>
        <v>#NAME?</v>
      </c>
      <c r="I84" s="61" t="e">
        <f t="shared" si="309"/>
        <v>#NAME?</v>
      </c>
      <c r="J84" s="61" t="e">
        <f t="shared" si="309"/>
        <v>#NAME?</v>
      </c>
      <c r="K84" s="61" t="e">
        <f t="shared" si="309"/>
        <v>#NAME?</v>
      </c>
      <c r="L84" s="61" t="e">
        <f t="shared" si="309"/>
        <v>#NAME?</v>
      </c>
      <c r="M84" s="61" t="e">
        <f>SUM(M85:M96)</f>
        <v>#NAME?</v>
      </c>
      <c r="N84" s="61" t="e">
        <f t="shared" si="309"/>
        <v>#NAME?</v>
      </c>
      <c r="O84" s="61" t="e">
        <f t="shared" si="309"/>
        <v>#NAME?</v>
      </c>
      <c r="P84" s="61" t="e">
        <f t="shared" si="309"/>
        <v>#NAME?</v>
      </c>
      <c r="Q84" s="61" t="e">
        <f t="shared" si="309"/>
        <v>#NAME?</v>
      </c>
      <c r="R84" s="61" t="e">
        <f t="shared" si="306"/>
        <v>#NAME?</v>
      </c>
      <c r="S84" s="61" t="e">
        <f t="shared" si="300"/>
        <v>#NAME?</v>
      </c>
      <c r="T84" s="61" t="e">
        <f t="shared" si="301"/>
        <v>#NAME?</v>
      </c>
      <c r="U84" s="61" t="e">
        <f t="shared" ref="U84:AI84" si="310">SUM(U85:U96)</f>
        <v>#NAME?</v>
      </c>
      <c r="V84" s="61" t="e">
        <f t="shared" si="310"/>
        <v>#NAME?</v>
      </c>
      <c r="W84" s="61" t="e">
        <f t="shared" si="310"/>
        <v>#NAME?</v>
      </c>
      <c r="X84" s="61" t="e">
        <f t="shared" si="310"/>
        <v>#NAME?</v>
      </c>
      <c r="Y84" s="61" t="e">
        <f t="shared" si="310"/>
        <v>#NAME?</v>
      </c>
      <c r="Z84" s="61" t="e">
        <f t="shared" si="310"/>
        <v>#NAME?</v>
      </c>
      <c r="AA84" s="61" t="e">
        <f t="shared" si="310"/>
        <v>#NAME?</v>
      </c>
      <c r="AB84" s="61" t="e">
        <f t="shared" si="310"/>
        <v>#NAME?</v>
      </c>
      <c r="AC84" s="61" t="e">
        <f t="shared" si="310"/>
        <v>#NAME?</v>
      </c>
      <c r="AD84" s="61" t="e">
        <f t="shared" si="310"/>
        <v>#NAME?</v>
      </c>
      <c r="AE84" s="61" t="e">
        <f t="shared" si="310"/>
        <v>#NAME?</v>
      </c>
      <c r="AF84" s="61" t="e">
        <f t="shared" si="310"/>
        <v>#NAME?</v>
      </c>
      <c r="AG84" s="61" t="e">
        <f t="shared" si="310"/>
        <v>#NAME?</v>
      </c>
      <c r="AH84" s="61" t="e">
        <f t="shared" si="310"/>
        <v>#NAME?</v>
      </c>
      <c r="AI84" s="61" t="e">
        <f t="shared" si="310"/>
        <v>#NAME?</v>
      </c>
      <c r="AJ84" s="61" t="e">
        <f t="shared" si="307"/>
        <v>#NAME?</v>
      </c>
      <c r="AK84" s="61" t="e">
        <f t="shared" si="302"/>
        <v>#NAME?</v>
      </c>
      <c r="AL84" s="61" t="e">
        <f t="shared" si="303"/>
        <v>#NAME?</v>
      </c>
      <c r="AM84" s="61" t="e">
        <f t="shared" ref="AM84:BA84" si="311">SUM(AM85:AM96)</f>
        <v>#NAME?</v>
      </c>
      <c r="AN84" s="61" t="e">
        <f t="shared" si="311"/>
        <v>#NAME?</v>
      </c>
      <c r="AO84" s="61" t="e">
        <f t="shared" si="311"/>
        <v>#NAME?</v>
      </c>
      <c r="AP84" s="61" t="e">
        <f t="shared" si="311"/>
        <v>#NAME?</v>
      </c>
      <c r="AQ84" s="61" t="e">
        <f t="shared" si="311"/>
        <v>#NAME?</v>
      </c>
      <c r="AR84" s="61" t="e">
        <f t="shared" si="311"/>
        <v>#NAME?</v>
      </c>
      <c r="AS84" s="61" t="e">
        <f t="shared" si="311"/>
        <v>#NAME?</v>
      </c>
      <c r="AT84" s="61" t="e">
        <f t="shared" si="311"/>
        <v>#NAME?</v>
      </c>
      <c r="AU84" s="61" t="e">
        <f t="shared" si="311"/>
        <v>#NAME?</v>
      </c>
      <c r="AV84" s="61" t="e">
        <f t="shared" si="311"/>
        <v>#NAME?</v>
      </c>
      <c r="AW84" s="61" t="e">
        <f t="shared" si="311"/>
        <v>#NAME?</v>
      </c>
      <c r="AX84" s="61" t="e">
        <f t="shared" si="311"/>
        <v>#NAME?</v>
      </c>
      <c r="AY84" s="61" t="e">
        <f t="shared" si="311"/>
        <v>#NAME?</v>
      </c>
      <c r="AZ84" s="61" t="e">
        <f t="shared" si="311"/>
        <v>#NAME?</v>
      </c>
      <c r="BA84" s="61" t="e">
        <f t="shared" si="311"/>
        <v>#NAME?</v>
      </c>
      <c r="BB84" s="61" t="e">
        <f t="shared" si="308"/>
        <v>#NAME?</v>
      </c>
      <c r="BC84" s="61" t="e">
        <f t="shared" si="304"/>
        <v>#NAME?</v>
      </c>
      <c r="BD84" s="61" t="e">
        <f t="shared" si="305"/>
        <v>#NAME?</v>
      </c>
      <c r="BE84" s="61" t="e">
        <f>SUM(BE85:BE96)</f>
        <v>#NAME?</v>
      </c>
      <c r="BF84" s="61" t="e">
        <f>SUM(BF85:BF96)</f>
        <v>#NAME?</v>
      </c>
      <c r="BG84" s="61" t="e">
        <f>SUM(BG85:BG96)</f>
        <v>#NAME?</v>
      </c>
    </row>
    <row r="85" spans="1:59" ht="15.75" x14ac:dyDescent="0.25">
      <c r="A85" s="8" t="s">
        <v>193</v>
      </c>
      <c r="B85" s="11" t="s">
        <v>194</v>
      </c>
      <c r="C85" s="63" t="s">
        <v>195</v>
      </c>
      <c r="D85" s="64"/>
      <c r="E85" s="65"/>
      <c r="F85" s="66" t="e">
        <f t="shared" ref="F85:F96" si="312">X85+AP85</f>
        <v>#NAME?</v>
      </c>
      <c r="G85" s="66" t="e">
        <f t="shared" ref="G85:G96" si="313">Y85+AQ85</f>
        <v>#NAME?</v>
      </c>
      <c r="H85" s="66" t="e">
        <f t="shared" ref="H85:H96" si="314">I85+J85</f>
        <v>#NAME?</v>
      </c>
      <c r="I85" s="66" t="e">
        <f t="shared" ref="I85:I96" si="315">AA85+AS85</f>
        <v>#NAME?</v>
      </c>
      <c r="J85" s="66" t="e">
        <f t="shared" ref="J85:J96" si="316">AB85+AT85</f>
        <v>#NAME?</v>
      </c>
      <c r="K85" s="66" t="e">
        <f t="shared" ref="K85:K96" si="317">AC85+AU85</f>
        <v>#NAME?</v>
      </c>
      <c r="L85" s="66" t="e">
        <f t="shared" ref="L85:L96" si="318">AD85+AV85</f>
        <v>#NAME?</v>
      </c>
      <c r="M85" s="66" t="e">
        <f t="shared" ref="M85:M96" si="319">AE85+AW85</f>
        <v>#NAME?</v>
      </c>
      <c r="N85" s="66" t="e">
        <f t="shared" ref="N85:N96" si="320">O85+Q85</f>
        <v>#NAME?</v>
      </c>
      <c r="O85" s="66" t="e">
        <f t="shared" ref="O85:O96" si="321">AG85+AY85</f>
        <v>#NAME?</v>
      </c>
      <c r="P85" s="66" t="e">
        <f t="shared" ref="P85:P96" si="322">AH85+AZ85</f>
        <v>#NAME?</v>
      </c>
      <c r="Q85" s="66" t="e">
        <f t="shared" ref="Q85:Q96" si="323">AI85+BA85</f>
        <v>#NAME?</v>
      </c>
      <c r="R85" s="67" t="e">
        <f t="shared" si="306"/>
        <v>#NAME?</v>
      </c>
      <c r="S85" s="67" t="e">
        <f t="shared" si="300"/>
        <v>#NAME?</v>
      </c>
      <c r="T85" s="67" t="e">
        <f t="shared" si="301"/>
        <v>#NAME?</v>
      </c>
      <c r="U85" s="67" t="e">
        <f t="shared" ref="U85:U96" si="324">AM85+BE85</f>
        <v>#NAME?</v>
      </c>
      <c r="V85" s="67" t="e">
        <f t="shared" ref="V85:V96" si="325">(G85+K85+L85-O85-U85)</f>
        <v>#NAME?</v>
      </c>
      <c r="W85" s="67" t="e">
        <f t="shared" ref="W85:W96" si="326">(I85-O85)</f>
        <v>#NAME?</v>
      </c>
      <c r="X85" s="66" t="e">
        <f t="shared" ref="X85:X96" si="327">КОЛ4020/$G$1</f>
        <v>#NAME?</v>
      </c>
      <c r="Y85" s="66" t="e">
        <f t="shared" ref="Y85:Y96" si="328">КОЛ4005/$G$1</f>
        <v>#NAME?</v>
      </c>
      <c r="Z85" s="66" t="e">
        <f t="shared" ref="Z85:Z96" si="329">AA85+AB85</f>
        <v>#NAME?</v>
      </c>
      <c r="AA85" s="66" t="e">
        <f t="shared" ref="AA85:AA96" si="330">КОЛ4007/$G$1</f>
        <v>#NAME?</v>
      </c>
      <c r="AB85" s="66" t="e">
        <f t="shared" ref="AB85:AB96" si="331">КОЛ4008/$G$1</f>
        <v>#NAME?</v>
      </c>
      <c r="AC85" s="66" t="e">
        <f t="shared" ref="AC85:AC96" si="332">КОЛ4009/$G$1</f>
        <v>#NAME?</v>
      </c>
      <c r="AD85" s="66" t="e">
        <f t="shared" ref="AD85:AD96" si="333">КОЛ4010/$G$1</f>
        <v>#NAME?</v>
      </c>
      <c r="AE85" s="66" t="e">
        <f t="shared" ref="AE85:AE96" si="334">КОЛ4011/$G$1</f>
        <v>#NAME?</v>
      </c>
      <c r="AF85" s="66" t="e">
        <f t="shared" ref="AF85:AF96" si="335">AG85+AI85</f>
        <v>#NAME?</v>
      </c>
      <c r="AG85" s="66" t="e">
        <f t="shared" ref="AG85:AG96" si="336">КОЛ4013/$G$1</f>
        <v>#NAME?</v>
      </c>
      <c r="AH85" s="66" t="e">
        <f t="shared" ref="AH85:AH96" si="337">КОЛ4014/$G$1</f>
        <v>#NAME?</v>
      </c>
      <c r="AI85" s="66" t="e">
        <f t="shared" ref="AI85:AI96" si="338">КОЛ4015/$G$1</f>
        <v>#NAME?</v>
      </c>
      <c r="AJ85" s="67" t="e">
        <f t="shared" si="307"/>
        <v>#NAME?</v>
      </c>
      <c r="AK85" s="67" t="e">
        <f t="shared" si="302"/>
        <v>#NAME?</v>
      </c>
      <c r="AL85" s="67" t="e">
        <f t="shared" si="303"/>
        <v>#NAME?</v>
      </c>
      <c r="AM85" s="67" t="e">
        <f t="shared" ref="AM85:AM96" si="339">КОЛ4017/$G$1</f>
        <v>#NAME?</v>
      </c>
      <c r="AN85" s="67" t="e">
        <f t="shared" ref="AN85:AN96" si="340">(Y85+AC85+AD85-AG85-AM85)</f>
        <v>#NAME?</v>
      </c>
      <c r="AO85" s="67" t="e">
        <f t="shared" ref="AO85:AO96" si="341">(AA85-AG85)</f>
        <v>#NAME?</v>
      </c>
      <c r="AP85" s="66" t="e">
        <f t="shared" ref="AP85:AP96" si="342">КОЛ4120/$G$1</f>
        <v>#NAME?</v>
      </c>
      <c r="AQ85" s="66" t="e">
        <f t="shared" ref="AQ85:AQ96" si="343">КОЛ4105/$G$1</f>
        <v>#NAME?</v>
      </c>
      <c r="AR85" s="66" t="e">
        <f t="shared" ref="AR85:AR96" si="344">AS85+AT85</f>
        <v>#NAME?</v>
      </c>
      <c r="AS85" s="66" t="e">
        <f t="shared" ref="AS85:AS96" si="345">КОЛ4107/$G$1</f>
        <v>#NAME?</v>
      </c>
      <c r="AT85" s="66" t="e">
        <f t="shared" ref="AT85:AT96" si="346">КОЛ4108/$G$1</f>
        <v>#NAME?</v>
      </c>
      <c r="AU85" s="66" t="e">
        <f t="shared" ref="AU85:AU96" si="347">КОЛ4109/$G$1</f>
        <v>#NAME?</v>
      </c>
      <c r="AV85" s="66" t="e">
        <f t="shared" ref="AV85:AV96" si="348">КОЛ4110/$G$1</f>
        <v>#NAME?</v>
      </c>
      <c r="AW85" s="66" t="e">
        <f t="shared" ref="AW85:AW96" si="349">КОЛ4111/$G$1</f>
        <v>#NAME?</v>
      </c>
      <c r="AX85" s="66" t="e">
        <f t="shared" ref="AX85:AX96" si="350">AY85+BA85</f>
        <v>#NAME?</v>
      </c>
      <c r="AY85" s="66" t="e">
        <f t="shared" ref="AY85:AY96" si="351">КОЛ4113/$G$1</f>
        <v>#NAME?</v>
      </c>
      <c r="AZ85" s="66" t="e">
        <f t="shared" ref="AZ85:AZ96" si="352">КОЛ4114/$G$1</f>
        <v>#NAME?</v>
      </c>
      <c r="BA85" s="66" t="e">
        <f t="shared" ref="BA85:BA96" si="353">КОЛ4115/$G$1</f>
        <v>#NAME?</v>
      </c>
      <c r="BB85" s="67" t="e">
        <f t="shared" si="308"/>
        <v>#NAME?</v>
      </c>
      <c r="BC85" s="67" t="e">
        <f t="shared" si="304"/>
        <v>#NAME?</v>
      </c>
      <c r="BD85" s="67" t="e">
        <f t="shared" si="305"/>
        <v>#NAME?</v>
      </c>
      <c r="BE85" s="67" t="e">
        <f t="shared" ref="BE85:BE96" si="354">КОЛ4117/$G$1</f>
        <v>#NAME?</v>
      </c>
      <c r="BF85" s="67" t="e">
        <f t="shared" ref="BF85:BF96" si="355">(AQ85+AU85+AV85-AY85-BE85)</f>
        <v>#NAME?</v>
      </c>
      <c r="BG85" s="67" t="e">
        <f t="shared" ref="BG85:BG96" si="356">(AS85-AY85)</f>
        <v>#NAME?</v>
      </c>
    </row>
    <row r="86" spans="1:59" ht="15.75" x14ac:dyDescent="0.25">
      <c r="A86" s="8" t="s">
        <v>196</v>
      </c>
      <c r="B86" s="11" t="s">
        <v>197</v>
      </c>
      <c r="C86" s="63" t="s">
        <v>198</v>
      </c>
      <c r="D86" s="64"/>
      <c r="E86" s="65"/>
      <c r="F86" s="66" t="e">
        <f t="shared" si="312"/>
        <v>#NAME?</v>
      </c>
      <c r="G86" s="66" t="e">
        <f t="shared" si="313"/>
        <v>#NAME?</v>
      </c>
      <c r="H86" s="66" t="e">
        <f t="shared" si="314"/>
        <v>#NAME?</v>
      </c>
      <c r="I86" s="66" t="e">
        <f t="shared" si="315"/>
        <v>#NAME?</v>
      </c>
      <c r="J86" s="66" t="e">
        <f t="shared" si="316"/>
        <v>#NAME?</v>
      </c>
      <c r="K86" s="66" t="e">
        <f t="shared" si="317"/>
        <v>#NAME?</v>
      </c>
      <c r="L86" s="66" t="e">
        <f t="shared" si="318"/>
        <v>#NAME?</v>
      </c>
      <c r="M86" s="66" t="e">
        <f t="shared" si="319"/>
        <v>#NAME?</v>
      </c>
      <c r="N86" s="66" t="e">
        <f t="shared" si="320"/>
        <v>#NAME?</v>
      </c>
      <c r="O86" s="66" t="e">
        <f t="shared" si="321"/>
        <v>#NAME?</v>
      </c>
      <c r="P86" s="66" t="e">
        <f t="shared" si="322"/>
        <v>#NAME?</v>
      </c>
      <c r="Q86" s="66" t="e">
        <f t="shared" si="323"/>
        <v>#NAME?</v>
      </c>
      <c r="R86" s="67" t="e">
        <f t="shared" si="306"/>
        <v>#NAME?</v>
      </c>
      <c r="S86" s="67" t="e">
        <f t="shared" si="300"/>
        <v>#NAME?</v>
      </c>
      <c r="T86" s="67" t="e">
        <f t="shared" si="301"/>
        <v>#NAME?</v>
      </c>
      <c r="U86" s="67" t="e">
        <f t="shared" si="324"/>
        <v>#NAME?</v>
      </c>
      <c r="V86" s="67" t="e">
        <f t="shared" si="325"/>
        <v>#NAME?</v>
      </c>
      <c r="W86" s="67" t="e">
        <f t="shared" si="326"/>
        <v>#NAME?</v>
      </c>
      <c r="X86" s="66" t="e">
        <f t="shared" si="327"/>
        <v>#NAME?</v>
      </c>
      <c r="Y86" s="66" t="e">
        <f t="shared" si="328"/>
        <v>#NAME?</v>
      </c>
      <c r="Z86" s="66" t="e">
        <f t="shared" si="329"/>
        <v>#NAME?</v>
      </c>
      <c r="AA86" s="66" t="e">
        <f t="shared" si="330"/>
        <v>#NAME?</v>
      </c>
      <c r="AB86" s="66" t="e">
        <f t="shared" si="331"/>
        <v>#NAME?</v>
      </c>
      <c r="AC86" s="66" t="e">
        <f t="shared" si="332"/>
        <v>#NAME?</v>
      </c>
      <c r="AD86" s="66" t="e">
        <f t="shared" si="333"/>
        <v>#NAME?</v>
      </c>
      <c r="AE86" s="66" t="e">
        <f t="shared" si="334"/>
        <v>#NAME?</v>
      </c>
      <c r="AF86" s="66" t="e">
        <f t="shared" si="335"/>
        <v>#NAME?</v>
      </c>
      <c r="AG86" s="66" t="e">
        <f t="shared" si="336"/>
        <v>#NAME?</v>
      </c>
      <c r="AH86" s="66" t="e">
        <f t="shared" si="337"/>
        <v>#NAME?</v>
      </c>
      <c r="AI86" s="66" t="e">
        <f t="shared" si="338"/>
        <v>#NAME?</v>
      </c>
      <c r="AJ86" s="67" t="e">
        <f t="shared" si="307"/>
        <v>#NAME?</v>
      </c>
      <c r="AK86" s="67" t="e">
        <f t="shared" si="302"/>
        <v>#NAME?</v>
      </c>
      <c r="AL86" s="67" t="e">
        <f t="shared" si="303"/>
        <v>#NAME?</v>
      </c>
      <c r="AM86" s="67" t="e">
        <f t="shared" si="339"/>
        <v>#NAME?</v>
      </c>
      <c r="AN86" s="67" t="e">
        <f t="shared" si="340"/>
        <v>#NAME?</v>
      </c>
      <c r="AO86" s="67" t="e">
        <f t="shared" si="341"/>
        <v>#NAME?</v>
      </c>
      <c r="AP86" s="66" t="e">
        <f t="shared" si="342"/>
        <v>#NAME?</v>
      </c>
      <c r="AQ86" s="66" t="e">
        <f t="shared" si="343"/>
        <v>#NAME?</v>
      </c>
      <c r="AR86" s="66" t="e">
        <f t="shared" si="344"/>
        <v>#NAME?</v>
      </c>
      <c r="AS86" s="66" t="e">
        <f t="shared" si="345"/>
        <v>#NAME?</v>
      </c>
      <c r="AT86" s="66" t="e">
        <f t="shared" si="346"/>
        <v>#NAME?</v>
      </c>
      <c r="AU86" s="66" t="e">
        <f t="shared" si="347"/>
        <v>#NAME?</v>
      </c>
      <c r="AV86" s="66" t="e">
        <f t="shared" si="348"/>
        <v>#NAME?</v>
      </c>
      <c r="AW86" s="66" t="e">
        <f t="shared" si="349"/>
        <v>#NAME?</v>
      </c>
      <c r="AX86" s="66" t="e">
        <f t="shared" si="350"/>
        <v>#NAME?</v>
      </c>
      <c r="AY86" s="66" t="e">
        <f t="shared" si="351"/>
        <v>#NAME?</v>
      </c>
      <c r="AZ86" s="66" t="e">
        <f t="shared" si="352"/>
        <v>#NAME?</v>
      </c>
      <c r="BA86" s="66" t="e">
        <f t="shared" si="353"/>
        <v>#NAME?</v>
      </c>
      <c r="BB86" s="67" t="e">
        <f t="shared" si="308"/>
        <v>#NAME?</v>
      </c>
      <c r="BC86" s="67" t="e">
        <f t="shared" si="304"/>
        <v>#NAME?</v>
      </c>
      <c r="BD86" s="67" t="e">
        <f t="shared" si="305"/>
        <v>#NAME?</v>
      </c>
      <c r="BE86" s="67" t="e">
        <f t="shared" si="354"/>
        <v>#NAME?</v>
      </c>
      <c r="BF86" s="67" t="e">
        <f t="shared" si="355"/>
        <v>#NAME?</v>
      </c>
      <c r="BG86" s="67" t="e">
        <f t="shared" si="356"/>
        <v>#NAME?</v>
      </c>
    </row>
    <row r="87" spans="1:59" ht="15.75" x14ac:dyDescent="0.25">
      <c r="A87" s="8" t="s">
        <v>199</v>
      </c>
      <c r="B87" s="11" t="s">
        <v>200</v>
      </c>
      <c r="C87" s="63" t="s">
        <v>201</v>
      </c>
      <c r="D87" s="64"/>
      <c r="E87" s="65"/>
      <c r="F87" s="66" t="e">
        <f t="shared" si="312"/>
        <v>#NAME?</v>
      </c>
      <c r="G87" s="66" t="e">
        <f t="shared" si="313"/>
        <v>#NAME?</v>
      </c>
      <c r="H87" s="66" t="e">
        <f t="shared" si="314"/>
        <v>#NAME?</v>
      </c>
      <c r="I87" s="66" t="e">
        <f t="shared" si="315"/>
        <v>#NAME?</v>
      </c>
      <c r="J87" s="66" t="e">
        <f t="shared" si="316"/>
        <v>#NAME?</v>
      </c>
      <c r="K87" s="66" t="e">
        <f t="shared" si="317"/>
        <v>#NAME?</v>
      </c>
      <c r="L87" s="66" t="e">
        <f t="shared" si="318"/>
        <v>#NAME?</v>
      </c>
      <c r="M87" s="66" t="e">
        <f t="shared" si="319"/>
        <v>#NAME?</v>
      </c>
      <c r="N87" s="66" t="e">
        <f t="shared" si="320"/>
        <v>#NAME?</v>
      </c>
      <c r="O87" s="66" t="e">
        <f t="shared" si="321"/>
        <v>#NAME?</v>
      </c>
      <c r="P87" s="66" t="e">
        <f t="shared" si="322"/>
        <v>#NAME?</v>
      </c>
      <c r="Q87" s="66" t="e">
        <f t="shared" si="323"/>
        <v>#NAME?</v>
      </c>
      <c r="R87" s="67" t="e">
        <f t="shared" si="306"/>
        <v>#NAME?</v>
      </c>
      <c r="S87" s="67" t="e">
        <f t="shared" si="300"/>
        <v>#NAME?</v>
      </c>
      <c r="T87" s="67" t="e">
        <f t="shared" si="301"/>
        <v>#NAME?</v>
      </c>
      <c r="U87" s="67" t="e">
        <f t="shared" si="324"/>
        <v>#NAME?</v>
      </c>
      <c r="V87" s="67" t="e">
        <f t="shared" si="325"/>
        <v>#NAME?</v>
      </c>
      <c r="W87" s="67" t="e">
        <f t="shared" si="326"/>
        <v>#NAME?</v>
      </c>
      <c r="X87" s="66" t="e">
        <f t="shared" si="327"/>
        <v>#NAME?</v>
      </c>
      <c r="Y87" s="66" t="e">
        <f t="shared" si="328"/>
        <v>#NAME?</v>
      </c>
      <c r="Z87" s="66" t="e">
        <f t="shared" si="329"/>
        <v>#NAME?</v>
      </c>
      <c r="AA87" s="66" t="e">
        <f t="shared" si="330"/>
        <v>#NAME?</v>
      </c>
      <c r="AB87" s="66" t="e">
        <f t="shared" si="331"/>
        <v>#NAME?</v>
      </c>
      <c r="AC87" s="66" t="e">
        <f t="shared" si="332"/>
        <v>#NAME?</v>
      </c>
      <c r="AD87" s="66" t="e">
        <f t="shared" si="333"/>
        <v>#NAME?</v>
      </c>
      <c r="AE87" s="66" t="e">
        <f t="shared" si="334"/>
        <v>#NAME?</v>
      </c>
      <c r="AF87" s="66" t="e">
        <f t="shared" si="335"/>
        <v>#NAME?</v>
      </c>
      <c r="AG87" s="66" t="e">
        <f t="shared" si="336"/>
        <v>#NAME?</v>
      </c>
      <c r="AH87" s="66" t="e">
        <f t="shared" si="337"/>
        <v>#NAME?</v>
      </c>
      <c r="AI87" s="66" t="e">
        <f t="shared" si="338"/>
        <v>#NAME?</v>
      </c>
      <c r="AJ87" s="67" t="e">
        <f t="shared" si="307"/>
        <v>#NAME?</v>
      </c>
      <c r="AK87" s="67" t="e">
        <f t="shared" si="302"/>
        <v>#NAME?</v>
      </c>
      <c r="AL87" s="67" t="e">
        <f t="shared" si="303"/>
        <v>#NAME?</v>
      </c>
      <c r="AM87" s="67" t="e">
        <f t="shared" si="339"/>
        <v>#NAME?</v>
      </c>
      <c r="AN87" s="67" t="e">
        <f t="shared" si="340"/>
        <v>#NAME?</v>
      </c>
      <c r="AO87" s="67" t="e">
        <f t="shared" si="341"/>
        <v>#NAME?</v>
      </c>
      <c r="AP87" s="66" t="e">
        <f t="shared" si="342"/>
        <v>#NAME?</v>
      </c>
      <c r="AQ87" s="66" t="e">
        <f t="shared" si="343"/>
        <v>#NAME?</v>
      </c>
      <c r="AR87" s="66" t="e">
        <f t="shared" si="344"/>
        <v>#NAME?</v>
      </c>
      <c r="AS87" s="66" t="e">
        <f t="shared" si="345"/>
        <v>#NAME?</v>
      </c>
      <c r="AT87" s="66" t="e">
        <f t="shared" si="346"/>
        <v>#NAME?</v>
      </c>
      <c r="AU87" s="66" t="e">
        <f t="shared" si="347"/>
        <v>#NAME?</v>
      </c>
      <c r="AV87" s="66" t="e">
        <f t="shared" si="348"/>
        <v>#NAME?</v>
      </c>
      <c r="AW87" s="66" t="e">
        <f t="shared" si="349"/>
        <v>#NAME?</v>
      </c>
      <c r="AX87" s="66" t="e">
        <f t="shared" si="350"/>
        <v>#NAME?</v>
      </c>
      <c r="AY87" s="66" t="e">
        <f t="shared" si="351"/>
        <v>#NAME?</v>
      </c>
      <c r="AZ87" s="66" t="e">
        <f t="shared" si="352"/>
        <v>#NAME?</v>
      </c>
      <c r="BA87" s="66" t="e">
        <f t="shared" si="353"/>
        <v>#NAME?</v>
      </c>
      <c r="BB87" s="67" t="e">
        <f t="shared" si="308"/>
        <v>#NAME?</v>
      </c>
      <c r="BC87" s="67" t="e">
        <f t="shared" si="304"/>
        <v>#NAME?</v>
      </c>
      <c r="BD87" s="67" t="e">
        <f t="shared" si="305"/>
        <v>#NAME?</v>
      </c>
      <c r="BE87" s="67" t="e">
        <f t="shared" si="354"/>
        <v>#NAME?</v>
      </c>
      <c r="BF87" s="67" t="e">
        <f t="shared" si="355"/>
        <v>#NAME?</v>
      </c>
      <c r="BG87" s="67" t="e">
        <f t="shared" si="356"/>
        <v>#NAME?</v>
      </c>
    </row>
    <row r="88" spans="1:59" ht="15.75" x14ac:dyDescent="0.25">
      <c r="A88" s="8" t="s">
        <v>202</v>
      </c>
      <c r="B88" s="11" t="s">
        <v>203</v>
      </c>
      <c r="C88" s="63" t="s">
        <v>204</v>
      </c>
      <c r="D88" s="64"/>
      <c r="E88" s="65"/>
      <c r="F88" s="66" t="e">
        <f t="shared" si="312"/>
        <v>#NAME?</v>
      </c>
      <c r="G88" s="66" t="e">
        <f t="shared" si="313"/>
        <v>#NAME?</v>
      </c>
      <c r="H88" s="66" t="e">
        <f t="shared" si="314"/>
        <v>#NAME?</v>
      </c>
      <c r="I88" s="66" t="e">
        <f t="shared" si="315"/>
        <v>#NAME?</v>
      </c>
      <c r="J88" s="66" t="e">
        <f t="shared" si="316"/>
        <v>#NAME?</v>
      </c>
      <c r="K88" s="66" t="e">
        <f t="shared" si="317"/>
        <v>#NAME?</v>
      </c>
      <c r="L88" s="66" t="e">
        <f t="shared" si="318"/>
        <v>#NAME?</v>
      </c>
      <c r="M88" s="66" t="e">
        <f t="shared" si="319"/>
        <v>#NAME?</v>
      </c>
      <c r="N88" s="66" t="e">
        <f t="shared" si="320"/>
        <v>#NAME?</v>
      </c>
      <c r="O88" s="66" t="e">
        <f t="shared" si="321"/>
        <v>#NAME?</v>
      </c>
      <c r="P88" s="66" t="e">
        <f t="shared" si="322"/>
        <v>#NAME?</v>
      </c>
      <c r="Q88" s="66" t="e">
        <f t="shared" si="323"/>
        <v>#NAME?</v>
      </c>
      <c r="R88" s="67" t="e">
        <f t="shared" si="306"/>
        <v>#NAME?</v>
      </c>
      <c r="S88" s="67" t="e">
        <f t="shared" si="300"/>
        <v>#NAME?</v>
      </c>
      <c r="T88" s="67" t="e">
        <f t="shared" si="301"/>
        <v>#NAME?</v>
      </c>
      <c r="U88" s="67" t="e">
        <f t="shared" si="324"/>
        <v>#NAME?</v>
      </c>
      <c r="V88" s="67" t="e">
        <f t="shared" si="325"/>
        <v>#NAME?</v>
      </c>
      <c r="W88" s="67" t="e">
        <f t="shared" si="326"/>
        <v>#NAME?</v>
      </c>
      <c r="X88" s="66" t="e">
        <f t="shared" si="327"/>
        <v>#NAME?</v>
      </c>
      <c r="Y88" s="66" t="e">
        <f t="shared" si="328"/>
        <v>#NAME?</v>
      </c>
      <c r="Z88" s="66" t="e">
        <f t="shared" si="329"/>
        <v>#NAME?</v>
      </c>
      <c r="AA88" s="66" t="e">
        <f t="shared" si="330"/>
        <v>#NAME?</v>
      </c>
      <c r="AB88" s="66" t="e">
        <f t="shared" si="331"/>
        <v>#NAME?</v>
      </c>
      <c r="AC88" s="66" t="e">
        <f t="shared" si="332"/>
        <v>#NAME?</v>
      </c>
      <c r="AD88" s="66" t="e">
        <f t="shared" si="333"/>
        <v>#NAME?</v>
      </c>
      <c r="AE88" s="66" t="e">
        <f t="shared" si="334"/>
        <v>#NAME?</v>
      </c>
      <c r="AF88" s="66" t="e">
        <f t="shared" si="335"/>
        <v>#NAME?</v>
      </c>
      <c r="AG88" s="66" t="e">
        <f t="shared" si="336"/>
        <v>#NAME?</v>
      </c>
      <c r="AH88" s="66" t="e">
        <f t="shared" si="337"/>
        <v>#NAME?</v>
      </c>
      <c r="AI88" s="66" t="e">
        <f t="shared" si="338"/>
        <v>#NAME?</v>
      </c>
      <c r="AJ88" s="67" t="e">
        <f t="shared" si="307"/>
        <v>#NAME?</v>
      </c>
      <c r="AK88" s="67" t="e">
        <f t="shared" si="302"/>
        <v>#NAME?</v>
      </c>
      <c r="AL88" s="67" t="e">
        <f t="shared" si="303"/>
        <v>#NAME?</v>
      </c>
      <c r="AM88" s="67" t="e">
        <f t="shared" si="339"/>
        <v>#NAME?</v>
      </c>
      <c r="AN88" s="67" t="e">
        <f t="shared" si="340"/>
        <v>#NAME?</v>
      </c>
      <c r="AO88" s="67" t="e">
        <f t="shared" si="341"/>
        <v>#NAME?</v>
      </c>
      <c r="AP88" s="66" t="e">
        <f t="shared" si="342"/>
        <v>#NAME?</v>
      </c>
      <c r="AQ88" s="66" t="e">
        <f t="shared" si="343"/>
        <v>#NAME?</v>
      </c>
      <c r="AR88" s="66" t="e">
        <f t="shared" si="344"/>
        <v>#NAME?</v>
      </c>
      <c r="AS88" s="66" t="e">
        <f t="shared" si="345"/>
        <v>#NAME?</v>
      </c>
      <c r="AT88" s="66" t="e">
        <f t="shared" si="346"/>
        <v>#NAME?</v>
      </c>
      <c r="AU88" s="66" t="e">
        <f t="shared" si="347"/>
        <v>#NAME?</v>
      </c>
      <c r="AV88" s="66" t="e">
        <f t="shared" si="348"/>
        <v>#NAME?</v>
      </c>
      <c r="AW88" s="66" t="e">
        <f t="shared" si="349"/>
        <v>#NAME?</v>
      </c>
      <c r="AX88" s="66" t="e">
        <f t="shared" si="350"/>
        <v>#NAME?</v>
      </c>
      <c r="AY88" s="66" t="e">
        <f t="shared" si="351"/>
        <v>#NAME?</v>
      </c>
      <c r="AZ88" s="66" t="e">
        <f t="shared" si="352"/>
        <v>#NAME?</v>
      </c>
      <c r="BA88" s="66" t="e">
        <f t="shared" si="353"/>
        <v>#NAME?</v>
      </c>
      <c r="BB88" s="67" t="e">
        <f t="shared" si="308"/>
        <v>#NAME?</v>
      </c>
      <c r="BC88" s="67" t="e">
        <f t="shared" si="304"/>
        <v>#NAME?</v>
      </c>
      <c r="BD88" s="67" t="e">
        <f t="shared" si="305"/>
        <v>#NAME?</v>
      </c>
      <c r="BE88" s="67" t="e">
        <f t="shared" si="354"/>
        <v>#NAME?</v>
      </c>
      <c r="BF88" s="67" t="e">
        <f t="shared" si="355"/>
        <v>#NAME?</v>
      </c>
      <c r="BG88" s="67" t="e">
        <f t="shared" si="356"/>
        <v>#NAME?</v>
      </c>
    </row>
    <row r="89" spans="1:59" ht="15.75" x14ac:dyDescent="0.25">
      <c r="A89" s="8" t="s">
        <v>205</v>
      </c>
      <c r="B89" s="11" t="s">
        <v>206</v>
      </c>
      <c r="C89" s="63" t="s">
        <v>207</v>
      </c>
      <c r="D89" s="64"/>
      <c r="E89" s="65"/>
      <c r="F89" s="66" t="e">
        <f t="shared" si="312"/>
        <v>#NAME?</v>
      </c>
      <c r="G89" s="66" t="e">
        <f t="shared" si="313"/>
        <v>#NAME?</v>
      </c>
      <c r="H89" s="66" t="e">
        <f t="shared" si="314"/>
        <v>#NAME?</v>
      </c>
      <c r="I89" s="66" t="e">
        <f t="shared" si="315"/>
        <v>#NAME?</v>
      </c>
      <c r="J89" s="66" t="e">
        <f t="shared" si="316"/>
        <v>#NAME?</v>
      </c>
      <c r="K89" s="66" t="e">
        <f t="shared" si="317"/>
        <v>#NAME?</v>
      </c>
      <c r="L89" s="66" t="e">
        <f t="shared" si="318"/>
        <v>#NAME?</v>
      </c>
      <c r="M89" s="66" t="e">
        <f t="shared" si="319"/>
        <v>#NAME?</v>
      </c>
      <c r="N89" s="66" t="e">
        <f t="shared" si="320"/>
        <v>#NAME?</v>
      </c>
      <c r="O89" s="66" t="e">
        <f t="shared" si="321"/>
        <v>#NAME?</v>
      </c>
      <c r="P89" s="66" t="e">
        <f t="shared" si="322"/>
        <v>#NAME?</v>
      </c>
      <c r="Q89" s="66" t="e">
        <f t="shared" si="323"/>
        <v>#NAME?</v>
      </c>
      <c r="R89" s="67" t="e">
        <f t="shared" si="306"/>
        <v>#NAME?</v>
      </c>
      <c r="S89" s="67" t="e">
        <f t="shared" si="300"/>
        <v>#NAME?</v>
      </c>
      <c r="T89" s="67" t="e">
        <f t="shared" si="301"/>
        <v>#NAME?</v>
      </c>
      <c r="U89" s="67" t="e">
        <f t="shared" si="324"/>
        <v>#NAME?</v>
      </c>
      <c r="V89" s="67" t="e">
        <f t="shared" si="325"/>
        <v>#NAME?</v>
      </c>
      <c r="W89" s="67" t="e">
        <f t="shared" si="326"/>
        <v>#NAME?</v>
      </c>
      <c r="X89" s="66" t="e">
        <f t="shared" si="327"/>
        <v>#NAME?</v>
      </c>
      <c r="Y89" s="66" t="e">
        <f t="shared" si="328"/>
        <v>#NAME?</v>
      </c>
      <c r="Z89" s="66" t="e">
        <f t="shared" si="329"/>
        <v>#NAME?</v>
      </c>
      <c r="AA89" s="66" t="e">
        <f t="shared" si="330"/>
        <v>#NAME?</v>
      </c>
      <c r="AB89" s="66" t="e">
        <f t="shared" si="331"/>
        <v>#NAME?</v>
      </c>
      <c r="AC89" s="66" t="e">
        <f t="shared" si="332"/>
        <v>#NAME?</v>
      </c>
      <c r="AD89" s="66" t="e">
        <f t="shared" si="333"/>
        <v>#NAME?</v>
      </c>
      <c r="AE89" s="66" t="e">
        <f t="shared" si="334"/>
        <v>#NAME?</v>
      </c>
      <c r="AF89" s="66" t="e">
        <f t="shared" si="335"/>
        <v>#NAME?</v>
      </c>
      <c r="AG89" s="66" t="e">
        <f t="shared" si="336"/>
        <v>#NAME?</v>
      </c>
      <c r="AH89" s="66" t="e">
        <f t="shared" si="337"/>
        <v>#NAME?</v>
      </c>
      <c r="AI89" s="66" t="e">
        <f t="shared" si="338"/>
        <v>#NAME?</v>
      </c>
      <c r="AJ89" s="67" t="e">
        <f t="shared" si="307"/>
        <v>#NAME?</v>
      </c>
      <c r="AK89" s="67" t="e">
        <f t="shared" si="302"/>
        <v>#NAME?</v>
      </c>
      <c r="AL89" s="67" t="e">
        <f t="shared" si="303"/>
        <v>#NAME?</v>
      </c>
      <c r="AM89" s="67" t="e">
        <f t="shared" si="339"/>
        <v>#NAME?</v>
      </c>
      <c r="AN89" s="67" t="e">
        <f t="shared" si="340"/>
        <v>#NAME?</v>
      </c>
      <c r="AO89" s="67" t="e">
        <f t="shared" si="341"/>
        <v>#NAME?</v>
      </c>
      <c r="AP89" s="66" t="e">
        <f t="shared" si="342"/>
        <v>#NAME?</v>
      </c>
      <c r="AQ89" s="66" t="e">
        <f t="shared" si="343"/>
        <v>#NAME?</v>
      </c>
      <c r="AR89" s="66" t="e">
        <f t="shared" si="344"/>
        <v>#NAME?</v>
      </c>
      <c r="AS89" s="66" t="e">
        <f t="shared" si="345"/>
        <v>#NAME?</v>
      </c>
      <c r="AT89" s="66" t="e">
        <f t="shared" si="346"/>
        <v>#NAME?</v>
      </c>
      <c r="AU89" s="66" t="e">
        <f t="shared" si="347"/>
        <v>#NAME?</v>
      </c>
      <c r="AV89" s="66" t="e">
        <f t="shared" si="348"/>
        <v>#NAME?</v>
      </c>
      <c r="AW89" s="66" t="e">
        <f t="shared" si="349"/>
        <v>#NAME?</v>
      </c>
      <c r="AX89" s="66" t="e">
        <f t="shared" si="350"/>
        <v>#NAME?</v>
      </c>
      <c r="AY89" s="66" t="e">
        <f t="shared" si="351"/>
        <v>#NAME?</v>
      </c>
      <c r="AZ89" s="66" t="e">
        <f t="shared" si="352"/>
        <v>#NAME?</v>
      </c>
      <c r="BA89" s="66" t="e">
        <f t="shared" si="353"/>
        <v>#NAME?</v>
      </c>
      <c r="BB89" s="67" t="e">
        <f t="shared" si="308"/>
        <v>#NAME?</v>
      </c>
      <c r="BC89" s="67" t="e">
        <f t="shared" si="304"/>
        <v>#NAME?</v>
      </c>
      <c r="BD89" s="67" t="e">
        <f t="shared" si="305"/>
        <v>#NAME?</v>
      </c>
      <c r="BE89" s="67" t="e">
        <f t="shared" si="354"/>
        <v>#NAME?</v>
      </c>
      <c r="BF89" s="67" t="e">
        <f t="shared" si="355"/>
        <v>#NAME?</v>
      </c>
      <c r="BG89" s="67" t="e">
        <f t="shared" si="356"/>
        <v>#NAME?</v>
      </c>
    </row>
    <row r="90" spans="1:59" ht="15.75" x14ac:dyDescent="0.25">
      <c r="A90" s="8" t="s">
        <v>208</v>
      </c>
      <c r="B90" s="11" t="s">
        <v>209</v>
      </c>
      <c r="C90" s="63" t="s">
        <v>210</v>
      </c>
      <c r="D90" s="64"/>
      <c r="E90" s="65"/>
      <c r="F90" s="66" t="e">
        <f t="shared" si="312"/>
        <v>#NAME?</v>
      </c>
      <c r="G90" s="66" t="e">
        <f t="shared" si="313"/>
        <v>#NAME?</v>
      </c>
      <c r="H90" s="66" t="e">
        <f t="shared" si="314"/>
        <v>#NAME?</v>
      </c>
      <c r="I90" s="66" t="e">
        <f t="shared" si="315"/>
        <v>#NAME?</v>
      </c>
      <c r="J90" s="66" t="e">
        <f t="shared" si="316"/>
        <v>#NAME?</v>
      </c>
      <c r="K90" s="66" t="e">
        <f t="shared" si="317"/>
        <v>#NAME?</v>
      </c>
      <c r="L90" s="66" t="e">
        <f t="shared" si="318"/>
        <v>#NAME?</v>
      </c>
      <c r="M90" s="66" t="e">
        <f t="shared" si="319"/>
        <v>#NAME?</v>
      </c>
      <c r="N90" s="66" t="e">
        <f t="shared" si="320"/>
        <v>#NAME?</v>
      </c>
      <c r="O90" s="66" t="e">
        <f t="shared" si="321"/>
        <v>#NAME?</v>
      </c>
      <c r="P90" s="66" t="e">
        <f t="shared" si="322"/>
        <v>#NAME?</v>
      </c>
      <c r="Q90" s="66" t="e">
        <f t="shared" si="323"/>
        <v>#NAME?</v>
      </c>
      <c r="R90" s="67" t="e">
        <f t="shared" si="306"/>
        <v>#NAME?</v>
      </c>
      <c r="S90" s="67" t="e">
        <f t="shared" si="300"/>
        <v>#NAME?</v>
      </c>
      <c r="T90" s="67" t="e">
        <f t="shared" si="301"/>
        <v>#NAME?</v>
      </c>
      <c r="U90" s="67" t="e">
        <f t="shared" si="324"/>
        <v>#NAME?</v>
      </c>
      <c r="V90" s="67" t="e">
        <f t="shared" si="325"/>
        <v>#NAME?</v>
      </c>
      <c r="W90" s="67" t="e">
        <f t="shared" si="326"/>
        <v>#NAME?</v>
      </c>
      <c r="X90" s="66" t="e">
        <f t="shared" si="327"/>
        <v>#NAME?</v>
      </c>
      <c r="Y90" s="66" t="e">
        <f t="shared" si="328"/>
        <v>#NAME?</v>
      </c>
      <c r="Z90" s="66" t="e">
        <f t="shared" si="329"/>
        <v>#NAME?</v>
      </c>
      <c r="AA90" s="66" t="e">
        <f t="shared" si="330"/>
        <v>#NAME?</v>
      </c>
      <c r="AB90" s="66" t="e">
        <f t="shared" si="331"/>
        <v>#NAME?</v>
      </c>
      <c r="AC90" s="66" t="e">
        <f t="shared" si="332"/>
        <v>#NAME?</v>
      </c>
      <c r="AD90" s="66" t="e">
        <f t="shared" si="333"/>
        <v>#NAME?</v>
      </c>
      <c r="AE90" s="66" t="e">
        <f t="shared" si="334"/>
        <v>#NAME?</v>
      </c>
      <c r="AF90" s="66" t="e">
        <f t="shared" si="335"/>
        <v>#NAME?</v>
      </c>
      <c r="AG90" s="66" t="e">
        <f t="shared" si="336"/>
        <v>#NAME?</v>
      </c>
      <c r="AH90" s="66" t="e">
        <f t="shared" si="337"/>
        <v>#NAME?</v>
      </c>
      <c r="AI90" s="66" t="e">
        <f t="shared" si="338"/>
        <v>#NAME?</v>
      </c>
      <c r="AJ90" s="67" t="e">
        <f t="shared" si="307"/>
        <v>#NAME?</v>
      </c>
      <c r="AK90" s="67" t="e">
        <f t="shared" si="302"/>
        <v>#NAME?</v>
      </c>
      <c r="AL90" s="67" t="e">
        <f t="shared" si="303"/>
        <v>#NAME?</v>
      </c>
      <c r="AM90" s="67" t="e">
        <f t="shared" si="339"/>
        <v>#NAME?</v>
      </c>
      <c r="AN90" s="67" t="e">
        <f t="shared" si="340"/>
        <v>#NAME?</v>
      </c>
      <c r="AO90" s="67" t="e">
        <f t="shared" si="341"/>
        <v>#NAME?</v>
      </c>
      <c r="AP90" s="66" t="e">
        <f t="shared" si="342"/>
        <v>#NAME?</v>
      </c>
      <c r="AQ90" s="66" t="e">
        <f t="shared" si="343"/>
        <v>#NAME?</v>
      </c>
      <c r="AR90" s="66" t="e">
        <f t="shared" si="344"/>
        <v>#NAME?</v>
      </c>
      <c r="AS90" s="66" t="e">
        <f t="shared" si="345"/>
        <v>#NAME?</v>
      </c>
      <c r="AT90" s="66" t="e">
        <f t="shared" si="346"/>
        <v>#NAME?</v>
      </c>
      <c r="AU90" s="66" t="e">
        <f t="shared" si="347"/>
        <v>#NAME?</v>
      </c>
      <c r="AV90" s="66" t="e">
        <f t="shared" si="348"/>
        <v>#NAME?</v>
      </c>
      <c r="AW90" s="66" t="e">
        <f t="shared" si="349"/>
        <v>#NAME?</v>
      </c>
      <c r="AX90" s="66" t="e">
        <f t="shared" si="350"/>
        <v>#NAME?</v>
      </c>
      <c r="AY90" s="66" t="e">
        <f t="shared" si="351"/>
        <v>#NAME?</v>
      </c>
      <c r="AZ90" s="66" t="e">
        <f t="shared" si="352"/>
        <v>#NAME?</v>
      </c>
      <c r="BA90" s="66" t="e">
        <f t="shared" si="353"/>
        <v>#NAME?</v>
      </c>
      <c r="BB90" s="67" t="e">
        <f t="shared" si="308"/>
        <v>#NAME?</v>
      </c>
      <c r="BC90" s="67" t="e">
        <f t="shared" si="304"/>
        <v>#NAME?</v>
      </c>
      <c r="BD90" s="67" t="e">
        <f t="shared" si="305"/>
        <v>#NAME?</v>
      </c>
      <c r="BE90" s="67" t="e">
        <f t="shared" si="354"/>
        <v>#NAME?</v>
      </c>
      <c r="BF90" s="67" t="e">
        <f t="shared" si="355"/>
        <v>#NAME?</v>
      </c>
      <c r="BG90" s="67" t="e">
        <f t="shared" si="356"/>
        <v>#NAME?</v>
      </c>
    </row>
    <row r="91" spans="1:59" ht="15.75" x14ac:dyDescent="0.25">
      <c r="A91" s="8" t="s">
        <v>211</v>
      </c>
      <c r="B91" s="11" t="s">
        <v>212</v>
      </c>
      <c r="C91" s="63" t="s">
        <v>213</v>
      </c>
      <c r="D91" s="64"/>
      <c r="E91" s="65"/>
      <c r="F91" s="66" t="e">
        <f t="shared" si="312"/>
        <v>#NAME?</v>
      </c>
      <c r="G91" s="66" t="e">
        <f t="shared" si="313"/>
        <v>#NAME?</v>
      </c>
      <c r="H91" s="66" t="e">
        <f t="shared" si="314"/>
        <v>#NAME?</v>
      </c>
      <c r="I91" s="66" t="e">
        <f t="shared" si="315"/>
        <v>#NAME?</v>
      </c>
      <c r="J91" s="66" t="e">
        <f t="shared" si="316"/>
        <v>#NAME?</v>
      </c>
      <c r="K91" s="66" t="e">
        <f t="shared" si="317"/>
        <v>#NAME?</v>
      </c>
      <c r="L91" s="66" t="e">
        <f t="shared" si="318"/>
        <v>#NAME?</v>
      </c>
      <c r="M91" s="66" t="e">
        <f t="shared" si="319"/>
        <v>#NAME?</v>
      </c>
      <c r="N91" s="66" t="e">
        <f t="shared" si="320"/>
        <v>#NAME?</v>
      </c>
      <c r="O91" s="66" t="e">
        <f t="shared" si="321"/>
        <v>#NAME?</v>
      </c>
      <c r="P91" s="66" t="e">
        <f t="shared" si="322"/>
        <v>#NAME?</v>
      </c>
      <c r="Q91" s="66" t="e">
        <f t="shared" si="323"/>
        <v>#NAME?</v>
      </c>
      <c r="R91" s="67" t="e">
        <f t="shared" si="306"/>
        <v>#NAME?</v>
      </c>
      <c r="S91" s="67" t="e">
        <f t="shared" si="300"/>
        <v>#NAME?</v>
      </c>
      <c r="T91" s="67" t="e">
        <f t="shared" si="301"/>
        <v>#NAME?</v>
      </c>
      <c r="U91" s="67" t="e">
        <f t="shared" si="324"/>
        <v>#NAME?</v>
      </c>
      <c r="V91" s="67" t="e">
        <f t="shared" si="325"/>
        <v>#NAME?</v>
      </c>
      <c r="W91" s="67" t="e">
        <f t="shared" si="326"/>
        <v>#NAME?</v>
      </c>
      <c r="X91" s="66" t="e">
        <f t="shared" si="327"/>
        <v>#NAME?</v>
      </c>
      <c r="Y91" s="66" t="e">
        <f t="shared" si="328"/>
        <v>#NAME?</v>
      </c>
      <c r="Z91" s="66" t="e">
        <f t="shared" si="329"/>
        <v>#NAME?</v>
      </c>
      <c r="AA91" s="66" t="e">
        <f t="shared" si="330"/>
        <v>#NAME?</v>
      </c>
      <c r="AB91" s="66" t="e">
        <f t="shared" si="331"/>
        <v>#NAME?</v>
      </c>
      <c r="AC91" s="66" t="e">
        <f t="shared" si="332"/>
        <v>#NAME?</v>
      </c>
      <c r="AD91" s="66" t="e">
        <f t="shared" si="333"/>
        <v>#NAME?</v>
      </c>
      <c r="AE91" s="66" t="e">
        <f t="shared" si="334"/>
        <v>#NAME?</v>
      </c>
      <c r="AF91" s="66" t="e">
        <f t="shared" si="335"/>
        <v>#NAME?</v>
      </c>
      <c r="AG91" s="66" t="e">
        <f t="shared" si="336"/>
        <v>#NAME?</v>
      </c>
      <c r="AH91" s="66" t="e">
        <f t="shared" si="337"/>
        <v>#NAME?</v>
      </c>
      <c r="AI91" s="66" t="e">
        <f t="shared" si="338"/>
        <v>#NAME?</v>
      </c>
      <c r="AJ91" s="67" t="e">
        <f t="shared" si="307"/>
        <v>#NAME?</v>
      </c>
      <c r="AK91" s="67" t="e">
        <f t="shared" si="302"/>
        <v>#NAME?</v>
      </c>
      <c r="AL91" s="67" t="e">
        <f t="shared" si="303"/>
        <v>#NAME?</v>
      </c>
      <c r="AM91" s="67" t="e">
        <f t="shared" si="339"/>
        <v>#NAME?</v>
      </c>
      <c r="AN91" s="67" t="e">
        <f t="shared" si="340"/>
        <v>#NAME?</v>
      </c>
      <c r="AO91" s="67" t="e">
        <f t="shared" si="341"/>
        <v>#NAME?</v>
      </c>
      <c r="AP91" s="66" t="e">
        <f t="shared" si="342"/>
        <v>#NAME?</v>
      </c>
      <c r="AQ91" s="66" t="e">
        <f t="shared" si="343"/>
        <v>#NAME?</v>
      </c>
      <c r="AR91" s="66" t="e">
        <f t="shared" si="344"/>
        <v>#NAME?</v>
      </c>
      <c r="AS91" s="66" t="e">
        <f t="shared" si="345"/>
        <v>#NAME?</v>
      </c>
      <c r="AT91" s="66" t="e">
        <f t="shared" si="346"/>
        <v>#NAME?</v>
      </c>
      <c r="AU91" s="66" t="e">
        <f t="shared" si="347"/>
        <v>#NAME?</v>
      </c>
      <c r="AV91" s="66" t="e">
        <f t="shared" si="348"/>
        <v>#NAME?</v>
      </c>
      <c r="AW91" s="66" t="e">
        <f t="shared" si="349"/>
        <v>#NAME?</v>
      </c>
      <c r="AX91" s="66" t="e">
        <f t="shared" si="350"/>
        <v>#NAME?</v>
      </c>
      <c r="AY91" s="66" t="e">
        <f t="shared" si="351"/>
        <v>#NAME?</v>
      </c>
      <c r="AZ91" s="66" t="e">
        <f t="shared" si="352"/>
        <v>#NAME?</v>
      </c>
      <c r="BA91" s="66" t="e">
        <f t="shared" si="353"/>
        <v>#NAME?</v>
      </c>
      <c r="BB91" s="67" t="e">
        <f t="shared" si="308"/>
        <v>#NAME?</v>
      </c>
      <c r="BC91" s="67" t="e">
        <f t="shared" si="304"/>
        <v>#NAME?</v>
      </c>
      <c r="BD91" s="67" t="e">
        <f t="shared" si="305"/>
        <v>#NAME?</v>
      </c>
      <c r="BE91" s="67" t="e">
        <f t="shared" si="354"/>
        <v>#NAME?</v>
      </c>
      <c r="BF91" s="67" t="e">
        <f t="shared" si="355"/>
        <v>#NAME?</v>
      </c>
      <c r="BG91" s="67" t="e">
        <f t="shared" si="356"/>
        <v>#NAME?</v>
      </c>
    </row>
    <row r="92" spans="1:59" ht="15.75" x14ac:dyDescent="0.25">
      <c r="A92" s="8" t="s">
        <v>214</v>
      </c>
      <c r="B92" s="11" t="s">
        <v>215</v>
      </c>
      <c r="C92" s="63" t="s">
        <v>216</v>
      </c>
      <c r="D92" s="64"/>
      <c r="E92" s="65"/>
      <c r="F92" s="66" t="e">
        <f t="shared" si="312"/>
        <v>#NAME?</v>
      </c>
      <c r="G92" s="66" t="e">
        <f t="shared" si="313"/>
        <v>#NAME?</v>
      </c>
      <c r="H92" s="66" t="e">
        <f t="shared" si="314"/>
        <v>#NAME?</v>
      </c>
      <c r="I92" s="66" t="e">
        <f t="shared" si="315"/>
        <v>#NAME?</v>
      </c>
      <c r="J92" s="66" t="e">
        <f t="shared" si="316"/>
        <v>#NAME?</v>
      </c>
      <c r="K92" s="66" t="e">
        <f t="shared" si="317"/>
        <v>#NAME?</v>
      </c>
      <c r="L92" s="66" t="e">
        <f t="shared" si="318"/>
        <v>#NAME?</v>
      </c>
      <c r="M92" s="66" t="e">
        <f t="shared" si="319"/>
        <v>#NAME?</v>
      </c>
      <c r="N92" s="66" t="e">
        <f t="shared" si="320"/>
        <v>#NAME?</v>
      </c>
      <c r="O92" s="66" t="e">
        <f t="shared" si="321"/>
        <v>#NAME?</v>
      </c>
      <c r="P92" s="66" t="e">
        <f t="shared" si="322"/>
        <v>#NAME?</v>
      </c>
      <c r="Q92" s="66" t="e">
        <f t="shared" si="323"/>
        <v>#NAME?</v>
      </c>
      <c r="R92" s="67" t="e">
        <f t="shared" si="306"/>
        <v>#NAME?</v>
      </c>
      <c r="S92" s="67" t="e">
        <f t="shared" si="300"/>
        <v>#NAME?</v>
      </c>
      <c r="T92" s="67" t="e">
        <f t="shared" si="301"/>
        <v>#NAME?</v>
      </c>
      <c r="U92" s="67" t="e">
        <f t="shared" si="324"/>
        <v>#NAME?</v>
      </c>
      <c r="V92" s="67" t="e">
        <f t="shared" si="325"/>
        <v>#NAME?</v>
      </c>
      <c r="W92" s="67" t="e">
        <f t="shared" si="326"/>
        <v>#NAME?</v>
      </c>
      <c r="X92" s="66" t="e">
        <f t="shared" si="327"/>
        <v>#NAME?</v>
      </c>
      <c r="Y92" s="66" t="e">
        <f t="shared" si="328"/>
        <v>#NAME?</v>
      </c>
      <c r="Z92" s="66" t="e">
        <f t="shared" si="329"/>
        <v>#NAME?</v>
      </c>
      <c r="AA92" s="66" t="e">
        <f t="shared" si="330"/>
        <v>#NAME?</v>
      </c>
      <c r="AB92" s="66" t="e">
        <f t="shared" si="331"/>
        <v>#NAME?</v>
      </c>
      <c r="AC92" s="66" t="e">
        <f t="shared" si="332"/>
        <v>#NAME?</v>
      </c>
      <c r="AD92" s="66" t="e">
        <f t="shared" si="333"/>
        <v>#NAME?</v>
      </c>
      <c r="AE92" s="66" t="e">
        <f t="shared" si="334"/>
        <v>#NAME?</v>
      </c>
      <c r="AF92" s="66" t="e">
        <f t="shared" si="335"/>
        <v>#NAME?</v>
      </c>
      <c r="AG92" s="66" t="e">
        <f t="shared" si="336"/>
        <v>#NAME?</v>
      </c>
      <c r="AH92" s="66" t="e">
        <f t="shared" si="337"/>
        <v>#NAME?</v>
      </c>
      <c r="AI92" s="66" t="e">
        <f t="shared" si="338"/>
        <v>#NAME?</v>
      </c>
      <c r="AJ92" s="67" t="e">
        <f t="shared" si="307"/>
        <v>#NAME?</v>
      </c>
      <c r="AK92" s="67" t="e">
        <f t="shared" si="302"/>
        <v>#NAME?</v>
      </c>
      <c r="AL92" s="67" t="e">
        <f t="shared" si="303"/>
        <v>#NAME?</v>
      </c>
      <c r="AM92" s="67" t="e">
        <f t="shared" si="339"/>
        <v>#NAME?</v>
      </c>
      <c r="AN92" s="67" t="e">
        <f t="shared" si="340"/>
        <v>#NAME?</v>
      </c>
      <c r="AO92" s="67" t="e">
        <f t="shared" si="341"/>
        <v>#NAME?</v>
      </c>
      <c r="AP92" s="66" t="e">
        <f t="shared" si="342"/>
        <v>#NAME?</v>
      </c>
      <c r="AQ92" s="66" t="e">
        <f t="shared" si="343"/>
        <v>#NAME?</v>
      </c>
      <c r="AR92" s="66" t="e">
        <f t="shared" si="344"/>
        <v>#NAME?</v>
      </c>
      <c r="AS92" s="66" t="e">
        <f t="shared" si="345"/>
        <v>#NAME?</v>
      </c>
      <c r="AT92" s="66" t="e">
        <f t="shared" si="346"/>
        <v>#NAME?</v>
      </c>
      <c r="AU92" s="66" t="e">
        <f t="shared" si="347"/>
        <v>#NAME?</v>
      </c>
      <c r="AV92" s="66" t="e">
        <f t="shared" si="348"/>
        <v>#NAME?</v>
      </c>
      <c r="AW92" s="66" t="e">
        <f t="shared" si="349"/>
        <v>#NAME?</v>
      </c>
      <c r="AX92" s="66" t="e">
        <f t="shared" si="350"/>
        <v>#NAME?</v>
      </c>
      <c r="AY92" s="66" t="e">
        <f t="shared" si="351"/>
        <v>#NAME?</v>
      </c>
      <c r="AZ92" s="66" t="e">
        <f t="shared" si="352"/>
        <v>#NAME?</v>
      </c>
      <c r="BA92" s="66" t="e">
        <f t="shared" si="353"/>
        <v>#NAME?</v>
      </c>
      <c r="BB92" s="67" t="e">
        <f t="shared" si="308"/>
        <v>#NAME?</v>
      </c>
      <c r="BC92" s="67" t="e">
        <f t="shared" si="304"/>
        <v>#NAME?</v>
      </c>
      <c r="BD92" s="67" t="e">
        <f t="shared" si="305"/>
        <v>#NAME?</v>
      </c>
      <c r="BE92" s="67" t="e">
        <f t="shared" si="354"/>
        <v>#NAME?</v>
      </c>
      <c r="BF92" s="67" t="e">
        <f t="shared" si="355"/>
        <v>#NAME?</v>
      </c>
      <c r="BG92" s="67" t="e">
        <f t="shared" si="356"/>
        <v>#NAME?</v>
      </c>
    </row>
    <row r="93" spans="1:59" ht="15.75" x14ac:dyDescent="0.25">
      <c r="A93" s="8" t="s">
        <v>217</v>
      </c>
      <c r="B93" s="11" t="s">
        <v>218</v>
      </c>
      <c r="C93" s="63" t="s">
        <v>219</v>
      </c>
      <c r="D93" s="64"/>
      <c r="E93" s="65"/>
      <c r="F93" s="66" t="e">
        <f t="shared" si="312"/>
        <v>#NAME?</v>
      </c>
      <c r="G93" s="66" t="e">
        <f t="shared" si="313"/>
        <v>#NAME?</v>
      </c>
      <c r="H93" s="66" t="e">
        <f t="shared" si="314"/>
        <v>#NAME?</v>
      </c>
      <c r="I93" s="66" t="e">
        <f t="shared" si="315"/>
        <v>#NAME?</v>
      </c>
      <c r="J93" s="66" t="e">
        <f t="shared" si="316"/>
        <v>#NAME?</v>
      </c>
      <c r="K93" s="66" t="e">
        <f t="shared" si="317"/>
        <v>#NAME?</v>
      </c>
      <c r="L93" s="66" t="e">
        <f t="shared" si="318"/>
        <v>#NAME?</v>
      </c>
      <c r="M93" s="66" t="e">
        <f t="shared" si="319"/>
        <v>#NAME?</v>
      </c>
      <c r="N93" s="66" t="e">
        <f t="shared" si="320"/>
        <v>#NAME?</v>
      </c>
      <c r="O93" s="66" t="e">
        <f t="shared" si="321"/>
        <v>#NAME?</v>
      </c>
      <c r="P93" s="66" t="e">
        <f t="shared" si="322"/>
        <v>#NAME?</v>
      </c>
      <c r="Q93" s="66" t="e">
        <f t="shared" si="323"/>
        <v>#NAME?</v>
      </c>
      <c r="R93" s="67" t="e">
        <f t="shared" si="306"/>
        <v>#NAME?</v>
      </c>
      <c r="S93" s="67" t="e">
        <f t="shared" si="300"/>
        <v>#NAME?</v>
      </c>
      <c r="T93" s="67" t="e">
        <f t="shared" si="301"/>
        <v>#NAME?</v>
      </c>
      <c r="U93" s="67" t="e">
        <f t="shared" si="324"/>
        <v>#NAME?</v>
      </c>
      <c r="V93" s="67" t="e">
        <f t="shared" si="325"/>
        <v>#NAME?</v>
      </c>
      <c r="W93" s="67" t="e">
        <f t="shared" si="326"/>
        <v>#NAME?</v>
      </c>
      <c r="X93" s="66" t="e">
        <f t="shared" si="327"/>
        <v>#NAME?</v>
      </c>
      <c r="Y93" s="66" t="e">
        <f t="shared" si="328"/>
        <v>#NAME?</v>
      </c>
      <c r="Z93" s="66" t="e">
        <f t="shared" si="329"/>
        <v>#NAME?</v>
      </c>
      <c r="AA93" s="66" t="e">
        <f t="shared" si="330"/>
        <v>#NAME?</v>
      </c>
      <c r="AB93" s="66" t="e">
        <f t="shared" si="331"/>
        <v>#NAME?</v>
      </c>
      <c r="AC93" s="66" t="e">
        <f t="shared" si="332"/>
        <v>#NAME?</v>
      </c>
      <c r="AD93" s="66" t="e">
        <f t="shared" si="333"/>
        <v>#NAME?</v>
      </c>
      <c r="AE93" s="66" t="e">
        <f t="shared" si="334"/>
        <v>#NAME?</v>
      </c>
      <c r="AF93" s="66" t="e">
        <f t="shared" si="335"/>
        <v>#NAME?</v>
      </c>
      <c r="AG93" s="66" t="e">
        <f t="shared" si="336"/>
        <v>#NAME?</v>
      </c>
      <c r="AH93" s="66" t="e">
        <f t="shared" si="337"/>
        <v>#NAME?</v>
      </c>
      <c r="AI93" s="66" t="e">
        <f t="shared" si="338"/>
        <v>#NAME?</v>
      </c>
      <c r="AJ93" s="67" t="e">
        <f t="shared" si="307"/>
        <v>#NAME?</v>
      </c>
      <c r="AK93" s="67" t="e">
        <f t="shared" si="302"/>
        <v>#NAME?</v>
      </c>
      <c r="AL93" s="67" t="e">
        <f t="shared" si="303"/>
        <v>#NAME?</v>
      </c>
      <c r="AM93" s="67" t="e">
        <f t="shared" si="339"/>
        <v>#NAME?</v>
      </c>
      <c r="AN93" s="67" t="e">
        <f t="shared" si="340"/>
        <v>#NAME?</v>
      </c>
      <c r="AO93" s="67" t="e">
        <f t="shared" si="341"/>
        <v>#NAME?</v>
      </c>
      <c r="AP93" s="66" t="e">
        <f t="shared" si="342"/>
        <v>#NAME?</v>
      </c>
      <c r="AQ93" s="66" t="e">
        <f t="shared" si="343"/>
        <v>#NAME?</v>
      </c>
      <c r="AR93" s="66" t="e">
        <f t="shared" si="344"/>
        <v>#NAME?</v>
      </c>
      <c r="AS93" s="66" t="e">
        <f t="shared" si="345"/>
        <v>#NAME?</v>
      </c>
      <c r="AT93" s="66" t="e">
        <f t="shared" si="346"/>
        <v>#NAME?</v>
      </c>
      <c r="AU93" s="66" t="e">
        <f t="shared" si="347"/>
        <v>#NAME?</v>
      </c>
      <c r="AV93" s="66" t="e">
        <f t="shared" si="348"/>
        <v>#NAME?</v>
      </c>
      <c r="AW93" s="66" t="e">
        <f t="shared" si="349"/>
        <v>#NAME?</v>
      </c>
      <c r="AX93" s="66" t="e">
        <f t="shared" si="350"/>
        <v>#NAME?</v>
      </c>
      <c r="AY93" s="66" t="e">
        <f t="shared" si="351"/>
        <v>#NAME?</v>
      </c>
      <c r="AZ93" s="66" t="e">
        <f t="shared" si="352"/>
        <v>#NAME?</v>
      </c>
      <c r="BA93" s="66" t="e">
        <f t="shared" si="353"/>
        <v>#NAME?</v>
      </c>
      <c r="BB93" s="67" t="e">
        <f t="shared" si="308"/>
        <v>#NAME?</v>
      </c>
      <c r="BC93" s="67" t="e">
        <f t="shared" si="304"/>
        <v>#NAME?</v>
      </c>
      <c r="BD93" s="67" t="e">
        <f t="shared" si="305"/>
        <v>#NAME?</v>
      </c>
      <c r="BE93" s="67" t="e">
        <f t="shared" si="354"/>
        <v>#NAME?</v>
      </c>
      <c r="BF93" s="67" t="e">
        <f t="shared" si="355"/>
        <v>#NAME?</v>
      </c>
      <c r="BG93" s="67" t="e">
        <f t="shared" si="356"/>
        <v>#NAME?</v>
      </c>
    </row>
    <row r="94" spans="1:59" ht="15.75" x14ac:dyDescent="0.25">
      <c r="A94" s="8" t="s">
        <v>220</v>
      </c>
      <c r="B94" s="11" t="s">
        <v>221</v>
      </c>
      <c r="C94" s="63" t="s">
        <v>222</v>
      </c>
      <c r="D94" s="64"/>
      <c r="E94" s="65"/>
      <c r="F94" s="66" t="e">
        <f t="shared" si="312"/>
        <v>#NAME?</v>
      </c>
      <c r="G94" s="66" t="e">
        <f t="shared" si="313"/>
        <v>#NAME?</v>
      </c>
      <c r="H94" s="66" t="e">
        <f t="shared" si="314"/>
        <v>#NAME?</v>
      </c>
      <c r="I94" s="66" t="e">
        <f t="shared" si="315"/>
        <v>#NAME?</v>
      </c>
      <c r="J94" s="66" t="e">
        <f t="shared" si="316"/>
        <v>#NAME?</v>
      </c>
      <c r="K94" s="66" t="e">
        <f t="shared" si="317"/>
        <v>#NAME?</v>
      </c>
      <c r="L94" s="66" t="e">
        <f t="shared" si="318"/>
        <v>#NAME?</v>
      </c>
      <c r="M94" s="66" t="e">
        <f t="shared" si="319"/>
        <v>#NAME?</v>
      </c>
      <c r="N94" s="66" t="e">
        <f t="shared" si="320"/>
        <v>#NAME?</v>
      </c>
      <c r="O94" s="66" t="e">
        <f t="shared" si="321"/>
        <v>#NAME?</v>
      </c>
      <c r="P94" s="66" t="e">
        <f t="shared" si="322"/>
        <v>#NAME?</v>
      </c>
      <c r="Q94" s="66" t="e">
        <f t="shared" si="323"/>
        <v>#NAME?</v>
      </c>
      <c r="R94" s="67" t="e">
        <f t="shared" si="306"/>
        <v>#NAME?</v>
      </c>
      <c r="S94" s="67" t="e">
        <f t="shared" si="300"/>
        <v>#NAME?</v>
      </c>
      <c r="T94" s="67" t="e">
        <f t="shared" si="301"/>
        <v>#NAME?</v>
      </c>
      <c r="U94" s="67" t="e">
        <f t="shared" si="324"/>
        <v>#NAME?</v>
      </c>
      <c r="V94" s="67" t="e">
        <f t="shared" si="325"/>
        <v>#NAME?</v>
      </c>
      <c r="W94" s="67" t="e">
        <f t="shared" si="326"/>
        <v>#NAME?</v>
      </c>
      <c r="X94" s="66" t="e">
        <f t="shared" si="327"/>
        <v>#NAME?</v>
      </c>
      <c r="Y94" s="66" t="e">
        <f t="shared" si="328"/>
        <v>#NAME?</v>
      </c>
      <c r="Z94" s="66" t="e">
        <f t="shared" si="329"/>
        <v>#NAME?</v>
      </c>
      <c r="AA94" s="66" t="e">
        <f t="shared" si="330"/>
        <v>#NAME?</v>
      </c>
      <c r="AB94" s="66" t="e">
        <f t="shared" si="331"/>
        <v>#NAME?</v>
      </c>
      <c r="AC94" s="66" t="e">
        <f t="shared" si="332"/>
        <v>#NAME?</v>
      </c>
      <c r="AD94" s="66" t="e">
        <f t="shared" si="333"/>
        <v>#NAME?</v>
      </c>
      <c r="AE94" s="66" t="e">
        <f t="shared" si="334"/>
        <v>#NAME?</v>
      </c>
      <c r="AF94" s="66" t="e">
        <f t="shared" si="335"/>
        <v>#NAME?</v>
      </c>
      <c r="AG94" s="66" t="e">
        <f t="shared" si="336"/>
        <v>#NAME?</v>
      </c>
      <c r="AH94" s="66" t="e">
        <f t="shared" si="337"/>
        <v>#NAME?</v>
      </c>
      <c r="AI94" s="66" t="e">
        <f t="shared" si="338"/>
        <v>#NAME?</v>
      </c>
      <c r="AJ94" s="67" t="e">
        <f t="shared" si="307"/>
        <v>#NAME?</v>
      </c>
      <c r="AK94" s="67" t="e">
        <f t="shared" si="302"/>
        <v>#NAME?</v>
      </c>
      <c r="AL94" s="67" t="e">
        <f t="shared" si="303"/>
        <v>#NAME?</v>
      </c>
      <c r="AM94" s="67" t="e">
        <f t="shared" si="339"/>
        <v>#NAME?</v>
      </c>
      <c r="AN94" s="67" t="e">
        <f t="shared" si="340"/>
        <v>#NAME?</v>
      </c>
      <c r="AO94" s="67" t="e">
        <f t="shared" si="341"/>
        <v>#NAME?</v>
      </c>
      <c r="AP94" s="66" t="e">
        <f t="shared" si="342"/>
        <v>#NAME?</v>
      </c>
      <c r="AQ94" s="66" t="e">
        <f t="shared" si="343"/>
        <v>#NAME?</v>
      </c>
      <c r="AR94" s="66" t="e">
        <f t="shared" si="344"/>
        <v>#NAME?</v>
      </c>
      <c r="AS94" s="66" t="e">
        <f t="shared" si="345"/>
        <v>#NAME?</v>
      </c>
      <c r="AT94" s="66" t="e">
        <f t="shared" si="346"/>
        <v>#NAME?</v>
      </c>
      <c r="AU94" s="66" t="e">
        <f t="shared" si="347"/>
        <v>#NAME?</v>
      </c>
      <c r="AV94" s="66" t="e">
        <f t="shared" si="348"/>
        <v>#NAME?</v>
      </c>
      <c r="AW94" s="66" t="e">
        <f t="shared" si="349"/>
        <v>#NAME?</v>
      </c>
      <c r="AX94" s="66" t="e">
        <f t="shared" si="350"/>
        <v>#NAME?</v>
      </c>
      <c r="AY94" s="66" t="e">
        <f t="shared" si="351"/>
        <v>#NAME?</v>
      </c>
      <c r="AZ94" s="66" t="e">
        <f t="shared" si="352"/>
        <v>#NAME?</v>
      </c>
      <c r="BA94" s="66" t="e">
        <f t="shared" si="353"/>
        <v>#NAME?</v>
      </c>
      <c r="BB94" s="67" t="e">
        <f t="shared" si="308"/>
        <v>#NAME?</v>
      </c>
      <c r="BC94" s="67" t="e">
        <f t="shared" si="304"/>
        <v>#NAME?</v>
      </c>
      <c r="BD94" s="67" t="e">
        <f t="shared" si="305"/>
        <v>#NAME?</v>
      </c>
      <c r="BE94" s="67" t="e">
        <f t="shared" si="354"/>
        <v>#NAME?</v>
      </c>
      <c r="BF94" s="67" t="e">
        <f t="shared" si="355"/>
        <v>#NAME?</v>
      </c>
      <c r="BG94" s="67" t="e">
        <f t="shared" si="356"/>
        <v>#NAME?</v>
      </c>
    </row>
    <row r="95" spans="1:59" ht="15.75" x14ac:dyDescent="0.25">
      <c r="A95" s="8" t="s">
        <v>223</v>
      </c>
      <c r="B95" s="11" t="s">
        <v>224</v>
      </c>
      <c r="C95" s="63" t="s">
        <v>225</v>
      </c>
      <c r="D95" s="64"/>
      <c r="E95" s="65"/>
      <c r="F95" s="66" t="e">
        <f t="shared" si="312"/>
        <v>#NAME?</v>
      </c>
      <c r="G95" s="66" t="e">
        <f t="shared" si="313"/>
        <v>#NAME?</v>
      </c>
      <c r="H95" s="66" t="e">
        <f t="shared" si="314"/>
        <v>#NAME?</v>
      </c>
      <c r="I95" s="66" t="e">
        <f t="shared" si="315"/>
        <v>#NAME?</v>
      </c>
      <c r="J95" s="66" t="e">
        <f t="shared" si="316"/>
        <v>#NAME?</v>
      </c>
      <c r="K95" s="66" t="e">
        <f t="shared" si="317"/>
        <v>#NAME?</v>
      </c>
      <c r="L95" s="66" t="e">
        <f t="shared" si="318"/>
        <v>#NAME?</v>
      </c>
      <c r="M95" s="66" t="e">
        <f t="shared" si="319"/>
        <v>#NAME?</v>
      </c>
      <c r="N95" s="66" t="e">
        <f t="shared" si="320"/>
        <v>#NAME?</v>
      </c>
      <c r="O95" s="66" t="e">
        <f t="shared" si="321"/>
        <v>#NAME?</v>
      </c>
      <c r="P95" s="66" t="e">
        <f t="shared" si="322"/>
        <v>#NAME?</v>
      </c>
      <c r="Q95" s="66" t="e">
        <f t="shared" si="323"/>
        <v>#NAME?</v>
      </c>
      <c r="R95" s="67" t="e">
        <f t="shared" si="306"/>
        <v>#NAME?</v>
      </c>
      <c r="S95" s="67" t="e">
        <f t="shared" si="300"/>
        <v>#NAME?</v>
      </c>
      <c r="T95" s="67" t="e">
        <f t="shared" si="301"/>
        <v>#NAME?</v>
      </c>
      <c r="U95" s="67" t="e">
        <f t="shared" si="324"/>
        <v>#NAME?</v>
      </c>
      <c r="V95" s="67" t="e">
        <f t="shared" si="325"/>
        <v>#NAME?</v>
      </c>
      <c r="W95" s="67" t="e">
        <f t="shared" si="326"/>
        <v>#NAME?</v>
      </c>
      <c r="X95" s="66" t="e">
        <f t="shared" si="327"/>
        <v>#NAME?</v>
      </c>
      <c r="Y95" s="66" t="e">
        <f t="shared" si="328"/>
        <v>#NAME?</v>
      </c>
      <c r="Z95" s="66" t="e">
        <f t="shared" si="329"/>
        <v>#NAME?</v>
      </c>
      <c r="AA95" s="66" t="e">
        <f t="shared" si="330"/>
        <v>#NAME?</v>
      </c>
      <c r="AB95" s="66" t="e">
        <f t="shared" si="331"/>
        <v>#NAME?</v>
      </c>
      <c r="AC95" s="66" t="e">
        <f t="shared" si="332"/>
        <v>#NAME?</v>
      </c>
      <c r="AD95" s="66" t="e">
        <f t="shared" si="333"/>
        <v>#NAME?</v>
      </c>
      <c r="AE95" s="66" t="e">
        <f t="shared" si="334"/>
        <v>#NAME?</v>
      </c>
      <c r="AF95" s="66" t="e">
        <f t="shared" si="335"/>
        <v>#NAME?</v>
      </c>
      <c r="AG95" s="66" t="e">
        <f t="shared" si="336"/>
        <v>#NAME?</v>
      </c>
      <c r="AH95" s="66" t="e">
        <f t="shared" si="337"/>
        <v>#NAME?</v>
      </c>
      <c r="AI95" s="66" t="e">
        <f t="shared" si="338"/>
        <v>#NAME?</v>
      </c>
      <c r="AJ95" s="67" t="e">
        <f t="shared" si="307"/>
        <v>#NAME?</v>
      </c>
      <c r="AK95" s="67" t="e">
        <f t="shared" si="302"/>
        <v>#NAME?</v>
      </c>
      <c r="AL95" s="67" t="e">
        <f t="shared" si="303"/>
        <v>#NAME?</v>
      </c>
      <c r="AM95" s="67" t="e">
        <f t="shared" si="339"/>
        <v>#NAME?</v>
      </c>
      <c r="AN95" s="67" t="e">
        <f t="shared" si="340"/>
        <v>#NAME?</v>
      </c>
      <c r="AO95" s="67" t="e">
        <f t="shared" si="341"/>
        <v>#NAME?</v>
      </c>
      <c r="AP95" s="66" t="e">
        <f t="shared" si="342"/>
        <v>#NAME?</v>
      </c>
      <c r="AQ95" s="66" t="e">
        <f t="shared" si="343"/>
        <v>#NAME?</v>
      </c>
      <c r="AR95" s="66" t="e">
        <f t="shared" si="344"/>
        <v>#NAME?</v>
      </c>
      <c r="AS95" s="66" t="e">
        <f t="shared" si="345"/>
        <v>#NAME?</v>
      </c>
      <c r="AT95" s="66" t="e">
        <f t="shared" si="346"/>
        <v>#NAME?</v>
      </c>
      <c r="AU95" s="66" t="e">
        <f t="shared" si="347"/>
        <v>#NAME?</v>
      </c>
      <c r="AV95" s="66" t="e">
        <f t="shared" si="348"/>
        <v>#NAME?</v>
      </c>
      <c r="AW95" s="66" t="e">
        <f t="shared" si="349"/>
        <v>#NAME?</v>
      </c>
      <c r="AX95" s="66" t="e">
        <f t="shared" si="350"/>
        <v>#NAME?</v>
      </c>
      <c r="AY95" s="66" t="e">
        <f t="shared" si="351"/>
        <v>#NAME?</v>
      </c>
      <c r="AZ95" s="66" t="e">
        <f t="shared" si="352"/>
        <v>#NAME?</v>
      </c>
      <c r="BA95" s="66" t="e">
        <f t="shared" si="353"/>
        <v>#NAME?</v>
      </c>
      <c r="BB95" s="67" t="e">
        <f t="shared" si="308"/>
        <v>#NAME?</v>
      </c>
      <c r="BC95" s="67" t="e">
        <f t="shared" si="304"/>
        <v>#NAME?</v>
      </c>
      <c r="BD95" s="67" t="e">
        <f t="shared" si="305"/>
        <v>#NAME?</v>
      </c>
      <c r="BE95" s="67" t="e">
        <f t="shared" si="354"/>
        <v>#NAME?</v>
      </c>
      <c r="BF95" s="67" t="e">
        <f t="shared" si="355"/>
        <v>#NAME?</v>
      </c>
      <c r="BG95" s="67" t="e">
        <f t="shared" si="356"/>
        <v>#NAME?</v>
      </c>
    </row>
    <row r="96" spans="1:59" ht="15.75" x14ac:dyDescent="0.25">
      <c r="A96" s="8" t="s">
        <v>226</v>
      </c>
      <c r="B96" s="74" t="s">
        <v>227</v>
      </c>
      <c r="C96" s="63" t="s">
        <v>228</v>
      </c>
      <c r="D96" s="64"/>
      <c r="E96" s="65"/>
      <c r="F96" s="66" t="e">
        <f t="shared" si="312"/>
        <v>#NAME?</v>
      </c>
      <c r="G96" s="66" t="e">
        <f t="shared" si="313"/>
        <v>#NAME?</v>
      </c>
      <c r="H96" s="66" t="e">
        <f t="shared" si="314"/>
        <v>#NAME?</v>
      </c>
      <c r="I96" s="66" t="e">
        <f t="shared" si="315"/>
        <v>#NAME?</v>
      </c>
      <c r="J96" s="66" t="e">
        <f t="shared" si="316"/>
        <v>#NAME?</v>
      </c>
      <c r="K96" s="66" t="e">
        <f t="shared" si="317"/>
        <v>#NAME?</v>
      </c>
      <c r="L96" s="66" t="e">
        <f t="shared" si="318"/>
        <v>#NAME?</v>
      </c>
      <c r="M96" s="66" t="e">
        <f t="shared" si="319"/>
        <v>#NAME?</v>
      </c>
      <c r="N96" s="66" t="e">
        <f t="shared" si="320"/>
        <v>#NAME?</v>
      </c>
      <c r="O96" s="66" t="e">
        <f t="shared" si="321"/>
        <v>#NAME?</v>
      </c>
      <c r="P96" s="66" t="e">
        <f t="shared" si="322"/>
        <v>#NAME?</v>
      </c>
      <c r="Q96" s="66" t="e">
        <f t="shared" si="323"/>
        <v>#NAME?</v>
      </c>
      <c r="R96" s="67" t="e">
        <f t="shared" si="306"/>
        <v>#NAME?</v>
      </c>
      <c r="S96" s="67" t="e">
        <f t="shared" si="300"/>
        <v>#NAME?</v>
      </c>
      <c r="T96" s="67" t="e">
        <f t="shared" si="301"/>
        <v>#NAME?</v>
      </c>
      <c r="U96" s="67" t="e">
        <f t="shared" si="324"/>
        <v>#NAME?</v>
      </c>
      <c r="V96" s="67" t="e">
        <f t="shared" si="325"/>
        <v>#NAME?</v>
      </c>
      <c r="W96" s="67" t="e">
        <f t="shared" si="326"/>
        <v>#NAME?</v>
      </c>
      <c r="X96" s="66" t="e">
        <f t="shared" si="327"/>
        <v>#NAME?</v>
      </c>
      <c r="Y96" s="66" t="e">
        <f t="shared" si="328"/>
        <v>#NAME?</v>
      </c>
      <c r="Z96" s="66" t="e">
        <f t="shared" si="329"/>
        <v>#NAME?</v>
      </c>
      <c r="AA96" s="66" t="e">
        <f t="shared" si="330"/>
        <v>#NAME?</v>
      </c>
      <c r="AB96" s="66" t="e">
        <f t="shared" si="331"/>
        <v>#NAME?</v>
      </c>
      <c r="AC96" s="66" t="e">
        <f t="shared" si="332"/>
        <v>#NAME?</v>
      </c>
      <c r="AD96" s="66" t="e">
        <f t="shared" si="333"/>
        <v>#NAME?</v>
      </c>
      <c r="AE96" s="66" t="e">
        <f t="shared" si="334"/>
        <v>#NAME?</v>
      </c>
      <c r="AF96" s="66" t="e">
        <f t="shared" si="335"/>
        <v>#NAME?</v>
      </c>
      <c r="AG96" s="66" t="e">
        <f t="shared" si="336"/>
        <v>#NAME?</v>
      </c>
      <c r="AH96" s="66" t="e">
        <f t="shared" si="337"/>
        <v>#NAME?</v>
      </c>
      <c r="AI96" s="66" t="e">
        <f t="shared" si="338"/>
        <v>#NAME?</v>
      </c>
      <c r="AJ96" s="67" t="e">
        <f t="shared" si="307"/>
        <v>#NAME?</v>
      </c>
      <c r="AK96" s="67" t="e">
        <f t="shared" si="302"/>
        <v>#NAME?</v>
      </c>
      <c r="AL96" s="67" t="e">
        <f t="shared" si="303"/>
        <v>#NAME?</v>
      </c>
      <c r="AM96" s="67" t="e">
        <f t="shared" si="339"/>
        <v>#NAME?</v>
      </c>
      <c r="AN96" s="67" t="e">
        <f t="shared" si="340"/>
        <v>#NAME?</v>
      </c>
      <c r="AO96" s="67" t="e">
        <f t="shared" si="341"/>
        <v>#NAME?</v>
      </c>
      <c r="AP96" s="66" t="e">
        <f t="shared" si="342"/>
        <v>#NAME?</v>
      </c>
      <c r="AQ96" s="66" t="e">
        <f t="shared" si="343"/>
        <v>#NAME?</v>
      </c>
      <c r="AR96" s="66" t="e">
        <f t="shared" si="344"/>
        <v>#NAME?</v>
      </c>
      <c r="AS96" s="66" t="e">
        <f t="shared" si="345"/>
        <v>#NAME?</v>
      </c>
      <c r="AT96" s="66" t="e">
        <f t="shared" si="346"/>
        <v>#NAME?</v>
      </c>
      <c r="AU96" s="66" t="e">
        <f t="shared" si="347"/>
        <v>#NAME?</v>
      </c>
      <c r="AV96" s="66" t="e">
        <f t="shared" si="348"/>
        <v>#NAME?</v>
      </c>
      <c r="AW96" s="66" t="e">
        <f t="shared" si="349"/>
        <v>#NAME?</v>
      </c>
      <c r="AX96" s="66" t="e">
        <f t="shared" si="350"/>
        <v>#NAME?</v>
      </c>
      <c r="AY96" s="66" t="e">
        <f t="shared" si="351"/>
        <v>#NAME?</v>
      </c>
      <c r="AZ96" s="66" t="e">
        <f t="shared" si="352"/>
        <v>#NAME?</v>
      </c>
      <c r="BA96" s="66" t="e">
        <f t="shared" si="353"/>
        <v>#NAME?</v>
      </c>
      <c r="BB96" s="67" t="e">
        <f t="shared" si="308"/>
        <v>#NAME?</v>
      </c>
      <c r="BC96" s="67" t="e">
        <f t="shared" si="304"/>
        <v>#NAME?</v>
      </c>
      <c r="BD96" s="67" t="e">
        <f t="shared" si="305"/>
        <v>#NAME?</v>
      </c>
      <c r="BE96" s="67" t="e">
        <f t="shared" si="354"/>
        <v>#NAME?</v>
      </c>
      <c r="BF96" s="67" t="e">
        <f t="shared" si="355"/>
        <v>#NAME?</v>
      </c>
      <c r="BG96" s="67" t="e">
        <f t="shared" si="356"/>
        <v>#NAME?</v>
      </c>
    </row>
    <row r="97" spans="1:59" s="62" customFormat="1" ht="15.75" x14ac:dyDescent="0.25">
      <c r="A97" s="56" t="s">
        <v>229</v>
      </c>
      <c r="B97" s="57">
        <v>83</v>
      </c>
      <c r="C97" s="58" t="s">
        <v>231</v>
      </c>
      <c r="D97" s="59"/>
      <c r="E97" s="60"/>
      <c r="F97" s="61" t="e">
        <f>SUM(F98:F106)</f>
        <v>#NAME?</v>
      </c>
      <c r="G97" s="61" t="e">
        <f>SUM(G98:G106)</f>
        <v>#NAME?</v>
      </c>
      <c r="H97" s="61" t="e">
        <f t="shared" ref="H97:Q97" si="357">SUM(H98:H106)</f>
        <v>#NAME?</v>
      </c>
      <c r="I97" s="61" t="e">
        <f t="shared" si="357"/>
        <v>#NAME?</v>
      </c>
      <c r="J97" s="61" t="e">
        <f t="shared" si="357"/>
        <v>#NAME?</v>
      </c>
      <c r="K97" s="61" t="e">
        <f t="shared" si="357"/>
        <v>#NAME?</v>
      </c>
      <c r="L97" s="61" t="e">
        <f t="shared" si="357"/>
        <v>#NAME?</v>
      </c>
      <c r="M97" s="61" t="e">
        <f>SUM(M98:M106)</f>
        <v>#NAME?</v>
      </c>
      <c r="N97" s="61" t="e">
        <f t="shared" si="357"/>
        <v>#NAME?</v>
      </c>
      <c r="O97" s="61" t="e">
        <f t="shared" si="357"/>
        <v>#NAME?</v>
      </c>
      <c r="P97" s="61" t="e">
        <f t="shared" si="357"/>
        <v>#NAME?</v>
      </c>
      <c r="Q97" s="61" t="e">
        <f t="shared" si="357"/>
        <v>#NAME?</v>
      </c>
      <c r="R97" s="61" t="e">
        <f t="shared" si="306"/>
        <v>#NAME?</v>
      </c>
      <c r="S97" s="61" t="e">
        <f t="shared" si="300"/>
        <v>#NAME?</v>
      </c>
      <c r="T97" s="61" t="e">
        <f t="shared" si="301"/>
        <v>#NAME?</v>
      </c>
      <c r="U97" s="61" t="e">
        <f t="shared" ref="U97:AI97" si="358">SUM(U98:U106)</f>
        <v>#NAME?</v>
      </c>
      <c r="V97" s="61" t="e">
        <f t="shared" si="358"/>
        <v>#NAME?</v>
      </c>
      <c r="W97" s="61" t="e">
        <f t="shared" si="358"/>
        <v>#NAME?</v>
      </c>
      <c r="X97" s="61" t="e">
        <f t="shared" si="358"/>
        <v>#NAME?</v>
      </c>
      <c r="Y97" s="61" t="e">
        <f t="shared" si="358"/>
        <v>#NAME?</v>
      </c>
      <c r="Z97" s="61" t="e">
        <f t="shared" si="358"/>
        <v>#NAME?</v>
      </c>
      <c r="AA97" s="61" t="e">
        <f t="shared" si="358"/>
        <v>#NAME?</v>
      </c>
      <c r="AB97" s="61" t="e">
        <f t="shared" si="358"/>
        <v>#NAME?</v>
      </c>
      <c r="AC97" s="61" t="e">
        <f t="shared" si="358"/>
        <v>#NAME?</v>
      </c>
      <c r="AD97" s="61" t="e">
        <f t="shared" si="358"/>
        <v>#NAME?</v>
      </c>
      <c r="AE97" s="61" t="e">
        <f t="shared" si="358"/>
        <v>#NAME?</v>
      </c>
      <c r="AF97" s="61" t="e">
        <f t="shared" si="358"/>
        <v>#NAME?</v>
      </c>
      <c r="AG97" s="61" t="e">
        <f t="shared" si="358"/>
        <v>#NAME?</v>
      </c>
      <c r="AH97" s="61" t="e">
        <f t="shared" si="358"/>
        <v>#NAME?</v>
      </c>
      <c r="AI97" s="61" t="e">
        <f t="shared" si="358"/>
        <v>#NAME?</v>
      </c>
      <c r="AJ97" s="61" t="e">
        <f t="shared" si="307"/>
        <v>#NAME?</v>
      </c>
      <c r="AK97" s="61" t="e">
        <f t="shared" si="302"/>
        <v>#NAME?</v>
      </c>
      <c r="AL97" s="61" t="e">
        <f t="shared" si="303"/>
        <v>#NAME?</v>
      </c>
      <c r="AM97" s="61" t="e">
        <f t="shared" ref="AM97:BA97" si="359">SUM(AM98:AM106)</f>
        <v>#NAME?</v>
      </c>
      <c r="AN97" s="61" t="e">
        <f t="shared" si="359"/>
        <v>#NAME?</v>
      </c>
      <c r="AO97" s="61" t="e">
        <f t="shared" si="359"/>
        <v>#NAME?</v>
      </c>
      <c r="AP97" s="61" t="e">
        <f t="shared" si="359"/>
        <v>#NAME?</v>
      </c>
      <c r="AQ97" s="61" t="e">
        <f t="shared" si="359"/>
        <v>#NAME?</v>
      </c>
      <c r="AR97" s="61" t="e">
        <f t="shared" si="359"/>
        <v>#NAME?</v>
      </c>
      <c r="AS97" s="61" t="e">
        <f t="shared" si="359"/>
        <v>#NAME?</v>
      </c>
      <c r="AT97" s="61" t="e">
        <f t="shared" si="359"/>
        <v>#NAME?</v>
      </c>
      <c r="AU97" s="61" t="e">
        <f t="shared" si="359"/>
        <v>#NAME?</v>
      </c>
      <c r="AV97" s="61" t="e">
        <f t="shared" si="359"/>
        <v>#NAME?</v>
      </c>
      <c r="AW97" s="61" t="e">
        <f t="shared" si="359"/>
        <v>#NAME?</v>
      </c>
      <c r="AX97" s="61" t="e">
        <f t="shared" si="359"/>
        <v>#NAME?</v>
      </c>
      <c r="AY97" s="61" t="e">
        <f t="shared" si="359"/>
        <v>#NAME?</v>
      </c>
      <c r="AZ97" s="61" t="e">
        <f t="shared" si="359"/>
        <v>#NAME?</v>
      </c>
      <c r="BA97" s="61" t="e">
        <f t="shared" si="359"/>
        <v>#NAME?</v>
      </c>
      <c r="BB97" s="61" t="e">
        <f t="shared" si="308"/>
        <v>#NAME?</v>
      </c>
      <c r="BC97" s="61" t="e">
        <f t="shared" si="304"/>
        <v>#NAME?</v>
      </c>
      <c r="BD97" s="61" t="e">
        <f t="shared" si="305"/>
        <v>#NAME?</v>
      </c>
      <c r="BE97" s="61" t="e">
        <f>SUM(BE98:BE106)</f>
        <v>#NAME?</v>
      </c>
      <c r="BF97" s="61" t="e">
        <f>SUM(BF98:BF106)</f>
        <v>#NAME?</v>
      </c>
      <c r="BG97" s="61" t="e">
        <f>SUM(BG98:BG106)</f>
        <v>#NAME?</v>
      </c>
    </row>
    <row r="98" spans="1:59" ht="15.75" x14ac:dyDescent="0.25">
      <c r="A98" s="8" t="s">
        <v>232</v>
      </c>
      <c r="B98" s="11" t="s">
        <v>233</v>
      </c>
      <c r="C98" s="63" t="s">
        <v>234</v>
      </c>
      <c r="D98" s="64"/>
      <c r="E98" s="65"/>
      <c r="F98" s="66" t="e">
        <f t="shared" ref="F98:F106" si="360">X98+AP98</f>
        <v>#NAME?</v>
      </c>
      <c r="G98" s="66" t="e">
        <f t="shared" ref="G98:G106" si="361">Y98+AQ98</f>
        <v>#NAME?</v>
      </c>
      <c r="H98" s="66" t="e">
        <f t="shared" ref="H98:H106" si="362">I98+J98</f>
        <v>#NAME?</v>
      </c>
      <c r="I98" s="66" t="e">
        <f t="shared" ref="I98:I106" si="363">AA98+AS98</f>
        <v>#NAME?</v>
      </c>
      <c r="J98" s="66" t="e">
        <f t="shared" ref="J98:J106" si="364">AB98+AT98</f>
        <v>#NAME?</v>
      </c>
      <c r="K98" s="66" t="e">
        <f t="shared" ref="K98:K106" si="365">AC98+AU98</f>
        <v>#NAME?</v>
      </c>
      <c r="L98" s="66" t="e">
        <f t="shared" ref="L98:L106" si="366">AD98+AV98</f>
        <v>#NAME?</v>
      </c>
      <c r="M98" s="66" t="e">
        <f t="shared" ref="M98:M106" si="367">AE98+AW98</f>
        <v>#NAME?</v>
      </c>
      <c r="N98" s="66" t="e">
        <f t="shared" ref="N98:N106" si="368">O98+Q98</f>
        <v>#NAME?</v>
      </c>
      <c r="O98" s="66" t="e">
        <f t="shared" ref="O98:O106" si="369">AG98+AY98</f>
        <v>#NAME?</v>
      </c>
      <c r="P98" s="66" t="e">
        <f t="shared" ref="P98:P106" si="370">AH98+AZ98</f>
        <v>#NAME?</v>
      </c>
      <c r="Q98" s="66" t="e">
        <f t="shared" ref="Q98:Q106" si="371">AI98+BA98</f>
        <v>#NAME?</v>
      </c>
      <c r="R98" s="67" t="e">
        <f t="shared" si="306"/>
        <v>#NAME?</v>
      </c>
      <c r="S98" s="67" t="e">
        <f t="shared" si="300"/>
        <v>#NAME?</v>
      </c>
      <c r="T98" s="67" t="e">
        <f t="shared" si="301"/>
        <v>#NAME?</v>
      </c>
      <c r="U98" s="67" t="e">
        <f t="shared" ref="U98:U106" si="372">AM98+BE98</f>
        <v>#NAME?</v>
      </c>
      <c r="V98" s="67" t="e">
        <f t="shared" ref="V98:V106" si="373">(G98+K98+L98-O98-U98)</f>
        <v>#NAME?</v>
      </c>
      <c r="W98" s="67" t="e">
        <f t="shared" ref="W98:W106" si="374">(I98-O98)</f>
        <v>#NAME?</v>
      </c>
      <c r="X98" s="66" t="e">
        <f t="shared" ref="X98:X109" si="375">КОЛ4020/$G$1</f>
        <v>#NAME?</v>
      </c>
      <c r="Y98" s="66" t="e">
        <f t="shared" ref="Y98:Y109" si="376">КОЛ4005/$G$1</f>
        <v>#NAME?</v>
      </c>
      <c r="Z98" s="66" t="e">
        <f t="shared" ref="Z98:Z106" si="377">AA98+AB98</f>
        <v>#NAME?</v>
      </c>
      <c r="AA98" s="66" t="e">
        <f t="shared" ref="AA98:AA109" si="378">КОЛ4007/$G$1</f>
        <v>#NAME?</v>
      </c>
      <c r="AB98" s="66" t="e">
        <f t="shared" ref="AB98:AB109" si="379">КОЛ4008/$G$1</f>
        <v>#NAME?</v>
      </c>
      <c r="AC98" s="66" t="e">
        <f t="shared" ref="AC98:AC109" si="380">КОЛ4009/$G$1</f>
        <v>#NAME?</v>
      </c>
      <c r="AD98" s="66" t="e">
        <f t="shared" ref="AD98:AD109" si="381">КОЛ4010/$G$1</f>
        <v>#NAME?</v>
      </c>
      <c r="AE98" s="66" t="e">
        <f t="shared" ref="AE98:AE109" si="382">КОЛ4011/$G$1</f>
        <v>#NAME?</v>
      </c>
      <c r="AF98" s="66" t="e">
        <f t="shared" ref="AF98:AF106" si="383">AG98+AI98</f>
        <v>#NAME?</v>
      </c>
      <c r="AG98" s="66" t="e">
        <f t="shared" ref="AG98:AG109" si="384">КОЛ4013/$G$1</f>
        <v>#NAME?</v>
      </c>
      <c r="AH98" s="66" t="e">
        <f t="shared" ref="AH98:AH109" si="385">КОЛ4014/$G$1</f>
        <v>#NAME?</v>
      </c>
      <c r="AI98" s="66" t="e">
        <f t="shared" ref="AI98:AI109" si="386">КОЛ4015/$G$1</f>
        <v>#NAME?</v>
      </c>
      <c r="AJ98" s="67" t="e">
        <f t="shared" si="307"/>
        <v>#NAME?</v>
      </c>
      <c r="AK98" s="67" t="e">
        <f t="shared" si="302"/>
        <v>#NAME?</v>
      </c>
      <c r="AL98" s="67" t="e">
        <f t="shared" si="303"/>
        <v>#NAME?</v>
      </c>
      <c r="AM98" s="67" t="e">
        <f t="shared" ref="AM98:AM109" si="387">КОЛ4017/$G$1</f>
        <v>#NAME?</v>
      </c>
      <c r="AN98" s="67" t="e">
        <f t="shared" ref="AN98:AN106" si="388">(Y98+AC98+AD98-AG98-AM98)</f>
        <v>#NAME?</v>
      </c>
      <c r="AO98" s="67" t="e">
        <f t="shared" ref="AO98:AO106" si="389">(AA98-AG98)</f>
        <v>#NAME?</v>
      </c>
      <c r="AP98" s="66" t="e">
        <f t="shared" ref="AP98:AP109" si="390">КОЛ4120/$G$1</f>
        <v>#NAME?</v>
      </c>
      <c r="AQ98" s="66" t="e">
        <f t="shared" ref="AQ98:AQ109" si="391">КОЛ4105/$G$1</f>
        <v>#NAME?</v>
      </c>
      <c r="AR98" s="66" t="e">
        <f t="shared" ref="AR98:AR106" si="392">AS98+AT98</f>
        <v>#NAME?</v>
      </c>
      <c r="AS98" s="66" t="e">
        <f t="shared" ref="AS98:AS109" si="393">КОЛ4107/$G$1</f>
        <v>#NAME?</v>
      </c>
      <c r="AT98" s="66" t="e">
        <f t="shared" ref="AT98:AT109" si="394">КОЛ4108/$G$1</f>
        <v>#NAME?</v>
      </c>
      <c r="AU98" s="66" t="e">
        <f t="shared" ref="AU98:AU109" si="395">КОЛ4109/$G$1</f>
        <v>#NAME?</v>
      </c>
      <c r="AV98" s="66" t="e">
        <f t="shared" ref="AV98:AV109" si="396">КОЛ4110/$G$1</f>
        <v>#NAME?</v>
      </c>
      <c r="AW98" s="66" t="e">
        <f t="shared" ref="AW98:AW109" si="397">КОЛ4111/$G$1</f>
        <v>#NAME?</v>
      </c>
      <c r="AX98" s="66" t="e">
        <f t="shared" ref="AX98:AX106" si="398">AY98+BA98</f>
        <v>#NAME?</v>
      </c>
      <c r="AY98" s="66" t="e">
        <f t="shared" ref="AY98:AY109" si="399">КОЛ4113/$G$1</f>
        <v>#NAME?</v>
      </c>
      <c r="AZ98" s="66" t="e">
        <f t="shared" ref="AZ98:AZ109" si="400">КОЛ4114/$G$1</f>
        <v>#NAME?</v>
      </c>
      <c r="BA98" s="66" t="e">
        <f t="shared" ref="BA98:BA109" si="401">КОЛ4115/$G$1</f>
        <v>#NAME?</v>
      </c>
      <c r="BB98" s="67" t="e">
        <f t="shared" si="308"/>
        <v>#NAME?</v>
      </c>
      <c r="BC98" s="67" t="e">
        <f t="shared" si="304"/>
        <v>#NAME?</v>
      </c>
      <c r="BD98" s="67" t="e">
        <f t="shared" si="305"/>
        <v>#NAME?</v>
      </c>
      <c r="BE98" s="67" t="e">
        <f t="shared" ref="BE98:BE109" si="402">КОЛ4117/$G$1</f>
        <v>#NAME?</v>
      </c>
      <c r="BF98" s="67" t="e">
        <f t="shared" ref="BF98:BF106" si="403">(AQ98+AU98+AV98-AY98-BE98)</f>
        <v>#NAME?</v>
      </c>
      <c r="BG98" s="67" t="e">
        <f t="shared" ref="BG98:BG106" si="404">(AS98-AY98)</f>
        <v>#NAME?</v>
      </c>
    </row>
    <row r="99" spans="1:59" ht="15.75" x14ac:dyDescent="0.25">
      <c r="A99" s="8" t="s">
        <v>235</v>
      </c>
      <c r="B99" s="11" t="s">
        <v>236</v>
      </c>
      <c r="C99" s="63" t="s">
        <v>237</v>
      </c>
      <c r="D99" s="64"/>
      <c r="E99" s="65"/>
      <c r="F99" s="66" t="e">
        <f t="shared" si="360"/>
        <v>#NAME?</v>
      </c>
      <c r="G99" s="66" t="e">
        <f t="shared" si="361"/>
        <v>#NAME?</v>
      </c>
      <c r="H99" s="66" t="e">
        <f t="shared" si="362"/>
        <v>#NAME?</v>
      </c>
      <c r="I99" s="66" t="e">
        <f t="shared" si="363"/>
        <v>#NAME?</v>
      </c>
      <c r="J99" s="66" t="e">
        <f t="shared" si="364"/>
        <v>#NAME?</v>
      </c>
      <c r="K99" s="66" t="e">
        <f t="shared" si="365"/>
        <v>#NAME?</v>
      </c>
      <c r="L99" s="66" t="e">
        <f t="shared" si="366"/>
        <v>#NAME?</v>
      </c>
      <c r="M99" s="66" t="e">
        <f t="shared" si="367"/>
        <v>#NAME?</v>
      </c>
      <c r="N99" s="66" t="e">
        <f t="shared" si="368"/>
        <v>#NAME?</v>
      </c>
      <c r="O99" s="66" t="e">
        <f t="shared" si="369"/>
        <v>#NAME?</v>
      </c>
      <c r="P99" s="66" t="e">
        <f t="shared" si="370"/>
        <v>#NAME?</v>
      </c>
      <c r="Q99" s="66" t="e">
        <f t="shared" si="371"/>
        <v>#NAME?</v>
      </c>
      <c r="R99" s="67" t="e">
        <f t="shared" si="306"/>
        <v>#NAME?</v>
      </c>
      <c r="S99" s="67" t="e">
        <f t="shared" si="300"/>
        <v>#NAME?</v>
      </c>
      <c r="T99" s="67" t="e">
        <f t="shared" si="301"/>
        <v>#NAME?</v>
      </c>
      <c r="U99" s="67" t="e">
        <f t="shared" si="372"/>
        <v>#NAME?</v>
      </c>
      <c r="V99" s="67" t="e">
        <f t="shared" si="373"/>
        <v>#NAME?</v>
      </c>
      <c r="W99" s="67" t="e">
        <f t="shared" si="374"/>
        <v>#NAME?</v>
      </c>
      <c r="X99" s="66" t="e">
        <f t="shared" si="375"/>
        <v>#NAME?</v>
      </c>
      <c r="Y99" s="66" t="e">
        <f t="shared" si="376"/>
        <v>#NAME?</v>
      </c>
      <c r="Z99" s="66" t="e">
        <f t="shared" si="377"/>
        <v>#NAME?</v>
      </c>
      <c r="AA99" s="66" t="e">
        <f t="shared" si="378"/>
        <v>#NAME?</v>
      </c>
      <c r="AB99" s="66" t="e">
        <f t="shared" si="379"/>
        <v>#NAME?</v>
      </c>
      <c r="AC99" s="66" t="e">
        <f t="shared" si="380"/>
        <v>#NAME?</v>
      </c>
      <c r="AD99" s="66" t="e">
        <f t="shared" si="381"/>
        <v>#NAME?</v>
      </c>
      <c r="AE99" s="66" t="e">
        <f t="shared" si="382"/>
        <v>#NAME?</v>
      </c>
      <c r="AF99" s="66" t="e">
        <f t="shared" si="383"/>
        <v>#NAME?</v>
      </c>
      <c r="AG99" s="66" t="e">
        <f t="shared" si="384"/>
        <v>#NAME?</v>
      </c>
      <c r="AH99" s="66" t="e">
        <f t="shared" si="385"/>
        <v>#NAME?</v>
      </c>
      <c r="AI99" s="66" t="e">
        <f t="shared" si="386"/>
        <v>#NAME?</v>
      </c>
      <c r="AJ99" s="67" t="e">
        <f t="shared" si="307"/>
        <v>#NAME?</v>
      </c>
      <c r="AK99" s="67" t="e">
        <f t="shared" si="302"/>
        <v>#NAME?</v>
      </c>
      <c r="AL99" s="67" t="e">
        <f t="shared" si="303"/>
        <v>#NAME?</v>
      </c>
      <c r="AM99" s="67" t="e">
        <f t="shared" si="387"/>
        <v>#NAME?</v>
      </c>
      <c r="AN99" s="67" t="e">
        <f t="shared" si="388"/>
        <v>#NAME?</v>
      </c>
      <c r="AO99" s="67" t="e">
        <f t="shared" si="389"/>
        <v>#NAME?</v>
      </c>
      <c r="AP99" s="66" t="e">
        <f t="shared" si="390"/>
        <v>#NAME?</v>
      </c>
      <c r="AQ99" s="66" t="e">
        <f t="shared" si="391"/>
        <v>#NAME?</v>
      </c>
      <c r="AR99" s="66" t="e">
        <f t="shared" si="392"/>
        <v>#NAME?</v>
      </c>
      <c r="AS99" s="66" t="e">
        <f t="shared" si="393"/>
        <v>#NAME?</v>
      </c>
      <c r="AT99" s="66" t="e">
        <f t="shared" si="394"/>
        <v>#NAME?</v>
      </c>
      <c r="AU99" s="66" t="e">
        <f t="shared" si="395"/>
        <v>#NAME?</v>
      </c>
      <c r="AV99" s="66" t="e">
        <f t="shared" si="396"/>
        <v>#NAME?</v>
      </c>
      <c r="AW99" s="66" t="e">
        <f t="shared" si="397"/>
        <v>#NAME?</v>
      </c>
      <c r="AX99" s="66" t="e">
        <f t="shared" si="398"/>
        <v>#NAME?</v>
      </c>
      <c r="AY99" s="66" t="e">
        <f t="shared" si="399"/>
        <v>#NAME?</v>
      </c>
      <c r="AZ99" s="66" t="e">
        <f t="shared" si="400"/>
        <v>#NAME?</v>
      </c>
      <c r="BA99" s="66" t="e">
        <f t="shared" si="401"/>
        <v>#NAME?</v>
      </c>
      <c r="BB99" s="67" t="e">
        <f t="shared" si="308"/>
        <v>#NAME?</v>
      </c>
      <c r="BC99" s="67" t="e">
        <f t="shared" si="304"/>
        <v>#NAME?</v>
      </c>
      <c r="BD99" s="67" t="e">
        <f t="shared" si="305"/>
        <v>#NAME?</v>
      </c>
      <c r="BE99" s="67" t="e">
        <f t="shared" si="402"/>
        <v>#NAME?</v>
      </c>
      <c r="BF99" s="67" t="e">
        <f t="shared" si="403"/>
        <v>#NAME?</v>
      </c>
      <c r="BG99" s="67" t="e">
        <f t="shared" si="404"/>
        <v>#NAME?</v>
      </c>
    </row>
    <row r="100" spans="1:59" ht="15.75" x14ac:dyDescent="0.25">
      <c r="A100" s="8" t="s">
        <v>238</v>
      </c>
      <c r="B100" s="11" t="s">
        <v>239</v>
      </c>
      <c r="C100" s="63" t="s">
        <v>240</v>
      </c>
      <c r="D100" s="64"/>
      <c r="E100" s="65"/>
      <c r="F100" s="66" t="e">
        <f t="shared" si="360"/>
        <v>#NAME?</v>
      </c>
      <c r="G100" s="66" t="e">
        <f t="shared" si="361"/>
        <v>#NAME?</v>
      </c>
      <c r="H100" s="66" t="e">
        <f t="shared" si="362"/>
        <v>#NAME?</v>
      </c>
      <c r="I100" s="66" t="e">
        <f t="shared" si="363"/>
        <v>#NAME?</v>
      </c>
      <c r="J100" s="66" t="e">
        <f t="shared" si="364"/>
        <v>#NAME?</v>
      </c>
      <c r="K100" s="66" t="e">
        <f t="shared" si="365"/>
        <v>#NAME?</v>
      </c>
      <c r="L100" s="66" t="e">
        <f t="shared" si="366"/>
        <v>#NAME?</v>
      </c>
      <c r="M100" s="66" t="e">
        <f t="shared" si="367"/>
        <v>#NAME?</v>
      </c>
      <c r="N100" s="66" t="e">
        <f t="shared" si="368"/>
        <v>#NAME?</v>
      </c>
      <c r="O100" s="66" t="e">
        <f t="shared" si="369"/>
        <v>#NAME?</v>
      </c>
      <c r="P100" s="66" t="e">
        <f t="shared" si="370"/>
        <v>#NAME?</v>
      </c>
      <c r="Q100" s="66" t="e">
        <f t="shared" si="371"/>
        <v>#NAME?</v>
      </c>
      <c r="R100" s="67" t="e">
        <f t="shared" si="306"/>
        <v>#NAME?</v>
      </c>
      <c r="S100" s="67" t="e">
        <f t="shared" si="300"/>
        <v>#NAME?</v>
      </c>
      <c r="T100" s="67" t="e">
        <f t="shared" si="301"/>
        <v>#NAME?</v>
      </c>
      <c r="U100" s="67" t="e">
        <f t="shared" si="372"/>
        <v>#NAME?</v>
      </c>
      <c r="V100" s="67" t="e">
        <f t="shared" si="373"/>
        <v>#NAME?</v>
      </c>
      <c r="W100" s="67" t="e">
        <f t="shared" si="374"/>
        <v>#NAME?</v>
      </c>
      <c r="X100" s="66" t="e">
        <f t="shared" si="375"/>
        <v>#NAME?</v>
      </c>
      <c r="Y100" s="66" t="e">
        <f t="shared" si="376"/>
        <v>#NAME?</v>
      </c>
      <c r="Z100" s="66" t="e">
        <f t="shared" si="377"/>
        <v>#NAME?</v>
      </c>
      <c r="AA100" s="66" t="e">
        <f t="shared" si="378"/>
        <v>#NAME?</v>
      </c>
      <c r="AB100" s="66" t="e">
        <f t="shared" si="379"/>
        <v>#NAME?</v>
      </c>
      <c r="AC100" s="66" t="e">
        <f t="shared" si="380"/>
        <v>#NAME?</v>
      </c>
      <c r="AD100" s="66" t="e">
        <f t="shared" si="381"/>
        <v>#NAME?</v>
      </c>
      <c r="AE100" s="66" t="e">
        <f t="shared" si="382"/>
        <v>#NAME?</v>
      </c>
      <c r="AF100" s="66" t="e">
        <f t="shared" si="383"/>
        <v>#NAME?</v>
      </c>
      <c r="AG100" s="66" t="e">
        <f t="shared" si="384"/>
        <v>#NAME?</v>
      </c>
      <c r="AH100" s="66" t="e">
        <f t="shared" si="385"/>
        <v>#NAME?</v>
      </c>
      <c r="AI100" s="66" t="e">
        <f t="shared" si="386"/>
        <v>#NAME?</v>
      </c>
      <c r="AJ100" s="67" t="e">
        <f t="shared" si="307"/>
        <v>#NAME?</v>
      </c>
      <c r="AK100" s="67" t="e">
        <f t="shared" si="302"/>
        <v>#NAME?</v>
      </c>
      <c r="AL100" s="67" t="e">
        <f t="shared" si="303"/>
        <v>#NAME?</v>
      </c>
      <c r="AM100" s="67" t="e">
        <f t="shared" si="387"/>
        <v>#NAME?</v>
      </c>
      <c r="AN100" s="67" t="e">
        <f t="shared" si="388"/>
        <v>#NAME?</v>
      </c>
      <c r="AO100" s="67" t="e">
        <f t="shared" si="389"/>
        <v>#NAME?</v>
      </c>
      <c r="AP100" s="66" t="e">
        <f t="shared" si="390"/>
        <v>#NAME?</v>
      </c>
      <c r="AQ100" s="66" t="e">
        <f t="shared" si="391"/>
        <v>#NAME?</v>
      </c>
      <c r="AR100" s="66" t="e">
        <f t="shared" si="392"/>
        <v>#NAME?</v>
      </c>
      <c r="AS100" s="66" t="e">
        <f t="shared" si="393"/>
        <v>#NAME?</v>
      </c>
      <c r="AT100" s="66" t="e">
        <f t="shared" si="394"/>
        <v>#NAME?</v>
      </c>
      <c r="AU100" s="66" t="e">
        <f t="shared" si="395"/>
        <v>#NAME?</v>
      </c>
      <c r="AV100" s="66" t="e">
        <f t="shared" si="396"/>
        <v>#NAME?</v>
      </c>
      <c r="AW100" s="66" t="e">
        <f t="shared" si="397"/>
        <v>#NAME?</v>
      </c>
      <c r="AX100" s="66" t="e">
        <f t="shared" si="398"/>
        <v>#NAME?</v>
      </c>
      <c r="AY100" s="66" t="e">
        <f t="shared" si="399"/>
        <v>#NAME?</v>
      </c>
      <c r="AZ100" s="66" t="e">
        <f t="shared" si="400"/>
        <v>#NAME?</v>
      </c>
      <c r="BA100" s="66" t="e">
        <f t="shared" si="401"/>
        <v>#NAME?</v>
      </c>
      <c r="BB100" s="67" t="e">
        <f t="shared" si="308"/>
        <v>#NAME?</v>
      </c>
      <c r="BC100" s="67" t="e">
        <f t="shared" si="304"/>
        <v>#NAME?</v>
      </c>
      <c r="BD100" s="67" t="e">
        <f t="shared" si="305"/>
        <v>#NAME?</v>
      </c>
      <c r="BE100" s="67" t="e">
        <f t="shared" si="402"/>
        <v>#NAME?</v>
      </c>
      <c r="BF100" s="67" t="e">
        <f t="shared" si="403"/>
        <v>#NAME?</v>
      </c>
      <c r="BG100" s="67" t="e">
        <f t="shared" si="404"/>
        <v>#NAME?</v>
      </c>
    </row>
    <row r="101" spans="1:59" ht="15.75" x14ac:dyDescent="0.25">
      <c r="A101" s="8" t="s">
        <v>241</v>
      </c>
      <c r="B101" s="11" t="s">
        <v>242</v>
      </c>
      <c r="C101" s="63" t="s">
        <v>243</v>
      </c>
      <c r="D101" s="64"/>
      <c r="E101" s="65"/>
      <c r="F101" s="66" t="e">
        <f t="shared" si="360"/>
        <v>#NAME?</v>
      </c>
      <c r="G101" s="66" t="e">
        <f t="shared" si="361"/>
        <v>#NAME?</v>
      </c>
      <c r="H101" s="66" t="e">
        <f t="shared" si="362"/>
        <v>#NAME?</v>
      </c>
      <c r="I101" s="66" t="e">
        <f t="shared" si="363"/>
        <v>#NAME?</v>
      </c>
      <c r="J101" s="66" t="e">
        <f t="shared" si="364"/>
        <v>#NAME?</v>
      </c>
      <c r="K101" s="66" t="e">
        <f t="shared" si="365"/>
        <v>#NAME?</v>
      </c>
      <c r="L101" s="66" t="e">
        <f t="shared" si="366"/>
        <v>#NAME?</v>
      </c>
      <c r="M101" s="66" t="e">
        <f t="shared" si="367"/>
        <v>#NAME?</v>
      </c>
      <c r="N101" s="66" t="e">
        <f t="shared" si="368"/>
        <v>#NAME?</v>
      </c>
      <c r="O101" s="66" t="e">
        <f t="shared" si="369"/>
        <v>#NAME?</v>
      </c>
      <c r="P101" s="66" t="e">
        <f t="shared" si="370"/>
        <v>#NAME?</v>
      </c>
      <c r="Q101" s="66" t="e">
        <f t="shared" si="371"/>
        <v>#NAME?</v>
      </c>
      <c r="R101" s="67" t="e">
        <f t="shared" si="306"/>
        <v>#NAME?</v>
      </c>
      <c r="S101" s="67" t="e">
        <f t="shared" si="300"/>
        <v>#NAME?</v>
      </c>
      <c r="T101" s="67" t="e">
        <f t="shared" si="301"/>
        <v>#NAME?</v>
      </c>
      <c r="U101" s="67" t="e">
        <f t="shared" si="372"/>
        <v>#NAME?</v>
      </c>
      <c r="V101" s="67" t="e">
        <f t="shared" si="373"/>
        <v>#NAME?</v>
      </c>
      <c r="W101" s="67" t="e">
        <f t="shared" si="374"/>
        <v>#NAME?</v>
      </c>
      <c r="X101" s="66" t="e">
        <f t="shared" si="375"/>
        <v>#NAME?</v>
      </c>
      <c r="Y101" s="66" t="e">
        <f t="shared" si="376"/>
        <v>#NAME?</v>
      </c>
      <c r="Z101" s="66" t="e">
        <f t="shared" si="377"/>
        <v>#NAME?</v>
      </c>
      <c r="AA101" s="66" t="e">
        <f t="shared" si="378"/>
        <v>#NAME?</v>
      </c>
      <c r="AB101" s="66" t="e">
        <f t="shared" si="379"/>
        <v>#NAME?</v>
      </c>
      <c r="AC101" s="66" t="e">
        <f t="shared" si="380"/>
        <v>#NAME?</v>
      </c>
      <c r="AD101" s="66" t="e">
        <f t="shared" si="381"/>
        <v>#NAME?</v>
      </c>
      <c r="AE101" s="66" t="e">
        <f t="shared" si="382"/>
        <v>#NAME?</v>
      </c>
      <c r="AF101" s="66" t="e">
        <f t="shared" si="383"/>
        <v>#NAME?</v>
      </c>
      <c r="AG101" s="66" t="e">
        <f t="shared" si="384"/>
        <v>#NAME?</v>
      </c>
      <c r="AH101" s="66" t="e">
        <f t="shared" si="385"/>
        <v>#NAME?</v>
      </c>
      <c r="AI101" s="66" t="e">
        <f t="shared" si="386"/>
        <v>#NAME?</v>
      </c>
      <c r="AJ101" s="67" t="e">
        <f t="shared" si="307"/>
        <v>#NAME?</v>
      </c>
      <c r="AK101" s="67" t="e">
        <f t="shared" si="302"/>
        <v>#NAME?</v>
      </c>
      <c r="AL101" s="67" t="e">
        <f t="shared" si="303"/>
        <v>#NAME?</v>
      </c>
      <c r="AM101" s="67" t="e">
        <f t="shared" si="387"/>
        <v>#NAME?</v>
      </c>
      <c r="AN101" s="67" t="e">
        <f t="shared" si="388"/>
        <v>#NAME?</v>
      </c>
      <c r="AO101" s="67" t="e">
        <f t="shared" si="389"/>
        <v>#NAME?</v>
      </c>
      <c r="AP101" s="66" t="e">
        <f t="shared" si="390"/>
        <v>#NAME?</v>
      </c>
      <c r="AQ101" s="66" t="e">
        <f t="shared" si="391"/>
        <v>#NAME?</v>
      </c>
      <c r="AR101" s="66" t="e">
        <f t="shared" si="392"/>
        <v>#NAME?</v>
      </c>
      <c r="AS101" s="66" t="e">
        <f t="shared" si="393"/>
        <v>#NAME?</v>
      </c>
      <c r="AT101" s="66" t="e">
        <f t="shared" si="394"/>
        <v>#NAME?</v>
      </c>
      <c r="AU101" s="66" t="e">
        <f t="shared" si="395"/>
        <v>#NAME?</v>
      </c>
      <c r="AV101" s="66" t="e">
        <f t="shared" si="396"/>
        <v>#NAME?</v>
      </c>
      <c r="AW101" s="66" t="e">
        <f t="shared" si="397"/>
        <v>#NAME?</v>
      </c>
      <c r="AX101" s="66" t="e">
        <f t="shared" si="398"/>
        <v>#NAME?</v>
      </c>
      <c r="AY101" s="66" t="e">
        <f t="shared" si="399"/>
        <v>#NAME?</v>
      </c>
      <c r="AZ101" s="66" t="e">
        <f t="shared" si="400"/>
        <v>#NAME?</v>
      </c>
      <c r="BA101" s="66" t="e">
        <f t="shared" si="401"/>
        <v>#NAME?</v>
      </c>
      <c r="BB101" s="67" t="e">
        <f t="shared" si="308"/>
        <v>#NAME?</v>
      </c>
      <c r="BC101" s="67" t="e">
        <f t="shared" si="304"/>
        <v>#NAME?</v>
      </c>
      <c r="BD101" s="67" t="e">
        <f t="shared" si="305"/>
        <v>#NAME?</v>
      </c>
      <c r="BE101" s="67" t="e">
        <f t="shared" si="402"/>
        <v>#NAME?</v>
      </c>
      <c r="BF101" s="67" t="e">
        <f t="shared" si="403"/>
        <v>#NAME?</v>
      </c>
      <c r="BG101" s="67" t="e">
        <f t="shared" si="404"/>
        <v>#NAME?</v>
      </c>
    </row>
    <row r="102" spans="1:59" ht="15.75" x14ac:dyDescent="0.25">
      <c r="A102" s="8" t="s">
        <v>244</v>
      </c>
      <c r="B102" s="11" t="s">
        <v>245</v>
      </c>
      <c r="C102" s="63" t="s">
        <v>246</v>
      </c>
      <c r="D102" s="64"/>
      <c r="E102" s="65"/>
      <c r="F102" s="66" t="e">
        <f t="shared" si="360"/>
        <v>#NAME?</v>
      </c>
      <c r="G102" s="66" t="e">
        <f t="shared" si="361"/>
        <v>#NAME?</v>
      </c>
      <c r="H102" s="66" t="e">
        <f t="shared" si="362"/>
        <v>#NAME?</v>
      </c>
      <c r="I102" s="66" t="e">
        <f t="shared" si="363"/>
        <v>#NAME?</v>
      </c>
      <c r="J102" s="66" t="e">
        <f t="shared" si="364"/>
        <v>#NAME?</v>
      </c>
      <c r="K102" s="66" t="e">
        <f t="shared" si="365"/>
        <v>#NAME?</v>
      </c>
      <c r="L102" s="66" t="e">
        <f t="shared" si="366"/>
        <v>#NAME?</v>
      </c>
      <c r="M102" s="66" t="e">
        <f t="shared" si="367"/>
        <v>#NAME?</v>
      </c>
      <c r="N102" s="66" t="e">
        <f t="shared" si="368"/>
        <v>#NAME?</v>
      </c>
      <c r="O102" s="66" t="e">
        <f t="shared" si="369"/>
        <v>#NAME?</v>
      </c>
      <c r="P102" s="66" t="e">
        <f t="shared" si="370"/>
        <v>#NAME?</v>
      </c>
      <c r="Q102" s="66" t="e">
        <f t="shared" si="371"/>
        <v>#NAME?</v>
      </c>
      <c r="R102" s="67" t="e">
        <f t="shared" si="306"/>
        <v>#NAME?</v>
      </c>
      <c r="S102" s="67" t="e">
        <f t="shared" si="300"/>
        <v>#NAME?</v>
      </c>
      <c r="T102" s="67" t="e">
        <f t="shared" si="301"/>
        <v>#NAME?</v>
      </c>
      <c r="U102" s="67" t="e">
        <f t="shared" si="372"/>
        <v>#NAME?</v>
      </c>
      <c r="V102" s="67" t="e">
        <f t="shared" si="373"/>
        <v>#NAME?</v>
      </c>
      <c r="W102" s="67" t="e">
        <f t="shared" si="374"/>
        <v>#NAME?</v>
      </c>
      <c r="X102" s="66" t="e">
        <f t="shared" si="375"/>
        <v>#NAME?</v>
      </c>
      <c r="Y102" s="66" t="e">
        <f t="shared" si="376"/>
        <v>#NAME?</v>
      </c>
      <c r="Z102" s="66" t="e">
        <f t="shared" si="377"/>
        <v>#NAME?</v>
      </c>
      <c r="AA102" s="66" t="e">
        <f t="shared" si="378"/>
        <v>#NAME?</v>
      </c>
      <c r="AB102" s="66" t="e">
        <f t="shared" si="379"/>
        <v>#NAME?</v>
      </c>
      <c r="AC102" s="66" t="e">
        <f t="shared" si="380"/>
        <v>#NAME?</v>
      </c>
      <c r="AD102" s="66" t="e">
        <f t="shared" si="381"/>
        <v>#NAME?</v>
      </c>
      <c r="AE102" s="66" t="e">
        <f t="shared" si="382"/>
        <v>#NAME?</v>
      </c>
      <c r="AF102" s="66" t="e">
        <f t="shared" si="383"/>
        <v>#NAME?</v>
      </c>
      <c r="AG102" s="66" t="e">
        <f t="shared" si="384"/>
        <v>#NAME?</v>
      </c>
      <c r="AH102" s="66" t="e">
        <f t="shared" si="385"/>
        <v>#NAME?</v>
      </c>
      <c r="AI102" s="66" t="e">
        <f t="shared" si="386"/>
        <v>#NAME?</v>
      </c>
      <c r="AJ102" s="67" t="e">
        <f t="shared" si="307"/>
        <v>#NAME?</v>
      </c>
      <c r="AK102" s="67" t="e">
        <f t="shared" si="302"/>
        <v>#NAME?</v>
      </c>
      <c r="AL102" s="67" t="e">
        <f t="shared" si="303"/>
        <v>#NAME?</v>
      </c>
      <c r="AM102" s="67" t="e">
        <f t="shared" si="387"/>
        <v>#NAME?</v>
      </c>
      <c r="AN102" s="67" t="e">
        <f t="shared" si="388"/>
        <v>#NAME?</v>
      </c>
      <c r="AO102" s="67" t="e">
        <f t="shared" si="389"/>
        <v>#NAME?</v>
      </c>
      <c r="AP102" s="66" t="e">
        <f t="shared" si="390"/>
        <v>#NAME?</v>
      </c>
      <c r="AQ102" s="66" t="e">
        <f t="shared" si="391"/>
        <v>#NAME?</v>
      </c>
      <c r="AR102" s="66" t="e">
        <f t="shared" si="392"/>
        <v>#NAME?</v>
      </c>
      <c r="AS102" s="66" t="e">
        <f t="shared" si="393"/>
        <v>#NAME?</v>
      </c>
      <c r="AT102" s="66" t="e">
        <f t="shared" si="394"/>
        <v>#NAME?</v>
      </c>
      <c r="AU102" s="66" t="e">
        <f t="shared" si="395"/>
        <v>#NAME?</v>
      </c>
      <c r="AV102" s="66" t="e">
        <f t="shared" si="396"/>
        <v>#NAME?</v>
      </c>
      <c r="AW102" s="66" t="e">
        <f t="shared" si="397"/>
        <v>#NAME?</v>
      </c>
      <c r="AX102" s="66" t="e">
        <f t="shared" si="398"/>
        <v>#NAME?</v>
      </c>
      <c r="AY102" s="66" t="e">
        <f t="shared" si="399"/>
        <v>#NAME?</v>
      </c>
      <c r="AZ102" s="66" t="e">
        <f t="shared" si="400"/>
        <v>#NAME?</v>
      </c>
      <c r="BA102" s="66" t="e">
        <f t="shared" si="401"/>
        <v>#NAME?</v>
      </c>
      <c r="BB102" s="67" t="e">
        <f t="shared" si="308"/>
        <v>#NAME?</v>
      </c>
      <c r="BC102" s="67" t="e">
        <f t="shared" si="304"/>
        <v>#NAME?</v>
      </c>
      <c r="BD102" s="67" t="e">
        <f t="shared" si="305"/>
        <v>#NAME?</v>
      </c>
      <c r="BE102" s="67" t="e">
        <f t="shared" si="402"/>
        <v>#NAME?</v>
      </c>
      <c r="BF102" s="67" t="e">
        <f t="shared" si="403"/>
        <v>#NAME?</v>
      </c>
      <c r="BG102" s="67" t="e">
        <f t="shared" si="404"/>
        <v>#NAME?</v>
      </c>
    </row>
    <row r="103" spans="1:59" ht="15.75" x14ac:dyDescent="0.25">
      <c r="A103" s="8" t="s">
        <v>247</v>
      </c>
      <c r="B103" s="11" t="s">
        <v>248</v>
      </c>
      <c r="C103" s="63" t="s">
        <v>249</v>
      </c>
      <c r="D103" s="64"/>
      <c r="E103" s="65"/>
      <c r="F103" s="66" t="e">
        <f t="shared" si="360"/>
        <v>#NAME?</v>
      </c>
      <c r="G103" s="66" t="e">
        <f t="shared" si="361"/>
        <v>#NAME?</v>
      </c>
      <c r="H103" s="66" t="e">
        <f t="shared" si="362"/>
        <v>#NAME?</v>
      </c>
      <c r="I103" s="66" t="e">
        <f t="shared" si="363"/>
        <v>#NAME?</v>
      </c>
      <c r="J103" s="66" t="e">
        <f t="shared" si="364"/>
        <v>#NAME?</v>
      </c>
      <c r="K103" s="66" t="e">
        <f t="shared" si="365"/>
        <v>#NAME?</v>
      </c>
      <c r="L103" s="66" t="e">
        <f t="shared" si="366"/>
        <v>#NAME?</v>
      </c>
      <c r="M103" s="66" t="e">
        <f t="shared" si="367"/>
        <v>#NAME?</v>
      </c>
      <c r="N103" s="66" t="e">
        <f t="shared" si="368"/>
        <v>#NAME?</v>
      </c>
      <c r="O103" s="66" t="e">
        <f t="shared" si="369"/>
        <v>#NAME?</v>
      </c>
      <c r="P103" s="66" t="e">
        <f t="shared" si="370"/>
        <v>#NAME?</v>
      </c>
      <c r="Q103" s="66" t="e">
        <f t="shared" si="371"/>
        <v>#NAME?</v>
      </c>
      <c r="R103" s="67" t="e">
        <f t="shared" si="306"/>
        <v>#NAME?</v>
      </c>
      <c r="S103" s="67" t="e">
        <f t="shared" si="300"/>
        <v>#NAME?</v>
      </c>
      <c r="T103" s="67" t="e">
        <f t="shared" si="301"/>
        <v>#NAME?</v>
      </c>
      <c r="U103" s="67" t="e">
        <f t="shared" si="372"/>
        <v>#NAME?</v>
      </c>
      <c r="V103" s="67" t="e">
        <f t="shared" si="373"/>
        <v>#NAME?</v>
      </c>
      <c r="W103" s="67" t="e">
        <f t="shared" si="374"/>
        <v>#NAME?</v>
      </c>
      <c r="X103" s="66" t="e">
        <f t="shared" si="375"/>
        <v>#NAME?</v>
      </c>
      <c r="Y103" s="66" t="e">
        <f t="shared" si="376"/>
        <v>#NAME?</v>
      </c>
      <c r="Z103" s="66" t="e">
        <f t="shared" si="377"/>
        <v>#NAME?</v>
      </c>
      <c r="AA103" s="66" t="e">
        <f t="shared" si="378"/>
        <v>#NAME?</v>
      </c>
      <c r="AB103" s="66" t="e">
        <f t="shared" si="379"/>
        <v>#NAME?</v>
      </c>
      <c r="AC103" s="66" t="e">
        <f t="shared" si="380"/>
        <v>#NAME?</v>
      </c>
      <c r="AD103" s="66" t="e">
        <f t="shared" si="381"/>
        <v>#NAME?</v>
      </c>
      <c r="AE103" s="66" t="e">
        <f t="shared" si="382"/>
        <v>#NAME?</v>
      </c>
      <c r="AF103" s="66" t="e">
        <f t="shared" si="383"/>
        <v>#NAME?</v>
      </c>
      <c r="AG103" s="66" t="e">
        <f t="shared" si="384"/>
        <v>#NAME?</v>
      </c>
      <c r="AH103" s="66" t="e">
        <f t="shared" si="385"/>
        <v>#NAME?</v>
      </c>
      <c r="AI103" s="66" t="e">
        <f t="shared" si="386"/>
        <v>#NAME?</v>
      </c>
      <c r="AJ103" s="67" t="e">
        <f t="shared" si="307"/>
        <v>#NAME?</v>
      </c>
      <c r="AK103" s="67" t="e">
        <f t="shared" si="302"/>
        <v>#NAME?</v>
      </c>
      <c r="AL103" s="67" t="e">
        <f t="shared" si="303"/>
        <v>#NAME?</v>
      </c>
      <c r="AM103" s="67" t="e">
        <f t="shared" si="387"/>
        <v>#NAME?</v>
      </c>
      <c r="AN103" s="67" t="e">
        <f t="shared" si="388"/>
        <v>#NAME?</v>
      </c>
      <c r="AO103" s="67" t="e">
        <f t="shared" si="389"/>
        <v>#NAME?</v>
      </c>
      <c r="AP103" s="66" t="e">
        <f t="shared" si="390"/>
        <v>#NAME?</v>
      </c>
      <c r="AQ103" s="66" t="e">
        <f t="shared" si="391"/>
        <v>#NAME?</v>
      </c>
      <c r="AR103" s="66" t="e">
        <f t="shared" si="392"/>
        <v>#NAME?</v>
      </c>
      <c r="AS103" s="66" t="e">
        <f t="shared" si="393"/>
        <v>#NAME?</v>
      </c>
      <c r="AT103" s="66" t="e">
        <f t="shared" si="394"/>
        <v>#NAME?</v>
      </c>
      <c r="AU103" s="66" t="e">
        <f t="shared" si="395"/>
        <v>#NAME?</v>
      </c>
      <c r="AV103" s="66" t="e">
        <f t="shared" si="396"/>
        <v>#NAME?</v>
      </c>
      <c r="AW103" s="66" t="e">
        <f t="shared" si="397"/>
        <v>#NAME?</v>
      </c>
      <c r="AX103" s="66" t="e">
        <f t="shared" si="398"/>
        <v>#NAME?</v>
      </c>
      <c r="AY103" s="66" t="e">
        <f t="shared" si="399"/>
        <v>#NAME?</v>
      </c>
      <c r="AZ103" s="66" t="e">
        <f t="shared" si="400"/>
        <v>#NAME?</v>
      </c>
      <c r="BA103" s="66" t="e">
        <f t="shared" si="401"/>
        <v>#NAME?</v>
      </c>
      <c r="BB103" s="67" t="e">
        <f t="shared" si="308"/>
        <v>#NAME?</v>
      </c>
      <c r="BC103" s="67" t="e">
        <f t="shared" si="304"/>
        <v>#NAME?</v>
      </c>
      <c r="BD103" s="67" t="e">
        <f t="shared" si="305"/>
        <v>#NAME?</v>
      </c>
      <c r="BE103" s="67" t="e">
        <f t="shared" si="402"/>
        <v>#NAME?</v>
      </c>
      <c r="BF103" s="67" t="e">
        <f t="shared" si="403"/>
        <v>#NAME?</v>
      </c>
      <c r="BG103" s="67" t="e">
        <f t="shared" si="404"/>
        <v>#NAME?</v>
      </c>
    </row>
    <row r="104" spans="1:59" ht="15.75" x14ac:dyDescent="0.25">
      <c r="A104" s="8" t="s">
        <v>250</v>
      </c>
      <c r="B104" s="11" t="s">
        <v>251</v>
      </c>
      <c r="C104" s="63" t="s">
        <v>252</v>
      </c>
      <c r="D104" s="64"/>
      <c r="E104" s="65"/>
      <c r="F104" s="66" t="e">
        <f t="shared" si="360"/>
        <v>#NAME?</v>
      </c>
      <c r="G104" s="66" t="e">
        <f t="shared" si="361"/>
        <v>#NAME?</v>
      </c>
      <c r="H104" s="66" t="e">
        <f t="shared" si="362"/>
        <v>#NAME?</v>
      </c>
      <c r="I104" s="66" t="e">
        <f t="shared" si="363"/>
        <v>#NAME?</v>
      </c>
      <c r="J104" s="66" t="e">
        <f t="shared" si="364"/>
        <v>#NAME?</v>
      </c>
      <c r="K104" s="66" t="e">
        <f t="shared" si="365"/>
        <v>#NAME?</v>
      </c>
      <c r="L104" s="66" t="e">
        <f t="shared" si="366"/>
        <v>#NAME?</v>
      </c>
      <c r="M104" s="66" t="e">
        <f t="shared" si="367"/>
        <v>#NAME?</v>
      </c>
      <c r="N104" s="66" t="e">
        <f t="shared" si="368"/>
        <v>#NAME?</v>
      </c>
      <c r="O104" s="66" t="e">
        <f t="shared" si="369"/>
        <v>#NAME?</v>
      </c>
      <c r="P104" s="66" t="e">
        <f t="shared" si="370"/>
        <v>#NAME?</v>
      </c>
      <c r="Q104" s="66" t="e">
        <f t="shared" si="371"/>
        <v>#NAME?</v>
      </c>
      <c r="R104" s="67" t="e">
        <f t="shared" si="306"/>
        <v>#NAME?</v>
      </c>
      <c r="S104" s="67" t="e">
        <f t="shared" si="300"/>
        <v>#NAME?</v>
      </c>
      <c r="T104" s="67" t="e">
        <f t="shared" si="301"/>
        <v>#NAME?</v>
      </c>
      <c r="U104" s="67" t="e">
        <f t="shared" si="372"/>
        <v>#NAME?</v>
      </c>
      <c r="V104" s="67" t="e">
        <f t="shared" si="373"/>
        <v>#NAME?</v>
      </c>
      <c r="W104" s="67" t="e">
        <f t="shared" si="374"/>
        <v>#NAME?</v>
      </c>
      <c r="X104" s="66" t="e">
        <f t="shared" si="375"/>
        <v>#NAME?</v>
      </c>
      <c r="Y104" s="66" t="e">
        <f t="shared" si="376"/>
        <v>#NAME?</v>
      </c>
      <c r="Z104" s="66" t="e">
        <f t="shared" si="377"/>
        <v>#NAME?</v>
      </c>
      <c r="AA104" s="66" t="e">
        <f t="shared" si="378"/>
        <v>#NAME?</v>
      </c>
      <c r="AB104" s="66" t="e">
        <f t="shared" si="379"/>
        <v>#NAME?</v>
      </c>
      <c r="AC104" s="66" t="e">
        <f t="shared" si="380"/>
        <v>#NAME?</v>
      </c>
      <c r="AD104" s="66" t="e">
        <f t="shared" si="381"/>
        <v>#NAME?</v>
      </c>
      <c r="AE104" s="66" t="e">
        <f t="shared" si="382"/>
        <v>#NAME?</v>
      </c>
      <c r="AF104" s="66" t="e">
        <f t="shared" si="383"/>
        <v>#NAME?</v>
      </c>
      <c r="AG104" s="66" t="e">
        <f t="shared" si="384"/>
        <v>#NAME?</v>
      </c>
      <c r="AH104" s="66" t="e">
        <f t="shared" si="385"/>
        <v>#NAME?</v>
      </c>
      <c r="AI104" s="66" t="e">
        <f t="shared" si="386"/>
        <v>#NAME?</v>
      </c>
      <c r="AJ104" s="67" t="e">
        <f t="shared" si="307"/>
        <v>#NAME?</v>
      </c>
      <c r="AK104" s="67" t="e">
        <f t="shared" si="302"/>
        <v>#NAME?</v>
      </c>
      <c r="AL104" s="67" t="e">
        <f t="shared" si="303"/>
        <v>#NAME?</v>
      </c>
      <c r="AM104" s="67" t="e">
        <f t="shared" si="387"/>
        <v>#NAME?</v>
      </c>
      <c r="AN104" s="67" t="e">
        <f t="shared" si="388"/>
        <v>#NAME?</v>
      </c>
      <c r="AO104" s="67" t="e">
        <f t="shared" si="389"/>
        <v>#NAME?</v>
      </c>
      <c r="AP104" s="66" t="e">
        <f t="shared" si="390"/>
        <v>#NAME?</v>
      </c>
      <c r="AQ104" s="66" t="e">
        <f t="shared" si="391"/>
        <v>#NAME?</v>
      </c>
      <c r="AR104" s="66" t="e">
        <f t="shared" si="392"/>
        <v>#NAME?</v>
      </c>
      <c r="AS104" s="66" t="e">
        <f t="shared" si="393"/>
        <v>#NAME?</v>
      </c>
      <c r="AT104" s="66" t="e">
        <f t="shared" si="394"/>
        <v>#NAME?</v>
      </c>
      <c r="AU104" s="66" t="e">
        <f t="shared" si="395"/>
        <v>#NAME?</v>
      </c>
      <c r="AV104" s="66" t="e">
        <f t="shared" si="396"/>
        <v>#NAME?</v>
      </c>
      <c r="AW104" s="66" t="e">
        <f t="shared" si="397"/>
        <v>#NAME?</v>
      </c>
      <c r="AX104" s="66" t="e">
        <f t="shared" si="398"/>
        <v>#NAME?</v>
      </c>
      <c r="AY104" s="66" t="e">
        <f t="shared" si="399"/>
        <v>#NAME?</v>
      </c>
      <c r="AZ104" s="66" t="e">
        <f t="shared" si="400"/>
        <v>#NAME?</v>
      </c>
      <c r="BA104" s="66" t="e">
        <f t="shared" si="401"/>
        <v>#NAME?</v>
      </c>
      <c r="BB104" s="67" t="e">
        <f t="shared" si="308"/>
        <v>#NAME?</v>
      </c>
      <c r="BC104" s="67" t="e">
        <f t="shared" si="304"/>
        <v>#NAME?</v>
      </c>
      <c r="BD104" s="67" t="e">
        <f t="shared" si="305"/>
        <v>#NAME?</v>
      </c>
      <c r="BE104" s="67" t="e">
        <f t="shared" si="402"/>
        <v>#NAME?</v>
      </c>
      <c r="BF104" s="67" t="e">
        <f t="shared" si="403"/>
        <v>#NAME?</v>
      </c>
      <c r="BG104" s="67" t="e">
        <f t="shared" si="404"/>
        <v>#NAME?</v>
      </c>
    </row>
    <row r="105" spans="1:59" ht="15.75" x14ac:dyDescent="0.25">
      <c r="A105" s="8" t="s">
        <v>253</v>
      </c>
      <c r="B105" s="11">
        <v>91</v>
      </c>
      <c r="C105" s="63" t="s">
        <v>254</v>
      </c>
      <c r="D105" s="64"/>
      <c r="E105" s="65"/>
      <c r="F105" s="66" t="e">
        <f t="shared" si="360"/>
        <v>#NAME?</v>
      </c>
      <c r="G105" s="66" t="e">
        <f t="shared" si="361"/>
        <v>#NAME?</v>
      </c>
      <c r="H105" s="66" t="e">
        <f t="shared" si="362"/>
        <v>#NAME?</v>
      </c>
      <c r="I105" s="66" t="e">
        <f t="shared" si="363"/>
        <v>#NAME?</v>
      </c>
      <c r="J105" s="66" t="e">
        <f t="shared" si="364"/>
        <v>#NAME?</v>
      </c>
      <c r="K105" s="66" t="e">
        <f t="shared" si="365"/>
        <v>#NAME?</v>
      </c>
      <c r="L105" s="66" t="e">
        <f t="shared" si="366"/>
        <v>#NAME?</v>
      </c>
      <c r="M105" s="66" t="e">
        <f t="shared" si="367"/>
        <v>#NAME?</v>
      </c>
      <c r="N105" s="66" t="e">
        <f t="shared" si="368"/>
        <v>#NAME?</v>
      </c>
      <c r="O105" s="66" t="e">
        <f t="shared" si="369"/>
        <v>#NAME?</v>
      </c>
      <c r="P105" s="66" t="e">
        <f t="shared" si="370"/>
        <v>#NAME?</v>
      </c>
      <c r="Q105" s="66" t="e">
        <f t="shared" si="371"/>
        <v>#NAME?</v>
      </c>
      <c r="R105" s="67" t="e">
        <f t="shared" si="306"/>
        <v>#NAME?</v>
      </c>
      <c r="S105" s="67" t="e">
        <f t="shared" si="300"/>
        <v>#NAME?</v>
      </c>
      <c r="T105" s="67" t="e">
        <f t="shared" si="301"/>
        <v>#NAME?</v>
      </c>
      <c r="U105" s="67" t="e">
        <f t="shared" si="372"/>
        <v>#NAME?</v>
      </c>
      <c r="V105" s="67" t="e">
        <f t="shared" si="373"/>
        <v>#NAME?</v>
      </c>
      <c r="W105" s="67" t="e">
        <f t="shared" si="374"/>
        <v>#NAME?</v>
      </c>
      <c r="X105" s="66" t="e">
        <f t="shared" si="375"/>
        <v>#NAME?</v>
      </c>
      <c r="Y105" s="66" t="e">
        <f t="shared" si="376"/>
        <v>#NAME?</v>
      </c>
      <c r="Z105" s="66" t="e">
        <f t="shared" si="377"/>
        <v>#NAME?</v>
      </c>
      <c r="AA105" s="66" t="e">
        <f t="shared" si="378"/>
        <v>#NAME?</v>
      </c>
      <c r="AB105" s="66" t="e">
        <f t="shared" si="379"/>
        <v>#NAME?</v>
      </c>
      <c r="AC105" s="66" t="e">
        <f t="shared" si="380"/>
        <v>#NAME?</v>
      </c>
      <c r="AD105" s="66" t="e">
        <f t="shared" si="381"/>
        <v>#NAME?</v>
      </c>
      <c r="AE105" s="66" t="e">
        <f t="shared" si="382"/>
        <v>#NAME?</v>
      </c>
      <c r="AF105" s="66" t="e">
        <f t="shared" si="383"/>
        <v>#NAME?</v>
      </c>
      <c r="AG105" s="66" t="e">
        <f t="shared" si="384"/>
        <v>#NAME?</v>
      </c>
      <c r="AH105" s="66" t="e">
        <f t="shared" si="385"/>
        <v>#NAME?</v>
      </c>
      <c r="AI105" s="66" t="e">
        <f t="shared" si="386"/>
        <v>#NAME?</v>
      </c>
      <c r="AJ105" s="67" t="e">
        <f t="shared" si="307"/>
        <v>#NAME?</v>
      </c>
      <c r="AK105" s="67" t="e">
        <f t="shared" si="302"/>
        <v>#NAME?</v>
      </c>
      <c r="AL105" s="67" t="e">
        <f t="shared" si="303"/>
        <v>#NAME?</v>
      </c>
      <c r="AM105" s="67" t="e">
        <f t="shared" si="387"/>
        <v>#NAME?</v>
      </c>
      <c r="AN105" s="67" t="e">
        <f t="shared" si="388"/>
        <v>#NAME?</v>
      </c>
      <c r="AO105" s="67" t="e">
        <f t="shared" si="389"/>
        <v>#NAME?</v>
      </c>
      <c r="AP105" s="66" t="e">
        <f t="shared" si="390"/>
        <v>#NAME?</v>
      </c>
      <c r="AQ105" s="66" t="e">
        <f t="shared" si="391"/>
        <v>#NAME?</v>
      </c>
      <c r="AR105" s="66" t="e">
        <f t="shared" si="392"/>
        <v>#NAME?</v>
      </c>
      <c r="AS105" s="66" t="e">
        <f t="shared" si="393"/>
        <v>#NAME?</v>
      </c>
      <c r="AT105" s="66" t="e">
        <f t="shared" si="394"/>
        <v>#NAME?</v>
      </c>
      <c r="AU105" s="66" t="e">
        <f t="shared" si="395"/>
        <v>#NAME?</v>
      </c>
      <c r="AV105" s="66" t="e">
        <f t="shared" si="396"/>
        <v>#NAME?</v>
      </c>
      <c r="AW105" s="66" t="e">
        <f t="shared" si="397"/>
        <v>#NAME?</v>
      </c>
      <c r="AX105" s="66" t="e">
        <f t="shared" si="398"/>
        <v>#NAME?</v>
      </c>
      <c r="AY105" s="66" t="e">
        <f t="shared" si="399"/>
        <v>#NAME?</v>
      </c>
      <c r="AZ105" s="66" t="e">
        <f t="shared" si="400"/>
        <v>#NAME?</v>
      </c>
      <c r="BA105" s="66" t="e">
        <f t="shared" si="401"/>
        <v>#NAME?</v>
      </c>
      <c r="BB105" s="67" t="e">
        <f t="shared" si="308"/>
        <v>#NAME?</v>
      </c>
      <c r="BC105" s="67" t="e">
        <f t="shared" si="304"/>
        <v>#NAME?</v>
      </c>
      <c r="BD105" s="67" t="e">
        <f t="shared" si="305"/>
        <v>#NAME?</v>
      </c>
      <c r="BE105" s="67" t="e">
        <f t="shared" si="402"/>
        <v>#NAME?</v>
      </c>
      <c r="BF105" s="67" t="e">
        <f t="shared" si="403"/>
        <v>#NAME?</v>
      </c>
      <c r="BG105" s="67" t="e">
        <f t="shared" si="404"/>
        <v>#NAME?</v>
      </c>
    </row>
    <row r="106" spans="1:59" ht="16.5" thickBot="1" x14ac:dyDescent="0.3">
      <c r="A106" s="19" t="s">
        <v>255</v>
      </c>
      <c r="B106" s="9">
        <v>92</v>
      </c>
      <c r="C106" s="63" t="s">
        <v>256</v>
      </c>
      <c r="D106" s="64"/>
      <c r="E106" s="65"/>
      <c r="F106" s="66" t="e">
        <f t="shared" si="360"/>
        <v>#NAME?</v>
      </c>
      <c r="G106" s="66" t="e">
        <f t="shared" si="361"/>
        <v>#NAME?</v>
      </c>
      <c r="H106" s="66" t="e">
        <f t="shared" si="362"/>
        <v>#NAME?</v>
      </c>
      <c r="I106" s="66" t="e">
        <f t="shared" si="363"/>
        <v>#NAME?</v>
      </c>
      <c r="J106" s="66" t="e">
        <f t="shared" si="364"/>
        <v>#NAME?</v>
      </c>
      <c r="K106" s="66" t="e">
        <f t="shared" si="365"/>
        <v>#NAME?</v>
      </c>
      <c r="L106" s="66" t="e">
        <f t="shared" si="366"/>
        <v>#NAME?</v>
      </c>
      <c r="M106" s="66" t="e">
        <f t="shared" si="367"/>
        <v>#NAME?</v>
      </c>
      <c r="N106" s="66" t="e">
        <f t="shared" si="368"/>
        <v>#NAME?</v>
      </c>
      <c r="O106" s="66" t="e">
        <f t="shared" si="369"/>
        <v>#NAME?</v>
      </c>
      <c r="P106" s="66" t="e">
        <f t="shared" si="370"/>
        <v>#NAME?</v>
      </c>
      <c r="Q106" s="66" t="e">
        <f t="shared" si="371"/>
        <v>#NAME?</v>
      </c>
      <c r="R106" s="67" t="e">
        <f t="shared" si="306"/>
        <v>#NAME?</v>
      </c>
      <c r="S106" s="67" t="e">
        <f t="shared" si="300"/>
        <v>#NAME?</v>
      </c>
      <c r="T106" s="67" t="e">
        <f t="shared" si="301"/>
        <v>#NAME?</v>
      </c>
      <c r="U106" s="67" t="e">
        <f t="shared" si="372"/>
        <v>#NAME?</v>
      </c>
      <c r="V106" s="67" t="e">
        <f t="shared" si="373"/>
        <v>#NAME?</v>
      </c>
      <c r="W106" s="67" t="e">
        <f t="shared" si="374"/>
        <v>#NAME?</v>
      </c>
      <c r="X106" s="66" t="e">
        <f t="shared" si="375"/>
        <v>#NAME?</v>
      </c>
      <c r="Y106" s="66" t="e">
        <f t="shared" si="376"/>
        <v>#NAME?</v>
      </c>
      <c r="Z106" s="66" t="e">
        <f t="shared" si="377"/>
        <v>#NAME?</v>
      </c>
      <c r="AA106" s="66" t="e">
        <f t="shared" si="378"/>
        <v>#NAME?</v>
      </c>
      <c r="AB106" s="66" t="e">
        <f t="shared" si="379"/>
        <v>#NAME?</v>
      </c>
      <c r="AC106" s="66" t="e">
        <f t="shared" si="380"/>
        <v>#NAME?</v>
      </c>
      <c r="AD106" s="66" t="e">
        <f t="shared" si="381"/>
        <v>#NAME?</v>
      </c>
      <c r="AE106" s="66" t="e">
        <f t="shared" si="382"/>
        <v>#NAME?</v>
      </c>
      <c r="AF106" s="66" t="e">
        <f t="shared" si="383"/>
        <v>#NAME?</v>
      </c>
      <c r="AG106" s="66" t="e">
        <f t="shared" si="384"/>
        <v>#NAME?</v>
      </c>
      <c r="AH106" s="66" t="e">
        <f t="shared" si="385"/>
        <v>#NAME?</v>
      </c>
      <c r="AI106" s="66" t="e">
        <f t="shared" si="386"/>
        <v>#NAME?</v>
      </c>
      <c r="AJ106" s="67" t="e">
        <f t="shared" si="307"/>
        <v>#NAME?</v>
      </c>
      <c r="AK106" s="67" t="e">
        <f t="shared" si="302"/>
        <v>#NAME?</v>
      </c>
      <c r="AL106" s="67" t="e">
        <f t="shared" si="303"/>
        <v>#NAME?</v>
      </c>
      <c r="AM106" s="67" t="e">
        <f t="shared" si="387"/>
        <v>#NAME?</v>
      </c>
      <c r="AN106" s="67" t="e">
        <f t="shared" si="388"/>
        <v>#NAME?</v>
      </c>
      <c r="AO106" s="67" t="e">
        <f t="shared" si="389"/>
        <v>#NAME?</v>
      </c>
      <c r="AP106" s="66" t="e">
        <f t="shared" si="390"/>
        <v>#NAME?</v>
      </c>
      <c r="AQ106" s="66" t="e">
        <f t="shared" si="391"/>
        <v>#NAME?</v>
      </c>
      <c r="AR106" s="66" t="e">
        <f t="shared" si="392"/>
        <v>#NAME?</v>
      </c>
      <c r="AS106" s="66" t="e">
        <f t="shared" si="393"/>
        <v>#NAME?</v>
      </c>
      <c r="AT106" s="66" t="e">
        <f t="shared" si="394"/>
        <v>#NAME?</v>
      </c>
      <c r="AU106" s="66" t="e">
        <f t="shared" si="395"/>
        <v>#NAME?</v>
      </c>
      <c r="AV106" s="66" t="e">
        <f t="shared" si="396"/>
        <v>#NAME?</v>
      </c>
      <c r="AW106" s="66" t="e">
        <f t="shared" si="397"/>
        <v>#NAME?</v>
      </c>
      <c r="AX106" s="66" t="e">
        <f t="shared" si="398"/>
        <v>#NAME?</v>
      </c>
      <c r="AY106" s="66" t="e">
        <f t="shared" si="399"/>
        <v>#NAME?</v>
      </c>
      <c r="AZ106" s="66" t="e">
        <f t="shared" si="400"/>
        <v>#NAME?</v>
      </c>
      <c r="BA106" s="66" t="e">
        <f t="shared" si="401"/>
        <v>#NAME?</v>
      </c>
      <c r="BB106" s="67" t="e">
        <f t="shared" si="308"/>
        <v>#NAME?</v>
      </c>
      <c r="BC106" s="67" t="e">
        <f t="shared" si="304"/>
        <v>#NAME?</v>
      </c>
      <c r="BD106" s="67" t="e">
        <f t="shared" si="305"/>
        <v>#NAME?</v>
      </c>
      <c r="BE106" s="67" t="e">
        <f t="shared" si="402"/>
        <v>#NAME?</v>
      </c>
      <c r="BF106" s="67" t="e">
        <f t="shared" si="403"/>
        <v>#NAME?</v>
      </c>
      <c r="BG106" s="67" t="e">
        <f t="shared" si="404"/>
        <v>#NAME?</v>
      </c>
    </row>
    <row r="107" spans="1:59" ht="15.75" x14ac:dyDescent="0.25">
      <c r="B107" s="57">
        <v>93</v>
      </c>
      <c r="C107" s="58" t="s">
        <v>317</v>
      </c>
      <c r="F107" s="61" t="e">
        <f>SUM(F108:F109)</f>
        <v>#NAME?</v>
      </c>
      <c r="G107" s="61" t="e">
        <f t="shared" ref="G107:Q107" si="405">SUM(G108:G109)</f>
        <v>#NAME?</v>
      </c>
      <c r="H107" s="61" t="e">
        <f t="shared" si="405"/>
        <v>#NAME?</v>
      </c>
      <c r="I107" s="61" t="e">
        <f t="shared" si="405"/>
        <v>#NAME?</v>
      </c>
      <c r="J107" s="61" t="e">
        <f t="shared" si="405"/>
        <v>#NAME?</v>
      </c>
      <c r="K107" s="61" t="e">
        <f t="shared" si="405"/>
        <v>#NAME?</v>
      </c>
      <c r="L107" s="61" t="e">
        <f t="shared" si="405"/>
        <v>#NAME?</v>
      </c>
      <c r="M107" s="61" t="e">
        <f t="shared" si="405"/>
        <v>#NAME?</v>
      </c>
      <c r="N107" s="61" t="e">
        <f t="shared" si="405"/>
        <v>#NAME?</v>
      </c>
      <c r="O107" s="61" t="e">
        <f t="shared" si="405"/>
        <v>#NAME?</v>
      </c>
      <c r="P107" s="61" t="e">
        <f t="shared" si="405"/>
        <v>#NAME?</v>
      </c>
      <c r="Q107" s="61" t="e">
        <f t="shared" si="405"/>
        <v>#NAME?</v>
      </c>
      <c r="R107" s="61" t="e">
        <f>IF(F107+G107=0," ",O107/(F107+G107+M107)*100)</f>
        <v>#NAME?</v>
      </c>
      <c r="S107" s="61" t="e">
        <f>IF(J107=0," ",Q107/J107*100)</f>
        <v>#NAME?</v>
      </c>
      <c r="T107" s="61" t="e">
        <f>IF(N107=0,0,Q107/N107*100)</f>
        <v>#NAME?</v>
      </c>
      <c r="U107" s="61" t="e">
        <f>SUM(U108:U109)</f>
        <v>#NAME?</v>
      </c>
      <c r="V107" s="61" t="e">
        <f t="shared" ref="V107:AI107" si="406">SUM(V108:V109)</f>
        <v>#NAME?</v>
      </c>
      <c r="W107" s="61" t="e">
        <f t="shared" si="406"/>
        <v>#NAME?</v>
      </c>
      <c r="X107" s="61" t="e">
        <f t="shared" si="406"/>
        <v>#NAME?</v>
      </c>
      <c r="Y107" s="61" t="e">
        <f t="shared" si="406"/>
        <v>#NAME?</v>
      </c>
      <c r="Z107" s="61" t="e">
        <f t="shared" si="406"/>
        <v>#NAME?</v>
      </c>
      <c r="AA107" s="61" t="e">
        <f t="shared" si="406"/>
        <v>#NAME?</v>
      </c>
      <c r="AB107" s="61" t="e">
        <f t="shared" si="406"/>
        <v>#NAME?</v>
      </c>
      <c r="AC107" s="61" t="e">
        <f t="shared" si="406"/>
        <v>#NAME?</v>
      </c>
      <c r="AD107" s="61" t="e">
        <f t="shared" si="406"/>
        <v>#NAME?</v>
      </c>
      <c r="AE107" s="61" t="e">
        <f t="shared" si="406"/>
        <v>#NAME?</v>
      </c>
      <c r="AF107" s="61" t="e">
        <f t="shared" si="406"/>
        <v>#NAME?</v>
      </c>
      <c r="AG107" s="61" t="e">
        <f t="shared" si="406"/>
        <v>#NAME?</v>
      </c>
      <c r="AH107" s="61" t="e">
        <f t="shared" si="406"/>
        <v>#NAME?</v>
      </c>
      <c r="AI107" s="61" t="e">
        <f t="shared" si="406"/>
        <v>#NAME?</v>
      </c>
      <c r="AJ107" s="61" t="e">
        <f>IF(X107+Y107=0," ",AG107/(X107+Y107+AE107)*100)</f>
        <v>#NAME?</v>
      </c>
      <c r="AK107" s="61" t="e">
        <f>IF(AB107=0," ",AI107/AB107*100)</f>
        <v>#NAME?</v>
      </c>
      <c r="AL107" s="61" t="e">
        <f>IF(AF107=0,0,AI107/AF107*100)</f>
        <v>#NAME?</v>
      </c>
      <c r="AM107" s="61" t="e">
        <f>SUM(AM108:AM109)</f>
        <v>#NAME?</v>
      </c>
      <c r="AN107" s="61" t="e">
        <f t="shared" ref="AN107:BA107" si="407">SUM(AN108:AN109)</f>
        <v>#NAME?</v>
      </c>
      <c r="AO107" s="61" t="e">
        <f t="shared" si="407"/>
        <v>#NAME?</v>
      </c>
      <c r="AP107" s="61" t="e">
        <f t="shared" si="407"/>
        <v>#NAME?</v>
      </c>
      <c r="AQ107" s="61" t="e">
        <f t="shared" si="407"/>
        <v>#NAME?</v>
      </c>
      <c r="AR107" s="61" t="e">
        <f t="shared" si="407"/>
        <v>#NAME?</v>
      </c>
      <c r="AS107" s="61" t="e">
        <f t="shared" si="407"/>
        <v>#NAME?</v>
      </c>
      <c r="AT107" s="61" t="e">
        <f t="shared" si="407"/>
        <v>#NAME?</v>
      </c>
      <c r="AU107" s="61" t="e">
        <f t="shared" si="407"/>
        <v>#NAME?</v>
      </c>
      <c r="AV107" s="61" t="e">
        <f t="shared" si="407"/>
        <v>#NAME?</v>
      </c>
      <c r="AW107" s="61" t="e">
        <f t="shared" si="407"/>
        <v>#NAME?</v>
      </c>
      <c r="AX107" s="61" t="e">
        <f t="shared" si="407"/>
        <v>#NAME?</v>
      </c>
      <c r="AY107" s="61" t="e">
        <f t="shared" si="407"/>
        <v>#NAME?</v>
      </c>
      <c r="AZ107" s="61" t="e">
        <f t="shared" si="407"/>
        <v>#NAME?</v>
      </c>
      <c r="BA107" s="61" t="e">
        <f t="shared" si="407"/>
        <v>#NAME?</v>
      </c>
      <c r="BB107" s="61" t="e">
        <f>IF(AP107+AQ107=0," ",AY107/(AP107+AQ107+AW107)*100)</f>
        <v>#NAME?</v>
      </c>
      <c r="BC107" s="61" t="e">
        <f>IF(AT107=0," ",BA107/AT107*100)</f>
        <v>#NAME?</v>
      </c>
      <c r="BD107" s="61" t="e">
        <f>IF(AX107=0,0,BA107/AX107*100)</f>
        <v>#NAME?</v>
      </c>
      <c r="BE107" s="61" t="e">
        <f>SUM(BE108:BE109)</f>
        <v>#NAME?</v>
      </c>
      <c r="BF107" s="61" t="e">
        <f>SUM(BF108:BF109)</f>
        <v>#NAME?</v>
      </c>
      <c r="BG107" s="61" t="e">
        <f>SUM(BG108:BG109)</f>
        <v>#NAME?</v>
      </c>
    </row>
    <row r="108" spans="1:59" ht="15.75" x14ac:dyDescent="0.25">
      <c r="B108" s="11">
        <v>94</v>
      </c>
      <c r="C108" s="13" t="s">
        <v>319</v>
      </c>
      <c r="F108" s="66" t="e">
        <f>X108+AP108</f>
        <v>#NAME?</v>
      </c>
      <c r="G108" s="66" t="e">
        <f>Y108+AQ108</f>
        <v>#NAME?</v>
      </c>
      <c r="H108" s="66" t="e">
        <f>I108+J108</f>
        <v>#NAME?</v>
      </c>
      <c r="I108" s="66" t="e">
        <f t="shared" ref="I108:M109" si="408">AA108+AS108</f>
        <v>#NAME?</v>
      </c>
      <c r="J108" s="66" t="e">
        <f t="shared" si="408"/>
        <v>#NAME?</v>
      </c>
      <c r="K108" s="66" t="e">
        <f t="shared" si="408"/>
        <v>#NAME?</v>
      </c>
      <c r="L108" s="66" t="e">
        <f t="shared" si="408"/>
        <v>#NAME?</v>
      </c>
      <c r="M108" s="66" t="e">
        <f t="shared" si="408"/>
        <v>#NAME?</v>
      </c>
      <c r="N108" s="66" t="e">
        <f>O108+Q108</f>
        <v>#NAME?</v>
      </c>
      <c r="O108" s="66" t="e">
        <f t="shared" ref="O108:Q109" si="409">AG108+AY108</f>
        <v>#NAME?</v>
      </c>
      <c r="P108" s="66" t="e">
        <f t="shared" si="409"/>
        <v>#NAME?</v>
      </c>
      <c r="Q108" s="66" t="e">
        <f t="shared" si="409"/>
        <v>#NAME?</v>
      </c>
      <c r="R108" s="67" t="e">
        <f>IF(F108+G108=0," ",O108/(F108+G108+M108)*100)</f>
        <v>#NAME?</v>
      </c>
      <c r="S108" s="67" t="e">
        <f>IF(J108=0," ",Q108/J108*100)</f>
        <v>#NAME?</v>
      </c>
      <c r="T108" s="67" t="e">
        <f>IF(N108=0,0,Q108/N108*100)</f>
        <v>#NAME?</v>
      </c>
      <c r="U108" s="67" t="e">
        <f>AM108+BE108</f>
        <v>#NAME?</v>
      </c>
      <c r="V108" s="67" t="e">
        <f>(G108+K108+L108-O108-U108)</f>
        <v>#NAME?</v>
      </c>
      <c r="W108" s="67" t="e">
        <f>(I108-O108)</f>
        <v>#NAME?</v>
      </c>
      <c r="X108" s="66" t="e">
        <f t="shared" si="375"/>
        <v>#NAME?</v>
      </c>
      <c r="Y108" s="66" t="e">
        <f t="shared" si="376"/>
        <v>#NAME?</v>
      </c>
      <c r="Z108" s="66" t="e">
        <f>AA108+AB108</f>
        <v>#NAME?</v>
      </c>
      <c r="AA108" s="66" t="e">
        <f t="shared" si="378"/>
        <v>#NAME?</v>
      </c>
      <c r="AB108" s="66" t="e">
        <f t="shared" si="379"/>
        <v>#NAME?</v>
      </c>
      <c r="AC108" s="66" t="e">
        <f t="shared" si="380"/>
        <v>#NAME?</v>
      </c>
      <c r="AD108" s="66" t="e">
        <f t="shared" si="381"/>
        <v>#NAME?</v>
      </c>
      <c r="AE108" s="66" t="e">
        <f t="shared" si="382"/>
        <v>#NAME?</v>
      </c>
      <c r="AF108" s="66" t="e">
        <f>AG108+AI108</f>
        <v>#NAME?</v>
      </c>
      <c r="AG108" s="66" t="e">
        <f t="shared" si="384"/>
        <v>#NAME?</v>
      </c>
      <c r="AH108" s="66" t="e">
        <f t="shared" si="385"/>
        <v>#NAME?</v>
      </c>
      <c r="AI108" s="66" t="e">
        <f t="shared" si="386"/>
        <v>#NAME?</v>
      </c>
      <c r="AJ108" s="67" t="e">
        <f>IF(X108+Y108=0," ",AG108/(X108+Y108+AE108)*100)</f>
        <v>#NAME?</v>
      </c>
      <c r="AK108" s="67" t="e">
        <f>IF(AB108=0," ",AI108/AB108*100)</f>
        <v>#NAME?</v>
      </c>
      <c r="AL108" s="67" t="e">
        <f>IF(AF108=0,0,AI108/AF108*100)</f>
        <v>#NAME?</v>
      </c>
      <c r="AM108" s="67" t="e">
        <f t="shared" si="387"/>
        <v>#NAME?</v>
      </c>
      <c r="AN108" s="67" t="e">
        <f>(Y108+AC108+AD108-AG108-AM108)</f>
        <v>#NAME?</v>
      </c>
      <c r="AO108" s="67" t="e">
        <f>(AA108-AG108)</f>
        <v>#NAME?</v>
      </c>
      <c r="AP108" s="66" t="e">
        <f t="shared" si="390"/>
        <v>#NAME?</v>
      </c>
      <c r="AQ108" s="66" t="e">
        <f t="shared" si="391"/>
        <v>#NAME?</v>
      </c>
      <c r="AR108" s="66" t="e">
        <f>AS108+AT108</f>
        <v>#NAME?</v>
      </c>
      <c r="AS108" s="66" t="e">
        <f t="shared" si="393"/>
        <v>#NAME?</v>
      </c>
      <c r="AT108" s="66" t="e">
        <f t="shared" si="394"/>
        <v>#NAME?</v>
      </c>
      <c r="AU108" s="66" t="e">
        <f t="shared" si="395"/>
        <v>#NAME?</v>
      </c>
      <c r="AV108" s="66" t="e">
        <f t="shared" si="396"/>
        <v>#NAME?</v>
      </c>
      <c r="AW108" s="66" t="e">
        <f t="shared" si="397"/>
        <v>#NAME?</v>
      </c>
      <c r="AX108" s="66" t="e">
        <f>AY108+BA108</f>
        <v>#NAME?</v>
      </c>
      <c r="AY108" s="66" t="e">
        <f t="shared" si="399"/>
        <v>#NAME?</v>
      </c>
      <c r="AZ108" s="66" t="e">
        <f t="shared" si="400"/>
        <v>#NAME?</v>
      </c>
      <c r="BA108" s="66" t="e">
        <f t="shared" si="401"/>
        <v>#NAME?</v>
      </c>
      <c r="BB108" s="67" t="e">
        <f>IF(AP108+AQ108=0," ",AY108/(AP108+AQ108+AW108)*100)</f>
        <v>#NAME?</v>
      </c>
      <c r="BC108" s="67" t="e">
        <f>IF(AT108=0," ",BA108/AT108*100)</f>
        <v>#NAME?</v>
      </c>
      <c r="BD108" s="67" t="e">
        <f>IF(AX108=0,0,BA108/AX108*100)</f>
        <v>#NAME?</v>
      </c>
      <c r="BE108" s="67" t="e">
        <f t="shared" si="402"/>
        <v>#NAME?</v>
      </c>
      <c r="BF108" s="67" t="e">
        <f>(AQ108+AU108+AV108-AY108-BE108)</f>
        <v>#NAME?</v>
      </c>
      <c r="BG108" s="67" t="e">
        <f>(AS108-AY108)</f>
        <v>#NAME?</v>
      </c>
    </row>
    <row r="109" spans="1:59" ht="15.75" x14ac:dyDescent="0.25">
      <c r="B109" s="11">
        <v>95</v>
      </c>
      <c r="C109" s="13" t="s">
        <v>318</v>
      </c>
      <c r="F109" s="66" t="e">
        <f>X109+AP109</f>
        <v>#NAME?</v>
      </c>
      <c r="G109" s="66" t="e">
        <f>Y109+AQ109</f>
        <v>#NAME?</v>
      </c>
      <c r="H109" s="66" t="e">
        <f>I109+J109</f>
        <v>#NAME?</v>
      </c>
      <c r="I109" s="66" t="e">
        <f t="shared" si="408"/>
        <v>#NAME?</v>
      </c>
      <c r="J109" s="66" t="e">
        <f t="shared" si="408"/>
        <v>#NAME?</v>
      </c>
      <c r="K109" s="66" t="e">
        <f t="shared" si="408"/>
        <v>#NAME?</v>
      </c>
      <c r="L109" s="66" t="e">
        <f t="shared" si="408"/>
        <v>#NAME?</v>
      </c>
      <c r="M109" s="66" t="e">
        <f t="shared" si="408"/>
        <v>#NAME?</v>
      </c>
      <c r="N109" s="66" t="e">
        <f>O109+Q109</f>
        <v>#NAME?</v>
      </c>
      <c r="O109" s="66" t="e">
        <f t="shared" si="409"/>
        <v>#NAME?</v>
      </c>
      <c r="P109" s="66" t="e">
        <f t="shared" si="409"/>
        <v>#NAME?</v>
      </c>
      <c r="Q109" s="66" t="e">
        <f t="shared" si="409"/>
        <v>#NAME?</v>
      </c>
      <c r="R109" s="67" t="e">
        <f>IF(F109+G109=0," ",O109/(F109+G109+M109)*100)</f>
        <v>#NAME?</v>
      </c>
      <c r="S109" s="67" t="e">
        <f>IF(J109=0," ",Q109/J109*100)</f>
        <v>#NAME?</v>
      </c>
      <c r="T109" s="67" t="e">
        <f>IF(N109=0,0,Q109/N109*100)</f>
        <v>#NAME?</v>
      </c>
      <c r="U109" s="67" t="e">
        <f>AM109+BE109</f>
        <v>#NAME?</v>
      </c>
      <c r="V109" s="67" t="e">
        <f>(G109+K109+L109-O109-U109)</f>
        <v>#NAME?</v>
      </c>
      <c r="W109" s="67" t="e">
        <f>(I109-O109)</f>
        <v>#NAME?</v>
      </c>
      <c r="X109" s="66" t="e">
        <f t="shared" si="375"/>
        <v>#NAME?</v>
      </c>
      <c r="Y109" s="66" t="e">
        <f t="shared" si="376"/>
        <v>#NAME?</v>
      </c>
      <c r="Z109" s="66" t="e">
        <f>AA109+AB109</f>
        <v>#NAME?</v>
      </c>
      <c r="AA109" s="66" t="e">
        <f t="shared" si="378"/>
        <v>#NAME?</v>
      </c>
      <c r="AB109" s="66" t="e">
        <f t="shared" si="379"/>
        <v>#NAME?</v>
      </c>
      <c r="AC109" s="66" t="e">
        <f t="shared" si="380"/>
        <v>#NAME?</v>
      </c>
      <c r="AD109" s="66" t="e">
        <f t="shared" si="381"/>
        <v>#NAME?</v>
      </c>
      <c r="AE109" s="66" t="e">
        <f t="shared" si="382"/>
        <v>#NAME?</v>
      </c>
      <c r="AF109" s="66" t="e">
        <f>AG109+AI109</f>
        <v>#NAME?</v>
      </c>
      <c r="AG109" s="66" t="e">
        <f t="shared" si="384"/>
        <v>#NAME?</v>
      </c>
      <c r="AH109" s="66" t="e">
        <f t="shared" si="385"/>
        <v>#NAME?</v>
      </c>
      <c r="AI109" s="66" t="e">
        <f t="shared" si="386"/>
        <v>#NAME?</v>
      </c>
      <c r="AJ109" s="67" t="e">
        <f>IF(X109+Y109=0," ",AG109/(X109+Y109+AE109)*100)</f>
        <v>#NAME?</v>
      </c>
      <c r="AK109" s="67" t="e">
        <f>IF(AB109=0," ",AI109/AB109*100)</f>
        <v>#NAME?</v>
      </c>
      <c r="AL109" s="67" t="e">
        <f>IF(AF109=0,0,AI109/AF109*100)</f>
        <v>#NAME?</v>
      </c>
      <c r="AM109" s="67" t="e">
        <f t="shared" si="387"/>
        <v>#NAME?</v>
      </c>
      <c r="AN109" s="67" t="e">
        <f>(Y109+AC109+AD109-AG109-AM109)</f>
        <v>#NAME?</v>
      </c>
      <c r="AO109" s="67" t="e">
        <f>(AA109-AG109)</f>
        <v>#NAME?</v>
      </c>
      <c r="AP109" s="66" t="e">
        <f t="shared" si="390"/>
        <v>#NAME?</v>
      </c>
      <c r="AQ109" s="66" t="e">
        <f t="shared" si="391"/>
        <v>#NAME?</v>
      </c>
      <c r="AR109" s="66" t="e">
        <f>AS109+AT109</f>
        <v>#NAME?</v>
      </c>
      <c r="AS109" s="66" t="e">
        <f t="shared" si="393"/>
        <v>#NAME?</v>
      </c>
      <c r="AT109" s="66" t="e">
        <f t="shared" si="394"/>
        <v>#NAME?</v>
      </c>
      <c r="AU109" s="66" t="e">
        <f t="shared" si="395"/>
        <v>#NAME?</v>
      </c>
      <c r="AV109" s="66" t="e">
        <f t="shared" si="396"/>
        <v>#NAME?</v>
      </c>
      <c r="AW109" s="66" t="e">
        <f t="shared" si="397"/>
        <v>#NAME?</v>
      </c>
      <c r="AX109" s="66" t="e">
        <f>AY109+BA109</f>
        <v>#NAME?</v>
      </c>
      <c r="AY109" s="66" t="e">
        <f t="shared" si="399"/>
        <v>#NAME?</v>
      </c>
      <c r="AZ109" s="66" t="e">
        <f t="shared" si="400"/>
        <v>#NAME?</v>
      </c>
      <c r="BA109" s="66" t="e">
        <f t="shared" si="401"/>
        <v>#NAME?</v>
      </c>
      <c r="BB109" s="67" t="e">
        <f>IF(AP109+AQ109=0," ",AY109/(AP109+AQ109+AW109)*100)</f>
        <v>#NAME?</v>
      </c>
      <c r="BC109" s="67" t="e">
        <f>IF(AT109=0," ",BA109/AT109*100)</f>
        <v>#NAME?</v>
      </c>
      <c r="BD109" s="67" t="e">
        <f>IF(AX109=0,0,BA109/AX109*100)</f>
        <v>#NAME?</v>
      </c>
      <c r="BE109" s="67" t="e">
        <f t="shared" si="402"/>
        <v>#NAME?</v>
      </c>
      <c r="BF109" s="67" t="e">
        <f>(AQ109+AU109+AV109-AY109-BE109)</f>
        <v>#NAME?</v>
      </c>
      <c r="BG109" s="67" t="e">
        <f>(AS109-AY109)</f>
        <v>#NAME?</v>
      </c>
    </row>
  </sheetData>
  <mergeCells count="68">
    <mergeCell ref="H10:H11"/>
    <mergeCell ref="I10:J10"/>
    <mergeCell ref="N10:N11"/>
    <mergeCell ref="O10:Q10"/>
    <mergeCell ref="Z10:Z11"/>
    <mergeCell ref="R9:S10"/>
    <mergeCell ref="T9:T11"/>
    <mergeCell ref="U9:U11"/>
    <mergeCell ref="V9:V11"/>
    <mergeCell ref="W9:W11"/>
    <mergeCell ref="Y9:Y11"/>
    <mergeCell ref="K9:K11"/>
    <mergeCell ref="L9:L11"/>
    <mergeCell ref="M9:M11"/>
    <mergeCell ref="H9:J9"/>
    <mergeCell ref="X9:X11"/>
    <mergeCell ref="AQ9:AQ11"/>
    <mergeCell ref="AJ9:AK10"/>
    <mergeCell ref="AA10:AB10"/>
    <mergeCell ref="AF10:AF11"/>
    <mergeCell ref="AG10:AI10"/>
    <mergeCell ref="AE9:AE11"/>
    <mergeCell ref="AX10:AX11"/>
    <mergeCell ref="AY10:BA10"/>
    <mergeCell ref="BE9:BE11"/>
    <mergeCell ref="BF9:BF11"/>
    <mergeCell ref="AR9:AT9"/>
    <mergeCell ref="AR10:AR11"/>
    <mergeCell ref="AS10:AT10"/>
    <mergeCell ref="H5:I5"/>
    <mergeCell ref="Z5:AA5"/>
    <mergeCell ref="AR5:AS5"/>
    <mergeCell ref="B7:B11"/>
    <mergeCell ref="C7:C11"/>
    <mergeCell ref="D7:D11"/>
    <mergeCell ref="E7:E11"/>
    <mergeCell ref="N9:Q9"/>
    <mergeCell ref="G9:G11"/>
    <mergeCell ref="Z9:AB9"/>
    <mergeCell ref="AC9:AC11"/>
    <mergeCell ref="AD9:AD11"/>
    <mergeCell ref="AL9:AL11"/>
    <mergeCell ref="AM9:AM11"/>
    <mergeCell ref="AN9:AN11"/>
    <mergeCell ref="AO9:AO11"/>
    <mergeCell ref="G2:Q2"/>
    <mergeCell ref="Y2:AI2"/>
    <mergeCell ref="AQ2:BA2"/>
    <mergeCell ref="D3:Q3"/>
    <mergeCell ref="G4:Q4"/>
    <mergeCell ref="Y4:AI4"/>
    <mergeCell ref="AQ4:BA4"/>
    <mergeCell ref="F9:F11"/>
    <mergeCell ref="X7:AO7"/>
    <mergeCell ref="X8:AO8"/>
    <mergeCell ref="AP9:AP11"/>
    <mergeCell ref="AP7:BG7"/>
    <mergeCell ref="AP8:BG8"/>
    <mergeCell ref="F7:W7"/>
    <mergeCell ref="F8:W8"/>
    <mergeCell ref="AF9:AI9"/>
    <mergeCell ref="BG9:BG11"/>
    <mergeCell ref="AU9:AU11"/>
    <mergeCell ref="AV9:AV11"/>
    <mergeCell ref="AW9:AW11"/>
    <mergeCell ref="AX9:BA9"/>
    <mergeCell ref="BB9:BC10"/>
    <mergeCell ref="BD9:BD11"/>
  </mergeCells>
  <pageMargins left="0" right="0" top="0" bottom="0" header="0" footer="0"/>
  <pageSetup paperSize="9" scale="65" orientation="landscape" r:id="rId1"/>
  <rowBreaks count="2" manualBreakCount="2">
    <brk id="46" max="58" man="1"/>
    <brk id="83" max="58" man="1"/>
  </rowBreaks>
  <colBreaks count="2" manualBreakCount="2">
    <brk id="23" min="1" max="108" man="1"/>
    <brk id="41" min="1" max="108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H53"/>
  <sheetViews>
    <sheetView topLeftCell="A121" workbookViewId="0">
      <selection activeCell="C59" sqref="C59"/>
    </sheetView>
  </sheetViews>
  <sheetFormatPr defaultRowHeight="15" x14ac:dyDescent="0.25"/>
  <cols>
    <col min="3" max="3" width="76.85546875" customWidth="1"/>
    <col min="4" max="4" width="28.28515625" customWidth="1"/>
    <col min="6" max="6" width="13.140625" customWidth="1"/>
    <col min="7" max="7" width="24.5703125" customWidth="1"/>
  </cols>
  <sheetData>
    <row r="1" spans="1:8" x14ac:dyDescent="0.25">
      <c r="A1" t="s">
        <v>328</v>
      </c>
      <c r="F1" t="s">
        <v>329</v>
      </c>
      <c r="G1" t="s">
        <v>330</v>
      </c>
      <c r="H1" t="s">
        <v>331</v>
      </c>
    </row>
    <row r="2" spans="1:8" ht="47.25" x14ac:dyDescent="0.25">
      <c r="A2" s="100">
        <v>15</v>
      </c>
      <c r="B2" s="101" t="s">
        <v>332</v>
      </c>
      <c r="C2" s="102" t="s">
        <v>333</v>
      </c>
      <c r="D2" s="103" t="s">
        <v>334</v>
      </c>
      <c r="E2">
        <v>15</v>
      </c>
      <c r="F2" s="104">
        <v>16</v>
      </c>
      <c r="G2" s="104" t="s">
        <v>335</v>
      </c>
      <c r="H2" s="105" t="s">
        <v>336</v>
      </c>
    </row>
    <row r="3" spans="1:8" ht="47.25" x14ac:dyDescent="0.25">
      <c r="A3" s="100">
        <v>16</v>
      </c>
      <c r="B3" s="101" t="s">
        <v>337</v>
      </c>
      <c r="C3" s="102" t="s">
        <v>338</v>
      </c>
      <c r="D3" s="103" t="s">
        <v>339</v>
      </c>
      <c r="E3">
        <v>16</v>
      </c>
      <c r="F3" s="104">
        <v>15</v>
      </c>
      <c r="G3" s="104" t="s">
        <v>340</v>
      </c>
      <c r="H3" s="105" t="s">
        <v>341</v>
      </c>
    </row>
    <row r="4" spans="1:8" ht="63" x14ac:dyDescent="0.25">
      <c r="A4" s="100">
        <v>17</v>
      </c>
      <c r="B4" s="101" t="s">
        <v>342</v>
      </c>
      <c r="C4" s="102" t="s">
        <v>343</v>
      </c>
      <c r="D4" s="103" t="s">
        <v>344</v>
      </c>
      <c r="E4">
        <v>17</v>
      </c>
      <c r="F4" s="104">
        <v>17</v>
      </c>
      <c r="G4" s="104" t="s">
        <v>345</v>
      </c>
      <c r="H4" s="105" t="s">
        <v>346</v>
      </c>
    </row>
    <row r="5" spans="1:8" ht="63" x14ac:dyDescent="0.25">
      <c r="A5" s="100">
        <v>18</v>
      </c>
      <c r="B5" s="101" t="s">
        <v>347</v>
      </c>
      <c r="C5" s="102" t="s">
        <v>348</v>
      </c>
      <c r="D5" s="103" t="s">
        <v>349</v>
      </c>
      <c r="E5">
        <v>18</v>
      </c>
      <c r="F5" s="104">
        <v>18</v>
      </c>
      <c r="G5" s="104" t="s">
        <v>350</v>
      </c>
      <c r="H5" s="105" t="s">
        <v>351</v>
      </c>
    </row>
    <row r="6" spans="1:8" ht="47.25" x14ac:dyDescent="0.25">
      <c r="A6" s="100">
        <v>19</v>
      </c>
      <c r="B6" s="101" t="s">
        <v>352</v>
      </c>
      <c r="C6" s="102" t="s">
        <v>353</v>
      </c>
      <c r="D6" s="103" t="s">
        <v>354</v>
      </c>
      <c r="E6">
        <v>19</v>
      </c>
      <c r="F6" s="104">
        <v>59</v>
      </c>
      <c r="G6" s="104" t="s">
        <v>355</v>
      </c>
      <c r="H6" s="105" t="s">
        <v>356</v>
      </c>
    </row>
    <row r="7" spans="1:8" ht="47.25" x14ac:dyDescent="0.25">
      <c r="A7" s="100">
        <v>20</v>
      </c>
      <c r="B7" s="101" t="s">
        <v>357</v>
      </c>
      <c r="C7" s="102" t="s">
        <v>358</v>
      </c>
      <c r="D7" s="103" t="s">
        <v>359</v>
      </c>
      <c r="E7">
        <v>20</v>
      </c>
      <c r="F7" s="104">
        <v>19</v>
      </c>
      <c r="G7" s="104" t="s">
        <v>360</v>
      </c>
      <c r="H7" s="105" t="s">
        <v>361</v>
      </c>
    </row>
    <row r="8" spans="1:8" ht="47.25" x14ac:dyDescent="0.25">
      <c r="A8" s="100">
        <v>21</v>
      </c>
      <c r="B8" s="101" t="s">
        <v>362</v>
      </c>
      <c r="C8" s="102" t="s">
        <v>363</v>
      </c>
      <c r="D8" s="103" t="s">
        <v>364</v>
      </c>
      <c r="E8">
        <v>21</v>
      </c>
      <c r="F8" s="104">
        <v>66</v>
      </c>
      <c r="G8" s="104" t="s">
        <v>365</v>
      </c>
      <c r="H8" s="105" t="s">
        <v>366</v>
      </c>
    </row>
    <row r="9" spans="1:8" ht="31.5" x14ac:dyDescent="0.25">
      <c r="A9" s="100">
        <v>22</v>
      </c>
      <c r="B9" s="101" t="s">
        <v>367</v>
      </c>
      <c r="C9" s="102" t="s">
        <v>368</v>
      </c>
      <c r="D9" s="103" t="s">
        <v>369</v>
      </c>
      <c r="E9">
        <v>22</v>
      </c>
      <c r="F9" s="104">
        <v>67</v>
      </c>
      <c r="G9" s="104" t="s">
        <v>370</v>
      </c>
      <c r="H9" s="105" t="s">
        <v>371</v>
      </c>
    </row>
    <row r="10" spans="1:8" ht="47.25" x14ac:dyDescent="0.25">
      <c r="A10" s="100">
        <v>23</v>
      </c>
      <c r="B10" s="101" t="s">
        <v>372</v>
      </c>
      <c r="C10" s="102" t="s">
        <v>373</v>
      </c>
      <c r="D10" s="103" t="s">
        <v>374</v>
      </c>
      <c r="E10">
        <v>23</v>
      </c>
      <c r="F10" s="104">
        <v>80</v>
      </c>
      <c r="G10" s="104" t="s">
        <v>375</v>
      </c>
      <c r="H10" s="105" t="s">
        <v>376</v>
      </c>
    </row>
    <row r="11" spans="1:8" ht="63" x14ac:dyDescent="0.25">
      <c r="A11" s="100">
        <v>24</v>
      </c>
      <c r="B11" s="101" t="s">
        <v>377</v>
      </c>
      <c r="C11" s="102" t="s">
        <v>378</v>
      </c>
      <c r="D11" s="103" t="s">
        <v>379</v>
      </c>
      <c r="E11">
        <v>24</v>
      </c>
      <c r="F11" s="104">
        <v>79</v>
      </c>
      <c r="G11" s="104" t="s">
        <v>380</v>
      </c>
      <c r="H11" s="105" t="s">
        <v>381</v>
      </c>
    </row>
    <row r="12" spans="1:8" ht="63" x14ac:dyDescent="0.25">
      <c r="A12" s="100">
        <v>25</v>
      </c>
      <c r="B12" s="101" t="s">
        <v>382</v>
      </c>
      <c r="C12" s="102" t="s">
        <v>383</v>
      </c>
      <c r="D12" s="103" t="s">
        <v>384</v>
      </c>
      <c r="E12">
        <v>25</v>
      </c>
      <c r="F12" s="104">
        <v>81</v>
      </c>
      <c r="G12" s="104" t="s">
        <v>385</v>
      </c>
      <c r="H12" s="105" t="s">
        <v>386</v>
      </c>
    </row>
    <row r="13" spans="1:8" ht="15.75" x14ac:dyDescent="0.25">
      <c r="A13" s="100">
        <v>28</v>
      </c>
      <c r="B13" s="101" t="s">
        <v>387</v>
      </c>
      <c r="C13" s="102" t="s">
        <v>388</v>
      </c>
      <c r="D13" s="103" t="s">
        <v>389</v>
      </c>
      <c r="E13">
        <v>28</v>
      </c>
      <c r="F13" s="104">
        <v>22</v>
      </c>
      <c r="G13" s="104" t="s">
        <v>390</v>
      </c>
      <c r="H13" s="105" t="s">
        <v>391</v>
      </c>
    </row>
    <row r="14" spans="1:8" ht="31.5" x14ac:dyDescent="0.25">
      <c r="A14" s="100">
        <v>29</v>
      </c>
      <c r="B14" s="101" t="s">
        <v>392</v>
      </c>
      <c r="C14" s="102" t="s">
        <v>393</v>
      </c>
      <c r="D14" s="103" t="s">
        <v>394</v>
      </c>
      <c r="E14">
        <v>29</v>
      </c>
      <c r="F14" s="104">
        <v>77</v>
      </c>
      <c r="G14" s="104" t="s">
        <v>395</v>
      </c>
      <c r="H14" s="105" t="s">
        <v>396</v>
      </c>
    </row>
    <row r="15" spans="1:8" ht="31.5" x14ac:dyDescent="0.25">
      <c r="A15" s="100">
        <v>30</v>
      </c>
      <c r="B15" s="101" t="s">
        <v>397</v>
      </c>
      <c r="C15" s="102" t="s">
        <v>398</v>
      </c>
      <c r="D15" s="103" t="s">
        <v>399</v>
      </c>
      <c r="E15">
        <v>30</v>
      </c>
      <c r="F15" s="104">
        <v>23</v>
      </c>
      <c r="G15" s="104" t="s">
        <v>400</v>
      </c>
      <c r="H15" s="105" t="s">
        <v>401</v>
      </c>
    </row>
    <row r="16" spans="1:8" ht="31.5" x14ac:dyDescent="0.25">
      <c r="A16" s="100">
        <v>31</v>
      </c>
      <c r="B16" s="101" t="s">
        <v>402</v>
      </c>
      <c r="C16" s="102" t="s">
        <v>403</v>
      </c>
      <c r="D16" s="103" t="s">
        <v>404</v>
      </c>
      <c r="E16">
        <v>31</v>
      </c>
      <c r="F16" s="104">
        <v>78</v>
      </c>
      <c r="G16" s="104" t="s">
        <v>405</v>
      </c>
      <c r="H16" s="105" t="s">
        <v>406</v>
      </c>
    </row>
    <row r="17" spans="1:8" ht="31.5" x14ac:dyDescent="0.25">
      <c r="A17" s="100">
        <v>32</v>
      </c>
      <c r="B17" s="101" t="s">
        <v>407</v>
      </c>
      <c r="C17" s="102" t="s">
        <v>408</v>
      </c>
      <c r="D17" s="103" t="s">
        <v>409</v>
      </c>
      <c r="E17">
        <v>32</v>
      </c>
      <c r="F17" s="104">
        <v>62</v>
      </c>
      <c r="G17" s="104" t="s">
        <v>408</v>
      </c>
      <c r="H17" s="105" t="s">
        <v>410</v>
      </c>
    </row>
    <row r="18" spans="1:8" ht="31.5" x14ac:dyDescent="0.25">
      <c r="A18" s="100">
        <v>33</v>
      </c>
      <c r="B18" s="101" t="s">
        <v>411</v>
      </c>
      <c r="C18" s="102" t="s">
        <v>412</v>
      </c>
      <c r="D18" s="103" t="s">
        <v>413</v>
      </c>
      <c r="E18">
        <v>33</v>
      </c>
      <c r="F18" s="104">
        <v>25</v>
      </c>
      <c r="G18" s="104" t="s">
        <v>414</v>
      </c>
      <c r="H18" s="105" t="s">
        <v>415</v>
      </c>
    </row>
    <row r="19" spans="1:8" ht="31.5" x14ac:dyDescent="0.25">
      <c r="A19" s="100">
        <v>34</v>
      </c>
      <c r="B19" s="101" t="s">
        <v>416</v>
      </c>
      <c r="C19" s="102" t="s">
        <v>417</v>
      </c>
      <c r="D19" s="103" t="s">
        <v>418</v>
      </c>
      <c r="E19">
        <v>34</v>
      </c>
      <c r="F19" s="104">
        <v>26</v>
      </c>
      <c r="G19" s="104" t="s">
        <v>419</v>
      </c>
      <c r="H19" s="105" t="s">
        <v>420</v>
      </c>
    </row>
    <row r="20" spans="1:8" ht="31.5" x14ac:dyDescent="0.25">
      <c r="A20" s="100">
        <v>35</v>
      </c>
      <c r="B20" s="101" t="s">
        <v>421</v>
      </c>
      <c r="C20" s="102" t="s">
        <v>422</v>
      </c>
      <c r="D20" s="103" t="s">
        <v>423</v>
      </c>
      <c r="E20">
        <v>35</v>
      </c>
      <c r="F20" s="104">
        <v>70</v>
      </c>
      <c r="G20" s="104" t="s">
        <v>424</v>
      </c>
      <c r="H20" s="105" t="s">
        <v>425</v>
      </c>
    </row>
    <row r="21" spans="1:8" ht="63" x14ac:dyDescent="0.25">
      <c r="A21" s="100">
        <v>36</v>
      </c>
      <c r="B21" s="101" t="s">
        <v>426</v>
      </c>
      <c r="C21" s="102" t="s">
        <v>427</v>
      </c>
      <c r="D21" s="106" t="s">
        <v>428</v>
      </c>
      <c r="E21">
        <v>36</v>
      </c>
      <c r="F21" s="104">
        <v>27</v>
      </c>
      <c r="G21" s="104" t="s">
        <v>429</v>
      </c>
      <c r="H21" s="105" t="s">
        <v>430</v>
      </c>
    </row>
    <row r="22" spans="1:8" ht="31.5" x14ac:dyDescent="0.25">
      <c r="A22" s="100">
        <v>37</v>
      </c>
      <c r="B22" s="107" t="s">
        <v>431</v>
      </c>
      <c r="C22" s="102" t="s">
        <v>432</v>
      </c>
      <c r="D22" s="106" t="s">
        <v>428</v>
      </c>
      <c r="E22">
        <v>37</v>
      </c>
      <c r="F22" s="104">
        <v>28</v>
      </c>
      <c r="G22" s="104" t="s">
        <v>433</v>
      </c>
      <c r="H22" s="105" t="s">
        <v>434</v>
      </c>
    </row>
    <row r="23" spans="1:8" ht="15.75" x14ac:dyDescent="0.25">
      <c r="A23" s="100">
        <v>40</v>
      </c>
      <c r="B23" s="107" t="s">
        <v>435</v>
      </c>
      <c r="C23" s="108" t="s">
        <v>436</v>
      </c>
      <c r="D23" s="106" t="s">
        <v>437</v>
      </c>
      <c r="E23">
        <v>40</v>
      </c>
      <c r="F23" s="104">
        <v>31</v>
      </c>
      <c r="G23" s="104" t="s">
        <v>438</v>
      </c>
      <c r="H23" s="105" t="s">
        <v>439</v>
      </c>
    </row>
    <row r="24" spans="1:8" ht="15.75" x14ac:dyDescent="0.25">
      <c r="A24" s="100">
        <v>41</v>
      </c>
      <c r="B24" s="107" t="s">
        <v>440</v>
      </c>
      <c r="C24" s="108" t="s">
        <v>441</v>
      </c>
      <c r="D24" s="106" t="s">
        <v>442</v>
      </c>
      <c r="E24">
        <v>41</v>
      </c>
      <c r="F24" s="104">
        <v>32</v>
      </c>
      <c r="G24" s="104" t="s">
        <v>443</v>
      </c>
      <c r="H24" s="105" t="s">
        <v>444</v>
      </c>
    </row>
    <row r="25" spans="1:8" ht="31.5" x14ac:dyDescent="0.25">
      <c r="A25" s="100">
        <v>42</v>
      </c>
      <c r="B25" s="107" t="s">
        <v>445</v>
      </c>
      <c r="C25" s="108" t="s">
        <v>446</v>
      </c>
      <c r="D25" s="106" t="s">
        <v>447</v>
      </c>
      <c r="E25">
        <v>42</v>
      </c>
      <c r="F25" s="104">
        <v>33</v>
      </c>
      <c r="G25" s="104" t="s">
        <v>448</v>
      </c>
      <c r="H25" s="105" t="s">
        <v>449</v>
      </c>
    </row>
    <row r="26" spans="1:8" ht="31.5" x14ac:dyDescent="0.25">
      <c r="A26" s="100">
        <v>43</v>
      </c>
      <c r="B26" s="107" t="s">
        <v>450</v>
      </c>
      <c r="C26" s="108" t="s">
        <v>451</v>
      </c>
      <c r="D26" s="106" t="s">
        <v>452</v>
      </c>
      <c r="E26">
        <v>43</v>
      </c>
      <c r="F26" s="104">
        <v>34</v>
      </c>
      <c r="G26" s="104" t="s">
        <v>453</v>
      </c>
      <c r="H26" s="105" t="s">
        <v>454</v>
      </c>
    </row>
    <row r="27" spans="1:8" ht="31.5" x14ac:dyDescent="0.25">
      <c r="A27" s="100">
        <v>44</v>
      </c>
      <c r="B27" s="107" t="s">
        <v>455</v>
      </c>
      <c r="C27" s="108" t="s">
        <v>456</v>
      </c>
      <c r="D27" s="106" t="s">
        <v>457</v>
      </c>
      <c r="E27">
        <v>44</v>
      </c>
      <c r="F27" s="104">
        <v>35</v>
      </c>
      <c r="G27" s="104" t="s">
        <v>458</v>
      </c>
      <c r="H27" s="105" t="s">
        <v>459</v>
      </c>
    </row>
    <row r="28" spans="1:8" ht="47.25" x14ac:dyDescent="0.25">
      <c r="A28" s="100">
        <v>45</v>
      </c>
      <c r="B28" s="107" t="s">
        <v>460</v>
      </c>
      <c r="C28" s="108" t="s">
        <v>461</v>
      </c>
      <c r="D28" s="106" t="s">
        <v>462</v>
      </c>
      <c r="E28">
        <v>45</v>
      </c>
      <c r="F28" s="104">
        <v>36</v>
      </c>
      <c r="G28" s="104" t="s">
        <v>463</v>
      </c>
      <c r="H28" s="105" t="s">
        <v>464</v>
      </c>
    </row>
    <row r="29" spans="1:8" ht="31.5" x14ac:dyDescent="0.25">
      <c r="A29" s="100">
        <v>46</v>
      </c>
      <c r="B29" s="107" t="s">
        <v>465</v>
      </c>
      <c r="C29" s="108" t="s">
        <v>466</v>
      </c>
      <c r="D29" s="106" t="s">
        <v>467</v>
      </c>
      <c r="E29">
        <v>46</v>
      </c>
      <c r="F29" s="104">
        <v>37</v>
      </c>
      <c r="G29" s="104" t="s">
        <v>468</v>
      </c>
      <c r="H29" s="105" t="s">
        <v>469</v>
      </c>
    </row>
    <row r="30" spans="1:8" ht="15.75" x14ac:dyDescent="0.25">
      <c r="A30" s="100">
        <v>47</v>
      </c>
      <c r="B30" s="107" t="s">
        <v>470</v>
      </c>
      <c r="C30" s="108" t="s">
        <v>471</v>
      </c>
      <c r="D30" s="106" t="s">
        <v>428</v>
      </c>
      <c r="E30">
        <v>47</v>
      </c>
      <c r="F30" s="104">
        <v>38</v>
      </c>
      <c r="G30" s="104" t="s">
        <v>472</v>
      </c>
      <c r="H30" s="105" t="s">
        <v>473</v>
      </c>
    </row>
    <row r="31" spans="1:8" ht="31.5" x14ac:dyDescent="0.25">
      <c r="A31" s="100">
        <v>48</v>
      </c>
      <c r="B31" s="101" t="s">
        <v>474</v>
      </c>
      <c r="C31" s="102" t="s">
        <v>475</v>
      </c>
      <c r="D31" s="103" t="s">
        <v>428</v>
      </c>
      <c r="E31">
        <v>48</v>
      </c>
      <c r="F31" s="104">
        <v>39</v>
      </c>
      <c r="G31" s="104" t="s">
        <v>476</v>
      </c>
      <c r="H31" s="105" t="s">
        <v>477</v>
      </c>
    </row>
    <row r="32" spans="1:8" ht="63" x14ac:dyDescent="0.25">
      <c r="A32" s="109">
        <v>49</v>
      </c>
      <c r="B32" s="110" t="s">
        <v>478</v>
      </c>
      <c r="C32" s="111" t="s">
        <v>308</v>
      </c>
      <c r="D32" s="112" t="s">
        <v>479</v>
      </c>
      <c r="E32">
        <v>49</v>
      </c>
      <c r="F32" s="104">
        <v>40</v>
      </c>
      <c r="G32" s="104" t="s">
        <v>480</v>
      </c>
      <c r="H32" s="105" t="s">
        <v>481</v>
      </c>
    </row>
    <row r="33" spans="1:8" ht="63" x14ac:dyDescent="0.25">
      <c r="A33" s="109">
        <v>50</v>
      </c>
      <c r="B33" s="110" t="s">
        <v>482</v>
      </c>
      <c r="C33" s="111" t="s">
        <v>310</v>
      </c>
      <c r="D33" s="112" t="s">
        <v>483</v>
      </c>
      <c r="E33">
        <v>50</v>
      </c>
      <c r="F33" s="104">
        <v>41</v>
      </c>
      <c r="G33" s="104" t="s">
        <v>484</v>
      </c>
      <c r="H33" s="105" t="s">
        <v>485</v>
      </c>
    </row>
    <row r="34" spans="1:8" ht="15.75" x14ac:dyDescent="0.25">
      <c r="A34" s="109">
        <v>51</v>
      </c>
      <c r="B34" s="110" t="s">
        <v>486</v>
      </c>
      <c r="C34" s="111" t="s">
        <v>487</v>
      </c>
      <c r="D34" s="112" t="s">
        <v>428</v>
      </c>
      <c r="E34">
        <v>51</v>
      </c>
      <c r="F34" s="104">
        <v>42</v>
      </c>
      <c r="G34" s="104" t="s">
        <v>488</v>
      </c>
      <c r="H34" s="105" t="s">
        <v>489</v>
      </c>
    </row>
    <row r="35" spans="1:8" ht="31.5" x14ac:dyDescent="0.25">
      <c r="A35" s="109">
        <v>52</v>
      </c>
      <c r="B35" s="110" t="s">
        <v>490</v>
      </c>
      <c r="C35" s="113" t="s">
        <v>491</v>
      </c>
      <c r="D35" s="112" t="s">
        <v>492</v>
      </c>
      <c r="E35">
        <v>52</v>
      </c>
      <c r="F35" s="104">
        <v>43</v>
      </c>
      <c r="G35" s="104" t="s">
        <v>493</v>
      </c>
      <c r="H35" s="105" t="s">
        <v>494</v>
      </c>
    </row>
    <row r="36" spans="1:8" ht="31.5" x14ac:dyDescent="0.25">
      <c r="A36" s="109">
        <v>53</v>
      </c>
      <c r="B36" s="110" t="s">
        <v>495</v>
      </c>
      <c r="C36" s="113" t="s">
        <v>496</v>
      </c>
      <c r="D36" s="112" t="s">
        <v>497</v>
      </c>
      <c r="E36">
        <v>53</v>
      </c>
      <c r="F36" s="104">
        <v>44</v>
      </c>
      <c r="G36" s="104" t="s">
        <v>498</v>
      </c>
      <c r="H36" s="105" t="s">
        <v>499</v>
      </c>
    </row>
    <row r="37" spans="1:8" ht="31.5" x14ac:dyDescent="0.25">
      <c r="A37" s="109">
        <v>54</v>
      </c>
      <c r="B37" s="110" t="s">
        <v>500</v>
      </c>
      <c r="C37" s="113" t="s">
        <v>501</v>
      </c>
      <c r="D37" s="112" t="s">
        <v>502</v>
      </c>
      <c r="E37">
        <v>54</v>
      </c>
      <c r="F37" s="104">
        <v>45</v>
      </c>
      <c r="G37" s="104" t="s">
        <v>503</v>
      </c>
      <c r="H37" s="105" t="s">
        <v>504</v>
      </c>
    </row>
    <row r="38" spans="1:8" ht="63" x14ac:dyDescent="0.25">
      <c r="A38" s="109">
        <v>55</v>
      </c>
      <c r="B38" s="110" t="s">
        <v>505</v>
      </c>
      <c r="C38" s="111" t="s">
        <v>506</v>
      </c>
      <c r="D38" s="112" t="s">
        <v>507</v>
      </c>
      <c r="E38">
        <v>55</v>
      </c>
      <c r="F38" s="104">
        <v>72</v>
      </c>
      <c r="G38" s="104" t="s">
        <v>508</v>
      </c>
      <c r="H38" s="105" t="s">
        <v>509</v>
      </c>
    </row>
    <row r="39" spans="1:8" ht="63" x14ac:dyDescent="0.25">
      <c r="A39" s="109">
        <v>56</v>
      </c>
      <c r="B39" s="110" t="s">
        <v>510</v>
      </c>
      <c r="C39" s="111" t="s">
        <v>511</v>
      </c>
      <c r="D39" s="112" t="s">
        <v>512</v>
      </c>
      <c r="E39">
        <v>56</v>
      </c>
      <c r="F39" s="104">
        <v>73</v>
      </c>
      <c r="G39" s="104" t="s">
        <v>513</v>
      </c>
      <c r="H39" s="105" t="s">
        <v>514</v>
      </c>
    </row>
    <row r="40" spans="1:8" ht="63" x14ac:dyDescent="0.25">
      <c r="A40" s="109">
        <v>57</v>
      </c>
      <c r="B40" s="110" t="s">
        <v>515</v>
      </c>
      <c r="C40" s="111" t="s">
        <v>516</v>
      </c>
      <c r="D40" s="112" t="s">
        <v>517</v>
      </c>
      <c r="E40">
        <v>57</v>
      </c>
      <c r="F40" s="104">
        <v>74</v>
      </c>
      <c r="G40" s="104" t="s">
        <v>518</v>
      </c>
      <c r="H40" s="105" t="s">
        <v>519</v>
      </c>
    </row>
    <row r="41" spans="1:8" ht="63" x14ac:dyDescent="0.25">
      <c r="A41" s="109">
        <v>58</v>
      </c>
      <c r="B41" s="110" t="s">
        <v>520</v>
      </c>
      <c r="C41" s="111" t="s">
        <v>521</v>
      </c>
      <c r="D41" s="112" t="s">
        <v>522</v>
      </c>
      <c r="E41">
        <v>58</v>
      </c>
      <c r="F41" s="104">
        <v>71</v>
      </c>
      <c r="G41" s="104" t="s">
        <v>523</v>
      </c>
      <c r="H41" s="105" t="s">
        <v>524</v>
      </c>
    </row>
    <row r="42" spans="1:8" ht="78.75" x14ac:dyDescent="0.25">
      <c r="A42" s="109">
        <v>59</v>
      </c>
      <c r="B42" s="110" t="s">
        <v>525</v>
      </c>
      <c r="C42" s="111" t="s">
        <v>526</v>
      </c>
      <c r="D42" s="112" t="s">
        <v>527</v>
      </c>
      <c r="E42">
        <v>59</v>
      </c>
      <c r="F42" s="104">
        <v>75</v>
      </c>
      <c r="G42" s="104" t="s">
        <v>528</v>
      </c>
      <c r="H42" s="105" t="s">
        <v>529</v>
      </c>
    </row>
    <row r="43" spans="1:8" ht="63" x14ac:dyDescent="0.25">
      <c r="A43" s="109">
        <v>60</v>
      </c>
      <c r="B43" s="110" t="s">
        <v>530</v>
      </c>
      <c r="C43" s="111" t="s">
        <v>531</v>
      </c>
      <c r="D43" s="112" t="s">
        <v>532</v>
      </c>
      <c r="E43">
        <v>60</v>
      </c>
      <c r="F43" s="104">
        <v>76</v>
      </c>
      <c r="G43" s="104" t="s">
        <v>533</v>
      </c>
      <c r="H43" s="105" t="s">
        <v>534</v>
      </c>
    </row>
    <row r="44" spans="1:8" ht="63" x14ac:dyDescent="0.25">
      <c r="A44" s="114">
        <v>61</v>
      </c>
      <c r="B44" s="115">
        <v>2</v>
      </c>
      <c r="C44" s="116" t="s">
        <v>535</v>
      </c>
      <c r="D44" s="117" t="s">
        <v>428</v>
      </c>
      <c r="E44">
        <v>61</v>
      </c>
      <c r="F44" s="104">
        <v>46</v>
      </c>
      <c r="G44" s="104" t="s">
        <v>536</v>
      </c>
      <c r="H44" s="104">
        <v>218</v>
      </c>
    </row>
    <row r="45" spans="1:8" ht="31.5" x14ac:dyDescent="0.25">
      <c r="A45" s="114">
        <v>62</v>
      </c>
      <c r="B45" s="115">
        <v>3</v>
      </c>
      <c r="C45" s="116" t="s">
        <v>537</v>
      </c>
      <c r="D45" s="117" t="s">
        <v>538</v>
      </c>
      <c r="E45">
        <v>62</v>
      </c>
      <c r="F45" s="104">
        <v>61</v>
      </c>
      <c r="G45" s="104" t="s">
        <v>539</v>
      </c>
      <c r="H45" s="105" t="s">
        <v>540</v>
      </c>
    </row>
    <row r="46" spans="1:8" ht="47.25" x14ac:dyDescent="0.25">
      <c r="A46" s="118">
        <v>65</v>
      </c>
      <c r="B46" s="119" t="s">
        <v>541</v>
      </c>
      <c r="C46" s="113" t="s">
        <v>542</v>
      </c>
      <c r="D46" s="120" t="s">
        <v>543</v>
      </c>
      <c r="E46">
        <v>65</v>
      </c>
      <c r="F46" s="104">
        <v>49</v>
      </c>
      <c r="G46" s="104" t="s">
        <v>544</v>
      </c>
      <c r="H46" s="104">
        <v>221</v>
      </c>
    </row>
    <row r="47" spans="1:8" ht="94.5" x14ac:dyDescent="0.25">
      <c r="A47" s="118">
        <v>66</v>
      </c>
      <c r="B47" s="119" t="s">
        <v>545</v>
      </c>
      <c r="C47" s="113" t="s">
        <v>546</v>
      </c>
      <c r="D47" s="120" t="s">
        <v>547</v>
      </c>
      <c r="E47">
        <v>66</v>
      </c>
      <c r="F47" s="104">
        <v>50</v>
      </c>
      <c r="G47" s="104" t="s">
        <v>548</v>
      </c>
      <c r="H47" s="104">
        <v>222</v>
      </c>
    </row>
    <row r="48" spans="1:8" ht="31.5" x14ac:dyDescent="0.25">
      <c r="A48" s="118">
        <v>71</v>
      </c>
      <c r="B48" s="119" t="s">
        <v>549</v>
      </c>
      <c r="C48" s="113" t="s">
        <v>550</v>
      </c>
      <c r="D48" s="120" t="s">
        <v>551</v>
      </c>
      <c r="E48">
        <v>71</v>
      </c>
      <c r="F48" s="104">
        <v>55</v>
      </c>
      <c r="G48" s="104" t="s">
        <v>552</v>
      </c>
      <c r="H48" s="104">
        <v>223</v>
      </c>
    </row>
    <row r="49" spans="1:8" ht="31.5" x14ac:dyDescent="0.25">
      <c r="A49" s="118">
        <v>72</v>
      </c>
      <c r="B49" s="119" t="s">
        <v>553</v>
      </c>
      <c r="C49" s="113" t="s">
        <v>554</v>
      </c>
      <c r="D49" s="120" t="s">
        <v>555</v>
      </c>
      <c r="E49">
        <v>72</v>
      </c>
      <c r="F49" s="104">
        <v>60</v>
      </c>
      <c r="G49" s="104" t="s">
        <v>554</v>
      </c>
      <c r="H49" s="105" t="s">
        <v>556</v>
      </c>
    </row>
    <row r="50" spans="1:8" ht="15.75" x14ac:dyDescent="0.25">
      <c r="A50" s="121">
        <v>73</v>
      </c>
      <c r="B50" s="115">
        <v>5</v>
      </c>
      <c r="C50" s="116" t="s">
        <v>557</v>
      </c>
      <c r="D50" s="103" t="s">
        <v>428</v>
      </c>
      <c r="E50">
        <v>73</v>
      </c>
      <c r="F50" s="104">
        <v>56</v>
      </c>
      <c r="G50" s="104" t="s">
        <v>558</v>
      </c>
      <c r="H50" s="105" t="s">
        <v>559</v>
      </c>
    </row>
    <row r="51" spans="1:8" ht="15.75" x14ac:dyDescent="0.25">
      <c r="A51" s="121">
        <v>74</v>
      </c>
      <c r="B51" s="115">
        <v>6</v>
      </c>
      <c r="C51" s="116" t="s">
        <v>560</v>
      </c>
      <c r="D51" s="103" t="s">
        <v>561</v>
      </c>
      <c r="E51">
        <v>74</v>
      </c>
      <c r="F51" s="104">
        <v>57</v>
      </c>
      <c r="G51" s="104" t="s">
        <v>562</v>
      </c>
      <c r="H51" s="105" t="s">
        <v>563</v>
      </c>
    </row>
    <row r="52" spans="1:8" ht="15.75" x14ac:dyDescent="0.25">
      <c r="A52" s="121">
        <v>75</v>
      </c>
      <c r="B52" s="115">
        <v>7</v>
      </c>
      <c r="C52" s="116" t="s">
        <v>564</v>
      </c>
      <c r="D52" s="103" t="s">
        <v>565</v>
      </c>
      <c r="E52">
        <v>75</v>
      </c>
      <c r="F52" s="104">
        <v>58</v>
      </c>
      <c r="G52" s="104" t="s">
        <v>566</v>
      </c>
      <c r="H52" s="105" t="s">
        <v>567</v>
      </c>
    </row>
    <row r="53" spans="1:8" ht="47.25" x14ac:dyDescent="0.25">
      <c r="A53" s="121">
        <v>76</v>
      </c>
      <c r="B53" s="115">
        <v>8</v>
      </c>
      <c r="C53" s="116" t="s">
        <v>568</v>
      </c>
      <c r="D53" s="103" t="s">
        <v>569</v>
      </c>
      <c r="E53">
        <v>76</v>
      </c>
      <c r="F53" s="104">
        <v>69</v>
      </c>
      <c r="G53" s="104" t="s">
        <v>570</v>
      </c>
      <c r="H53" s="105" t="s">
        <v>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QO23"/>
  <sheetViews>
    <sheetView topLeftCell="F1" zoomScale="70" zoomScaleNormal="70" workbookViewId="0">
      <selection activeCell="BS27" sqref="BS27"/>
    </sheetView>
  </sheetViews>
  <sheetFormatPr defaultColWidth="9.140625" defaultRowHeight="15" x14ac:dyDescent="0.25"/>
  <cols>
    <col min="1" max="1" width="13.7109375" style="126" customWidth="1"/>
    <col min="2" max="2" width="5" style="126" customWidth="1"/>
    <col min="3" max="3" width="28.85546875" style="126" customWidth="1"/>
    <col min="4" max="4" width="16.140625" style="126" customWidth="1"/>
    <col min="5" max="5" width="9.140625" style="126"/>
    <col min="6" max="7" width="12.140625" style="126" customWidth="1"/>
    <col min="8" max="8" width="16.5703125" style="126" customWidth="1"/>
    <col min="9" max="43" width="12.140625" style="126" customWidth="1"/>
    <col min="44" max="44" width="16.5703125" style="126" customWidth="1"/>
    <col min="45" max="79" width="12.140625" style="126" customWidth="1"/>
    <col min="80" max="80" width="16.5703125" style="126" customWidth="1"/>
    <col min="81" max="97" width="12.140625" style="126" customWidth="1"/>
    <col min="98" max="98" width="16.5703125" style="126" customWidth="1"/>
    <col min="99" max="133" width="12.140625" style="126" customWidth="1"/>
    <col min="134" max="134" width="16.5703125" style="126" customWidth="1"/>
    <col min="135" max="169" width="12.140625" style="126" customWidth="1"/>
    <col min="170" max="170" width="16.5703125" style="126" customWidth="1"/>
    <col min="171" max="187" width="12.140625" style="126" customWidth="1"/>
    <col min="188" max="188" width="16.5703125" style="126" customWidth="1"/>
    <col min="189" max="205" width="12.140625" style="126" customWidth="1"/>
    <col min="206" max="206" width="16.5703125" style="126" customWidth="1"/>
    <col min="207" max="223" width="12.140625" style="126" customWidth="1"/>
    <col min="224" max="224" width="16.5703125" style="126" customWidth="1"/>
    <col min="225" max="241" width="12.140625" style="126" customWidth="1"/>
    <col min="242" max="242" width="16.5703125" style="126" customWidth="1"/>
    <col min="243" max="259" width="12.140625" style="126" customWidth="1"/>
    <col min="260" max="260" width="16.5703125" style="126" customWidth="1"/>
    <col min="261" max="277" width="12.140625" style="126" customWidth="1"/>
    <col min="278" max="278" width="16.5703125" style="126" customWidth="1"/>
    <col min="279" max="295" width="12.140625" style="126" customWidth="1"/>
    <col min="296" max="296" width="16.5703125" style="126" customWidth="1"/>
    <col min="297" max="313" width="12.140625" style="126" customWidth="1"/>
    <col min="314" max="314" width="16.5703125" style="126" customWidth="1"/>
    <col min="315" max="331" width="12.140625" style="126" customWidth="1"/>
    <col min="332" max="332" width="16.5703125" style="126" customWidth="1"/>
    <col min="333" max="349" width="12.140625" style="126" customWidth="1"/>
    <col min="350" max="350" width="16.5703125" style="126" customWidth="1"/>
    <col min="351" max="367" width="12.140625" style="126" customWidth="1"/>
    <col min="368" max="368" width="16.5703125" style="126" customWidth="1"/>
    <col min="369" max="385" width="12.140625" style="126" customWidth="1"/>
    <col min="386" max="386" width="16.5703125" style="126" customWidth="1"/>
    <col min="387" max="403" width="12.140625" style="126" customWidth="1"/>
    <col min="404" max="404" width="16.5703125" style="126" customWidth="1"/>
    <col min="405" max="421" width="12.140625" style="126" customWidth="1"/>
    <col min="422" max="422" width="16.5703125" style="126" customWidth="1"/>
    <col min="423" max="439" width="12.140625" style="126" customWidth="1"/>
    <col min="440" max="16384" width="9.140625" style="126"/>
  </cols>
  <sheetData>
    <row r="1" spans="1:457" ht="23.25" x14ac:dyDescent="0.35">
      <c r="A1" s="155" t="s">
        <v>754</v>
      </c>
      <c r="C1" s="127"/>
    </row>
    <row r="2" spans="1:457" ht="20.25" x14ac:dyDescent="0.3">
      <c r="B2" s="128"/>
      <c r="C2" s="128" t="s">
        <v>0</v>
      </c>
      <c r="D2" s="126" t="s">
        <v>278</v>
      </c>
    </row>
    <row r="3" spans="1:457" ht="20.25" x14ac:dyDescent="0.3">
      <c r="B3" s="128"/>
      <c r="C3" s="128"/>
      <c r="F3" s="126">
        <v>1</v>
      </c>
      <c r="G3" s="126">
        <v>2</v>
      </c>
      <c r="H3" s="126">
        <v>3</v>
      </c>
      <c r="I3" s="126">
        <v>4</v>
      </c>
      <c r="J3" s="126">
        <v>5</v>
      </c>
      <c r="K3" s="126">
        <v>6</v>
      </c>
      <c r="L3" s="126">
        <v>7</v>
      </c>
      <c r="M3" s="126">
        <v>8</v>
      </c>
      <c r="N3" s="126">
        <v>9</v>
      </c>
      <c r="O3" s="126">
        <v>10</v>
      </c>
      <c r="P3" s="126">
        <v>11</v>
      </c>
      <c r="Q3" s="126">
        <v>12</v>
      </c>
      <c r="R3" s="126">
        <v>13</v>
      </c>
      <c r="S3" s="126">
        <v>14</v>
      </c>
      <c r="T3" s="126">
        <v>15</v>
      </c>
      <c r="U3" s="126">
        <v>16</v>
      </c>
      <c r="V3" s="126">
        <v>17</v>
      </c>
      <c r="W3" s="126">
        <v>18</v>
      </c>
      <c r="X3" s="126">
        <v>19</v>
      </c>
      <c r="Y3" s="126">
        <v>20</v>
      </c>
      <c r="Z3" s="126">
        <v>21</v>
      </c>
      <c r="AA3" s="126">
        <v>22</v>
      </c>
      <c r="AB3" s="126">
        <v>23</v>
      </c>
      <c r="AC3" s="126">
        <v>24</v>
      </c>
      <c r="AD3" s="126">
        <v>25</v>
      </c>
      <c r="AE3" s="126">
        <v>26</v>
      </c>
      <c r="AF3" s="126">
        <v>27</v>
      </c>
      <c r="AG3" s="126">
        <v>28</v>
      </c>
      <c r="AH3" s="126">
        <v>29</v>
      </c>
      <c r="AI3" s="126">
        <v>30</v>
      </c>
      <c r="AJ3" s="126">
        <v>31</v>
      </c>
      <c r="AK3" s="126">
        <v>32</v>
      </c>
      <c r="AL3" s="126">
        <v>33</v>
      </c>
      <c r="AM3" s="126">
        <v>34</v>
      </c>
      <c r="AN3" s="126">
        <v>35</v>
      </c>
      <c r="AO3" s="126">
        <v>36</v>
      </c>
      <c r="AP3" s="126">
        <v>37</v>
      </c>
      <c r="AQ3" s="126">
        <v>38</v>
      </c>
      <c r="AR3" s="126">
        <v>39</v>
      </c>
      <c r="AS3" s="126">
        <v>40</v>
      </c>
      <c r="AT3" s="126">
        <v>41</v>
      </c>
      <c r="AU3" s="126">
        <v>42</v>
      </c>
      <c r="AV3" s="126">
        <v>43</v>
      </c>
      <c r="AW3" s="126">
        <v>44</v>
      </c>
      <c r="AX3" s="126">
        <v>45</v>
      </c>
      <c r="AY3" s="126">
        <v>46</v>
      </c>
      <c r="AZ3" s="126">
        <v>47</v>
      </c>
      <c r="BA3" s="126">
        <v>48</v>
      </c>
      <c r="BB3" s="126">
        <v>49</v>
      </c>
      <c r="BC3" s="126">
        <v>50</v>
      </c>
      <c r="BD3" s="126">
        <v>51</v>
      </c>
      <c r="BE3" s="126">
        <v>52</v>
      </c>
      <c r="BF3" s="126">
        <v>53</v>
      </c>
      <c r="BG3" s="126">
        <v>54</v>
      </c>
      <c r="BH3" s="126">
        <v>55</v>
      </c>
      <c r="BI3" s="126">
        <v>56</v>
      </c>
      <c r="BJ3" s="126">
        <v>57</v>
      </c>
      <c r="BK3" s="126">
        <v>58</v>
      </c>
      <c r="BL3" s="126">
        <v>59</v>
      </c>
      <c r="BM3" s="126">
        <v>60</v>
      </c>
      <c r="BN3" s="126">
        <v>61</v>
      </c>
      <c r="BO3" s="126">
        <v>62</v>
      </c>
      <c r="BP3" s="126">
        <v>63</v>
      </c>
      <c r="BQ3" s="126">
        <v>64</v>
      </c>
      <c r="BR3" s="126">
        <v>65</v>
      </c>
      <c r="BS3" s="126">
        <v>66</v>
      </c>
      <c r="BT3" s="126">
        <v>67</v>
      </c>
      <c r="BU3" s="126">
        <v>68</v>
      </c>
      <c r="BV3" s="126">
        <v>69</v>
      </c>
      <c r="BW3" s="126">
        <v>70</v>
      </c>
      <c r="BX3" s="126">
        <v>71</v>
      </c>
      <c r="BY3" s="126">
        <v>72</v>
      </c>
      <c r="BZ3" s="126">
        <v>73</v>
      </c>
      <c r="CA3" s="126">
        <v>74</v>
      </c>
      <c r="CB3" s="126">
        <v>75</v>
      </c>
      <c r="CC3" s="126">
        <v>76</v>
      </c>
      <c r="CD3" s="126">
        <v>77</v>
      </c>
      <c r="CE3" s="126">
        <v>78</v>
      </c>
      <c r="CF3" s="126">
        <v>79</v>
      </c>
      <c r="CG3" s="126">
        <v>80</v>
      </c>
      <c r="CH3" s="126">
        <v>81</v>
      </c>
      <c r="CI3" s="126">
        <v>82</v>
      </c>
      <c r="CJ3" s="126">
        <v>83</v>
      </c>
      <c r="CK3" s="126">
        <v>84</v>
      </c>
      <c r="CL3" s="126">
        <v>85</v>
      </c>
      <c r="CM3" s="126">
        <v>86</v>
      </c>
      <c r="CN3" s="126">
        <v>87</v>
      </c>
      <c r="CO3" s="126">
        <v>88</v>
      </c>
      <c r="CP3" s="126">
        <v>89</v>
      </c>
      <c r="CQ3" s="126">
        <v>90</v>
      </c>
      <c r="CR3" s="126">
        <v>91</v>
      </c>
      <c r="CS3" s="126">
        <v>92</v>
      </c>
      <c r="CT3" s="126">
        <v>93</v>
      </c>
      <c r="CU3" s="126">
        <v>94</v>
      </c>
      <c r="CV3" s="126">
        <v>95</v>
      </c>
      <c r="CW3" s="126">
        <v>96</v>
      </c>
      <c r="CX3" s="126">
        <v>97</v>
      </c>
      <c r="CY3" s="126">
        <v>98</v>
      </c>
      <c r="CZ3" s="126">
        <v>99</v>
      </c>
      <c r="DA3" s="126">
        <v>100</v>
      </c>
      <c r="DB3" s="126">
        <v>101</v>
      </c>
      <c r="DC3" s="126">
        <v>102</v>
      </c>
      <c r="DD3" s="126">
        <v>103</v>
      </c>
      <c r="DE3" s="126">
        <v>104</v>
      </c>
      <c r="DF3" s="126">
        <v>105</v>
      </c>
      <c r="DG3" s="126">
        <v>106</v>
      </c>
      <c r="DH3" s="126">
        <v>107</v>
      </c>
      <c r="DI3" s="126">
        <v>108</v>
      </c>
      <c r="DJ3" s="126">
        <v>109</v>
      </c>
      <c r="DK3" s="126">
        <v>110</v>
      </c>
      <c r="DL3" s="126">
        <v>111</v>
      </c>
      <c r="DM3" s="126">
        <v>112</v>
      </c>
      <c r="DN3" s="126">
        <v>113</v>
      </c>
      <c r="DO3" s="126">
        <v>114</v>
      </c>
      <c r="DP3" s="126">
        <v>115</v>
      </c>
      <c r="DQ3" s="126">
        <v>116</v>
      </c>
      <c r="DR3" s="126">
        <v>117</v>
      </c>
      <c r="DS3" s="126">
        <v>118</v>
      </c>
      <c r="DT3" s="126">
        <v>119</v>
      </c>
      <c r="DU3" s="126">
        <v>120</v>
      </c>
      <c r="DV3" s="126">
        <v>121</v>
      </c>
      <c r="DW3" s="126">
        <v>122</v>
      </c>
      <c r="DX3" s="126">
        <v>123</v>
      </c>
      <c r="DY3" s="126">
        <v>124</v>
      </c>
      <c r="DZ3" s="126">
        <v>125</v>
      </c>
      <c r="EA3" s="126">
        <v>126</v>
      </c>
      <c r="EB3" s="126">
        <v>127</v>
      </c>
      <c r="EC3" s="126">
        <v>128</v>
      </c>
      <c r="ED3" s="126">
        <v>129</v>
      </c>
      <c r="EE3" s="126">
        <v>130</v>
      </c>
      <c r="EF3" s="126">
        <v>131</v>
      </c>
      <c r="EG3" s="126">
        <v>132</v>
      </c>
      <c r="EH3" s="126">
        <v>133</v>
      </c>
      <c r="EI3" s="126">
        <v>134</v>
      </c>
      <c r="EJ3" s="126">
        <v>135</v>
      </c>
      <c r="EK3" s="126">
        <v>136</v>
      </c>
      <c r="EL3" s="126">
        <v>137</v>
      </c>
      <c r="EM3" s="126">
        <v>138</v>
      </c>
      <c r="EN3" s="126">
        <v>139</v>
      </c>
      <c r="EO3" s="126">
        <v>140</v>
      </c>
      <c r="EP3" s="126">
        <v>141</v>
      </c>
      <c r="EQ3" s="126">
        <v>142</v>
      </c>
      <c r="ER3" s="126">
        <v>143</v>
      </c>
      <c r="ES3" s="126">
        <v>144</v>
      </c>
      <c r="ET3" s="126">
        <v>145</v>
      </c>
      <c r="EU3" s="126">
        <v>146</v>
      </c>
      <c r="EV3" s="126">
        <v>147</v>
      </c>
      <c r="EW3" s="126">
        <v>148</v>
      </c>
      <c r="EX3" s="126">
        <v>149</v>
      </c>
      <c r="EY3" s="126">
        <v>150</v>
      </c>
      <c r="EZ3" s="126">
        <v>151</v>
      </c>
      <c r="FA3" s="126">
        <v>152</v>
      </c>
      <c r="FB3" s="126">
        <v>153</v>
      </c>
      <c r="FC3" s="126">
        <v>154</v>
      </c>
      <c r="FD3" s="126">
        <v>155</v>
      </c>
      <c r="FE3" s="126">
        <v>156</v>
      </c>
      <c r="FF3" s="126">
        <v>157</v>
      </c>
      <c r="FG3" s="126">
        <v>158</v>
      </c>
      <c r="FH3" s="126">
        <v>159</v>
      </c>
      <c r="FI3" s="126">
        <v>160</v>
      </c>
      <c r="FJ3" s="126">
        <v>161</v>
      </c>
      <c r="FK3" s="126">
        <v>162</v>
      </c>
      <c r="FL3" s="126">
        <v>163</v>
      </c>
      <c r="FM3" s="126">
        <v>164</v>
      </c>
      <c r="FN3" s="126">
        <v>165</v>
      </c>
      <c r="FO3" s="126">
        <v>166</v>
      </c>
      <c r="FP3" s="126">
        <v>167</v>
      </c>
      <c r="FQ3" s="126">
        <v>168</v>
      </c>
      <c r="FR3" s="126">
        <v>169</v>
      </c>
      <c r="FS3" s="126">
        <v>170</v>
      </c>
      <c r="FT3" s="126">
        <v>171</v>
      </c>
      <c r="FU3" s="126">
        <v>172</v>
      </c>
      <c r="FV3" s="126">
        <v>173</v>
      </c>
      <c r="FW3" s="126">
        <v>174</v>
      </c>
      <c r="FX3" s="126">
        <v>175</v>
      </c>
      <c r="FY3" s="126">
        <v>176</v>
      </c>
      <c r="FZ3" s="126">
        <v>177</v>
      </c>
      <c r="GA3" s="126">
        <v>178</v>
      </c>
      <c r="GB3" s="126">
        <v>179</v>
      </c>
      <c r="GC3" s="126">
        <v>180</v>
      </c>
      <c r="GD3" s="126">
        <v>181</v>
      </c>
      <c r="GE3" s="126">
        <v>182</v>
      </c>
      <c r="GF3" s="126">
        <v>183</v>
      </c>
      <c r="GG3" s="126">
        <v>184</v>
      </c>
      <c r="GH3" s="126">
        <v>185</v>
      </c>
      <c r="GI3" s="126">
        <v>186</v>
      </c>
      <c r="GJ3" s="126">
        <v>187</v>
      </c>
      <c r="GK3" s="126">
        <v>188</v>
      </c>
      <c r="GL3" s="126">
        <v>189</v>
      </c>
      <c r="GM3" s="126">
        <v>190</v>
      </c>
      <c r="GN3" s="126">
        <v>191</v>
      </c>
      <c r="GO3" s="126">
        <v>192</v>
      </c>
      <c r="GP3" s="126">
        <v>193</v>
      </c>
      <c r="GQ3" s="126">
        <v>194</v>
      </c>
      <c r="GR3" s="126">
        <v>195</v>
      </c>
      <c r="GS3" s="126">
        <v>196</v>
      </c>
      <c r="GT3" s="126">
        <v>197</v>
      </c>
      <c r="GU3" s="126">
        <v>198</v>
      </c>
      <c r="GV3" s="126">
        <v>199</v>
      </c>
      <c r="GW3" s="126">
        <v>200</v>
      </c>
      <c r="GX3" s="126">
        <v>201</v>
      </c>
      <c r="GY3" s="126">
        <v>202</v>
      </c>
      <c r="GZ3" s="126">
        <v>203</v>
      </c>
      <c r="HA3" s="126">
        <v>204</v>
      </c>
      <c r="HB3" s="126">
        <v>205</v>
      </c>
      <c r="HC3" s="126">
        <v>206</v>
      </c>
      <c r="HD3" s="126">
        <v>207</v>
      </c>
      <c r="HE3" s="126">
        <v>208</v>
      </c>
      <c r="HF3" s="126">
        <v>209</v>
      </c>
      <c r="HG3" s="126">
        <v>210</v>
      </c>
      <c r="HH3" s="126">
        <v>211</v>
      </c>
      <c r="HI3" s="126">
        <v>212</v>
      </c>
      <c r="HJ3" s="126">
        <v>213</v>
      </c>
      <c r="HK3" s="126">
        <v>214</v>
      </c>
      <c r="HL3" s="126">
        <v>215</v>
      </c>
      <c r="HM3" s="126">
        <v>216</v>
      </c>
      <c r="HN3" s="126">
        <v>217</v>
      </c>
      <c r="HO3" s="126">
        <v>218</v>
      </c>
      <c r="HP3" s="126">
        <v>219</v>
      </c>
      <c r="HQ3" s="126">
        <v>220</v>
      </c>
      <c r="HR3" s="126">
        <v>221</v>
      </c>
      <c r="HS3" s="126">
        <v>222</v>
      </c>
      <c r="HT3" s="126">
        <v>223</v>
      </c>
      <c r="HU3" s="126">
        <v>224</v>
      </c>
      <c r="HV3" s="126">
        <v>225</v>
      </c>
      <c r="HW3" s="126">
        <v>226</v>
      </c>
      <c r="HX3" s="126">
        <v>227</v>
      </c>
      <c r="HY3" s="126">
        <v>228</v>
      </c>
      <c r="HZ3" s="126">
        <v>229</v>
      </c>
      <c r="IA3" s="126">
        <v>230</v>
      </c>
      <c r="IB3" s="126">
        <v>231</v>
      </c>
      <c r="IC3" s="126">
        <v>232</v>
      </c>
      <c r="ID3" s="126">
        <v>233</v>
      </c>
      <c r="IE3" s="126">
        <v>234</v>
      </c>
      <c r="IF3" s="126">
        <v>235</v>
      </c>
      <c r="IG3" s="126">
        <v>236</v>
      </c>
      <c r="IH3" s="126">
        <v>237</v>
      </c>
      <c r="II3" s="126">
        <v>238</v>
      </c>
      <c r="IJ3" s="126">
        <v>239</v>
      </c>
      <c r="IK3" s="126">
        <v>240</v>
      </c>
      <c r="IL3" s="126">
        <v>241</v>
      </c>
      <c r="IM3" s="126">
        <v>242</v>
      </c>
      <c r="IN3" s="126">
        <v>243</v>
      </c>
      <c r="IO3" s="126">
        <v>244</v>
      </c>
      <c r="IP3" s="126">
        <v>245</v>
      </c>
      <c r="IQ3" s="126">
        <v>246</v>
      </c>
      <c r="IR3" s="126">
        <v>247</v>
      </c>
      <c r="IS3" s="126">
        <v>248</v>
      </c>
      <c r="IT3" s="126">
        <v>249</v>
      </c>
      <c r="IU3" s="126">
        <v>250</v>
      </c>
      <c r="IV3" s="126">
        <v>251</v>
      </c>
      <c r="IW3" s="126">
        <v>252</v>
      </c>
      <c r="IX3" s="126">
        <v>253</v>
      </c>
      <c r="IY3" s="126">
        <v>254</v>
      </c>
      <c r="IZ3" s="126">
        <v>255</v>
      </c>
      <c r="JA3" s="126">
        <v>256</v>
      </c>
      <c r="JB3" s="126">
        <v>257</v>
      </c>
      <c r="JC3" s="126">
        <v>258</v>
      </c>
      <c r="JD3" s="126">
        <v>259</v>
      </c>
      <c r="JE3" s="126">
        <v>260</v>
      </c>
      <c r="JF3" s="126">
        <v>261</v>
      </c>
      <c r="JG3" s="126">
        <v>262</v>
      </c>
      <c r="JH3" s="126">
        <v>263</v>
      </c>
      <c r="JI3" s="126">
        <v>264</v>
      </c>
      <c r="JJ3" s="126">
        <v>265</v>
      </c>
      <c r="JK3" s="126">
        <v>266</v>
      </c>
      <c r="JL3" s="126">
        <v>267</v>
      </c>
      <c r="JM3" s="126">
        <v>268</v>
      </c>
      <c r="JN3" s="126">
        <v>269</v>
      </c>
      <c r="JO3" s="126">
        <v>270</v>
      </c>
      <c r="JP3" s="126">
        <v>271</v>
      </c>
      <c r="JQ3" s="126">
        <v>272</v>
      </c>
      <c r="JR3" s="126">
        <v>273</v>
      </c>
      <c r="JS3" s="126">
        <v>274</v>
      </c>
      <c r="JT3" s="126">
        <v>275</v>
      </c>
      <c r="JU3" s="126">
        <v>276</v>
      </c>
      <c r="JV3" s="126">
        <v>277</v>
      </c>
      <c r="JW3" s="126">
        <v>278</v>
      </c>
      <c r="JX3" s="126">
        <v>279</v>
      </c>
      <c r="JY3" s="126">
        <v>280</v>
      </c>
      <c r="JZ3" s="126">
        <v>281</v>
      </c>
      <c r="KA3" s="126">
        <v>282</v>
      </c>
      <c r="KB3" s="126">
        <v>283</v>
      </c>
      <c r="KC3" s="126">
        <v>284</v>
      </c>
      <c r="KD3" s="126">
        <v>285</v>
      </c>
      <c r="KE3" s="126">
        <v>286</v>
      </c>
      <c r="KF3" s="126">
        <v>287</v>
      </c>
      <c r="KG3" s="126">
        <v>288</v>
      </c>
      <c r="KH3" s="126">
        <v>289</v>
      </c>
      <c r="KI3" s="126">
        <v>290</v>
      </c>
      <c r="KJ3" s="126">
        <v>291</v>
      </c>
      <c r="KK3" s="126">
        <v>292</v>
      </c>
      <c r="KL3" s="126">
        <v>293</v>
      </c>
      <c r="KM3" s="126">
        <v>294</v>
      </c>
      <c r="KN3" s="126">
        <v>295</v>
      </c>
      <c r="KO3" s="126">
        <v>296</v>
      </c>
      <c r="KP3" s="126">
        <v>297</v>
      </c>
      <c r="KQ3" s="126">
        <v>298</v>
      </c>
      <c r="KR3" s="126">
        <v>299</v>
      </c>
      <c r="KS3" s="126">
        <v>300</v>
      </c>
      <c r="KT3" s="126">
        <v>301</v>
      </c>
      <c r="KU3" s="126">
        <v>302</v>
      </c>
      <c r="KV3" s="126">
        <v>303</v>
      </c>
      <c r="KW3" s="126">
        <v>304</v>
      </c>
      <c r="KX3" s="126">
        <v>305</v>
      </c>
      <c r="KY3" s="126">
        <v>306</v>
      </c>
      <c r="KZ3" s="126">
        <v>307</v>
      </c>
      <c r="LA3" s="126">
        <v>308</v>
      </c>
      <c r="LB3" s="126">
        <v>309</v>
      </c>
      <c r="LC3" s="126">
        <v>310</v>
      </c>
      <c r="LD3" s="126">
        <v>311</v>
      </c>
      <c r="LE3" s="126">
        <v>312</v>
      </c>
      <c r="LF3" s="126">
        <v>313</v>
      </c>
      <c r="LG3" s="126">
        <v>314</v>
      </c>
      <c r="LH3" s="126">
        <v>315</v>
      </c>
      <c r="LI3" s="126">
        <v>316</v>
      </c>
      <c r="LJ3" s="126">
        <v>317</v>
      </c>
      <c r="LK3" s="126">
        <v>318</v>
      </c>
      <c r="LL3" s="126">
        <v>319</v>
      </c>
      <c r="LM3" s="126">
        <v>320</v>
      </c>
      <c r="LN3" s="126">
        <v>321</v>
      </c>
      <c r="LO3" s="126">
        <v>322</v>
      </c>
      <c r="LP3" s="126">
        <v>323</v>
      </c>
      <c r="LQ3" s="126">
        <v>324</v>
      </c>
      <c r="LR3" s="126">
        <v>325</v>
      </c>
      <c r="LS3" s="126">
        <v>326</v>
      </c>
      <c r="LT3" s="126">
        <v>327</v>
      </c>
      <c r="LU3" s="126">
        <v>328</v>
      </c>
      <c r="LV3" s="126">
        <v>329</v>
      </c>
      <c r="LW3" s="126">
        <v>330</v>
      </c>
      <c r="LX3" s="126">
        <v>331</v>
      </c>
      <c r="LY3" s="126">
        <v>332</v>
      </c>
      <c r="LZ3" s="126">
        <v>333</v>
      </c>
      <c r="MA3" s="126">
        <v>334</v>
      </c>
      <c r="MB3" s="126">
        <v>335</v>
      </c>
      <c r="MC3" s="126">
        <v>336</v>
      </c>
      <c r="MD3" s="126">
        <v>337</v>
      </c>
      <c r="ME3" s="126">
        <v>338</v>
      </c>
      <c r="MF3" s="126">
        <v>339</v>
      </c>
      <c r="MG3" s="126">
        <v>340</v>
      </c>
      <c r="MH3" s="126">
        <v>341</v>
      </c>
      <c r="MI3" s="126">
        <v>342</v>
      </c>
      <c r="MJ3" s="126">
        <v>343</v>
      </c>
      <c r="MK3" s="126">
        <v>344</v>
      </c>
      <c r="ML3" s="126">
        <v>345</v>
      </c>
      <c r="MM3" s="126">
        <v>346</v>
      </c>
      <c r="MN3" s="126">
        <v>347</v>
      </c>
      <c r="MO3" s="126">
        <v>348</v>
      </c>
      <c r="MP3" s="126">
        <v>349</v>
      </c>
      <c r="MQ3" s="126">
        <v>350</v>
      </c>
      <c r="MR3" s="126">
        <v>351</v>
      </c>
      <c r="MS3" s="126">
        <v>352</v>
      </c>
      <c r="MT3" s="126">
        <v>353</v>
      </c>
      <c r="MU3" s="126">
        <v>354</v>
      </c>
      <c r="MV3" s="126">
        <v>355</v>
      </c>
      <c r="MW3" s="126">
        <v>356</v>
      </c>
      <c r="MX3" s="126">
        <v>357</v>
      </c>
      <c r="MY3" s="126">
        <v>358</v>
      </c>
      <c r="MZ3" s="126">
        <v>359</v>
      </c>
      <c r="NA3" s="126">
        <v>360</v>
      </c>
      <c r="NB3" s="126">
        <v>361</v>
      </c>
      <c r="NC3" s="126">
        <v>362</v>
      </c>
      <c r="ND3" s="126">
        <v>363</v>
      </c>
      <c r="NE3" s="126">
        <v>364</v>
      </c>
      <c r="NF3" s="126">
        <v>365</v>
      </c>
      <c r="NG3" s="126">
        <v>366</v>
      </c>
      <c r="NH3" s="126">
        <v>367</v>
      </c>
      <c r="NI3" s="126">
        <v>368</v>
      </c>
      <c r="NJ3" s="126">
        <v>369</v>
      </c>
      <c r="NK3" s="126">
        <v>370</v>
      </c>
      <c r="NL3" s="126">
        <v>371</v>
      </c>
      <c r="NM3" s="126">
        <v>372</v>
      </c>
      <c r="NN3" s="126">
        <v>373</v>
      </c>
      <c r="NO3" s="126">
        <v>374</v>
      </c>
      <c r="NP3" s="126">
        <v>375</v>
      </c>
      <c r="NQ3" s="126">
        <v>376</v>
      </c>
      <c r="NR3" s="126">
        <v>377</v>
      </c>
      <c r="NS3" s="126">
        <v>378</v>
      </c>
      <c r="NT3" s="126">
        <v>379</v>
      </c>
      <c r="NU3" s="126">
        <v>380</v>
      </c>
      <c r="NV3" s="126">
        <v>381</v>
      </c>
      <c r="NW3" s="126">
        <v>382</v>
      </c>
      <c r="NX3" s="126">
        <v>383</v>
      </c>
      <c r="NY3" s="126">
        <v>384</v>
      </c>
      <c r="NZ3" s="126">
        <v>385</v>
      </c>
      <c r="OA3" s="126">
        <v>386</v>
      </c>
      <c r="OB3" s="126">
        <v>387</v>
      </c>
      <c r="OC3" s="126">
        <v>388</v>
      </c>
      <c r="OD3" s="126">
        <v>389</v>
      </c>
      <c r="OE3" s="126">
        <v>390</v>
      </c>
      <c r="OF3" s="126">
        <v>391</v>
      </c>
      <c r="OG3" s="126">
        <v>392</v>
      </c>
      <c r="OH3" s="126">
        <v>393</v>
      </c>
      <c r="OI3" s="126">
        <v>394</v>
      </c>
      <c r="OJ3" s="126">
        <v>395</v>
      </c>
      <c r="OK3" s="126">
        <v>396</v>
      </c>
      <c r="OL3" s="126">
        <v>397</v>
      </c>
      <c r="OM3" s="126">
        <v>398</v>
      </c>
      <c r="ON3" s="126">
        <v>399</v>
      </c>
      <c r="OO3" s="126">
        <v>400</v>
      </c>
      <c r="OP3" s="126">
        <v>401</v>
      </c>
      <c r="OQ3" s="126">
        <v>402</v>
      </c>
      <c r="OR3" s="126">
        <v>403</v>
      </c>
      <c r="OS3" s="126">
        <v>404</v>
      </c>
      <c r="OT3" s="126">
        <v>405</v>
      </c>
      <c r="OU3" s="126">
        <v>406</v>
      </c>
      <c r="OV3" s="126">
        <v>407</v>
      </c>
      <c r="OW3" s="126">
        <v>408</v>
      </c>
      <c r="OX3" s="126">
        <v>409</v>
      </c>
      <c r="OY3" s="126">
        <v>410</v>
      </c>
      <c r="OZ3" s="126">
        <v>411</v>
      </c>
      <c r="PA3" s="126">
        <v>412</v>
      </c>
      <c r="PB3" s="126">
        <v>413</v>
      </c>
      <c r="PC3" s="126">
        <v>414</v>
      </c>
      <c r="PD3" s="126">
        <v>415</v>
      </c>
      <c r="PE3" s="126">
        <v>416</v>
      </c>
      <c r="PF3" s="126">
        <v>417</v>
      </c>
      <c r="PG3" s="126">
        <v>418</v>
      </c>
      <c r="PH3" s="126">
        <v>419</v>
      </c>
      <c r="PI3" s="126">
        <v>420</v>
      </c>
      <c r="PJ3" s="126">
        <v>421</v>
      </c>
      <c r="PK3" s="126">
        <v>422</v>
      </c>
      <c r="PL3" s="126">
        <v>423</v>
      </c>
      <c r="PM3" s="126">
        <v>424</v>
      </c>
      <c r="PN3" s="126">
        <v>425</v>
      </c>
      <c r="PO3" s="126">
        <v>426</v>
      </c>
      <c r="PP3" s="126">
        <v>427</v>
      </c>
      <c r="PQ3" s="126">
        <v>428</v>
      </c>
      <c r="PR3" s="126">
        <v>429</v>
      </c>
      <c r="PS3" s="126">
        <v>430</v>
      </c>
      <c r="PT3" s="126">
        <v>431</v>
      </c>
      <c r="PU3" s="126">
        <v>432</v>
      </c>
      <c r="PV3" s="126">
        <v>433</v>
      </c>
      <c r="PW3" s="126">
        <v>434</v>
      </c>
      <c r="PX3" s="126">
        <v>435</v>
      </c>
      <c r="PY3" s="126">
        <v>436</v>
      </c>
      <c r="PZ3" s="126">
        <v>437</v>
      </c>
      <c r="QA3" s="126">
        <v>438</v>
      </c>
      <c r="QB3" s="126">
        <v>439</v>
      </c>
      <c r="QC3" s="126">
        <v>440</v>
      </c>
      <c r="QD3" s="126">
        <v>441</v>
      </c>
      <c r="QE3" s="126">
        <v>442</v>
      </c>
      <c r="QF3" s="126">
        <v>443</v>
      </c>
      <c r="QG3" s="126">
        <v>444</v>
      </c>
      <c r="QH3" s="126">
        <v>445</v>
      </c>
      <c r="QI3" s="126">
        <v>446</v>
      </c>
      <c r="QJ3" s="126">
        <v>447</v>
      </c>
      <c r="QK3" s="126">
        <v>448</v>
      </c>
      <c r="QL3" s="126">
        <v>449</v>
      </c>
      <c r="QM3" s="126">
        <v>450</v>
      </c>
      <c r="QN3" s="126">
        <v>451</v>
      </c>
      <c r="QO3" s="126">
        <v>452</v>
      </c>
    </row>
    <row r="4" spans="1:457" ht="20.25" x14ac:dyDescent="0.3">
      <c r="B4" s="128"/>
      <c r="C4" s="128"/>
    </row>
    <row r="5" spans="1:457" ht="18.75" thickBot="1" x14ac:dyDescent="0.3">
      <c r="C5" s="129"/>
      <c r="D5" s="129"/>
      <c r="E5" s="129"/>
      <c r="F5" s="142"/>
      <c r="G5" s="142"/>
      <c r="H5" s="142">
        <v>17</v>
      </c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Z5" s="142" t="s">
        <v>1006</v>
      </c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2"/>
      <c r="AR5" s="142">
        <v>62</v>
      </c>
      <c r="AS5" s="142"/>
      <c r="AT5" s="142"/>
      <c r="AU5" s="142"/>
      <c r="AV5" s="142"/>
      <c r="AW5" s="142"/>
      <c r="AX5" s="142"/>
      <c r="AY5" s="142"/>
      <c r="AZ5" s="142"/>
      <c r="BA5" s="142"/>
      <c r="BB5" s="142"/>
      <c r="BC5" s="142"/>
      <c r="BD5" s="142"/>
      <c r="BE5" s="142"/>
      <c r="BF5" s="142"/>
      <c r="BJ5" s="126" t="s">
        <v>1008</v>
      </c>
      <c r="CB5" s="142">
        <v>37</v>
      </c>
      <c r="CC5" s="142"/>
      <c r="CD5" s="142"/>
      <c r="CE5" s="142"/>
      <c r="CF5" s="142"/>
      <c r="CG5" s="142"/>
      <c r="CH5" s="142"/>
      <c r="CI5" s="142"/>
      <c r="CJ5" s="142"/>
      <c r="CK5" s="142"/>
      <c r="CL5" s="142"/>
      <c r="CM5" s="142"/>
      <c r="CN5" s="142"/>
      <c r="CO5" s="142"/>
      <c r="CP5" s="142"/>
      <c r="CT5" s="142">
        <v>45</v>
      </c>
      <c r="CU5" s="142"/>
      <c r="CV5" s="142"/>
      <c r="CW5" s="142"/>
      <c r="CX5" s="142"/>
      <c r="CY5" s="142"/>
      <c r="CZ5" s="142"/>
      <c r="DA5" s="142"/>
      <c r="DB5" s="142"/>
      <c r="DC5" s="142"/>
      <c r="DD5" s="142"/>
      <c r="DE5" s="142"/>
      <c r="DF5" s="142"/>
      <c r="DG5" s="142"/>
      <c r="DH5" s="142"/>
      <c r="DL5" s="142" t="s">
        <v>1010</v>
      </c>
      <c r="DM5" s="142"/>
      <c r="DN5" s="142"/>
      <c r="DO5" s="142"/>
      <c r="DP5" s="142"/>
      <c r="DQ5" s="142"/>
      <c r="DR5" s="142"/>
      <c r="DS5" s="142"/>
      <c r="DT5" s="142"/>
      <c r="DU5" s="142"/>
      <c r="DV5" s="142"/>
      <c r="DW5" s="142"/>
      <c r="DX5" s="142"/>
      <c r="DY5" s="142"/>
      <c r="DZ5" s="142"/>
      <c r="ED5" s="142">
        <v>75</v>
      </c>
      <c r="EE5" s="142"/>
      <c r="EF5" s="142"/>
      <c r="EG5" s="142"/>
      <c r="EH5" s="142"/>
      <c r="EI5" s="142"/>
      <c r="EJ5" s="142"/>
      <c r="EK5" s="142"/>
      <c r="EL5" s="142"/>
      <c r="EM5" s="142"/>
      <c r="EN5" s="142"/>
      <c r="EO5" s="142"/>
      <c r="EP5" s="142"/>
      <c r="EQ5" s="142"/>
      <c r="ER5" s="142"/>
      <c r="EV5" s="142" t="s">
        <v>1012</v>
      </c>
      <c r="EW5" s="142"/>
      <c r="EX5" s="142"/>
      <c r="EY5" s="142"/>
      <c r="EZ5" s="142"/>
      <c r="FA5" s="142"/>
      <c r="FB5" s="142"/>
      <c r="FC5" s="142"/>
      <c r="FD5" s="142"/>
      <c r="FE5" s="142"/>
      <c r="FF5" s="142"/>
      <c r="FG5" s="142"/>
      <c r="FH5" s="142"/>
      <c r="FI5" s="142"/>
      <c r="FJ5" s="142"/>
      <c r="FN5" s="142">
        <v>61</v>
      </c>
      <c r="FO5" s="142"/>
      <c r="FP5" s="142"/>
      <c r="FQ5" s="142"/>
      <c r="FR5" s="142"/>
      <c r="FS5" s="142"/>
      <c r="FT5" s="142"/>
      <c r="FU5" s="142"/>
      <c r="FV5" s="142"/>
      <c r="FW5" s="142"/>
      <c r="FX5" s="142"/>
      <c r="FY5" s="142"/>
      <c r="FZ5" s="142"/>
      <c r="GA5" s="142"/>
      <c r="GB5" s="142"/>
      <c r="GF5" s="142">
        <v>49</v>
      </c>
      <c r="GG5" s="142"/>
      <c r="GH5" s="142"/>
      <c r="GI5" s="142"/>
      <c r="GJ5" s="142"/>
      <c r="GK5" s="142"/>
      <c r="GL5" s="142"/>
      <c r="GM5" s="142"/>
      <c r="GN5" s="142"/>
      <c r="GO5" s="142"/>
      <c r="GP5" s="142"/>
      <c r="GQ5" s="142"/>
      <c r="GR5" s="142"/>
      <c r="GS5" s="142"/>
      <c r="GT5" s="142"/>
      <c r="GX5" s="161" t="s">
        <v>760</v>
      </c>
      <c r="GY5" s="161"/>
      <c r="GZ5" s="142"/>
      <c r="HA5" s="142"/>
      <c r="HB5" s="142"/>
      <c r="HC5" s="142"/>
      <c r="HD5" s="142"/>
      <c r="HE5" s="142"/>
      <c r="HF5" s="142"/>
      <c r="HG5" s="142"/>
      <c r="HH5" s="142"/>
      <c r="HI5" s="142"/>
      <c r="HJ5" s="142"/>
      <c r="HK5" s="142"/>
      <c r="HL5" s="142"/>
      <c r="HP5" s="142">
        <v>51</v>
      </c>
      <c r="HQ5" s="142"/>
      <c r="HR5" s="142"/>
      <c r="HS5" s="142"/>
      <c r="HT5" s="142"/>
      <c r="HU5" s="142"/>
      <c r="HV5" s="142"/>
      <c r="HW5" s="142"/>
      <c r="HX5" s="142"/>
      <c r="HY5" s="142"/>
      <c r="HZ5" s="142"/>
      <c r="IA5" s="142"/>
      <c r="IB5" s="142"/>
      <c r="IC5" s="142"/>
      <c r="ID5" s="142"/>
      <c r="IH5" s="161" t="s">
        <v>761</v>
      </c>
      <c r="II5" s="142"/>
      <c r="IJ5" s="142"/>
      <c r="IK5" s="142"/>
      <c r="IL5" s="142"/>
      <c r="IM5" s="142"/>
      <c r="IN5" s="142"/>
      <c r="IO5" s="142"/>
      <c r="IP5" s="142"/>
      <c r="IQ5" s="142"/>
      <c r="IR5" s="142"/>
      <c r="IS5" s="142"/>
      <c r="IT5" s="142"/>
      <c r="IU5" s="142"/>
      <c r="IV5" s="142"/>
      <c r="IZ5" s="142">
        <v>52</v>
      </c>
      <c r="JA5" s="142"/>
      <c r="JB5" s="142"/>
      <c r="JC5" s="142"/>
      <c r="JD5" s="142"/>
      <c r="JE5" s="142"/>
      <c r="JF5" s="142"/>
      <c r="JG5" s="142"/>
      <c r="JH5" s="142"/>
      <c r="JI5" s="142"/>
      <c r="JJ5" s="142"/>
      <c r="JK5" s="142"/>
      <c r="JL5" s="142"/>
      <c r="JM5" s="142"/>
      <c r="JN5" s="142"/>
      <c r="JR5" s="161" t="s">
        <v>762</v>
      </c>
      <c r="JS5" s="142"/>
      <c r="JT5" s="142"/>
      <c r="JU5" s="142"/>
      <c r="JV5" s="142"/>
      <c r="JW5" s="142"/>
      <c r="JX5" s="142"/>
      <c r="JY5" s="142"/>
      <c r="JZ5" s="142"/>
      <c r="KA5" s="142"/>
      <c r="KB5" s="142"/>
      <c r="KC5" s="142"/>
      <c r="KD5" s="142"/>
      <c r="KE5" s="142"/>
      <c r="KF5" s="142"/>
      <c r="KJ5" s="142">
        <v>53</v>
      </c>
      <c r="KK5" s="142"/>
      <c r="KL5" s="142"/>
      <c r="KM5" s="142"/>
      <c r="KN5" s="142"/>
      <c r="KO5" s="142"/>
      <c r="KP5" s="142"/>
      <c r="KQ5" s="142"/>
      <c r="KR5" s="142"/>
      <c r="KS5" s="142"/>
      <c r="KT5" s="142"/>
      <c r="KU5" s="142"/>
      <c r="KV5" s="142"/>
      <c r="KW5" s="142"/>
      <c r="KX5" s="142"/>
      <c r="LB5" s="161" t="s">
        <v>763</v>
      </c>
      <c r="LC5" s="142"/>
      <c r="LD5" s="142"/>
      <c r="LE5" s="142"/>
      <c r="LF5" s="142"/>
      <c r="LG5" s="142"/>
      <c r="LH5" s="142"/>
      <c r="LI5" s="142"/>
      <c r="LJ5" s="142"/>
      <c r="LK5" s="142"/>
      <c r="LL5" s="142"/>
      <c r="LM5" s="142"/>
      <c r="LN5" s="142"/>
      <c r="LO5" s="142"/>
      <c r="LP5" s="142"/>
      <c r="LT5" s="142">
        <v>54</v>
      </c>
      <c r="LU5" s="142"/>
      <c r="LV5" s="142"/>
      <c r="LW5" s="142"/>
      <c r="LX5" s="142"/>
      <c r="LY5" s="142"/>
      <c r="LZ5" s="142"/>
      <c r="MA5" s="142"/>
      <c r="MB5" s="142"/>
      <c r="MC5" s="142"/>
      <c r="MD5" s="142"/>
      <c r="ME5" s="142"/>
      <c r="MF5" s="142"/>
      <c r="MG5" s="142"/>
      <c r="MH5" s="142"/>
      <c r="ML5" s="161" t="s">
        <v>764</v>
      </c>
      <c r="MM5" s="142"/>
      <c r="MN5" s="142"/>
      <c r="MO5" s="142"/>
      <c r="MP5" s="142"/>
      <c r="MQ5" s="142"/>
      <c r="MR5" s="142"/>
      <c r="MS5" s="142"/>
      <c r="MT5" s="142"/>
      <c r="MU5" s="142"/>
      <c r="MV5" s="142"/>
      <c r="MW5" s="142"/>
      <c r="MX5" s="142"/>
      <c r="MY5" s="142"/>
      <c r="MZ5" s="142"/>
      <c r="ND5" s="142">
        <v>55</v>
      </c>
      <c r="NE5" s="142"/>
      <c r="NF5" s="142"/>
      <c r="NG5" s="142"/>
      <c r="NH5" s="142"/>
      <c r="NI5" s="142"/>
      <c r="NJ5" s="142"/>
      <c r="NK5" s="142"/>
      <c r="NL5" s="142"/>
      <c r="NM5" s="142"/>
      <c r="NN5" s="142"/>
      <c r="NO5" s="142"/>
      <c r="NP5" s="142"/>
      <c r="NQ5" s="142"/>
      <c r="NR5" s="142"/>
      <c r="NV5" s="161" t="s">
        <v>765</v>
      </c>
      <c r="NW5" s="142"/>
      <c r="NX5" s="142"/>
      <c r="NY5" s="142"/>
      <c r="NZ5" s="142"/>
      <c r="OA5" s="142"/>
      <c r="OB5" s="142"/>
      <c r="OC5" s="142"/>
      <c r="OD5" s="142"/>
      <c r="OE5" s="142"/>
      <c r="OF5" s="142"/>
      <c r="OG5" s="142"/>
      <c r="OH5" s="142"/>
      <c r="OI5" s="142"/>
      <c r="OJ5" s="142"/>
      <c r="ON5" s="142">
        <v>60</v>
      </c>
      <c r="OO5" s="142"/>
      <c r="OP5" s="142"/>
      <c r="OQ5" s="142"/>
      <c r="OR5" s="142"/>
      <c r="OS5" s="142"/>
      <c r="OT5" s="142"/>
      <c r="OU5" s="142"/>
      <c r="OV5" s="142"/>
      <c r="OW5" s="142"/>
      <c r="OX5" s="142"/>
      <c r="OY5" s="142"/>
      <c r="OZ5" s="142"/>
      <c r="PA5" s="142"/>
      <c r="PB5" s="142"/>
      <c r="PF5" s="161" t="s">
        <v>766</v>
      </c>
      <c r="PG5" s="142"/>
      <c r="PH5" s="142"/>
      <c r="PI5" s="142"/>
      <c r="PJ5" s="142"/>
      <c r="PK5" s="142"/>
      <c r="PL5" s="142"/>
      <c r="PM5" s="142"/>
      <c r="PN5" s="142"/>
      <c r="PO5" s="142"/>
      <c r="PP5" s="142"/>
      <c r="PQ5" s="142"/>
      <c r="PR5" s="142"/>
      <c r="PS5" s="142"/>
      <c r="PT5" s="142"/>
      <c r="PX5" s="142">
        <v>57</v>
      </c>
      <c r="PY5" s="142"/>
      <c r="PZ5" s="142"/>
      <c r="QA5" s="142"/>
      <c r="QB5" s="142"/>
      <c r="QC5" s="142"/>
      <c r="QD5" s="142"/>
      <c r="QE5" s="142"/>
      <c r="QF5" s="142"/>
      <c r="QG5" s="142"/>
      <c r="QH5" s="142"/>
      <c r="QI5" s="142"/>
      <c r="QJ5" s="142"/>
      <c r="QK5" s="142"/>
      <c r="QL5" s="142"/>
    </row>
    <row r="6" spans="1:457" ht="15.75" customHeight="1" x14ac:dyDescent="0.25">
      <c r="A6" s="159"/>
      <c r="B6" s="247"/>
      <c r="C6" s="250"/>
      <c r="D6" s="164"/>
      <c r="E6" s="165"/>
      <c r="F6" s="159"/>
      <c r="G6" s="166"/>
      <c r="H6" s="241" t="s">
        <v>971</v>
      </c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2"/>
      <c r="U6" s="242"/>
      <c r="V6" s="242"/>
      <c r="W6" s="242"/>
      <c r="X6" s="242"/>
      <c r="Y6" s="243"/>
      <c r="Z6" s="244" t="s">
        <v>971</v>
      </c>
      <c r="AA6" s="245"/>
      <c r="AB6" s="245"/>
      <c r="AC6" s="245"/>
      <c r="AD6" s="245"/>
      <c r="AE6" s="245"/>
      <c r="AF6" s="245"/>
      <c r="AG6" s="245"/>
      <c r="AH6" s="245"/>
      <c r="AI6" s="245"/>
      <c r="AJ6" s="245"/>
      <c r="AK6" s="245"/>
      <c r="AL6" s="245"/>
      <c r="AM6" s="245"/>
      <c r="AN6" s="245"/>
      <c r="AO6" s="245"/>
      <c r="AP6" s="245"/>
      <c r="AQ6" s="246"/>
      <c r="AR6" s="241" t="s">
        <v>972</v>
      </c>
      <c r="AS6" s="242"/>
      <c r="AT6" s="242"/>
      <c r="AU6" s="242"/>
      <c r="AV6" s="242"/>
      <c r="AW6" s="242"/>
      <c r="AX6" s="242"/>
      <c r="AY6" s="242"/>
      <c r="AZ6" s="242"/>
      <c r="BA6" s="242"/>
      <c r="BB6" s="242"/>
      <c r="BC6" s="242"/>
      <c r="BD6" s="242"/>
      <c r="BE6" s="242"/>
      <c r="BF6" s="242"/>
      <c r="BG6" s="242"/>
      <c r="BH6" s="242"/>
      <c r="BI6" s="243"/>
      <c r="BJ6" s="244" t="s">
        <v>972</v>
      </c>
      <c r="BK6" s="245"/>
      <c r="BL6" s="245"/>
      <c r="BM6" s="245"/>
      <c r="BN6" s="245"/>
      <c r="BO6" s="245"/>
      <c r="BP6" s="245"/>
      <c r="BQ6" s="245"/>
      <c r="BR6" s="245"/>
      <c r="BS6" s="245"/>
      <c r="BT6" s="245"/>
      <c r="BU6" s="245"/>
      <c r="BV6" s="245"/>
      <c r="BW6" s="245"/>
      <c r="BX6" s="245"/>
      <c r="BY6" s="245"/>
      <c r="BZ6" s="245"/>
      <c r="CA6" s="246"/>
      <c r="CB6" s="241" t="s">
        <v>973</v>
      </c>
      <c r="CC6" s="242"/>
      <c r="CD6" s="242"/>
      <c r="CE6" s="242"/>
      <c r="CF6" s="242"/>
      <c r="CG6" s="242"/>
      <c r="CH6" s="242"/>
      <c r="CI6" s="242"/>
      <c r="CJ6" s="242"/>
      <c r="CK6" s="242"/>
      <c r="CL6" s="242"/>
      <c r="CM6" s="242"/>
      <c r="CN6" s="242"/>
      <c r="CO6" s="242"/>
      <c r="CP6" s="242"/>
      <c r="CQ6" s="242"/>
      <c r="CR6" s="242"/>
      <c r="CS6" s="243"/>
      <c r="CT6" s="241" t="s">
        <v>974</v>
      </c>
      <c r="CU6" s="242"/>
      <c r="CV6" s="242"/>
      <c r="CW6" s="242"/>
      <c r="CX6" s="242"/>
      <c r="CY6" s="242"/>
      <c r="CZ6" s="242"/>
      <c r="DA6" s="242"/>
      <c r="DB6" s="242"/>
      <c r="DC6" s="242"/>
      <c r="DD6" s="242"/>
      <c r="DE6" s="242"/>
      <c r="DF6" s="242"/>
      <c r="DG6" s="242"/>
      <c r="DH6" s="242"/>
      <c r="DI6" s="242"/>
      <c r="DJ6" s="242"/>
      <c r="DK6" s="243"/>
      <c r="DL6" s="244" t="s">
        <v>974</v>
      </c>
      <c r="DM6" s="245"/>
      <c r="DN6" s="245"/>
      <c r="DO6" s="245"/>
      <c r="DP6" s="245"/>
      <c r="DQ6" s="245"/>
      <c r="DR6" s="245"/>
      <c r="DS6" s="245"/>
      <c r="DT6" s="245"/>
      <c r="DU6" s="245"/>
      <c r="DV6" s="245"/>
      <c r="DW6" s="245"/>
      <c r="DX6" s="245"/>
      <c r="DY6" s="245"/>
      <c r="DZ6" s="245"/>
      <c r="EA6" s="245"/>
      <c r="EB6" s="245"/>
      <c r="EC6" s="246"/>
      <c r="ED6" s="241" t="s">
        <v>975</v>
      </c>
      <c r="EE6" s="242"/>
      <c r="EF6" s="242"/>
      <c r="EG6" s="242"/>
      <c r="EH6" s="242"/>
      <c r="EI6" s="242"/>
      <c r="EJ6" s="242"/>
      <c r="EK6" s="242"/>
      <c r="EL6" s="242"/>
      <c r="EM6" s="242"/>
      <c r="EN6" s="242"/>
      <c r="EO6" s="242"/>
      <c r="EP6" s="242"/>
      <c r="EQ6" s="242"/>
      <c r="ER6" s="242"/>
      <c r="ES6" s="242"/>
      <c r="ET6" s="242"/>
      <c r="EU6" s="243"/>
      <c r="EV6" s="244" t="s">
        <v>975</v>
      </c>
      <c r="EW6" s="245"/>
      <c r="EX6" s="245"/>
      <c r="EY6" s="245"/>
      <c r="EZ6" s="245"/>
      <c r="FA6" s="245"/>
      <c r="FB6" s="245"/>
      <c r="FC6" s="245"/>
      <c r="FD6" s="245"/>
      <c r="FE6" s="245"/>
      <c r="FF6" s="245"/>
      <c r="FG6" s="245"/>
      <c r="FH6" s="245"/>
      <c r="FI6" s="245"/>
      <c r="FJ6" s="245"/>
      <c r="FK6" s="245"/>
      <c r="FL6" s="245"/>
      <c r="FM6" s="246"/>
      <c r="FN6" s="241" t="s">
        <v>976</v>
      </c>
      <c r="FO6" s="242"/>
      <c r="FP6" s="242"/>
      <c r="FQ6" s="242"/>
      <c r="FR6" s="242"/>
      <c r="FS6" s="242"/>
      <c r="FT6" s="242"/>
      <c r="FU6" s="242"/>
      <c r="FV6" s="242"/>
      <c r="FW6" s="242"/>
      <c r="FX6" s="242"/>
      <c r="FY6" s="242"/>
      <c r="FZ6" s="242"/>
      <c r="GA6" s="242"/>
      <c r="GB6" s="242"/>
      <c r="GC6" s="242"/>
      <c r="GD6" s="242"/>
      <c r="GE6" s="243"/>
      <c r="GF6" s="241" t="s">
        <v>977</v>
      </c>
      <c r="GG6" s="242"/>
      <c r="GH6" s="242"/>
      <c r="GI6" s="242"/>
      <c r="GJ6" s="242"/>
      <c r="GK6" s="242"/>
      <c r="GL6" s="242"/>
      <c r="GM6" s="242"/>
      <c r="GN6" s="242"/>
      <c r="GO6" s="242"/>
      <c r="GP6" s="242"/>
      <c r="GQ6" s="242"/>
      <c r="GR6" s="242"/>
      <c r="GS6" s="242"/>
      <c r="GT6" s="242"/>
      <c r="GU6" s="242"/>
      <c r="GV6" s="242"/>
      <c r="GW6" s="243"/>
      <c r="GX6" s="235" t="s">
        <v>978</v>
      </c>
      <c r="GY6" s="236"/>
      <c r="GZ6" s="236"/>
      <c r="HA6" s="236"/>
      <c r="HB6" s="236"/>
      <c r="HC6" s="236"/>
      <c r="HD6" s="236"/>
      <c r="HE6" s="236"/>
      <c r="HF6" s="236"/>
      <c r="HG6" s="236"/>
      <c r="HH6" s="236"/>
      <c r="HI6" s="236"/>
      <c r="HJ6" s="236"/>
      <c r="HK6" s="236"/>
      <c r="HL6" s="236"/>
      <c r="HM6" s="236"/>
      <c r="HN6" s="236"/>
      <c r="HO6" s="237"/>
      <c r="HP6" s="241" t="s">
        <v>979</v>
      </c>
      <c r="HQ6" s="242"/>
      <c r="HR6" s="242"/>
      <c r="HS6" s="242"/>
      <c r="HT6" s="242"/>
      <c r="HU6" s="242"/>
      <c r="HV6" s="242"/>
      <c r="HW6" s="242"/>
      <c r="HX6" s="242"/>
      <c r="HY6" s="242"/>
      <c r="HZ6" s="242"/>
      <c r="IA6" s="242"/>
      <c r="IB6" s="242"/>
      <c r="IC6" s="242"/>
      <c r="ID6" s="242"/>
      <c r="IE6" s="242"/>
      <c r="IF6" s="242"/>
      <c r="IG6" s="243"/>
      <c r="IH6" s="235" t="s">
        <v>980</v>
      </c>
      <c r="II6" s="236"/>
      <c r="IJ6" s="236"/>
      <c r="IK6" s="236"/>
      <c r="IL6" s="236"/>
      <c r="IM6" s="236"/>
      <c r="IN6" s="236"/>
      <c r="IO6" s="236"/>
      <c r="IP6" s="236"/>
      <c r="IQ6" s="236"/>
      <c r="IR6" s="236"/>
      <c r="IS6" s="236"/>
      <c r="IT6" s="236"/>
      <c r="IU6" s="236"/>
      <c r="IV6" s="236"/>
      <c r="IW6" s="236"/>
      <c r="IX6" s="236"/>
      <c r="IY6" s="237"/>
      <c r="IZ6" s="241" t="s">
        <v>981</v>
      </c>
      <c r="JA6" s="242"/>
      <c r="JB6" s="242"/>
      <c r="JC6" s="242"/>
      <c r="JD6" s="242"/>
      <c r="JE6" s="242"/>
      <c r="JF6" s="242"/>
      <c r="JG6" s="242"/>
      <c r="JH6" s="242"/>
      <c r="JI6" s="242"/>
      <c r="JJ6" s="242"/>
      <c r="JK6" s="242"/>
      <c r="JL6" s="242"/>
      <c r="JM6" s="242"/>
      <c r="JN6" s="242"/>
      <c r="JO6" s="242"/>
      <c r="JP6" s="242"/>
      <c r="JQ6" s="243"/>
      <c r="JR6" s="235" t="s">
        <v>982</v>
      </c>
      <c r="JS6" s="236"/>
      <c r="JT6" s="236"/>
      <c r="JU6" s="236"/>
      <c r="JV6" s="236"/>
      <c r="JW6" s="236"/>
      <c r="JX6" s="236"/>
      <c r="JY6" s="236"/>
      <c r="JZ6" s="236"/>
      <c r="KA6" s="236"/>
      <c r="KB6" s="236"/>
      <c r="KC6" s="236"/>
      <c r="KD6" s="236"/>
      <c r="KE6" s="236"/>
      <c r="KF6" s="236"/>
      <c r="KG6" s="236"/>
      <c r="KH6" s="236"/>
      <c r="KI6" s="237"/>
      <c r="KJ6" s="241" t="s">
        <v>968</v>
      </c>
      <c r="KK6" s="242"/>
      <c r="KL6" s="242"/>
      <c r="KM6" s="242"/>
      <c r="KN6" s="242"/>
      <c r="KO6" s="242"/>
      <c r="KP6" s="242"/>
      <c r="KQ6" s="242"/>
      <c r="KR6" s="242"/>
      <c r="KS6" s="242"/>
      <c r="KT6" s="242"/>
      <c r="KU6" s="242"/>
      <c r="KV6" s="242"/>
      <c r="KW6" s="242"/>
      <c r="KX6" s="242"/>
      <c r="KY6" s="242"/>
      <c r="KZ6" s="242"/>
      <c r="LA6" s="243"/>
      <c r="LB6" s="235" t="s">
        <v>984</v>
      </c>
      <c r="LC6" s="236"/>
      <c r="LD6" s="236"/>
      <c r="LE6" s="236"/>
      <c r="LF6" s="236"/>
      <c r="LG6" s="236"/>
      <c r="LH6" s="236"/>
      <c r="LI6" s="236"/>
      <c r="LJ6" s="236"/>
      <c r="LK6" s="236"/>
      <c r="LL6" s="236"/>
      <c r="LM6" s="236"/>
      <c r="LN6" s="236"/>
      <c r="LO6" s="236"/>
      <c r="LP6" s="236"/>
      <c r="LQ6" s="236"/>
      <c r="LR6" s="236"/>
      <c r="LS6" s="237"/>
      <c r="LT6" s="241" t="s">
        <v>967</v>
      </c>
      <c r="LU6" s="242"/>
      <c r="LV6" s="242"/>
      <c r="LW6" s="242"/>
      <c r="LX6" s="242"/>
      <c r="LY6" s="242"/>
      <c r="LZ6" s="242"/>
      <c r="MA6" s="242"/>
      <c r="MB6" s="242"/>
      <c r="MC6" s="242"/>
      <c r="MD6" s="242"/>
      <c r="ME6" s="242"/>
      <c r="MF6" s="242"/>
      <c r="MG6" s="242"/>
      <c r="MH6" s="242"/>
      <c r="MI6" s="242"/>
      <c r="MJ6" s="242"/>
      <c r="MK6" s="243"/>
      <c r="ML6" s="235" t="s">
        <v>986</v>
      </c>
      <c r="MM6" s="236"/>
      <c r="MN6" s="236"/>
      <c r="MO6" s="236"/>
      <c r="MP6" s="236"/>
      <c r="MQ6" s="236"/>
      <c r="MR6" s="236"/>
      <c r="MS6" s="236"/>
      <c r="MT6" s="236"/>
      <c r="MU6" s="236"/>
      <c r="MV6" s="236"/>
      <c r="MW6" s="236"/>
      <c r="MX6" s="236"/>
      <c r="MY6" s="236"/>
      <c r="MZ6" s="236"/>
      <c r="NA6" s="236"/>
      <c r="NB6" s="236"/>
      <c r="NC6" s="237"/>
      <c r="ND6" s="241" t="s">
        <v>988</v>
      </c>
      <c r="NE6" s="242"/>
      <c r="NF6" s="242"/>
      <c r="NG6" s="242"/>
      <c r="NH6" s="242"/>
      <c r="NI6" s="242"/>
      <c r="NJ6" s="242"/>
      <c r="NK6" s="242"/>
      <c r="NL6" s="242"/>
      <c r="NM6" s="242"/>
      <c r="NN6" s="242"/>
      <c r="NO6" s="242"/>
      <c r="NP6" s="242"/>
      <c r="NQ6" s="242"/>
      <c r="NR6" s="242"/>
      <c r="NS6" s="242"/>
      <c r="NT6" s="242"/>
      <c r="NU6" s="243"/>
      <c r="NV6" s="235" t="s">
        <v>966</v>
      </c>
      <c r="NW6" s="236"/>
      <c r="NX6" s="236"/>
      <c r="NY6" s="236"/>
      <c r="NZ6" s="236"/>
      <c r="OA6" s="236"/>
      <c r="OB6" s="236"/>
      <c r="OC6" s="236"/>
      <c r="OD6" s="236"/>
      <c r="OE6" s="236"/>
      <c r="OF6" s="236"/>
      <c r="OG6" s="236"/>
      <c r="OH6" s="236"/>
      <c r="OI6" s="236"/>
      <c r="OJ6" s="236"/>
      <c r="OK6" s="236"/>
      <c r="OL6" s="236"/>
      <c r="OM6" s="237"/>
      <c r="ON6" s="241" t="s">
        <v>989</v>
      </c>
      <c r="OO6" s="242"/>
      <c r="OP6" s="242"/>
      <c r="OQ6" s="242"/>
      <c r="OR6" s="242"/>
      <c r="OS6" s="242"/>
      <c r="OT6" s="242"/>
      <c r="OU6" s="242"/>
      <c r="OV6" s="242"/>
      <c r="OW6" s="242"/>
      <c r="OX6" s="242"/>
      <c r="OY6" s="242"/>
      <c r="OZ6" s="242"/>
      <c r="PA6" s="242"/>
      <c r="PB6" s="242"/>
      <c r="PC6" s="242"/>
      <c r="PD6" s="242"/>
      <c r="PE6" s="243"/>
      <c r="PF6" s="235" t="s">
        <v>992</v>
      </c>
      <c r="PG6" s="236"/>
      <c r="PH6" s="236"/>
      <c r="PI6" s="236"/>
      <c r="PJ6" s="236"/>
      <c r="PK6" s="236"/>
      <c r="PL6" s="236"/>
      <c r="PM6" s="236"/>
      <c r="PN6" s="236"/>
      <c r="PO6" s="236"/>
      <c r="PP6" s="236"/>
      <c r="PQ6" s="236"/>
      <c r="PR6" s="236"/>
      <c r="PS6" s="236"/>
      <c r="PT6" s="236"/>
      <c r="PU6" s="236"/>
      <c r="PV6" s="236"/>
      <c r="PW6" s="237"/>
      <c r="PX6" s="241" t="s">
        <v>990</v>
      </c>
      <c r="PY6" s="242"/>
      <c r="PZ6" s="242"/>
      <c r="QA6" s="242"/>
      <c r="QB6" s="242"/>
      <c r="QC6" s="242"/>
      <c r="QD6" s="242"/>
      <c r="QE6" s="242"/>
      <c r="QF6" s="242"/>
      <c r="QG6" s="242"/>
      <c r="QH6" s="242"/>
      <c r="QI6" s="242"/>
      <c r="QJ6" s="242"/>
      <c r="QK6" s="242"/>
      <c r="QL6" s="242"/>
      <c r="QM6" s="242"/>
      <c r="QN6" s="242"/>
      <c r="QO6" s="243"/>
    </row>
    <row r="7" spans="1:457" ht="15.75" customHeight="1" x14ac:dyDescent="0.25">
      <c r="B7" s="248"/>
      <c r="C7" s="251"/>
      <c r="D7" s="167"/>
      <c r="E7" s="143"/>
      <c r="F7" s="219" t="s">
        <v>320</v>
      </c>
      <c r="G7" s="219" t="s">
        <v>322</v>
      </c>
      <c r="H7" s="238" t="s">
        <v>257</v>
      </c>
      <c r="I7" s="219" t="s">
        <v>258</v>
      </c>
      <c r="J7" s="219" t="s">
        <v>259</v>
      </c>
      <c r="K7" s="219" t="s">
        <v>260</v>
      </c>
      <c r="L7" s="224" t="s">
        <v>261</v>
      </c>
      <c r="M7" s="219" t="s">
        <v>262</v>
      </c>
      <c r="N7" s="219" t="s">
        <v>272</v>
      </c>
      <c r="O7" s="219" t="s">
        <v>263</v>
      </c>
      <c r="P7" s="219" t="s">
        <v>264</v>
      </c>
      <c r="Q7" s="219" t="s">
        <v>271</v>
      </c>
      <c r="R7" s="219" t="s">
        <v>260</v>
      </c>
      <c r="S7" s="219" t="s">
        <v>265</v>
      </c>
      <c r="T7" s="224" t="s">
        <v>266</v>
      </c>
      <c r="U7" s="219" t="s">
        <v>267</v>
      </c>
      <c r="V7" s="219" t="s">
        <v>321</v>
      </c>
      <c r="W7" s="226" t="s">
        <v>268</v>
      </c>
      <c r="X7" s="229" t="s">
        <v>313</v>
      </c>
      <c r="Y7" s="232" t="s">
        <v>994</v>
      </c>
      <c r="Z7" s="238" t="s">
        <v>257</v>
      </c>
      <c r="AA7" s="219" t="s">
        <v>258</v>
      </c>
      <c r="AB7" s="219" t="s">
        <v>259</v>
      </c>
      <c r="AC7" s="219" t="s">
        <v>260</v>
      </c>
      <c r="AD7" s="224" t="s">
        <v>261</v>
      </c>
      <c r="AE7" s="219" t="s">
        <v>262</v>
      </c>
      <c r="AF7" s="219" t="s">
        <v>272</v>
      </c>
      <c r="AG7" s="219" t="s">
        <v>263</v>
      </c>
      <c r="AH7" s="219" t="s">
        <v>264</v>
      </c>
      <c r="AI7" s="219" t="s">
        <v>271</v>
      </c>
      <c r="AJ7" s="219" t="s">
        <v>260</v>
      </c>
      <c r="AK7" s="219" t="s">
        <v>265</v>
      </c>
      <c r="AL7" s="224" t="s">
        <v>266</v>
      </c>
      <c r="AM7" s="219" t="s">
        <v>267</v>
      </c>
      <c r="AN7" s="219" t="s">
        <v>321</v>
      </c>
      <c r="AO7" s="226" t="s">
        <v>268</v>
      </c>
      <c r="AP7" s="229" t="s">
        <v>313</v>
      </c>
      <c r="AQ7" s="232" t="s">
        <v>994</v>
      </c>
      <c r="AR7" s="238" t="s">
        <v>257</v>
      </c>
      <c r="AS7" s="219" t="s">
        <v>258</v>
      </c>
      <c r="AT7" s="219" t="s">
        <v>259</v>
      </c>
      <c r="AU7" s="219" t="s">
        <v>260</v>
      </c>
      <c r="AV7" s="224" t="s">
        <v>261</v>
      </c>
      <c r="AW7" s="219" t="s">
        <v>262</v>
      </c>
      <c r="AX7" s="219" t="s">
        <v>272</v>
      </c>
      <c r="AY7" s="219" t="s">
        <v>263</v>
      </c>
      <c r="AZ7" s="219" t="s">
        <v>264</v>
      </c>
      <c r="BA7" s="219" t="s">
        <v>271</v>
      </c>
      <c r="BB7" s="219" t="s">
        <v>260</v>
      </c>
      <c r="BC7" s="219" t="s">
        <v>265</v>
      </c>
      <c r="BD7" s="224" t="s">
        <v>266</v>
      </c>
      <c r="BE7" s="219" t="s">
        <v>267</v>
      </c>
      <c r="BF7" s="219" t="s">
        <v>321</v>
      </c>
      <c r="BG7" s="226" t="s">
        <v>268</v>
      </c>
      <c r="BH7" s="229" t="s">
        <v>313</v>
      </c>
      <c r="BI7" s="232" t="s">
        <v>994</v>
      </c>
      <c r="BJ7" s="238" t="s">
        <v>257</v>
      </c>
      <c r="BK7" s="219" t="s">
        <v>258</v>
      </c>
      <c r="BL7" s="219" t="s">
        <v>259</v>
      </c>
      <c r="BM7" s="219" t="s">
        <v>260</v>
      </c>
      <c r="BN7" s="224" t="s">
        <v>261</v>
      </c>
      <c r="BO7" s="219" t="s">
        <v>262</v>
      </c>
      <c r="BP7" s="219" t="s">
        <v>272</v>
      </c>
      <c r="BQ7" s="219" t="s">
        <v>263</v>
      </c>
      <c r="BR7" s="219" t="s">
        <v>264</v>
      </c>
      <c r="BS7" s="219" t="s">
        <v>271</v>
      </c>
      <c r="BT7" s="219" t="s">
        <v>260</v>
      </c>
      <c r="BU7" s="219" t="s">
        <v>265</v>
      </c>
      <c r="BV7" s="224" t="s">
        <v>266</v>
      </c>
      <c r="BW7" s="219" t="s">
        <v>267</v>
      </c>
      <c r="BX7" s="219" t="s">
        <v>321</v>
      </c>
      <c r="BY7" s="226" t="s">
        <v>268</v>
      </c>
      <c r="BZ7" s="229" t="s">
        <v>313</v>
      </c>
      <c r="CA7" s="232" t="s">
        <v>994</v>
      </c>
      <c r="CB7" s="238" t="s">
        <v>257</v>
      </c>
      <c r="CC7" s="219" t="s">
        <v>258</v>
      </c>
      <c r="CD7" s="219" t="s">
        <v>259</v>
      </c>
      <c r="CE7" s="219" t="s">
        <v>260</v>
      </c>
      <c r="CF7" s="224" t="s">
        <v>261</v>
      </c>
      <c r="CG7" s="219" t="s">
        <v>262</v>
      </c>
      <c r="CH7" s="219" t="s">
        <v>272</v>
      </c>
      <c r="CI7" s="219" t="s">
        <v>263</v>
      </c>
      <c r="CJ7" s="219" t="s">
        <v>264</v>
      </c>
      <c r="CK7" s="219" t="s">
        <v>271</v>
      </c>
      <c r="CL7" s="219" t="s">
        <v>260</v>
      </c>
      <c r="CM7" s="219" t="s">
        <v>265</v>
      </c>
      <c r="CN7" s="224" t="s">
        <v>266</v>
      </c>
      <c r="CO7" s="219" t="s">
        <v>267</v>
      </c>
      <c r="CP7" s="219" t="s">
        <v>321</v>
      </c>
      <c r="CQ7" s="226" t="s">
        <v>268</v>
      </c>
      <c r="CR7" s="229" t="s">
        <v>313</v>
      </c>
      <c r="CS7" s="232" t="s">
        <v>994</v>
      </c>
      <c r="CT7" s="238" t="s">
        <v>257</v>
      </c>
      <c r="CU7" s="219" t="s">
        <v>258</v>
      </c>
      <c r="CV7" s="219" t="s">
        <v>259</v>
      </c>
      <c r="CW7" s="219" t="s">
        <v>260</v>
      </c>
      <c r="CX7" s="224" t="s">
        <v>261</v>
      </c>
      <c r="CY7" s="219" t="s">
        <v>262</v>
      </c>
      <c r="CZ7" s="219" t="s">
        <v>272</v>
      </c>
      <c r="DA7" s="219" t="s">
        <v>263</v>
      </c>
      <c r="DB7" s="219" t="s">
        <v>264</v>
      </c>
      <c r="DC7" s="219" t="s">
        <v>271</v>
      </c>
      <c r="DD7" s="219" t="s">
        <v>260</v>
      </c>
      <c r="DE7" s="219" t="s">
        <v>265</v>
      </c>
      <c r="DF7" s="224" t="s">
        <v>266</v>
      </c>
      <c r="DG7" s="219" t="s">
        <v>267</v>
      </c>
      <c r="DH7" s="219" t="s">
        <v>321</v>
      </c>
      <c r="DI7" s="226" t="s">
        <v>268</v>
      </c>
      <c r="DJ7" s="229" t="s">
        <v>313</v>
      </c>
      <c r="DK7" s="232" t="s">
        <v>994</v>
      </c>
      <c r="DL7" s="238" t="s">
        <v>257</v>
      </c>
      <c r="DM7" s="219" t="s">
        <v>258</v>
      </c>
      <c r="DN7" s="219" t="s">
        <v>259</v>
      </c>
      <c r="DO7" s="219" t="s">
        <v>260</v>
      </c>
      <c r="DP7" s="224" t="s">
        <v>261</v>
      </c>
      <c r="DQ7" s="219" t="s">
        <v>262</v>
      </c>
      <c r="DR7" s="219" t="s">
        <v>272</v>
      </c>
      <c r="DS7" s="219" t="s">
        <v>263</v>
      </c>
      <c r="DT7" s="219" t="s">
        <v>264</v>
      </c>
      <c r="DU7" s="219" t="s">
        <v>271</v>
      </c>
      <c r="DV7" s="219" t="s">
        <v>260</v>
      </c>
      <c r="DW7" s="219" t="s">
        <v>265</v>
      </c>
      <c r="DX7" s="224" t="s">
        <v>266</v>
      </c>
      <c r="DY7" s="219" t="s">
        <v>267</v>
      </c>
      <c r="DZ7" s="219" t="s">
        <v>321</v>
      </c>
      <c r="EA7" s="226" t="s">
        <v>268</v>
      </c>
      <c r="EB7" s="229" t="s">
        <v>313</v>
      </c>
      <c r="EC7" s="232" t="s">
        <v>994</v>
      </c>
      <c r="ED7" s="238" t="s">
        <v>257</v>
      </c>
      <c r="EE7" s="219" t="s">
        <v>258</v>
      </c>
      <c r="EF7" s="219" t="s">
        <v>259</v>
      </c>
      <c r="EG7" s="219" t="s">
        <v>260</v>
      </c>
      <c r="EH7" s="224" t="s">
        <v>261</v>
      </c>
      <c r="EI7" s="219" t="s">
        <v>262</v>
      </c>
      <c r="EJ7" s="219" t="s">
        <v>272</v>
      </c>
      <c r="EK7" s="219" t="s">
        <v>263</v>
      </c>
      <c r="EL7" s="219" t="s">
        <v>264</v>
      </c>
      <c r="EM7" s="219" t="s">
        <v>271</v>
      </c>
      <c r="EN7" s="219" t="s">
        <v>260</v>
      </c>
      <c r="EO7" s="219" t="s">
        <v>265</v>
      </c>
      <c r="EP7" s="224" t="s">
        <v>266</v>
      </c>
      <c r="EQ7" s="219" t="s">
        <v>267</v>
      </c>
      <c r="ER7" s="219" t="s">
        <v>321</v>
      </c>
      <c r="ES7" s="226" t="s">
        <v>268</v>
      </c>
      <c r="ET7" s="229" t="s">
        <v>313</v>
      </c>
      <c r="EU7" s="232" t="s">
        <v>994</v>
      </c>
      <c r="EV7" s="238" t="s">
        <v>257</v>
      </c>
      <c r="EW7" s="219" t="s">
        <v>258</v>
      </c>
      <c r="EX7" s="219" t="s">
        <v>259</v>
      </c>
      <c r="EY7" s="219" t="s">
        <v>260</v>
      </c>
      <c r="EZ7" s="224" t="s">
        <v>261</v>
      </c>
      <c r="FA7" s="219" t="s">
        <v>262</v>
      </c>
      <c r="FB7" s="219" t="s">
        <v>272</v>
      </c>
      <c r="FC7" s="219" t="s">
        <v>263</v>
      </c>
      <c r="FD7" s="219" t="s">
        <v>264</v>
      </c>
      <c r="FE7" s="219" t="s">
        <v>271</v>
      </c>
      <c r="FF7" s="219" t="s">
        <v>260</v>
      </c>
      <c r="FG7" s="219" t="s">
        <v>265</v>
      </c>
      <c r="FH7" s="224" t="s">
        <v>266</v>
      </c>
      <c r="FI7" s="219" t="s">
        <v>267</v>
      </c>
      <c r="FJ7" s="219" t="s">
        <v>321</v>
      </c>
      <c r="FK7" s="226" t="s">
        <v>268</v>
      </c>
      <c r="FL7" s="229" t="s">
        <v>313</v>
      </c>
      <c r="FM7" s="232" t="s">
        <v>994</v>
      </c>
      <c r="FN7" s="238" t="s">
        <v>257</v>
      </c>
      <c r="FO7" s="219" t="s">
        <v>258</v>
      </c>
      <c r="FP7" s="219" t="s">
        <v>259</v>
      </c>
      <c r="FQ7" s="219" t="s">
        <v>260</v>
      </c>
      <c r="FR7" s="224" t="s">
        <v>261</v>
      </c>
      <c r="FS7" s="219" t="s">
        <v>262</v>
      </c>
      <c r="FT7" s="219" t="s">
        <v>272</v>
      </c>
      <c r="FU7" s="219" t="s">
        <v>263</v>
      </c>
      <c r="FV7" s="219" t="s">
        <v>264</v>
      </c>
      <c r="FW7" s="219" t="s">
        <v>271</v>
      </c>
      <c r="FX7" s="219" t="s">
        <v>260</v>
      </c>
      <c r="FY7" s="219" t="s">
        <v>265</v>
      </c>
      <c r="FZ7" s="224" t="s">
        <v>266</v>
      </c>
      <c r="GA7" s="219" t="s">
        <v>267</v>
      </c>
      <c r="GB7" s="219" t="s">
        <v>321</v>
      </c>
      <c r="GC7" s="226" t="s">
        <v>268</v>
      </c>
      <c r="GD7" s="229" t="s">
        <v>313</v>
      </c>
      <c r="GE7" s="232" t="s">
        <v>994</v>
      </c>
      <c r="GF7" s="238" t="s">
        <v>257</v>
      </c>
      <c r="GG7" s="219" t="s">
        <v>258</v>
      </c>
      <c r="GH7" s="219" t="s">
        <v>259</v>
      </c>
      <c r="GI7" s="219" t="s">
        <v>260</v>
      </c>
      <c r="GJ7" s="224" t="s">
        <v>261</v>
      </c>
      <c r="GK7" s="219" t="s">
        <v>262</v>
      </c>
      <c r="GL7" s="219" t="s">
        <v>272</v>
      </c>
      <c r="GM7" s="219" t="s">
        <v>263</v>
      </c>
      <c r="GN7" s="219" t="s">
        <v>264</v>
      </c>
      <c r="GO7" s="219" t="s">
        <v>271</v>
      </c>
      <c r="GP7" s="219" t="s">
        <v>260</v>
      </c>
      <c r="GQ7" s="219" t="s">
        <v>265</v>
      </c>
      <c r="GR7" s="224" t="s">
        <v>266</v>
      </c>
      <c r="GS7" s="219" t="s">
        <v>267</v>
      </c>
      <c r="GT7" s="219" t="s">
        <v>321</v>
      </c>
      <c r="GU7" s="226" t="s">
        <v>268</v>
      </c>
      <c r="GV7" s="229" t="s">
        <v>313</v>
      </c>
      <c r="GW7" s="232" t="s">
        <v>994</v>
      </c>
      <c r="GX7" s="238" t="s">
        <v>257</v>
      </c>
      <c r="GY7" s="219" t="s">
        <v>258</v>
      </c>
      <c r="GZ7" s="219" t="s">
        <v>259</v>
      </c>
      <c r="HA7" s="219" t="s">
        <v>260</v>
      </c>
      <c r="HB7" s="224" t="s">
        <v>261</v>
      </c>
      <c r="HC7" s="219" t="s">
        <v>262</v>
      </c>
      <c r="HD7" s="219" t="s">
        <v>272</v>
      </c>
      <c r="HE7" s="219" t="s">
        <v>263</v>
      </c>
      <c r="HF7" s="219" t="s">
        <v>264</v>
      </c>
      <c r="HG7" s="219" t="s">
        <v>271</v>
      </c>
      <c r="HH7" s="219" t="s">
        <v>260</v>
      </c>
      <c r="HI7" s="219" t="s">
        <v>265</v>
      </c>
      <c r="HJ7" s="224" t="s">
        <v>266</v>
      </c>
      <c r="HK7" s="219" t="s">
        <v>267</v>
      </c>
      <c r="HL7" s="219" t="s">
        <v>321</v>
      </c>
      <c r="HM7" s="226" t="s">
        <v>268</v>
      </c>
      <c r="HN7" s="229" t="s">
        <v>313</v>
      </c>
      <c r="HO7" s="232" t="s">
        <v>994</v>
      </c>
      <c r="HP7" s="238" t="s">
        <v>257</v>
      </c>
      <c r="HQ7" s="219" t="s">
        <v>258</v>
      </c>
      <c r="HR7" s="219" t="s">
        <v>259</v>
      </c>
      <c r="HS7" s="219" t="s">
        <v>260</v>
      </c>
      <c r="HT7" s="224" t="s">
        <v>261</v>
      </c>
      <c r="HU7" s="219" t="s">
        <v>262</v>
      </c>
      <c r="HV7" s="219" t="s">
        <v>272</v>
      </c>
      <c r="HW7" s="219" t="s">
        <v>263</v>
      </c>
      <c r="HX7" s="219" t="s">
        <v>264</v>
      </c>
      <c r="HY7" s="219" t="s">
        <v>271</v>
      </c>
      <c r="HZ7" s="219" t="s">
        <v>260</v>
      </c>
      <c r="IA7" s="219" t="s">
        <v>265</v>
      </c>
      <c r="IB7" s="224" t="s">
        <v>266</v>
      </c>
      <c r="IC7" s="219" t="s">
        <v>267</v>
      </c>
      <c r="ID7" s="219" t="s">
        <v>321</v>
      </c>
      <c r="IE7" s="226" t="s">
        <v>268</v>
      </c>
      <c r="IF7" s="229" t="s">
        <v>313</v>
      </c>
      <c r="IG7" s="232" t="s">
        <v>994</v>
      </c>
      <c r="IH7" s="238" t="s">
        <v>257</v>
      </c>
      <c r="II7" s="219" t="s">
        <v>258</v>
      </c>
      <c r="IJ7" s="219" t="s">
        <v>259</v>
      </c>
      <c r="IK7" s="219" t="s">
        <v>260</v>
      </c>
      <c r="IL7" s="224" t="s">
        <v>261</v>
      </c>
      <c r="IM7" s="219" t="s">
        <v>262</v>
      </c>
      <c r="IN7" s="219" t="s">
        <v>272</v>
      </c>
      <c r="IO7" s="219" t="s">
        <v>263</v>
      </c>
      <c r="IP7" s="219" t="s">
        <v>264</v>
      </c>
      <c r="IQ7" s="219" t="s">
        <v>271</v>
      </c>
      <c r="IR7" s="219" t="s">
        <v>260</v>
      </c>
      <c r="IS7" s="219" t="s">
        <v>265</v>
      </c>
      <c r="IT7" s="224" t="s">
        <v>266</v>
      </c>
      <c r="IU7" s="219" t="s">
        <v>267</v>
      </c>
      <c r="IV7" s="219" t="s">
        <v>321</v>
      </c>
      <c r="IW7" s="226" t="s">
        <v>268</v>
      </c>
      <c r="IX7" s="229" t="s">
        <v>313</v>
      </c>
      <c r="IY7" s="232" t="s">
        <v>994</v>
      </c>
      <c r="IZ7" s="238" t="s">
        <v>257</v>
      </c>
      <c r="JA7" s="219" t="s">
        <v>258</v>
      </c>
      <c r="JB7" s="219" t="s">
        <v>259</v>
      </c>
      <c r="JC7" s="219" t="s">
        <v>260</v>
      </c>
      <c r="JD7" s="224" t="s">
        <v>261</v>
      </c>
      <c r="JE7" s="219" t="s">
        <v>262</v>
      </c>
      <c r="JF7" s="219" t="s">
        <v>272</v>
      </c>
      <c r="JG7" s="219" t="s">
        <v>263</v>
      </c>
      <c r="JH7" s="219" t="s">
        <v>264</v>
      </c>
      <c r="JI7" s="219" t="s">
        <v>271</v>
      </c>
      <c r="JJ7" s="219" t="s">
        <v>260</v>
      </c>
      <c r="JK7" s="219" t="s">
        <v>265</v>
      </c>
      <c r="JL7" s="224" t="s">
        <v>266</v>
      </c>
      <c r="JM7" s="219" t="s">
        <v>267</v>
      </c>
      <c r="JN7" s="219" t="s">
        <v>321</v>
      </c>
      <c r="JO7" s="226" t="s">
        <v>268</v>
      </c>
      <c r="JP7" s="229" t="s">
        <v>313</v>
      </c>
      <c r="JQ7" s="232" t="s">
        <v>994</v>
      </c>
      <c r="JR7" s="238" t="s">
        <v>257</v>
      </c>
      <c r="JS7" s="219" t="s">
        <v>258</v>
      </c>
      <c r="JT7" s="219" t="s">
        <v>259</v>
      </c>
      <c r="JU7" s="219" t="s">
        <v>260</v>
      </c>
      <c r="JV7" s="224" t="s">
        <v>261</v>
      </c>
      <c r="JW7" s="219" t="s">
        <v>262</v>
      </c>
      <c r="JX7" s="219" t="s">
        <v>272</v>
      </c>
      <c r="JY7" s="219" t="s">
        <v>263</v>
      </c>
      <c r="JZ7" s="219" t="s">
        <v>264</v>
      </c>
      <c r="KA7" s="219" t="s">
        <v>271</v>
      </c>
      <c r="KB7" s="219" t="s">
        <v>260</v>
      </c>
      <c r="KC7" s="219" t="s">
        <v>265</v>
      </c>
      <c r="KD7" s="224" t="s">
        <v>266</v>
      </c>
      <c r="KE7" s="219" t="s">
        <v>267</v>
      </c>
      <c r="KF7" s="219" t="s">
        <v>321</v>
      </c>
      <c r="KG7" s="226" t="s">
        <v>268</v>
      </c>
      <c r="KH7" s="229" t="s">
        <v>313</v>
      </c>
      <c r="KI7" s="232" t="s">
        <v>994</v>
      </c>
      <c r="KJ7" s="238" t="s">
        <v>257</v>
      </c>
      <c r="KK7" s="219" t="s">
        <v>258</v>
      </c>
      <c r="KL7" s="219" t="s">
        <v>259</v>
      </c>
      <c r="KM7" s="219" t="s">
        <v>260</v>
      </c>
      <c r="KN7" s="224" t="s">
        <v>261</v>
      </c>
      <c r="KO7" s="219" t="s">
        <v>262</v>
      </c>
      <c r="KP7" s="219" t="s">
        <v>272</v>
      </c>
      <c r="KQ7" s="219" t="s">
        <v>263</v>
      </c>
      <c r="KR7" s="219" t="s">
        <v>264</v>
      </c>
      <c r="KS7" s="219" t="s">
        <v>271</v>
      </c>
      <c r="KT7" s="219" t="s">
        <v>260</v>
      </c>
      <c r="KU7" s="219" t="s">
        <v>265</v>
      </c>
      <c r="KV7" s="224" t="s">
        <v>266</v>
      </c>
      <c r="KW7" s="219" t="s">
        <v>267</v>
      </c>
      <c r="KX7" s="219" t="s">
        <v>321</v>
      </c>
      <c r="KY7" s="226" t="s">
        <v>268</v>
      </c>
      <c r="KZ7" s="229" t="s">
        <v>313</v>
      </c>
      <c r="LA7" s="232" t="s">
        <v>994</v>
      </c>
      <c r="LB7" s="238" t="s">
        <v>257</v>
      </c>
      <c r="LC7" s="219" t="s">
        <v>258</v>
      </c>
      <c r="LD7" s="219" t="s">
        <v>259</v>
      </c>
      <c r="LE7" s="219" t="s">
        <v>260</v>
      </c>
      <c r="LF7" s="224" t="s">
        <v>261</v>
      </c>
      <c r="LG7" s="219" t="s">
        <v>262</v>
      </c>
      <c r="LH7" s="219" t="s">
        <v>272</v>
      </c>
      <c r="LI7" s="219" t="s">
        <v>263</v>
      </c>
      <c r="LJ7" s="219" t="s">
        <v>264</v>
      </c>
      <c r="LK7" s="219" t="s">
        <v>271</v>
      </c>
      <c r="LL7" s="219" t="s">
        <v>260</v>
      </c>
      <c r="LM7" s="219" t="s">
        <v>265</v>
      </c>
      <c r="LN7" s="224" t="s">
        <v>266</v>
      </c>
      <c r="LO7" s="219" t="s">
        <v>267</v>
      </c>
      <c r="LP7" s="219" t="s">
        <v>321</v>
      </c>
      <c r="LQ7" s="226" t="s">
        <v>268</v>
      </c>
      <c r="LR7" s="229" t="s">
        <v>313</v>
      </c>
      <c r="LS7" s="232" t="s">
        <v>994</v>
      </c>
      <c r="LT7" s="238" t="s">
        <v>257</v>
      </c>
      <c r="LU7" s="219" t="s">
        <v>258</v>
      </c>
      <c r="LV7" s="219" t="s">
        <v>259</v>
      </c>
      <c r="LW7" s="219" t="s">
        <v>260</v>
      </c>
      <c r="LX7" s="224" t="s">
        <v>261</v>
      </c>
      <c r="LY7" s="219" t="s">
        <v>262</v>
      </c>
      <c r="LZ7" s="219" t="s">
        <v>272</v>
      </c>
      <c r="MA7" s="219" t="s">
        <v>263</v>
      </c>
      <c r="MB7" s="219" t="s">
        <v>264</v>
      </c>
      <c r="MC7" s="219" t="s">
        <v>271</v>
      </c>
      <c r="MD7" s="219" t="s">
        <v>260</v>
      </c>
      <c r="ME7" s="219" t="s">
        <v>265</v>
      </c>
      <c r="MF7" s="224" t="s">
        <v>266</v>
      </c>
      <c r="MG7" s="219" t="s">
        <v>267</v>
      </c>
      <c r="MH7" s="219" t="s">
        <v>321</v>
      </c>
      <c r="MI7" s="226" t="s">
        <v>268</v>
      </c>
      <c r="MJ7" s="229" t="s">
        <v>313</v>
      </c>
      <c r="MK7" s="232" t="s">
        <v>994</v>
      </c>
      <c r="ML7" s="238" t="s">
        <v>257</v>
      </c>
      <c r="MM7" s="219" t="s">
        <v>258</v>
      </c>
      <c r="MN7" s="219" t="s">
        <v>259</v>
      </c>
      <c r="MO7" s="219" t="s">
        <v>260</v>
      </c>
      <c r="MP7" s="224" t="s">
        <v>261</v>
      </c>
      <c r="MQ7" s="219" t="s">
        <v>262</v>
      </c>
      <c r="MR7" s="219" t="s">
        <v>272</v>
      </c>
      <c r="MS7" s="219" t="s">
        <v>263</v>
      </c>
      <c r="MT7" s="219" t="s">
        <v>264</v>
      </c>
      <c r="MU7" s="219" t="s">
        <v>271</v>
      </c>
      <c r="MV7" s="219" t="s">
        <v>260</v>
      </c>
      <c r="MW7" s="219" t="s">
        <v>265</v>
      </c>
      <c r="MX7" s="224" t="s">
        <v>266</v>
      </c>
      <c r="MY7" s="219" t="s">
        <v>267</v>
      </c>
      <c r="MZ7" s="219" t="s">
        <v>321</v>
      </c>
      <c r="NA7" s="226" t="s">
        <v>268</v>
      </c>
      <c r="NB7" s="229" t="s">
        <v>313</v>
      </c>
      <c r="NC7" s="232" t="s">
        <v>994</v>
      </c>
      <c r="ND7" s="238" t="s">
        <v>257</v>
      </c>
      <c r="NE7" s="219" t="s">
        <v>258</v>
      </c>
      <c r="NF7" s="219" t="s">
        <v>259</v>
      </c>
      <c r="NG7" s="219" t="s">
        <v>260</v>
      </c>
      <c r="NH7" s="224" t="s">
        <v>261</v>
      </c>
      <c r="NI7" s="219" t="s">
        <v>262</v>
      </c>
      <c r="NJ7" s="219" t="s">
        <v>272</v>
      </c>
      <c r="NK7" s="219" t="s">
        <v>263</v>
      </c>
      <c r="NL7" s="219" t="s">
        <v>264</v>
      </c>
      <c r="NM7" s="219" t="s">
        <v>271</v>
      </c>
      <c r="NN7" s="219" t="s">
        <v>260</v>
      </c>
      <c r="NO7" s="219" t="s">
        <v>265</v>
      </c>
      <c r="NP7" s="224" t="s">
        <v>266</v>
      </c>
      <c r="NQ7" s="219" t="s">
        <v>267</v>
      </c>
      <c r="NR7" s="219" t="s">
        <v>321</v>
      </c>
      <c r="NS7" s="226" t="s">
        <v>268</v>
      </c>
      <c r="NT7" s="229" t="s">
        <v>313</v>
      </c>
      <c r="NU7" s="232" t="s">
        <v>994</v>
      </c>
      <c r="NV7" s="238" t="s">
        <v>257</v>
      </c>
      <c r="NW7" s="219" t="s">
        <v>258</v>
      </c>
      <c r="NX7" s="219" t="s">
        <v>259</v>
      </c>
      <c r="NY7" s="219" t="s">
        <v>260</v>
      </c>
      <c r="NZ7" s="224" t="s">
        <v>261</v>
      </c>
      <c r="OA7" s="219" t="s">
        <v>262</v>
      </c>
      <c r="OB7" s="219" t="s">
        <v>272</v>
      </c>
      <c r="OC7" s="219" t="s">
        <v>263</v>
      </c>
      <c r="OD7" s="219" t="s">
        <v>264</v>
      </c>
      <c r="OE7" s="219" t="s">
        <v>271</v>
      </c>
      <c r="OF7" s="219" t="s">
        <v>260</v>
      </c>
      <c r="OG7" s="219" t="s">
        <v>265</v>
      </c>
      <c r="OH7" s="224" t="s">
        <v>266</v>
      </c>
      <c r="OI7" s="219" t="s">
        <v>267</v>
      </c>
      <c r="OJ7" s="219" t="s">
        <v>321</v>
      </c>
      <c r="OK7" s="226" t="s">
        <v>268</v>
      </c>
      <c r="OL7" s="229" t="s">
        <v>313</v>
      </c>
      <c r="OM7" s="232" t="s">
        <v>994</v>
      </c>
      <c r="ON7" s="238" t="s">
        <v>257</v>
      </c>
      <c r="OO7" s="219" t="s">
        <v>258</v>
      </c>
      <c r="OP7" s="219" t="s">
        <v>259</v>
      </c>
      <c r="OQ7" s="219" t="s">
        <v>260</v>
      </c>
      <c r="OR7" s="224" t="s">
        <v>261</v>
      </c>
      <c r="OS7" s="219" t="s">
        <v>262</v>
      </c>
      <c r="OT7" s="219" t="s">
        <v>272</v>
      </c>
      <c r="OU7" s="219" t="s">
        <v>263</v>
      </c>
      <c r="OV7" s="219" t="s">
        <v>264</v>
      </c>
      <c r="OW7" s="219" t="s">
        <v>271</v>
      </c>
      <c r="OX7" s="219" t="s">
        <v>260</v>
      </c>
      <c r="OY7" s="219" t="s">
        <v>265</v>
      </c>
      <c r="OZ7" s="224" t="s">
        <v>266</v>
      </c>
      <c r="PA7" s="219" t="s">
        <v>267</v>
      </c>
      <c r="PB7" s="219" t="s">
        <v>321</v>
      </c>
      <c r="PC7" s="226" t="s">
        <v>268</v>
      </c>
      <c r="PD7" s="229" t="s">
        <v>313</v>
      </c>
      <c r="PE7" s="232" t="s">
        <v>994</v>
      </c>
      <c r="PF7" s="238" t="s">
        <v>257</v>
      </c>
      <c r="PG7" s="219" t="s">
        <v>258</v>
      </c>
      <c r="PH7" s="219" t="s">
        <v>259</v>
      </c>
      <c r="PI7" s="219" t="s">
        <v>260</v>
      </c>
      <c r="PJ7" s="224" t="s">
        <v>261</v>
      </c>
      <c r="PK7" s="219" t="s">
        <v>262</v>
      </c>
      <c r="PL7" s="219" t="s">
        <v>272</v>
      </c>
      <c r="PM7" s="219" t="s">
        <v>263</v>
      </c>
      <c r="PN7" s="219" t="s">
        <v>264</v>
      </c>
      <c r="PO7" s="219" t="s">
        <v>271</v>
      </c>
      <c r="PP7" s="219" t="s">
        <v>260</v>
      </c>
      <c r="PQ7" s="219" t="s">
        <v>265</v>
      </c>
      <c r="PR7" s="224" t="s">
        <v>266</v>
      </c>
      <c r="PS7" s="219" t="s">
        <v>267</v>
      </c>
      <c r="PT7" s="219" t="s">
        <v>321</v>
      </c>
      <c r="PU7" s="226" t="s">
        <v>268</v>
      </c>
      <c r="PV7" s="229" t="s">
        <v>313</v>
      </c>
      <c r="PW7" s="232" t="s">
        <v>994</v>
      </c>
      <c r="PX7" s="238" t="s">
        <v>257</v>
      </c>
      <c r="PY7" s="219" t="s">
        <v>258</v>
      </c>
      <c r="PZ7" s="219" t="s">
        <v>259</v>
      </c>
      <c r="QA7" s="219" t="s">
        <v>260</v>
      </c>
      <c r="QB7" s="224" t="s">
        <v>261</v>
      </c>
      <c r="QC7" s="219" t="s">
        <v>262</v>
      </c>
      <c r="QD7" s="219" t="s">
        <v>272</v>
      </c>
      <c r="QE7" s="219" t="s">
        <v>263</v>
      </c>
      <c r="QF7" s="219" t="s">
        <v>264</v>
      </c>
      <c r="QG7" s="219" t="s">
        <v>271</v>
      </c>
      <c r="QH7" s="219" t="s">
        <v>260</v>
      </c>
      <c r="QI7" s="219" t="s">
        <v>265</v>
      </c>
      <c r="QJ7" s="224" t="s">
        <v>266</v>
      </c>
      <c r="QK7" s="219" t="s">
        <v>267</v>
      </c>
      <c r="QL7" s="219" t="s">
        <v>321</v>
      </c>
      <c r="QM7" s="226" t="s">
        <v>268</v>
      </c>
      <c r="QN7" s="229" t="s">
        <v>313</v>
      </c>
      <c r="QO7" s="232" t="s">
        <v>994</v>
      </c>
    </row>
    <row r="8" spans="1:457" ht="15.75" x14ac:dyDescent="0.25">
      <c r="B8" s="248"/>
      <c r="C8" s="251"/>
      <c r="D8" s="167"/>
      <c r="E8" s="143"/>
      <c r="F8" s="222"/>
      <c r="G8" s="222"/>
      <c r="H8" s="239"/>
      <c r="I8" s="220"/>
      <c r="J8" s="222"/>
      <c r="K8" s="222"/>
      <c r="L8" s="224"/>
      <c r="M8" s="220"/>
      <c r="N8" s="220"/>
      <c r="O8" s="220"/>
      <c r="P8" s="222"/>
      <c r="Q8" s="220"/>
      <c r="R8" s="222"/>
      <c r="S8" s="222"/>
      <c r="T8" s="224"/>
      <c r="U8" s="222"/>
      <c r="V8" s="222"/>
      <c r="W8" s="227"/>
      <c r="X8" s="230"/>
      <c r="Y8" s="233"/>
      <c r="Z8" s="239"/>
      <c r="AA8" s="220"/>
      <c r="AB8" s="222"/>
      <c r="AC8" s="222"/>
      <c r="AD8" s="224"/>
      <c r="AE8" s="220"/>
      <c r="AF8" s="220"/>
      <c r="AG8" s="220"/>
      <c r="AH8" s="222"/>
      <c r="AI8" s="220"/>
      <c r="AJ8" s="222"/>
      <c r="AK8" s="222"/>
      <c r="AL8" s="224"/>
      <c r="AM8" s="222"/>
      <c r="AN8" s="222"/>
      <c r="AO8" s="227"/>
      <c r="AP8" s="230"/>
      <c r="AQ8" s="233"/>
      <c r="AR8" s="239"/>
      <c r="AS8" s="220"/>
      <c r="AT8" s="222"/>
      <c r="AU8" s="222"/>
      <c r="AV8" s="224"/>
      <c r="AW8" s="220"/>
      <c r="AX8" s="220"/>
      <c r="AY8" s="220"/>
      <c r="AZ8" s="222"/>
      <c r="BA8" s="220"/>
      <c r="BB8" s="222"/>
      <c r="BC8" s="222"/>
      <c r="BD8" s="224"/>
      <c r="BE8" s="222"/>
      <c r="BF8" s="222"/>
      <c r="BG8" s="227"/>
      <c r="BH8" s="230"/>
      <c r="BI8" s="233"/>
      <c r="BJ8" s="239"/>
      <c r="BK8" s="220"/>
      <c r="BL8" s="222"/>
      <c r="BM8" s="222"/>
      <c r="BN8" s="224"/>
      <c r="BO8" s="220"/>
      <c r="BP8" s="220"/>
      <c r="BQ8" s="220"/>
      <c r="BR8" s="222"/>
      <c r="BS8" s="220"/>
      <c r="BT8" s="222"/>
      <c r="BU8" s="222"/>
      <c r="BV8" s="224"/>
      <c r="BW8" s="222"/>
      <c r="BX8" s="222"/>
      <c r="BY8" s="227"/>
      <c r="BZ8" s="230"/>
      <c r="CA8" s="233"/>
      <c r="CB8" s="239"/>
      <c r="CC8" s="220"/>
      <c r="CD8" s="222"/>
      <c r="CE8" s="222"/>
      <c r="CF8" s="224"/>
      <c r="CG8" s="220"/>
      <c r="CH8" s="220"/>
      <c r="CI8" s="220"/>
      <c r="CJ8" s="222"/>
      <c r="CK8" s="220"/>
      <c r="CL8" s="222"/>
      <c r="CM8" s="222"/>
      <c r="CN8" s="224"/>
      <c r="CO8" s="222"/>
      <c r="CP8" s="222"/>
      <c r="CQ8" s="227"/>
      <c r="CR8" s="230"/>
      <c r="CS8" s="233"/>
      <c r="CT8" s="239"/>
      <c r="CU8" s="220"/>
      <c r="CV8" s="222"/>
      <c r="CW8" s="222"/>
      <c r="CX8" s="224"/>
      <c r="CY8" s="220"/>
      <c r="CZ8" s="220"/>
      <c r="DA8" s="220"/>
      <c r="DB8" s="222"/>
      <c r="DC8" s="220"/>
      <c r="DD8" s="222"/>
      <c r="DE8" s="222"/>
      <c r="DF8" s="224"/>
      <c r="DG8" s="222"/>
      <c r="DH8" s="222"/>
      <c r="DI8" s="227"/>
      <c r="DJ8" s="230"/>
      <c r="DK8" s="233"/>
      <c r="DL8" s="239"/>
      <c r="DM8" s="220"/>
      <c r="DN8" s="222"/>
      <c r="DO8" s="222"/>
      <c r="DP8" s="224"/>
      <c r="DQ8" s="220"/>
      <c r="DR8" s="220"/>
      <c r="DS8" s="220"/>
      <c r="DT8" s="222"/>
      <c r="DU8" s="220"/>
      <c r="DV8" s="222"/>
      <c r="DW8" s="222"/>
      <c r="DX8" s="224"/>
      <c r="DY8" s="222"/>
      <c r="DZ8" s="222"/>
      <c r="EA8" s="227"/>
      <c r="EB8" s="230"/>
      <c r="EC8" s="233"/>
      <c r="ED8" s="239"/>
      <c r="EE8" s="220"/>
      <c r="EF8" s="222"/>
      <c r="EG8" s="222"/>
      <c r="EH8" s="224"/>
      <c r="EI8" s="220"/>
      <c r="EJ8" s="220"/>
      <c r="EK8" s="220"/>
      <c r="EL8" s="222"/>
      <c r="EM8" s="220"/>
      <c r="EN8" s="222"/>
      <c r="EO8" s="222"/>
      <c r="EP8" s="224"/>
      <c r="EQ8" s="222"/>
      <c r="ER8" s="222"/>
      <c r="ES8" s="227"/>
      <c r="ET8" s="230"/>
      <c r="EU8" s="233"/>
      <c r="EV8" s="239"/>
      <c r="EW8" s="220"/>
      <c r="EX8" s="222"/>
      <c r="EY8" s="222"/>
      <c r="EZ8" s="224"/>
      <c r="FA8" s="220"/>
      <c r="FB8" s="220"/>
      <c r="FC8" s="220"/>
      <c r="FD8" s="222"/>
      <c r="FE8" s="220"/>
      <c r="FF8" s="222"/>
      <c r="FG8" s="222"/>
      <c r="FH8" s="224"/>
      <c r="FI8" s="222"/>
      <c r="FJ8" s="222"/>
      <c r="FK8" s="227"/>
      <c r="FL8" s="230"/>
      <c r="FM8" s="233"/>
      <c r="FN8" s="239"/>
      <c r="FO8" s="220"/>
      <c r="FP8" s="222"/>
      <c r="FQ8" s="222"/>
      <c r="FR8" s="224"/>
      <c r="FS8" s="220"/>
      <c r="FT8" s="220"/>
      <c r="FU8" s="220"/>
      <c r="FV8" s="222"/>
      <c r="FW8" s="220"/>
      <c r="FX8" s="222"/>
      <c r="FY8" s="222"/>
      <c r="FZ8" s="224"/>
      <c r="GA8" s="222"/>
      <c r="GB8" s="222"/>
      <c r="GC8" s="227"/>
      <c r="GD8" s="230"/>
      <c r="GE8" s="233"/>
      <c r="GF8" s="239"/>
      <c r="GG8" s="220"/>
      <c r="GH8" s="222"/>
      <c r="GI8" s="222"/>
      <c r="GJ8" s="224"/>
      <c r="GK8" s="220"/>
      <c r="GL8" s="220"/>
      <c r="GM8" s="220"/>
      <c r="GN8" s="222"/>
      <c r="GO8" s="220"/>
      <c r="GP8" s="222"/>
      <c r="GQ8" s="222"/>
      <c r="GR8" s="224"/>
      <c r="GS8" s="222"/>
      <c r="GT8" s="222"/>
      <c r="GU8" s="227"/>
      <c r="GV8" s="230"/>
      <c r="GW8" s="233"/>
      <c r="GX8" s="239"/>
      <c r="GY8" s="220"/>
      <c r="GZ8" s="222"/>
      <c r="HA8" s="222"/>
      <c r="HB8" s="224"/>
      <c r="HC8" s="220"/>
      <c r="HD8" s="220"/>
      <c r="HE8" s="220"/>
      <c r="HF8" s="222"/>
      <c r="HG8" s="220"/>
      <c r="HH8" s="222"/>
      <c r="HI8" s="222"/>
      <c r="HJ8" s="224"/>
      <c r="HK8" s="222"/>
      <c r="HL8" s="222"/>
      <c r="HM8" s="227"/>
      <c r="HN8" s="230"/>
      <c r="HO8" s="233"/>
      <c r="HP8" s="239"/>
      <c r="HQ8" s="220"/>
      <c r="HR8" s="222"/>
      <c r="HS8" s="222"/>
      <c r="HT8" s="224"/>
      <c r="HU8" s="220"/>
      <c r="HV8" s="220"/>
      <c r="HW8" s="220"/>
      <c r="HX8" s="222"/>
      <c r="HY8" s="220"/>
      <c r="HZ8" s="222"/>
      <c r="IA8" s="222"/>
      <c r="IB8" s="224"/>
      <c r="IC8" s="222"/>
      <c r="ID8" s="222"/>
      <c r="IE8" s="227"/>
      <c r="IF8" s="230"/>
      <c r="IG8" s="233"/>
      <c r="IH8" s="239"/>
      <c r="II8" s="220"/>
      <c r="IJ8" s="222"/>
      <c r="IK8" s="222"/>
      <c r="IL8" s="224"/>
      <c r="IM8" s="220"/>
      <c r="IN8" s="220"/>
      <c r="IO8" s="220"/>
      <c r="IP8" s="222"/>
      <c r="IQ8" s="220"/>
      <c r="IR8" s="222"/>
      <c r="IS8" s="222"/>
      <c r="IT8" s="224"/>
      <c r="IU8" s="222"/>
      <c r="IV8" s="222"/>
      <c r="IW8" s="227"/>
      <c r="IX8" s="230"/>
      <c r="IY8" s="233"/>
      <c r="IZ8" s="239"/>
      <c r="JA8" s="220"/>
      <c r="JB8" s="222"/>
      <c r="JC8" s="222"/>
      <c r="JD8" s="224"/>
      <c r="JE8" s="220"/>
      <c r="JF8" s="220"/>
      <c r="JG8" s="220"/>
      <c r="JH8" s="222"/>
      <c r="JI8" s="220"/>
      <c r="JJ8" s="222"/>
      <c r="JK8" s="222"/>
      <c r="JL8" s="224"/>
      <c r="JM8" s="222"/>
      <c r="JN8" s="222"/>
      <c r="JO8" s="227"/>
      <c r="JP8" s="230"/>
      <c r="JQ8" s="233"/>
      <c r="JR8" s="239"/>
      <c r="JS8" s="220"/>
      <c r="JT8" s="222"/>
      <c r="JU8" s="222"/>
      <c r="JV8" s="224"/>
      <c r="JW8" s="220"/>
      <c r="JX8" s="220"/>
      <c r="JY8" s="220"/>
      <c r="JZ8" s="222"/>
      <c r="KA8" s="220"/>
      <c r="KB8" s="222"/>
      <c r="KC8" s="222"/>
      <c r="KD8" s="224"/>
      <c r="KE8" s="222"/>
      <c r="KF8" s="222"/>
      <c r="KG8" s="227"/>
      <c r="KH8" s="230"/>
      <c r="KI8" s="233"/>
      <c r="KJ8" s="239"/>
      <c r="KK8" s="220"/>
      <c r="KL8" s="222"/>
      <c r="KM8" s="222"/>
      <c r="KN8" s="224"/>
      <c r="KO8" s="220"/>
      <c r="KP8" s="220"/>
      <c r="KQ8" s="220"/>
      <c r="KR8" s="222"/>
      <c r="KS8" s="220"/>
      <c r="KT8" s="222"/>
      <c r="KU8" s="222"/>
      <c r="KV8" s="224"/>
      <c r="KW8" s="222"/>
      <c r="KX8" s="222"/>
      <c r="KY8" s="227"/>
      <c r="KZ8" s="230"/>
      <c r="LA8" s="233"/>
      <c r="LB8" s="239"/>
      <c r="LC8" s="220"/>
      <c r="LD8" s="222"/>
      <c r="LE8" s="222"/>
      <c r="LF8" s="224"/>
      <c r="LG8" s="220"/>
      <c r="LH8" s="220"/>
      <c r="LI8" s="220"/>
      <c r="LJ8" s="222"/>
      <c r="LK8" s="220"/>
      <c r="LL8" s="222"/>
      <c r="LM8" s="222"/>
      <c r="LN8" s="224"/>
      <c r="LO8" s="222"/>
      <c r="LP8" s="222"/>
      <c r="LQ8" s="227"/>
      <c r="LR8" s="230"/>
      <c r="LS8" s="233"/>
      <c r="LT8" s="239"/>
      <c r="LU8" s="220"/>
      <c r="LV8" s="222"/>
      <c r="LW8" s="222"/>
      <c r="LX8" s="224"/>
      <c r="LY8" s="220"/>
      <c r="LZ8" s="220"/>
      <c r="MA8" s="220"/>
      <c r="MB8" s="222"/>
      <c r="MC8" s="220"/>
      <c r="MD8" s="222"/>
      <c r="ME8" s="222"/>
      <c r="MF8" s="224"/>
      <c r="MG8" s="222"/>
      <c r="MH8" s="222"/>
      <c r="MI8" s="227"/>
      <c r="MJ8" s="230"/>
      <c r="MK8" s="233"/>
      <c r="ML8" s="239"/>
      <c r="MM8" s="220"/>
      <c r="MN8" s="222"/>
      <c r="MO8" s="222"/>
      <c r="MP8" s="224"/>
      <c r="MQ8" s="220"/>
      <c r="MR8" s="220"/>
      <c r="MS8" s="220"/>
      <c r="MT8" s="222"/>
      <c r="MU8" s="220"/>
      <c r="MV8" s="222"/>
      <c r="MW8" s="222"/>
      <c r="MX8" s="224"/>
      <c r="MY8" s="222"/>
      <c r="MZ8" s="222"/>
      <c r="NA8" s="227"/>
      <c r="NB8" s="230"/>
      <c r="NC8" s="233"/>
      <c r="ND8" s="239"/>
      <c r="NE8" s="220"/>
      <c r="NF8" s="222"/>
      <c r="NG8" s="222"/>
      <c r="NH8" s="224"/>
      <c r="NI8" s="220"/>
      <c r="NJ8" s="220"/>
      <c r="NK8" s="220"/>
      <c r="NL8" s="222"/>
      <c r="NM8" s="220"/>
      <c r="NN8" s="222"/>
      <c r="NO8" s="222"/>
      <c r="NP8" s="224"/>
      <c r="NQ8" s="222"/>
      <c r="NR8" s="222"/>
      <c r="NS8" s="227"/>
      <c r="NT8" s="230"/>
      <c r="NU8" s="233"/>
      <c r="NV8" s="239"/>
      <c r="NW8" s="220"/>
      <c r="NX8" s="222"/>
      <c r="NY8" s="222"/>
      <c r="NZ8" s="224"/>
      <c r="OA8" s="220"/>
      <c r="OB8" s="220"/>
      <c r="OC8" s="220"/>
      <c r="OD8" s="222"/>
      <c r="OE8" s="220"/>
      <c r="OF8" s="222"/>
      <c r="OG8" s="222"/>
      <c r="OH8" s="224"/>
      <c r="OI8" s="222"/>
      <c r="OJ8" s="222"/>
      <c r="OK8" s="227"/>
      <c r="OL8" s="230"/>
      <c r="OM8" s="233"/>
      <c r="ON8" s="239"/>
      <c r="OO8" s="220"/>
      <c r="OP8" s="222"/>
      <c r="OQ8" s="222"/>
      <c r="OR8" s="224"/>
      <c r="OS8" s="220"/>
      <c r="OT8" s="220"/>
      <c r="OU8" s="220"/>
      <c r="OV8" s="222"/>
      <c r="OW8" s="220"/>
      <c r="OX8" s="222"/>
      <c r="OY8" s="222"/>
      <c r="OZ8" s="224"/>
      <c r="PA8" s="222"/>
      <c r="PB8" s="222"/>
      <c r="PC8" s="227"/>
      <c r="PD8" s="230"/>
      <c r="PE8" s="233"/>
      <c r="PF8" s="239"/>
      <c r="PG8" s="220"/>
      <c r="PH8" s="222"/>
      <c r="PI8" s="222"/>
      <c r="PJ8" s="224"/>
      <c r="PK8" s="220"/>
      <c r="PL8" s="220"/>
      <c r="PM8" s="220"/>
      <c r="PN8" s="222"/>
      <c r="PO8" s="220"/>
      <c r="PP8" s="222"/>
      <c r="PQ8" s="222"/>
      <c r="PR8" s="224"/>
      <c r="PS8" s="222"/>
      <c r="PT8" s="222"/>
      <c r="PU8" s="227"/>
      <c r="PV8" s="230"/>
      <c r="PW8" s="233"/>
      <c r="PX8" s="239"/>
      <c r="PY8" s="220"/>
      <c r="PZ8" s="222"/>
      <c r="QA8" s="222"/>
      <c r="QB8" s="224"/>
      <c r="QC8" s="220"/>
      <c r="QD8" s="220"/>
      <c r="QE8" s="220"/>
      <c r="QF8" s="222"/>
      <c r="QG8" s="220"/>
      <c r="QH8" s="222"/>
      <c r="QI8" s="222"/>
      <c r="QJ8" s="224"/>
      <c r="QK8" s="222"/>
      <c r="QL8" s="222"/>
      <c r="QM8" s="227"/>
      <c r="QN8" s="230"/>
      <c r="QO8" s="233"/>
    </row>
    <row r="9" spans="1:457" ht="15.75" x14ac:dyDescent="0.25">
      <c r="B9" s="248"/>
      <c r="C9" s="251"/>
      <c r="D9" s="167"/>
      <c r="E9" s="143"/>
      <c r="F9" s="222"/>
      <c r="G9" s="222"/>
      <c r="H9" s="239"/>
      <c r="I9" s="220"/>
      <c r="J9" s="222"/>
      <c r="K9" s="222"/>
      <c r="L9" s="224"/>
      <c r="M9" s="220"/>
      <c r="N9" s="220"/>
      <c r="O9" s="220"/>
      <c r="P9" s="222"/>
      <c r="Q9" s="220"/>
      <c r="R9" s="222"/>
      <c r="S9" s="222"/>
      <c r="T9" s="224"/>
      <c r="U9" s="222"/>
      <c r="V9" s="222"/>
      <c r="W9" s="227"/>
      <c r="X9" s="230"/>
      <c r="Y9" s="233"/>
      <c r="Z9" s="239"/>
      <c r="AA9" s="220"/>
      <c r="AB9" s="222"/>
      <c r="AC9" s="222"/>
      <c r="AD9" s="224"/>
      <c r="AE9" s="220"/>
      <c r="AF9" s="220"/>
      <c r="AG9" s="220"/>
      <c r="AH9" s="222"/>
      <c r="AI9" s="220"/>
      <c r="AJ9" s="222"/>
      <c r="AK9" s="222"/>
      <c r="AL9" s="224"/>
      <c r="AM9" s="222"/>
      <c r="AN9" s="222"/>
      <c r="AO9" s="227"/>
      <c r="AP9" s="230"/>
      <c r="AQ9" s="233"/>
      <c r="AR9" s="239"/>
      <c r="AS9" s="220"/>
      <c r="AT9" s="222"/>
      <c r="AU9" s="222"/>
      <c r="AV9" s="224"/>
      <c r="AW9" s="220"/>
      <c r="AX9" s="220"/>
      <c r="AY9" s="220"/>
      <c r="AZ9" s="222"/>
      <c r="BA9" s="220"/>
      <c r="BB9" s="222"/>
      <c r="BC9" s="222"/>
      <c r="BD9" s="224"/>
      <c r="BE9" s="222"/>
      <c r="BF9" s="222"/>
      <c r="BG9" s="227"/>
      <c r="BH9" s="230"/>
      <c r="BI9" s="233"/>
      <c r="BJ9" s="239"/>
      <c r="BK9" s="220"/>
      <c r="BL9" s="222"/>
      <c r="BM9" s="222"/>
      <c r="BN9" s="224"/>
      <c r="BO9" s="220"/>
      <c r="BP9" s="220"/>
      <c r="BQ9" s="220"/>
      <c r="BR9" s="222"/>
      <c r="BS9" s="220"/>
      <c r="BT9" s="222"/>
      <c r="BU9" s="222"/>
      <c r="BV9" s="224"/>
      <c r="BW9" s="222"/>
      <c r="BX9" s="222"/>
      <c r="BY9" s="227"/>
      <c r="BZ9" s="230"/>
      <c r="CA9" s="233"/>
      <c r="CB9" s="239"/>
      <c r="CC9" s="220"/>
      <c r="CD9" s="222"/>
      <c r="CE9" s="222"/>
      <c r="CF9" s="224"/>
      <c r="CG9" s="220"/>
      <c r="CH9" s="220"/>
      <c r="CI9" s="220"/>
      <c r="CJ9" s="222"/>
      <c r="CK9" s="220"/>
      <c r="CL9" s="222"/>
      <c r="CM9" s="222"/>
      <c r="CN9" s="224"/>
      <c r="CO9" s="222"/>
      <c r="CP9" s="222"/>
      <c r="CQ9" s="227"/>
      <c r="CR9" s="230"/>
      <c r="CS9" s="233"/>
      <c r="CT9" s="239"/>
      <c r="CU9" s="220"/>
      <c r="CV9" s="222"/>
      <c r="CW9" s="222"/>
      <c r="CX9" s="224"/>
      <c r="CY9" s="220"/>
      <c r="CZ9" s="220"/>
      <c r="DA9" s="220"/>
      <c r="DB9" s="222"/>
      <c r="DC9" s="220"/>
      <c r="DD9" s="222"/>
      <c r="DE9" s="222"/>
      <c r="DF9" s="224"/>
      <c r="DG9" s="222"/>
      <c r="DH9" s="222"/>
      <c r="DI9" s="227"/>
      <c r="DJ9" s="230"/>
      <c r="DK9" s="233"/>
      <c r="DL9" s="239"/>
      <c r="DM9" s="220"/>
      <c r="DN9" s="222"/>
      <c r="DO9" s="222"/>
      <c r="DP9" s="224"/>
      <c r="DQ9" s="220"/>
      <c r="DR9" s="220"/>
      <c r="DS9" s="220"/>
      <c r="DT9" s="222"/>
      <c r="DU9" s="220"/>
      <c r="DV9" s="222"/>
      <c r="DW9" s="222"/>
      <c r="DX9" s="224"/>
      <c r="DY9" s="222"/>
      <c r="DZ9" s="222"/>
      <c r="EA9" s="227"/>
      <c r="EB9" s="230"/>
      <c r="EC9" s="233"/>
      <c r="ED9" s="239"/>
      <c r="EE9" s="220"/>
      <c r="EF9" s="222"/>
      <c r="EG9" s="222"/>
      <c r="EH9" s="224"/>
      <c r="EI9" s="220"/>
      <c r="EJ9" s="220"/>
      <c r="EK9" s="220"/>
      <c r="EL9" s="222"/>
      <c r="EM9" s="220"/>
      <c r="EN9" s="222"/>
      <c r="EO9" s="222"/>
      <c r="EP9" s="224"/>
      <c r="EQ9" s="222"/>
      <c r="ER9" s="222"/>
      <c r="ES9" s="227"/>
      <c r="ET9" s="230"/>
      <c r="EU9" s="233"/>
      <c r="EV9" s="239"/>
      <c r="EW9" s="220"/>
      <c r="EX9" s="222"/>
      <c r="EY9" s="222"/>
      <c r="EZ9" s="224"/>
      <c r="FA9" s="220"/>
      <c r="FB9" s="220"/>
      <c r="FC9" s="220"/>
      <c r="FD9" s="222"/>
      <c r="FE9" s="220"/>
      <c r="FF9" s="222"/>
      <c r="FG9" s="222"/>
      <c r="FH9" s="224"/>
      <c r="FI9" s="222"/>
      <c r="FJ9" s="222"/>
      <c r="FK9" s="227"/>
      <c r="FL9" s="230"/>
      <c r="FM9" s="233"/>
      <c r="FN9" s="239"/>
      <c r="FO9" s="220"/>
      <c r="FP9" s="222"/>
      <c r="FQ9" s="222"/>
      <c r="FR9" s="224"/>
      <c r="FS9" s="220"/>
      <c r="FT9" s="220"/>
      <c r="FU9" s="220"/>
      <c r="FV9" s="222"/>
      <c r="FW9" s="220"/>
      <c r="FX9" s="222"/>
      <c r="FY9" s="222"/>
      <c r="FZ9" s="224"/>
      <c r="GA9" s="222"/>
      <c r="GB9" s="222"/>
      <c r="GC9" s="227"/>
      <c r="GD9" s="230"/>
      <c r="GE9" s="233"/>
      <c r="GF9" s="239"/>
      <c r="GG9" s="220"/>
      <c r="GH9" s="222"/>
      <c r="GI9" s="222"/>
      <c r="GJ9" s="224"/>
      <c r="GK9" s="220"/>
      <c r="GL9" s="220"/>
      <c r="GM9" s="220"/>
      <c r="GN9" s="222"/>
      <c r="GO9" s="220"/>
      <c r="GP9" s="222"/>
      <c r="GQ9" s="222"/>
      <c r="GR9" s="224"/>
      <c r="GS9" s="222"/>
      <c r="GT9" s="222"/>
      <c r="GU9" s="227"/>
      <c r="GV9" s="230"/>
      <c r="GW9" s="233"/>
      <c r="GX9" s="239"/>
      <c r="GY9" s="220"/>
      <c r="GZ9" s="222"/>
      <c r="HA9" s="222"/>
      <c r="HB9" s="224"/>
      <c r="HC9" s="220"/>
      <c r="HD9" s="220"/>
      <c r="HE9" s="220"/>
      <c r="HF9" s="222"/>
      <c r="HG9" s="220"/>
      <c r="HH9" s="222"/>
      <c r="HI9" s="222"/>
      <c r="HJ9" s="224"/>
      <c r="HK9" s="222"/>
      <c r="HL9" s="222"/>
      <c r="HM9" s="227"/>
      <c r="HN9" s="230"/>
      <c r="HO9" s="233"/>
      <c r="HP9" s="239"/>
      <c r="HQ9" s="220"/>
      <c r="HR9" s="222"/>
      <c r="HS9" s="222"/>
      <c r="HT9" s="224"/>
      <c r="HU9" s="220"/>
      <c r="HV9" s="220"/>
      <c r="HW9" s="220"/>
      <c r="HX9" s="222"/>
      <c r="HY9" s="220"/>
      <c r="HZ9" s="222"/>
      <c r="IA9" s="222"/>
      <c r="IB9" s="224"/>
      <c r="IC9" s="222"/>
      <c r="ID9" s="222"/>
      <c r="IE9" s="227"/>
      <c r="IF9" s="230"/>
      <c r="IG9" s="233"/>
      <c r="IH9" s="239"/>
      <c r="II9" s="220"/>
      <c r="IJ9" s="222"/>
      <c r="IK9" s="222"/>
      <c r="IL9" s="224"/>
      <c r="IM9" s="220"/>
      <c r="IN9" s="220"/>
      <c r="IO9" s="220"/>
      <c r="IP9" s="222"/>
      <c r="IQ9" s="220"/>
      <c r="IR9" s="222"/>
      <c r="IS9" s="222"/>
      <c r="IT9" s="224"/>
      <c r="IU9" s="222"/>
      <c r="IV9" s="222"/>
      <c r="IW9" s="227"/>
      <c r="IX9" s="230"/>
      <c r="IY9" s="233"/>
      <c r="IZ9" s="239"/>
      <c r="JA9" s="220"/>
      <c r="JB9" s="222"/>
      <c r="JC9" s="222"/>
      <c r="JD9" s="224"/>
      <c r="JE9" s="220"/>
      <c r="JF9" s="220"/>
      <c r="JG9" s="220"/>
      <c r="JH9" s="222"/>
      <c r="JI9" s="220"/>
      <c r="JJ9" s="222"/>
      <c r="JK9" s="222"/>
      <c r="JL9" s="224"/>
      <c r="JM9" s="222"/>
      <c r="JN9" s="222"/>
      <c r="JO9" s="227"/>
      <c r="JP9" s="230"/>
      <c r="JQ9" s="233"/>
      <c r="JR9" s="239"/>
      <c r="JS9" s="220"/>
      <c r="JT9" s="222"/>
      <c r="JU9" s="222"/>
      <c r="JV9" s="224"/>
      <c r="JW9" s="220"/>
      <c r="JX9" s="220"/>
      <c r="JY9" s="220"/>
      <c r="JZ9" s="222"/>
      <c r="KA9" s="220"/>
      <c r="KB9" s="222"/>
      <c r="KC9" s="222"/>
      <c r="KD9" s="224"/>
      <c r="KE9" s="222"/>
      <c r="KF9" s="222"/>
      <c r="KG9" s="227"/>
      <c r="KH9" s="230"/>
      <c r="KI9" s="233"/>
      <c r="KJ9" s="239"/>
      <c r="KK9" s="220"/>
      <c r="KL9" s="222"/>
      <c r="KM9" s="222"/>
      <c r="KN9" s="224"/>
      <c r="KO9" s="220"/>
      <c r="KP9" s="220"/>
      <c r="KQ9" s="220"/>
      <c r="KR9" s="222"/>
      <c r="KS9" s="220"/>
      <c r="KT9" s="222"/>
      <c r="KU9" s="222"/>
      <c r="KV9" s="224"/>
      <c r="KW9" s="222"/>
      <c r="KX9" s="222"/>
      <c r="KY9" s="227"/>
      <c r="KZ9" s="230"/>
      <c r="LA9" s="233"/>
      <c r="LB9" s="239"/>
      <c r="LC9" s="220"/>
      <c r="LD9" s="222"/>
      <c r="LE9" s="222"/>
      <c r="LF9" s="224"/>
      <c r="LG9" s="220"/>
      <c r="LH9" s="220"/>
      <c r="LI9" s="220"/>
      <c r="LJ9" s="222"/>
      <c r="LK9" s="220"/>
      <c r="LL9" s="222"/>
      <c r="LM9" s="222"/>
      <c r="LN9" s="224"/>
      <c r="LO9" s="222"/>
      <c r="LP9" s="222"/>
      <c r="LQ9" s="227"/>
      <c r="LR9" s="230"/>
      <c r="LS9" s="233"/>
      <c r="LT9" s="239"/>
      <c r="LU9" s="220"/>
      <c r="LV9" s="222"/>
      <c r="LW9" s="222"/>
      <c r="LX9" s="224"/>
      <c r="LY9" s="220"/>
      <c r="LZ9" s="220"/>
      <c r="MA9" s="220"/>
      <c r="MB9" s="222"/>
      <c r="MC9" s="220"/>
      <c r="MD9" s="222"/>
      <c r="ME9" s="222"/>
      <c r="MF9" s="224"/>
      <c r="MG9" s="222"/>
      <c r="MH9" s="222"/>
      <c r="MI9" s="227"/>
      <c r="MJ9" s="230"/>
      <c r="MK9" s="233"/>
      <c r="ML9" s="239"/>
      <c r="MM9" s="220"/>
      <c r="MN9" s="222"/>
      <c r="MO9" s="222"/>
      <c r="MP9" s="224"/>
      <c r="MQ9" s="220"/>
      <c r="MR9" s="220"/>
      <c r="MS9" s="220"/>
      <c r="MT9" s="222"/>
      <c r="MU9" s="220"/>
      <c r="MV9" s="222"/>
      <c r="MW9" s="222"/>
      <c r="MX9" s="224"/>
      <c r="MY9" s="222"/>
      <c r="MZ9" s="222"/>
      <c r="NA9" s="227"/>
      <c r="NB9" s="230"/>
      <c r="NC9" s="233"/>
      <c r="ND9" s="239"/>
      <c r="NE9" s="220"/>
      <c r="NF9" s="222"/>
      <c r="NG9" s="222"/>
      <c r="NH9" s="224"/>
      <c r="NI9" s="220"/>
      <c r="NJ9" s="220"/>
      <c r="NK9" s="220"/>
      <c r="NL9" s="222"/>
      <c r="NM9" s="220"/>
      <c r="NN9" s="222"/>
      <c r="NO9" s="222"/>
      <c r="NP9" s="224"/>
      <c r="NQ9" s="222"/>
      <c r="NR9" s="222"/>
      <c r="NS9" s="227"/>
      <c r="NT9" s="230"/>
      <c r="NU9" s="233"/>
      <c r="NV9" s="239"/>
      <c r="NW9" s="220"/>
      <c r="NX9" s="222"/>
      <c r="NY9" s="222"/>
      <c r="NZ9" s="224"/>
      <c r="OA9" s="220"/>
      <c r="OB9" s="220"/>
      <c r="OC9" s="220"/>
      <c r="OD9" s="222"/>
      <c r="OE9" s="220"/>
      <c r="OF9" s="222"/>
      <c r="OG9" s="222"/>
      <c r="OH9" s="224"/>
      <c r="OI9" s="222"/>
      <c r="OJ9" s="222"/>
      <c r="OK9" s="227"/>
      <c r="OL9" s="230"/>
      <c r="OM9" s="233"/>
      <c r="ON9" s="239"/>
      <c r="OO9" s="220"/>
      <c r="OP9" s="222"/>
      <c r="OQ9" s="222"/>
      <c r="OR9" s="224"/>
      <c r="OS9" s="220"/>
      <c r="OT9" s="220"/>
      <c r="OU9" s="220"/>
      <c r="OV9" s="222"/>
      <c r="OW9" s="220"/>
      <c r="OX9" s="222"/>
      <c r="OY9" s="222"/>
      <c r="OZ9" s="224"/>
      <c r="PA9" s="222"/>
      <c r="PB9" s="222"/>
      <c r="PC9" s="227"/>
      <c r="PD9" s="230"/>
      <c r="PE9" s="233"/>
      <c r="PF9" s="239"/>
      <c r="PG9" s="220"/>
      <c r="PH9" s="222"/>
      <c r="PI9" s="222"/>
      <c r="PJ9" s="224"/>
      <c r="PK9" s="220"/>
      <c r="PL9" s="220"/>
      <c r="PM9" s="220"/>
      <c r="PN9" s="222"/>
      <c r="PO9" s="220"/>
      <c r="PP9" s="222"/>
      <c r="PQ9" s="222"/>
      <c r="PR9" s="224"/>
      <c r="PS9" s="222"/>
      <c r="PT9" s="222"/>
      <c r="PU9" s="227"/>
      <c r="PV9" s="230"/>
      <c r="PW9" s="233"/>
      <c r="PX9" s="239"/>
      <c r="PY9" s="220"/>
      <c r="PZ9" s="222"/>
      <c r="QA9" s="222"/>
      <c r="QB9" s="224"/>
      <c r="QC9" s="220"/>
      <c r="QD9" s="220"/>
      <c r="QE9" s="220"/>
      <c r="QF9" s="222"/>
      <c r="QG9" s="220"/>
      <c r="QH9" s="222"/>
      <c r="QI9" s="222"/>
      <c r="QJ9" s="224"/>
      <c r="QK9" s="222"/>
      <c r="QL9" s="222"/>
      <c r="QM9" s="227"/>
      <c r="QN9" s="230"/>
      <c r="QO9" s="233"/>
    </row>
    <row r="10" spans="1:457" ht="15.75" x14ac:dyDescent="0.25">
      <c r="B10" s="248"/>
      <c r="C10" s="251"/>
      <c r="D10" s="167"/>
      <c r="E10" s="143"/>
      <c r="F10" s="222"/>
      <c r="G10" s="222"/>
      <c r="H10" s="239"/>
      <c r="I10" s="220"/>
      <c r="J10" s="222"/>
      <c r="K10" s="222"/>
      <c r="L10" s="224"/>
      <c r="M10" s="220"/>
      <c r="N10" s="220"/>
      <c r="O10" s="220"/>
      <c r="P10" s="222"/>
      <c r="Q10" s="220"/>
      <c r="R10" s="222"/>
      <c r="S10" s="222"/>
      <c r="T10" s="224"/>
      <c r="U10" s="222"/>
      <c r="V10" s="222"/>
      <c r="W10" s="227"/>
      <c r="X10" s="230"/>
      <c r="Y10" s="233"/>
      <c r="Z10" s="239"/>
      <c r="AA10" s="220"/>
      <c r="AB10" s="222"/>
      <c r="AC10" s="222"/>
      <c r="AD10" s="224"/>
      <c r="AE10" s="220"/>
      <c r="AF10" s="220"/>
      <c r="AG10" s="220"/>
      <c r="AH10" s="222"/>
      <c r="AI10" s="220"/>
      <c r="AJ10" s="222"/>
      <c r="AK10" s="222"/>
      <c r="AL10" s="224"/>
      <c r="AM10" s="222"/>
      <c r="AN10" s="222"/>
      <c r="AO10" s="227"/>
      <c r="AP10" s="230"/>
      <c r="AQ10" s="233"/>
      <c r="AR10" s="239"/>
      <c r="AS10" s="220"/>
      <c r="AT10" s="222"/>
      <c r="AU10" s="222"/>
      <c r="AV10" s="224"/>
      <c r="AW10" s="220"/>
      <c r="AX10" s="220"/>
      <c r="AY10" s="220"/>
      <c r="AZ10" s="222"/>
      <c r="BA10" s="220"/>
      <c r="BB10" s="222"/>
      <c r="BC10" s="222"/>
      <c r="BD10" s="224"/>
      <c r="BE10" s="222"/>
      <c r="BF10" s="222"/>
      <c r="BG10" s="227"/>
      <c r="BH10" s="230"/>
      <c r="BI10" s="233"/>
      <c r="BJ10" s="239"/>
      <c r="BK10" s="220"/>
      <c r="BL10" s="222"/>
      <c r="BM10" s="222"/>
      <c r="BN10" s="224"/>
      <c r="BO10" s="220"/>
      <c r="BP10" s="220"/>
      <c r="BQ10" s="220"/>
      <c r="BR10" s="222"/>
      <c r="BS10" s="220"/>
      <c r="BT10" s="222"/>
      <c r="BU10" s="222"/>
      <c r="BV10" s="224"/>
      <c r="BW10" s="222"/>
      <c r="BX10" s="222"/>
      <c r="BY10" s="227"/>
      <c r="BZ10" s="230"/>
      <c r="CA10" s="233"/>
      <c r="CB10" s="239"/>
      <c r="CC10" s="220"/>
      <c r="CD10" s="222"/>
      <c r="CE10" s="222"/>
      <c r="CF10" s="224"/>
      <c r="CG10" s="220"/>
      <c r="CH10" s="220"/>
      <c r="CI10" s="220"/>
      <c r="CJ10" s="222"/>
      <c r="CK10" s="220"/>
      <c r="CL10" s="222"/>
      <c r="CM10" s="222"/>
      <c r="CN10" s="224"/>
      <c r="CO10" s="222"/>
      <c r="CP10" s="222"/>
      <c r="CQ10" s="227"/>
      <c r="CR10" s="230"/>
      <c r="CS10" s="233"/>
      <c r="CT10" s="239"/>
      <c r="CU10" s="220"/>
      <c r="CV10" s="222"/>
      <c r="CW10" s="222"/>
      <c r="CX10" s="224"/>
      <c r="CY10" s="220"/>
      <c r="CZ10" s="220"/>
      <c r="DA10" s="220"/>
      <c r="DB10" s="222"/>
      <c r="DC10" s="220"/>
      <c r="DD10" s="222"/>
      <c r="DE10" s="222"/>
      <c r="DF10" s="224"/>
      <c r="DG10" s="222"/>
      <c r="DH10" s="222"/>
      <c r="DI10" s="227"/>
      <c r="DJ10" s="230"/>
      <c r="DK10" s="233"/>
      <c r="DL10" s="239"/>
      <c r="DM10" s="220"/>
      <c r="DN10" s="222"/>
      <c r="DO10" s="222"/>
      <c r="DP10" s="224"/>
      <c r="DQ10" s="220"/>
      <c r="DR10" s="220"/>
      <c r="DS10" s="220"/>
      <c r="DT10" s="222"/>
      <c r="DU10" s="220"/>
      <c r="DV10" s="222"/>
      <c r="DW10" s="222"/>
      <c r="DX10" s="224"/>
      <c r="DY10" s="222"/>
      <c r="DZ10" s="222"/>
      <c r="EA10" s="227"/>
      <c r="EB10" s="230"/>
      <c r="EC10" s="233"/>
      <c r="ED10" s="239"/>
      <c r="EE10" s="220"/>
      <c r="EF10" s="222"/>
      <c r="EG10" s="222"/>
      <c r="EH10" s="224"/>
      <c r="EI10" s="220"/>
      <c r="EJ10" s="220"/>
      <c r="EK10" s="220"/>
      <c r="EL10" s="222"/>
      <c r="EM10" s="220"/>
      <c r="EN10" s="222"/>
      <c r="EO10" s="222"/>
      <c r="EP10" s="224"/>
      <c r="EQ10" s="222"/>
      <c r="ER10" s="222"/>
      <c r="ES10" s="227"/>
      <c r="ET10" s="230"/>
      <c r="EU10" s="233"/>
      <c r="EV10" s="239"/>
      <c r="EW10" s="220"/>
      <c r="EX10" s="222"/>
      <c r="EY10" s="222"/>
      <c r="EZ10" s="224"/>
      <c r="FA10" s="220"/>
      <c r="FB10" s="220"/>
      <c r="FC10" s="220"/>
      <c r="FD10" s="222"/>
      <c r="FE10" s="220"/>
      <c r="FF10" s="222"/>
      <c r="FG10" s="222"/>
      <c r="FH10" s="224"/>
      <c r="FI10" s="222"/>
      <c r="FJ10" s="222"/>
      <c r="FK10" s="227"/>
      <c r="FL10" s="230"/>
      <c r="FM10" s="233"/>
      <c r="FN10" s="239"/>
      <c r="FO10" s="220"/>
      <c r="FP10" s="222"/>
      <c r="FQ10" s="222"/>
      <c r="FR10" s="224"/>
      <c r="FS10" s="220"/>
      <c r="FT10" s="220"/>
      <c r="FU10" s="220"/>
      <c r="FV10" s="222"/>
      <c r="FW10" s="220"/>
      <c r="FX10" s="222"/>
      <c r="FY10" s="222"/>
      <c r="FZ10" s="224"/>
      <c r="GA10" s="222"/>
      <c r="GB10" s="222"/>
      <c r="GC10" s="227"/>
      <c r="GD10" s="230"/>
      <c r="GE10" s="233"/>
      <c r="GF10" s="239"/>
      <c r="GG10" s="220"/>
      <c r="GH10" s="222"/>
      <c r="GI10" s="222"/>
      <c r="GJ10" s="224"/>
      <c r="GK10" s="220"/>
      <c r="GL10" s="220"/>
      <c r="GM10" s="220"/>
      <c r="GN10" s="222"/>
      <c r="GO10" s="220"/>
      <c r="GP10" s="222"/>
      <c r="GQ10" s="222"/>
      <c r="GR10" s="224"/>
      <c r="GS10" s="222"/>
      <c r="GT10" s="222"/>
      <c r="GU10" s="227"/>
      <c r="GV10" s="230"/>
      <c r="GW10" s="233"/>
      <c r="GX10" s="239"/>
      <c r="GY10" s="220"/>
      <c r="GZ10" s="222"/>
      <c r="HA10" s="222"/>
      <c r="HB10" s="224"/>
      <c r="HC10" s="220"/>
      <c r="HD10" s="220"/>
      <c r="HE10" s="220"/>
      <c r="HF10" s="222"/>
      <c r="HG10" s="220"/>
      <c r="HH10" s="222"/>
      <c r="HI10" s="222"/>
      <c r="HJ10" s="224"/>
      <c r="HK10" s="222"/>
      <c r="HL10" s="222"/>
      <c r="HM10" s="227"/>
      <c r="HN10" s="230"/>
      <c r="HO10" s="233"/>
      <c r="HP10" s="239"/>
      <c r="HQ10" s="220"/>
      <c r="HR10" s="222"/>
      <c r="HS10" s="222"/>
      <c r="HT10" s="224"/>
      <c r="HU10" s="220"/>
      <c r="HV10" s="220"/>
      <c r="HW10" s="220"/>
      <c r="HX10" s="222"/>
      <c r="HY10" s="220"/>
      <c r="HZ10" s="222"/>
      <c r="IA10" s="222"/>
      <c r="IB10" s="224"/>
      <c r="IC10" s="222"/>
      <c r="ID10" s="222"/>
      <c r="IE10" s="227"/>
      <c r="IF10" s="230"/>
      <c r="IG10" s="233"/>
      <c r="IH10" s="239"/>
      <c r="II10" s="220"/>
      <c r="IJ10" s="222"/>
      <c r="IK10" s="222"/>
      <c r="IL10" s="224"/>
      <c r="IM10" s="220"/>
      <c r="IN10" s="220"/>
      <c r="IO10" s="220"/>
      <c r="IP10" s="222"/>
      <c r="IQ10" s="220"/>
      <c r="IR10" s="222"/>
      <c r="IS10" s="222"/>
      <c r="IT10" s="224"/>
      <c r="IU10" s="222"/>
      <c r="IV10" s="222"/>
      <c r="IW10" s="227"/>
      <c r="IX10" s="230"/>
      <c r="IY10" s="233"/>
      <c r="IZ10" s="239"/>
      <c r="JA10" s="220"/>
      <c r="JB10" s="222"/>
      <c r="JC10" s="222"/>
      <c r="JD10" s="224"/>
      <c r="JE10" s="220"/>
      <c r="JF10" s="220"/>
      <c r="JG10" s="220"/>
      <c r="JH10" s="222"/>
      <c r="JI10" s="220"/>
      <c r="JJ10" s="222"/>
      <c r="JK10" s="222"/>
      <c r="JL10" s="224"/>
      <c r="JM10" s="222"/>
      <c r="JN10" s="222"/>
      <c r="JO10" s="227"/>
      <c r="JP10" s="230"/>
      <c r="JQ10" s="233"/>
      <c r="JR10" s="239"/>
      <c r="JS10" s="220"/>
      <c r="JT10" s="222"/>
      <c r="JU10" s="222"/>
      <c r="JV10" s="224"/>
      <c r="JW10" s="220"/>
      <c r="JX10" s="220"/>
      <c r="JY10" s="220"/>
      <c r="JZ10" s="222"/>
      <c r="KA10" s="220"/>
      <c r="KB10" s="222"/>
      <c r="KC10" s="222"/>
      <c r="KD10" s="224"/>
      <c r="KE10" s="222"/>
      <c r="KF10" s="222"/>
      <c r="KG10" s="227"/>
      <c r="KH10" s="230"/>
      <c r="KI10" s="233"/>
      <c r="KJ10" s="239"/>
      <c r="KK10" s="220"/>
      <c r="KL10" s="222"/>
      <c r="KM10" s="222"/>
      <c r="KN10" s="224"/>
      <c r="KO10" s="220"/>
      <c r="KP10" s="220"/>
      <c r="KQ10" s="220"/>
      <c r="KR10" s="222"/>
      <c r="KS10" s="220"/>
      <c r="KT10" s="222"/>
      <c r="KU10" s="222"/>
      <c r="KV10" s="224"/>
      <c r="KW10" s="222"/>
      <c r="KX10" s="222"/>
      <c r="KY10" s="227"/>
      <c r="KZ10" s="230"/>
      <c r="LA10" s="233"/>
      <c r="LB10" s="239"/>
      <c r="LC10" s="220"/>
      <c r="LD10" s="222"/>
      <c r="LE10" s="222"/>
      <c r="LF10" s="224"/>
      <c r="LG10" s="220"/>
      <c r="LH10" s="220"/>
      <c r="LI10" s="220"/>
      <c r="LJ10" s="222"/>
      <c r="LK10" s="220"/>
      <c r="LL10" s="222"/>
      <c r="LM10" s="222"/>
      <c r="LN10" s="224"/>
      <c r="LO10" s="222"/>
      <c r="LP10" s="222"/>
      <c r="LQ10" s="227"/>
      <c r="LR10" s="230"/>
      <c r="LS10" s="233"/>
      <c r="LT10" s="239"/>
      <c r="LU10" s="220"/>
      <c r="LV10" s="222"/>
      <c r="LW10" s="222"/>
      <c r="LX10" s="224"/>
      <c r="LY10" s="220"/>
      <c r="LZ10" s="220"/>
      <c r="MA10" s="220"/>
      <c r="MB10" s="222"/>
      <c r="MC10" s="220"/>
      <c r="MD10" s="222"/>
      <c r="ME10" s="222"/>
      <c r="MF10" s="224"/>
      <c r="MG10" s="222"/>
      <c r="MH10" s="222"/>
      <c r="MI10" s="227"/>
      <c r="MJ10" s="230"/>
      <c r="MK10" s="233"/>
      <c r="ML10" s="239"/>
      <c r="MM10" s="220"/>
      <c r="MN10" s="222"/>
      <c r="MO10" s="222"/>
      <c r="MP10" s="224"/>
      <c r="MQ10" s="220"/>
      <c r="MR10" s="220"/>
      <c r="MS10" s="220"/>
      <c r="MT10" s="222"/>
      <c r="MU10" s="220"/>
      <c r="MV10" s="222"/>
      <c r="MW10" s="222"/>
      <c r="MX10" s="224"/>
      <c r="MY10" s="222"/>
      <c r="MZ10" s="222"/>
      <c r="NA10" s="227"/>
      <c r="NB10" s="230"/>
      <c r="NC10" s="233"/>
      <c r="ND10" s="239"/>
      <c r="NE10" s="220"/>
      <c r="NF10" s="222"/>
      <c r="NG10" s="222"/>
      <c r="NH10" s="224"/>
      <c r="NI10" s="220"/>
      <c r="NJ10" s="220"/>
      <c r="NK10" s="220"/>
      <c r="NL10" s="222"/>
      <c r="NM10" s="220"/>
      <c r="NN10" s="222"/>
      <c r="NO10" s="222"/>
      <c r="NP10" s="224"/>
      <c r="NQ10" s="222"/>
      <c r="NR10" s="222"/>
      <c r="NS10" s="227"/>
      <c r="NT10" s="230"/>
      <c r="NU10" s="233"/>
      <c r="NV10" s="239"/>
      <c r="NW10" s="220"/>
      <c r="NX10" s="222"/>
      <c r="NY10" s="222"/>
      <c r="NZ10" s="224"/>
      <c r="OA10" s="220"/>
      <c r="OB10" s="220"/>
      <c r="OC10" s="220"/>
      <c r="OD10" s="222"/>
      <c r="OE10" s="220"/>
      <c r="OF10" s="222"/>
      <c r="OG10" s="222"/>
      <c r="OH10" s="224"/>
      <c r="OI10" s="222"/>
      <c r="OJ10" s="222"/>
      <c r="OK10" s="227"/>
      <c r="OL10" s="230"/>
      <c r="OM10" s="233"/>
      <c r="ON10" s="239"/>
      <c r="OO10" s="220"/>
      <c r="OP10" s="222"/>
      <c r="OQ10" s="222"/>
      <c r="OR10" s="224"/>
      <c r="OS10" s="220"/>
      <c r="OT10" s="220"/>
      <c r="OU10" s="220"/>
      <c r="OV10" s="222"/>
      <c r="OW10" s="220"/>
      <c r="OX10" s="222"/>
      <c r="OY10" s="222"/>
      <c r="OZ10" s="224"/>
      <c r="PA10" s="222"/>
      <c r="PB10" s="222"/>
      <c r="PC10" s="227"/>
      <c r="PD10" s="230"/>
      <c r="PE10" s="233"/>
      <c r="PF10" s="239"/>
      <c r="PG10" s="220"/>
      <c r="PH10" s="222"/>
      <c r="PI10" s="222"/>
      <c r="PJ10" s="224"/>
      <c r="PK10" s="220"/>
      <c r="PL10" s="220"/>
      <c r="PM10" s="220"/>
      <c r="PN10" s="222"/>
      <c r="PO10" s="220"/>
      <c r="PP10" s="222"/>
      <c r="PQ10" s="222"/>
      <c r="PR10" s="224"/>
      <c r="PS10" s="222"/>
      <c r="PT10" s="222"/>
      <c r="PU10" s="227"/>
      <c r="PV10" s="230"/>
      <c r="PW10" s="233"/>
      <c r="PX10" s="239"/>
      <c r="PY10" s="220"/>
      <c r="PZ10" s="222"/>
      <c r="QA10" s="222"/>
      <c r="QB10" s="224"/>
      <c r="QC10" s="220"/>
      <c r="QD10" s="220"/>
      <c r="QE10" s="220"/>
      <c r="QF10" s="222"/>
      <c r="QG10" s="220"/>
      <c r="QH10" s="222"/>
      <c r="QI10" s="222"/>
      <c r="QJ10" s="224"/>
      <c r="QK10" s="222"/>
      <c r="QL10" s="222"/>
      <c r="QM10" s="227"/>
      <c r="QN10" s="230"/>
      <c r="QO10" s="233"/>
    </row>
    <row r="11" spans="1:457" ht="16.5" thickBot="1" x14ac:dyDescent="0.3">
      <c r="B11" s="248"/>
      <c r="C11" s="251"/>
      <c r="D11" s="167"/>
      <c r="E11" s="143"/>
      <c r="F11" s="222"/>
      <c r="G11" s="222"/>
      <c r="H11" s="239"/>
      <c r="I11" s="220"/>
      <c r="J11" s="222"/>
      <c r="K11" s="222"/>
      <c r="L11" s="224"/>
      <c r="M11" s="220"/>
      <c r="N11" s="220"/>
      <c r="O11" s="220"/>
      <c r="P11" s="222"/>
      <c r="Q11" s="220"/>
      <c r="R11" s="222"/>
      <c r="S11" s="222"/>
      <c r="T11" s="224"/>
      <c r="U11" s="222"/>
      <c r="V11" s="222"/>
      <c r="W11" s="227"/>
      <c r="X11" s="230"/>
      <c r="Y11" s="233"/>
      <c r="Z11" s="239"/>
      <c r="AA11" s="220"/>
      <c r="AB11" s="222"/>
      <c r="AC11" s="222"/>
      <c r="AD11" s="224"/>
      <c r="AE11" s="220"/>
      <c r="AF11" s="220"/>
      <c r="AG11" s="220"/>
      <c r="AH11" s="222"/>
      <c r="AI11" s="220"/>
      <c r="AJ11" s="222"/>
      <c r="AK11" s="222"/>
      <c r="AL11" s="224"/>
      <c r="AM11" s="222"/>
      <c r="AN11" s="222"/>
      <c r="AO11" s="227"/>
      <c r="AP11" s="230"/>
      <c r="AQ11" s="233"/>
      <c r="AR11" s="239"/>
      <c r="AS11" s="220"/>
      <c r="AT11" s="222"/>
      <c r="AU11" s="222"/>
      <c r="AV11" s="224"/>
      <c r="AW11" s="220"/>
      <c r="AX11" s="220"/>
      <c r="AY11" s="220"/>
      <c r="AZ11" s="222"/>
      <c r="BA11" s="220"/>
      <c r="BB11" s="222"/>
      <c r="BC11" s="222"/>
      <c r="BD11" s="224"/>
      <c r="BE11" s="222"/>
      <c r="BF11" s="222"/>
      <c r="BG11" s="227"/>
      <c r="BH11" s="230"/>
      <c r="BI11" s="233"/>
      <c r="BJ11" s="239"/>
      <c r="BK11" s="220"/>
      <c r="BL11" s="222"/>
      <c r="BM11" s="222"/>
      <c r="BN11" s="224"/>
      <c r="BO11" s="220"/>
      <c r="BP11" s="220"/>
      <c r="BQ11" s="220"/>
      <c r="BR11" s="222"/>
      <c r="BS11" s="220"/>
      <c r="BT11" s="222"/>
      <c r="BU11" s="222"/>
      <c r="BV11" s="224"/>
      <c r="BW11" s="222"/>
      <c r="BX11" s="222"/>
      <c r="BY11" s="227"/>
      <c r="BZ11" s="230"/>
      <c r="CA11" s="233"/>
      <c r="CB11" s="239"/>
      <c r="CC11" s="220"/>
      <c r="CD11" s="222"/>
      <c r="CE11" s="222"/>
      <c r="CF11" s="224"/>
      <c r="CG11" s="220"/>
      <c r="CH11" s="220"/>
      <c r="CI11" s="220"/>
      <c r="CJ11" s="222"/>
      <c r="CK11" s="220"/>
      <c r="CL11" s="222"/>
      <c r="CM11" s="222"/>
      <c r="CN11" s="224"/>
      <c r="CO11" s="222"/>
      <c r="CP11" s="222"/>
      <c r="CQ11" s="227"/>
      <c r="CR11" s="230"/>
      <c r="CS11" s="233"/>
      <c r="CT11" s="239"/>
      <c r="CU11" s="220"/>
      <c r="CV11" s="222"/>
      <c r="CW11" s="222"/>
      <c r="CX11" s="224"/>
      <c r="CY11" s="220"/>
      <c r="CZ11" s="220"/>
      <c r="DA11" s="220"/>
      <c r="DB11" s="222"/>
      <c r="DC11" s="220"/>
      <c r="DD11" s="222"/>
      <c r="DE11" s="222"/>
      <c r="DF11" s="224"/>
      <c r="DG11" s="222"/>
      <c r="DH11" s="222"/>
      <c r="DI11" s="227"/>
      <c r="DJ11" s="230"/>
      <c r="DK11" s="233"/>
      <c r="DL11" s="239"/>
      <c r="DM11" s="220"/>
      <c r="DN11" s="222"/>
      <c r="DO11" s="222"/>
      <c r="DP11" s="224"/>
      <c r="DQ11" s="220"/>
      <c r="DR11" s="220"/>
      <c r="DS11" s="220"/>
      <c r="DT11" s="222"/>
      <c r="DU11" s="220"/>
      <c r="DV11" s="222"/>
      <c r="DW11" s="222"/>
      <c r="DX11" s="224"/>
      <c r="DY11" s="222"/>
      <c r="DZ11" s="222"/>
      <c r="EA11" s="227"/>
      <c r="EB11" s="230"/>
      <c r="EC11" s="233"/>
      <c r="ED11" s="239"/>
      <c r="EE11" s="220"/>
      <c r="EF11" s="222"/>
      <c r="EG11" s="222"/>
      <c r="EH11" s="224"/>
      <c r="EI11" s="220"/>
      <c r="EJ11" s="220"/>
      <c r="EK11" s="220"/>
      <c r="EL11" s="222"/>
      <c r="EM11" s="220"/>
      <c r="EN11" s="222"/>
      <c r="EO11" s="222"/>
      <c r="EP11" s="224"/>
      <c r="EQ11" s="222"/>
      <c r="ER11" s="222"/>
      <c r="ES11" s="227"/>
      <c r="ET11" s="230"/>
      <c r="EU11" s="233"/>
      <c r="EV11" s="239"/>
      <c r="EW11" s="220"/>
      <c r="EX11" s="222"/>
      <c r="EY11" s="222"/>
      <c r="EZ11" s="224"/>
      <c r="FA11" s="220"/>
      <c r="FB11" s="220"/>
      <c r="FC11" s="220"/>
      <c r="FD11" s="222"/>
      <c r="FE11" s="220"/>
      <c r="FF11" s="222"/>
      <c r="FG11" s="222"/>
      <c r="FH11" s="224"/>
      <c r="FI11" s="222"/>
      <c r="FJ11" s="222"/>
      <c r="FK11" s="227"/>
      <c r="FL11" s="230"/>
      <c r="FM11" s="233"/>
      <c r="FN11" s="239"/>
      <c r="FO11" s="220"/>
      <c r="FP11" s="222"/>
      <c r="FQ11" s="222"/>
      <c r="FR11" s="224"/>
      <c r="FS11" s="220"/>
      <c r="FT11" s="220"/>
      <c r="FU11" s="220"/>
      <c r="FV11" s="222"/>
      <c r="FW11" s="220"/>
      <c r="FX11" s="222"/>
      <c r="FY11" s="222"/>
      <c r="FZ11" s="224"/>
      <c r="GA11" s="222"/>
      <c r="GB11" s="222"/>
      <c r="GC11" s="227"/>
      <c r="GD11" s="230"/>
      <c r="GE11" s="233"/>
      <c r="GF11" s="239"/>
      <c r="GG11" s="220"/>
      <c r="GH11" s="222"/>
      <c r="GI11" s="222"/>
      <c r="GJ11" s="224"/>
      <c r="GK11" s="220"/>
      <c r="GL11" s="220"/>
      <c r="GM11" s="220"/>
      <c r="GN11" s="222"/>
      <c r="GO11" s="220"/>
      <c r="GP11" s="222"/>
      <c r="GQ11" s="222"/>
      <c r="GR11" s="224"/>
      <c r="GS11" s="222"/>
      <c r="GT11" s="222"/>
      <c r="GU11" s="227"/>
      <c r="GV11" s="230"/>
      <c r="GW11" s="233"/>
      <c r="GX11" s="239"/>
      <c r="GY11" s="220"/>
      <c r="GZ11" s="222"/>
      <c r="HA11" s="222"/>
      <c r="HB11" s="224"/>
      <c r="HC11" s="220"/>
      <c r="HD11" s="220"/>
      <c r="HE11" s="220"/>
      <c r="HF11" s="222"/>
      <c r="HG11" s="220"/>
      <c r="HH11" s="222"/>
      <c r="HI11" s="222"/>
      <c r="HJ11" s="224"/>
      <c r="HK11" s="222"/>
      <c r="HL11" s="222"/>
      <c r="HM11" s="227"/>
      <c r="HN11" s="230"/>
      <c r="HO11" s="233"/>
      <c r="HP11" s="239"/>
      <c r="HQ11" s="220"/>
      <c r="HR11" s="222"/>
      <c r="HS11" s="222"/>
      <c r="HT11" s="224"/>
      <c r="HU11" s="220"/>
      <c r="HV11" s="220"/>
      <c r="HW11" s="220"/>
      <c r="HX11" s="222"/>
      <c r="HY11" s="220"/>
      <c r="HZ11" s="222"/>
      <c r="IA11" s="222"/>
      <c r="IB11" s="224"/>
      <c r="IC11" s="222"/>
      <c r="ID11" s="222"/>
      <c r="IE11" s="227"/>
      <c r="IF11" s="230"/>
      <c r="IG11" s="233"/>
      <c r="IH11" s="239"/>
      <c r="II11" s="220"/>
      <c r="IJ11" s="222"/>
      <c r="IK11" s="222"/>
      <c r="IL11" s="224"/>
      <c r="IM11" s="220"/>
      <c r="IN11" s="220"/>
      <c r="IO11" s="220"/>
      <c r="IP11" s="222"/>
      <c r="IQ11" s="220"/>
      <c r="IR11" s="222"/>
      <c r="IS11" s="222"/>
      <c r="IT11" s="224"/>
      <c r="IU11" s="222"/>
      <c r="IV11" s="222"/>
      <c r="IW11" s="227"/>
      <c r="IX11" s="230"/>
      <c r="IY11" s="233"/>
      <c r="IZ11" s="239"/>
      <c r="JA11" s="220"/>
      <c r="JB11" s="222"/>
      <c r="JC11" s="222"/>
      <c r="JD11" s="224"/>
      <c r="JE11" s="220"/>
      <c r="JF11" s="220"/>
      <c r="JG11" s="220"/>
      <c r="JH11" s="222"/>
      <c r="JI11" s="220"/>
      <c r="JJ11" s="222"/>
      <c r="JK11" s="222"/>
      <c r="JL11" s="224"/>
      <c r="JM11" s="222"/>
      <c r="JN11" s="222"/>
      <c r="JO11" s="227"/>
      <c r="JP11" s="230"/>
      <c r="JQ11" s="233"/>
      <c r="JR11" s="239"/>
      <c r="JS11" s="220"/>
      <c r="JT11" s="222"/>
      <c r="JU11" s="222"/>
      <c r="JV11" s="224"/>
      <c r="JW11" s="220"/>
      <c r="JX11" s="220"/>
      <c r="JY11" s="220"/>
      <c r="JZ11" s="222"/>
      <c r="KA11" s="220"/>
      <c r="KB11" s="222"/>
      <c r="KC11" s="222"/>
      <c r="KD11" s="224"/>
      <c r="KE11" s="222"/>
      <c r="KF11" s="222"/>
      <c r="KG11" s="227"/>
      <c r="KH11" s="230"/>
      <c r="KI11" s="233"/>
      <c r="KJ11" s="239"/>
      <c r="KK11" s="220"/>
      <c r="KL11" s="222"/>
      <c r="KM11" s="222"/>
      <c r="KN11" s="224"/>
      <c r="KO11" s="220"/>
      <c r="KP11" s="220"/>
      <c r="KQ11" s="220"/>
      <c r="KR11" s="222"/>
      <c r="KS11" s="220"/>
      <c r="KT11" s="222"/>
      <c r="KU11" s="222"/>
      <c r="KV11" s="224"/>
      <c r="KW11" s="222"/>
      <c r="KX11" s="222"/>
      <c r="KY11" s="227"/>
      <c r="KZ11" s="230"/>
      <c r="LA11" s="233"/>
      <c r="LB11" s="239"/>
      <c r="LC11" s="220"/>
      <c r="LD11" s="222"/>
      <c r="LE11" s="222"/>
      <c r="LF11" s="224"/>
      <c r="LG11" s="220"/>
      <c r="LH11" s="220"/>
      <c r="LI11" s="220"/>
      <c r="LJ11" s="222"/>
      <c r="LK11" s="220"/>
      <c r="LL11" s="222"/>
      <c r="LM11" s="222"/>
      <c r="LN11" s="224"/>
      <c r="LO11" s="222"/>
      <c r="LP11" s="222"/>
      <c r="LQ11" s="227"/>
      <c r="LR11" s="230"/>
      <c r="LS11" s="233"/>
      <c r="LT11" s="239"/>
      <c r="LU11" s="220"/>
      <c r="LV11" s="222"/>
      <c r="LW11" s="222"/>
      <c r="LX11" s="224"/>
      <c r="LY11" s="220"/>
      <c r="LZ11" s="220"/>
      <c r="MA11" s="220"/>
      <c r="MB11" s="222"/>
      <c r="MC11" s="220"/>
      <c r="MD11" s="222"/>
      <c r="ME11" s="222"/>
      <c r="MF11" s="224"/>
      <c r="MG11" s="222"/>
      <c r="MH11" s="222"/>
      <c r="MI11" s="227"/>
      <c r="MJ11" s="230"/>
      <c r="MK11" s="233"/>
      <c r="ML11" s="239"/>
      <c r="MM11" s="220"/>
      <c r="MN11" s="222"/>
      <c r="MO11" s="222"/>
      <c r="MP11" s="224"/>
      <c r="MQ11" s="220"/>
      <c r="MR11" s="220"/>
      <c r="MS11" s="220"/>
      <c r="MT11" s="222"/>
      <c r="MU11" s="220"/>
      <c r="MV11" s="222"/>
      <c r="MW11" s="222"/>
      <c r="MX11" s="224"/>
      <c r="MY11" s="222"/>
      <c r="MZ11" s="222"/>
      <c r="NA11" s="227"/>
      <c r="NB11" s="230"/>
      <c r="NC11" s="233"/>
      <c r="ND11" s="239"/>
      <c r="NE11" s="220"/>
      <c r="NF11" s="222"/>
      <c r="NG11" s="222"/>
      <c r="NH11" s="224"/>
      <c r="NI11" s="220"/>
      <c r="NJ11" s="220"/>
      <c r="NK11" s="220"/>
      <c r="NL11" s="222"/>
      <c r="NM11" s="220"/>
      <c r="NN11" s="222"/>
      <c r="NO11" s="222"/>
      <c r="NP11" s="224"/>
      <c r="NQ11" s="222"/>
      <c r="NR11" s="222"/>
      <c r="NS11" s="227"/>
      <c r="NT11" s="230"/>
      <c r="NU11" s="233"/>
      <c r="NV11" s="239"/>
      <c r="NW11" s="220"/>
      <c r="NX11" s="222"/>
      <c r="NY11" s="222"/>
      <c r="NZ11" s="224"/>
      <c r="OA11" s="220"/>
      <c r="OB11" s="220"/>
      <c r="OC11" s="220"/>
      <c r="OD11" s="222"/>
      <c r="OE11" s="220"/>
      <c r="OF11" s="222"/>
      <c r="OG11" s="222"/>
      <c r="OH11" s="224"/>
      <c r="OI11" s="222"/>
      <c r="OJ11" s="222"/>
      <c r="OK11" s="227"/>
      <c r="OL11" s="230"/>
      <c r="OM11" s="233"/>
      <c r="ON11" s="239"/>
      <c r="OO11" s="220"/>
      <c r="OP11" s="222"/>
      <c r="OQ11" s="222"/>
      <c r="OR11" s="224"/>
      <c r="OS11" s="220"/>
      <c r="OT11" s="220"/>
      <c r="OU11" s="220"/>
      <c r="OV11" s="222"/>
      <c r="OW11" s="220"/>
      <c r="OX11" s="222"/>
      <c r="OY11" s="222"/>
      <c r="OZ11" s="224"/>
      <c r="PA11" s="222"/>
      <c r="PB11" s="222"/>
      <c r="PC11" s="227"/>
      <c r="PD11" s="230"/>
      <c r="PE11" s="233"/>
      <c r="PF11" s="239"/>
      <c r="PG11" s="220"/>
      <c r="PH11" s="222"/>
      <c r="PI11" s="222"/>
      <c r="PJ11" s="224"/>
      <c r="PK11" s="220"/>
      <c r="PL11" s="220"/>
      <c r="PM11" s="220"/>
      <c r="PN11" s="222"/>
      <c r="PO11" s="220"/>
      <c r="PP11" s="222"/>
      <c r="PQ11" s="222"/>
      <c r="PR11" s="224"/>
      <c r="PS11" s="222"/>
      <c r="PT11" s="222"/>
      <c r="PU11" s="227"/>
      <c r="PV11" s="230"/>
      <c r="PW11" s="233"/>
      <c r="PX11" s="239"/>
      <c r="PY11" s="220"/>
      <c r="PZ11" s="222"/>
      <c r="QA11" s="222"/>
      <c r="QB11" s="224"/>
      <c r="QC11" s="220"/>
      <c r="QD11" s="220"/>
      <c r="QE11" s="220"/>
      <c r="QF11" s="222"/>
      <c r="QG11" s="220"/>
      <c r="QH11" s="222"/>
      <c r="QI11" s="222"/>
      <c r="QJ11" s="224"/>
      <c r="QK11" s="222"/>
      <c r="QL11" s="222"/>
      <c r="QM11" s="227"/>
      <c r="QN11" s="230"/>
      <c r="QO11" s="233"/>
    </row>
    <row r="12" spans="1:457" ht="15.75" thickBot="1" x14ac:dyDescent="0.3">
      <c r="A12" s="130"/>
      <c r="B12" s="249"/>
      <c r="C12" s="252"/>
      <c r="D12" s="144"/>
      <c r="E12" s="145"/>
      <c r="F12" s="223"/>
      <c r="G12" s="223"/>
      <c r="H12" s="240"/>
      <c r="I12" s="221"/>
      <c r="J12" s="223"/>
      <c r="K12" s="223"/>
      <c r="L12" s="225"/>
      <c r="M12" s="221"/>
      <c r="N12" s="221"/>
      <c r="O12" s="221"/>
      <c r="P12" s="223"/>
      <c r="Q12" s="221"/>
      <c r="R12" s="223"/>
      <c r="S12" s="223"/>
      <c r="T12" s="225"/>
      <c r="U12" s="223"/>
      <c r="V12" s="223"/>
      <c r="W12" s="228"/>
      <c r="X12" s="231"/>
      <c r="Y12" s="234"/>
      <c r="Z12" s="240"/>
      <c r="AA12" s="221"/>
      <c r="AB12" s="223"/>
      <c r="AC12" s="223"/>
      <c r="AD12" s="225"/>
      <c r="AE12" s="221"/>
      <c r="AF12" s="221"/>
      <c r="AG12" s="221"/>
      <c r="AH12" s="223"/>
      <c r="AI12" s="221"/>
      <c r="AJ12" s="223"/>
      <c r="AK12" s="223"/>
      <c r="AL12" s="225"/>
      <c r="AM12" s="223"/>
      <c r="AN12" s="223"/>
      <c r="AO12" s="228"/>
      <c r="AP12" s="231"/>
      <c r="AQ12" s="234"/>
      <c r="AR12" s="240"/>
      <c r="AS12" s="221"/>
      <c r="AT12" s="223"/>
      <c r="AU12" s="223"/>
      <c r="AV12" s="225"/>
      <c r="AW12" s="221"/>
      <c r="AX12" s="221"/>
      <c r="AY12" s="221"/>
      <c r="AZ12" s="223"/>
      <c r="BA12" s="221"/>
      <c r="BB12" s="223"/>
      <c r="BC12" s="223"/>
      <c r="BD12" s="225"/>
      <c r="BE12" s="223"/>
      <c r="BF12" s="223"/>
      <c r="BG12" s="228"/>
      <c r="BH12" s="231"/>
      <c r="BI12" s="234"/>
      <c r="BJ12" s="240"/>
      <c r="BK12" s="221"/>
      <c r="BL12" s="223"/>
      <c r="BM12" s="223"/>
      <c r="BN12" s="225"/>
      <c r="BO12" s="221"/>
      <c r="BP12" s="221"/>
      <c r="BQ12" s="221"/>
      <c r="BR12" s="223"/>
      <c r="BS12" s="221"/>
      <c r="BT12" s="223"/>
      <c r="BU12" s="223"/>
      <c r="BV12" s="225"/>
      <c r="BW12" s="223"/>
      <c r="BX12" s="223"/>
      <c r="BY12" s="228"/>
      <c r="BZ12" s="231"/>
      <c r="CA12" s="234"/>
      <c r="CB12" s="240"/>
      <c r="CC12" s="221"/>
      <c r="CD12" s="223"/>
      <c r="CE12" s="223"/>
      <c r="CF12" s="225"/>
      <c r="CG12" s="221"/>
      <c r="CH12" s="221"/>
      <c r="CI12" s="221"/>
      <c r="CJ12" s="223"/>
      <c r="CK12" s="221"/>
      <c r="CL12" s="223"/>
      <c r="CM12" s="223"/>
      <c r="CN12" s="225"/>
      <c r="CO12" s="223"/>
      <c r="CP12" s="223"/>
      <c r="CQ12" s="228"/>
      <c r="CR12" s="231"/>
      <c r="CS12" s="234"/>
      <c r="CT12" s="240"/>
      <c r="CU12" s="221"/>
      <c r="CV12" s="223"/>
      <c r="CW12" s="223"/>
      <c r="CX12" s="225"/>
      <c r="CY12" s="221"/>
      <c r="CZ12" s="221"/>
      <c r="DA12" s="221"/>
      <c r="DB12" s="223"/>
      <c r="DC12" s="221"/>
      <c r="DD12" s="223"/>
      <c r="DE12" s="223"/>
      <c r="DF12" s="225"/>
      <c r="DG12" s="223"/>
      <c r="DH12" s="223"/>
      <c r="DI12" s="228"/>
      <c r="DJ12" s="231"/>
      <c r="DK12" s="234"/>
      <c r="DL12" s="240"/>
      <c r="DM12" s="221"/>
      <c r="DN12" s="223"/>
      <c r="DO12" s="223"/>
      <c r="DP12" s="225"/>
      <c r="DQ12" s="221"/>
      <c r="DR12" s="221"/>
      <c r="DS12" s="221"/>
      <c r="DT12" s="223"/>
      <c r="DU12" s="221"/>
      <c r="DV12" s="223"/>
      <c r="DW12" s="223"/>
      <c r="DX12" s="225"/>
      <c r="DY12" s="223"/>
      <c r="DZ12" s="223"/>
      <c r="EA12" s="228"/>
      <c r="EB12" s="231"/>
      <c r="EC12" s="234"/>
      <c r="ED12" s="240"/>
      <c r="EE12" s="221"/>
      <c r="EF12" s="223"/>
      <c r="EG12" s="223"/>
      <c r="EH12" s="225"/>
      <c r="EI12" s="221"/>
      <c r="EJ12" s="221"/>
      <c r="EK12" s="221"/>
      <c r="EL12" s="223"/>
      <c r="EM12" s="221"/>
      <c r="EN12" s="223"/>
      <c r="EO12" s="223"/>
      <c r="EP12" s="225"/>
      <c r="EQ12" s="223"/>
      <c r="ER12" s="223"/>
      <c r="ES12" s="228"/>
      <c r="ET12" s="231"/>
      <c r="EU12" s="234"/>
      <c r="EV12" s="240"/>
      <c r="EW12" s="221"/>
      <c r="EX12" s="223"/>
      <c r="EY12" s="223"/>
      <c r="EZ12" s="225"/>
      <c r="FA12" s="221"/>
      <c r="FB12" s="221"/>
      <c r="FC12" s="221"/>
      <c r="FD12" s="223"/>
      <c r="FE12" s="221"/>
      <c r="FF12" s="223"/>
      <c r="FG12" s="223"/>
      <c r="FH12" s="225"/>
      <c r="FI12" s="223"/>
      <c r="FJ12" s="223"/>
      <c r="FK12" s="228"/>
      <c r="FL12" s="231"/>
      <c r="FM12" s="234"/>
      <c r="FN12" s="240"/>
      <c r="FO12" s="221"/>
      <c r="FP12" s="223"/>
      <c r="FQ12" s="223"/>
      <c r="FR12" s="225"/>
      <c r="FS12" s="221"/>
      <c r="FT12" s="221"/>
      <c r="FU12" s="221"/>
      <c r="FV12" s="223"/>
      <c r="FW12" s="221"/>
      <c r="FX12" s="223"/>
      <c r="FY12" s="223"/>
      <c r="FZ12" s="225"/>
      <c r="GA12" s="223"/>
      <c r="GB12" s="223"/>
      <c r="GC12" s="228"/>
      <c r="GD12" s="231"/>
      <c r="GE12" s="234"/>
      <c r="GF12" s="240"/>
      <c r="GG12" s="221"/>
      <c r="GH12" s="223"/>
      <c r="GI12" s="223"/>
      <c r="GJ12" s="225"/>
      <c r="GK12" s="221"/>
      <c r="GL12" s="221"/>
      <c r="GM12" s="221"/>
      <c r="GN12" s="223"/>
      <c r="GO12" s="221"/>
      <c r="GP12" s="223"/>
      <c r="GQ12" s="223"/>
      <c r="GR12" s="225"/>
      <c r="GS12" s="223"/>
      <c r="GT12" s="223"/>
      <c r="GU12" s="228"/>
      <c r="GV12" s="231"/>
      <c r="GW12" s="234"/>
      <c r="GX12" s="240"/>
      <c r="GY12" s="221"/>
      <c r="GZ12" s="223"/>
      <c r="HA12" s="223"/>
      <c r="HB12" s="225"/>
      <c r="HC12" s="221"/>
      <c r="HD12" s="221"/>
      <c r="HE12" s="221"/>
      <c r="HF12" s="223"/>
      <c r="HG12" s="221"/>
      <c r="HH12" s="223"/>
      <c r="HI12" s="223"/>
      <c r="HJ12" s="225"/>
      <c r="HK12" s="223"/>
      <c r="HL12" s="223"/>
      <c r="HM12" s="228"/>
      <c r="HN12" s="231"/>
      <c r="HO12" s="234"/>
      <c r="HP12" s="240"/>
      <c r="HQ12" s="221"/>
      <c r="HR12" s="223"/>
      <c r="HS12" s="223"/>
      <c r="HT12" s="225"/>
      <c r="HU12" s="221"/>
      <c r="HV12" s="221"/>
      <c r="HW12" s="221"/>
      <c r="HX12" s="223"/>
      <c r="HY12" s="221"/>
      <c r="HZ12" s="223"/>
      <c r="IA12" s="223"/>
      <c r="IB12" s="225"/>
      <c r="IC12" s="223"/>
      <c r="ID12" s="223"/>
      <c r="IE12" s="228"/>
      <c r="IF12" s="231"/>
      <c r="IG12" s="234"/>
      <c r="IH12" s="240"/>
      <c r="II12" s="221"/>
      <c r="IJ12" s="223"/>
      <c r="IK12" s="223"/>
      <c r="IL12" s="225"/>
      <c r="IM12" s="221"/>
      <c r="IN12" s="221"/>
      <c r="IO12" s="221"/>
      <c r="IP12" s="223"/>
      <c r="IQ12" s="221"/>
      <c r="IR12" s="223"/>
      <c r="IS12" s="223"/>
      <c r="IT12" s="225"/>
      <c r="IU12" s="223"/>
      <c r="IV12" s="223"/>
      <c r="IW12" s="228"/>
      <c r="IX12" s="231"/>
      <c r="IY12" s="234"/>
      <c r="IZ12" s="240"/>
      <c r="JA12" s="221"/>
      <c r="JB12" s="223"/>
      <c r="JC12" s="223"/>
      <c r="JD12" s="225"/>
      <c r="JE12" s="221"/>
      <c r="JF12" s="221"/>
      <c r="JG12" s="221"/>
      <c r="JH12" s="223"/>
      <c r="JI12" s="221"/>
      <c r="JJ12" s="223"/>
      <c r="JK12" s="223"/>
      <c r="JL12" s="225"/>
      <c r="JM12" s="223"/>
      <c r="JN12" s="223"/>
      <c r="JO12" s="228"/>
      <c r="JP12" s="231"/>
      <c r="JQ12" s="234"/>
      <c r="JR12" s="240"/>
      <c r="JS12" s="221"/>
      <c r="JT12" s="223"/>
      <c r="JU12" s="223"/>
      <c r="JV12" s="225"/>
      <c r="JW12" s="221"/>
      <c r="JX12" s="221"/>
      <c r="JY12" s="221"/>
      <c r="JZ12" s="223"/>
      <c r="KA12" s="221"/>
      <c r="KB12" s="223"/>
      <c r="KC12" s="223"/>
      <c r="KD12" s="225"/>
      <c r="KE12" s="223"/>
      <c r="KF12" s="223"/>
      <c r="KG12" s="228"/>
      <c r="KH12" s="231"/>
      <c r="KI12" s="234"/>
      <c r="KJ12" s="240"/>
      <c r="KK12" s="221"/>
      <c r="KL12" s="223"/>
      <c r="KM12" s="223"/>
      <c r="KN12" s="225"/>
      <c r="KO12" s="221"/>
      <c r="KP12" s="221"/>
      <c r="KQ12" s="221"/>
      <c r="KR12" s="223"/>
      <c r="KS12" s="221"/>
      <c r="KT12" s="223"/>
      <c r="KU12" s="223"/>
      <c r="KV12" s="225"/>
      <c r="KW12" s="223"/>
      <c r="KX12" s="223"/>
      <c r="KY12" s="228"/>
      <c r="KZ12" s="231"/>
      <c r="LA12" s="234"/>
      <c r="LB12" s="240"/>
      <c r="LC12" s="221"/>
      <c r="LD12" s="223"/>
      <c r="LE12" s="223"/>
      <c r="LF12" s="225"/>
      <c r="LG12" s="221"/>
      <c r="LH12" s="221"/>
      <c r="LI12" s="221"/>
      <c r="LJ12" s="223"/>
      <c r="LK12" s="221"/>
      <c r="LL12" s="223"/>
      <c r="LM12" s="223"/>
      <c r="LN12" s="225"/>
      <c r="LO12" s="223"/>
      <c r="LP12" s="223"/>
      <c r="LQ12" s="228"/>
      <c r="LR12" s="231"/>
      <c r="LS12" s="234"/>
      <c r="LT12" s="240"/>
      <c r="LU12" s="221"/>
      <c r="LV12" s="223"/>
      <c r="LW12" s="223"/>
      <c r="LX12" s="225"/>
      <c r="LY12" s="221"/>
      <c r="LZ12" s="221"/>
      <c r="MA12" s="221"/>
      <c r="MB12" s="223"/>
      <c r="MC12" s="221"/>
      <c r="MD12" s="223"/>
      <c r="ME12" s="223"/>
      <c r="MF12" s="225"/>
      <c r="MG12" s="223"/>
      <c r="MH12" s="223"/>
      <c r="MI12" s="228"/>
      <c r="MJ12" s="231"/>
      <c r="MK12" s="234"/>
      <c r="ML12" s="240"/>
      <c r="MM12" s="221"/>
      <c r="MN12" s="223"/>
      <c r="MO12" s="223"/>
      <c r="MP12" s="225"/>
      <c r="MQ12" s="221"/>
      <c r="MR12" s="221"/>
      <c r="MS12" s="221"/>
      <c r="MT12" s="223"/>
      <c r="MU12" s="221"/>
      <c r="MV12" s="223"/>
      <c r="MW12" s="223"/>
      <c r="MX12" s="225"/>
      <c r="MY12" s="223"/>
      <c r="MZ12" s="223"/>
      <c r="NA12" s="228"/>
      <c r="NB12" s="231"/>
      <c r="NC12" s="234"/>
      <c r="ND12" s="240"/>
      <c r="NE12" s="221"/>
      <c r="NF12" s="223"/>
      <c r="NG12" s="223"/>
      <c r="NH12" s="225"/>
      <c r="NI12" s="221"/>
      <c r="NJ12" s="221"/>
      <c r="NK12" s="221"/>
      <c r="NL12" s="223"/>
      <c r="NM12" s="221"/>
      <c r="NN12" s="223"/>
      <c r="NO12" s="223"/>
      <c r="NP12" s="225"/>
      <c r="NQ12" s="223"/>
      <c r="NR12" s="223"/>
      <c r="NS12" s="228"/>
      <c r="NT12" s="231"/>
      <c r="NU12" s="234"/>
      <c r="NV12" s="240"/>
      <c r="NW12" s="221"/>
      <c r="NX12" s="223"/>
      <c r="NY12" s="223"/>
      <c r="NZ12" s="225"/>
      <c r="OA12" s="221"/>
      <c r="OB12" s="221"/>
      <c r="OC12" s="221"/>
      <c r="OD12" s="223"/>
      <c r="OE12" s="221"/>
      <c r="OF12" s="223"/>
      <c r="OG12" s="223"/>
      <c r="OH12" s="225"/>
      <c r="OI12" s="223"/>
      <c r="OJ12" s="223"/>
      <c r="OK12" s="228"/>
      <c r="OL12" s="231"/>
      <c r="OM12" s="234"/>
      <c r="ON12" s="240"/>
      <c r="OO12" s="221"/>
      <c r="OP12" s="223"/>
      <c r="OQ12" s="223"/>
      <c r="OR12" s="225"/>
      <c r="OS12" s="221"/>
      <c r="OT12" s="221"/>
      <c r="OU12" s="221"/>
      <c r="OV12" s="223"/>
      <c r="OW12" s="221"/>
      <c r="OX12" s="223"/>
      <c r="OY12" s="223"/>
      <c r="OZ12" s="225"/>
      <c r="PA12" s="223"/>
      <c r="PB12" s="223"/>
      <c r="PC12" s="228"/>
      <c r="PD12" s="231"/>
      <c r="PE12" s="234"/>
      <c r="PF12" s="240"/>
      <c r="PG12" s="221"/>
      <c r="PH12" s="223"/>
      <c r="PI12" s="223"/>
      <c r="PJ12" s="225"/>
      <c r="PK12" s="221"/>
      <c r="PL12" s="221"/>
      <c r="PM12" s="221"/>
      <c r="PN12" s="223"/>
      <c r="PO12" s="221"/>
      <c r="PP12" s="223"/>
      <c r="PQ12" s="223"/>
      <c r="PR12" s="225"/>
      <c r="PS12" s="223"/>
      <c r="PT12" s="223"/>
      <c r="PU12" s="228"/>
      <c r="PV12" s="231"/>
      <c r="PW12" s="234"/>
      <c r="PX12" s="240"/>
      <c r="PY12" s="221"/>
      <c r="PZ12" s="223"/>
      <c r="QA12" s="223"/>
      <c r="QB12" s="225"/>
      <c r="QC12" s="221"/>
      <c r="QD12" s="221"/>
      <c r="QE12" s="221"/>
      <c r="QF12" s="223"/>
      <c r="QG12" s="221"/>
      <c r="QH12" s="223"/>
      <c r="QI12" s="223"/>
      <c r="QJ12" s="225"/>
      <c r="QK12" s="223"/>
      <c r="QL12" s="223"/>
      <c r="QM12" s="228"/>
      <c r="QN12" s="231"/>
      <c r="QO12" s="234"/>
    </row>
    <row r="13" spans="1:457" x14ac:dyDescent="0.25">
      <c r="A13" s="131"/>
      <c r="B13" s="132"/>
      <c r="C13" s="132"/>
      <c r="D13" s="132" t="s">
        <v>269</v>
      </c>
      <c r="E13" s="146" t="s">
        <v>270</v>
      </c>
      <c r="F13" s="154" t="s">
        <v>323</v>
      </c>
      <c r="G13" s="154" t="s">
        <v>324</v>
      </c>
      <c r="H13" s="147" t="str">
        <f>H5&amp;"04"</f>
        <v>1704</v>
      </c>
      <c r="I13" s="147" t="str">
        <f>H5&amp;"05"</f>
        <v>1705</v>
      </c>
      <c r="J13" s="147" t="str">
        <f>H5&amp;"06"</f>
        <v>1706</v>
      </c>
      <c r="K13" s="147" t="str">
        <f>H5&amp;"07"</f>
        <v>1707</v>
      </c>
      <c r="L13" s="147" t="str">
        <f>H5&amp;"08"</f>
        <v>1708</v>
      </c>
      <c r="M13" s="147" t="str">
        <f>H5&amp;"09"</f>
        <v>1709</v>
      </c>
      <c r="N13" s="147" t="str">
        <f>H5&amp;"52"</f>
        <v>1752</v>
      </c>
      <c r="O13" s="147" t="str">
        <f>H5&amp;"10"</f>
        <v>1710</v>
      </c>
      <c r="P13" s="147" t="str">
        <f>H5&amp;"11"</f>
        <v>1711</v>
      </c>
      <c r="Q13" s="147" t="str">
        <f>H5&amp;"12"</f>
        <v>1712</v>
      </c>
      <c r="R13" s="147" t="str">
        <f>H5&amp;"13"</f>
        <v>1713</v>
      </c>
      <c r="S13" s="147" t="str">
        <f>H5&amp;"14"</f>
        <v>1714</v>
      </c>
      <c r="T13" s="147" t="str">
        <f>H5&amp;"15"</f>
        <v>1715</v>
      </c>
      <c r="U13" s="147" t="str">
        <f>H5&amp;"16"</f>
        <v>1716</v>
      </c>
      <c r="V13" s="147" t="str">
        <f>H5&amp;"21"</f>
        <v>1721</v>
      </c>
      <c r="W13" s="153" t="str">
        <f>H5&amp;"19"</f>
        <v>1719</v>
      </c>
      <c r="X13" s="132" t="str">
        <f>H5&amp;"51"</f>
        <v>1751</v>
      </c>
      <c r="Y13" s="152" t="str">
        <f>H5&amp;"23"</f>
        <v>1723</v>
      </c>
      <c r="Z13" s="147" t="str">
        <f>Z5&amp;"04"</f>
        <v>КОЛ01704</v>
      </c>
      <c r="AA13" s="147" t="str">
        <f>Z5&amp;"05"</f>
        <v>КОЛ01705</v>
      </c>
      <c r="AB13" s="147" t="str">
        <f>Z5&amp;"06"</f>
        <v>КОЛ01706</v>
      </c>
      <c r="AC13" s="147" t="str">
        <f>Z5&amp;"07"</f>
        <v>КОЛ01707</v>
      </c>
      <c r="AD13" s="147" t="str">
        <f>Z5&amp;"08"</f>
        <v>КОЛ01708</v>
      </c>
      <c r="AE13" s="147" t="str">
        <f>Z5&amp;"09"</f>
        <v>КОЛ01709</v>
      </c>
      <c r="AF13" s="147" t="str">
        <f>Z5&amp;"52"</f>
        <v>КОЛ01752</v>
      </c>
      <c r="AG13" s="147" t="str">
        <f>Z5&amp;"10"</f>
        <v>КОЛ01710</v>
      </c>
      <c r="AH13" s="147" t="str">
        <f>Z5&amp;"11"</f>
        <v>КОЛ01711</v>
      </c>
      <c r="AI13" s="147" t="str">
        <f>Z5&amp;"12"</f>
        <v>КОЛ01712</v>
      </c>
      <c r="AJ13" s="147" t="str">
        <f>Z5&amp;"13"</f>
        <v>КОЛ01713</v>
      </c>
      <c r="AK13" s="147" t="str">
        <f>Z5&amp;"14"</f>
        <v>КОЛ01714</v>
      </c>
      <c r="AL13" s="147" t="str">
        <f>Z5&amp;"15"</f>
        <v>КОЛ01715</v>
      </c>
      <c r="AM13" s="147" t="str">
        <f>Z5&amp;"16"</f>
        <v>КОЛ01716</v>
      </c>
      <c r="AN13" s="147" t="str">
        <f>Z5&amp;"21"</f>
        <v>КОЛ01721</v>
      </c>
      <c r="AO13" s="153" t="str">
        <f>Z5&amp;"19"</f>
        <v>КОЛ01719</v>
      </c>
      <c r="AP13" s="132" t="str">
        <f>Z5&amp;"51"</f>
        <v>КОЛ01751</v>
      </c>
      <c r="AQ13" s="152" t="str">
        <f>Z5&amp;"23"</f>
        <v>КОЛ01723</v>
      </c>
      <c r="AR13" s="147" t="str">
        <f>AR5&amp;"04"</f>
        <v>6204</v>
      </c>
      <c r="AS13" s="147" t="str">
        <f>AR5&amp;"05"</f>
        <v>6205</v>
      </c>
      <c r="AT13" s="147" t="str">
        <f>AR5&amp;"06"</f>
        <v>6206</v>
      </c>
      <c r="AU13" s="147" t="str">
        <f>AR5&amp;"07"</f>
        <v>6207</v>
      </c>
      <c r="AV13" s="147" t="str">
        <f>AR5&amp;"08"</f>
        <v>6208</v>
      </c>
      <c r="AW13" s="147" t="str">
        <f>AR5&amp;"09"</f>
        <v>6209</v>
      </c>
      <c r="AX13" s="147" t="str">
        <f>AR5&amp;"52"</f>
        <v>6252</v>
      </c>
      <c r="AY13" s="147" t="str">
        <f>AR5&amp;"10"</f>
        <v>6210</v>
      </c>
      <c r="AZ13" s="147" t="str">
        <f>AR5&amp;"11"</f>
        <v>6211</v>
      </c>
      <c r="BA13" s="147" t="str">
        <f>AR5&amp;"12"</f>
        <v>6212</v>
      </c>
      <c r="BB13" s="147" t="str">
        <f>AR5&amp;"13"</f>
        <v>6213</v>
      </c>
      <c r="BC13" s="147" t="str">
        <f>AR5&amp;"14"</f>
        <v>6214</v>
      </c>
      <c r="BD13" s="147" t="str">
        <f>AR5&amp;"15"</f>
        <v>6215</v>
      </c>
      <c r="BE13" s="147" t="str">
        <f>AR5&amp;"16"</f>
        <v>6216</v>
      </c>
      <c r="BF13" s="147" t="str">
        <f>AR5&amp;"21"</f>
        <v>6221</v>
      </c>
      <c r="BG13" s="153" t="str">
        <f>AR5&amp;"19"</f>
        <v>6219</v>
      </c>
      <c r="BH13" s="132" t="str">
        <f>AR5&amp;"51"</f>
        <v>6251</v>
      </c>
      <c r="BI13" s="152" t="str">
        <f>AR5&amp;"23"</f>
        <v>6223</v>
      </c>
      <c r="BJ13" s="147" t="str">
        <f>BJ5&amp;"04"</f>
        <v>КОЛ06204</v>
      </c>
      <c r="BK13" s="147" t="str">
        <f>BJ5&amp;"05"</f>
        <v>КОЛ06205</v>
      </c>
      <c r="BL13" s="147" t="str">
        <f>BJ5&amp;"06"</f>
        <v>КОЛ06206</v>
      </c>
      <c r="BM13" s="147" t="str">
        <f>BJ5&amp;"07"</f>
        <v>КОЛ06207</v>
      </c>
      <c r="BN13" s="147" t="str">
        <f>BJ5&amp;"08"</f>
        <v>КОЛ06208</v>
      </c>
      <c r="BO13" s="147" t="str">
        <f>BJ5&amp;"09"</f>
        <v>КОЛ06209</v>
      </c>
      <c r="BP13" s="147" t="str">
        <f>BJ5&amp;"52"</f>
        <v>КОЛ06252</v>
      </c>
      <c r="BQ13" s="147" t="str">
        <f>BJ5&amp;"10"</f>
        <v>КОЛ06210</v>
      </c>
      <c r="BR13" s="147" t="str">
        <f>BJ5&amp;"11"</f>
        <v>КОЛ06211</v>
      </c>
      <c r="BS13" s="147" t="str">
        <f>BJ5&amp;"12"</f>
        <v>КОЛ06212</v>
      </c>
      <c r="BT13" s="147" t="str">
        <f>BJ5&amp;"13"</f>
        <v>КОЛ06213</v>
      </c>
      <c r="BU13" s="147" t="str">
        <f>BJ5&amp;"14"</f>
        <v>КОЛ06214</v>
      </c>
      <c r="BV13" s="147" t="str">
        <f>BJ5&amp;"15"</f>
        <v>КОЛ06215</v>
      </c>
      <c r="BW13" s="147" t="str">
        <f>BJ5&amp;"16"</f>
        <v>КОЛ06216</v>
      </c>
      <c r="BX13" s="147" t="str">
        <f>BJ5&amp;"21"</f>
        <v>КОЛ06221</v>
      </c>
      <c r="BY13" s="153" t="str">
        <f>BJ5&amp;"19"</f>
        <v>КОЛ06219</v>
      </c>
      <c r="BZ13" s="132" t="str">
        <f>BJ5&amp;"51"</f>
        <v>КОЛ06251</v>
      </c>
      <c r="CA13" s="152" t="str">
        <f>BJ5&amp;"23"</f>
        <v>КОЛ06223</v>
      </c>
      <c r="CB13" s="147" t="str">
        <f>CB5&amp;"04"</f>
        <v>3704</v>
      </c>
      <c r="CC13" s="147" t="str">
        <f>CB5&amp;"05"</f>
        <v>3705</v>
      </c>
      <c r="CD13" s="147" t="str">
        <f>CB5&amp;"06"</f>
        <v>3706</v>
      </c>
      <c r="CE13" s="147" t="str">
        <f>CB5&amp;"07"</f>
        <v>3707</v>
      </c>
      <c r="CF13" s="147" t="str">
        <f>CB5&amp;"08"</f>
        <v>3708</v>
      </c>
      <c r="CG13" s="147" t="str">
        <f>CB5&amp;"09"</f>
        <v>3709</v>
      </c>
      <c r="CH13" s="147" t="str">
        <f>CB5&amp;"52"</f>
        <v>3752</v>
      </c>
      <c r="CI13" s="147" t="str">
        <f>CB5&amp;"10"</f>
        <v>3710</v>
      </c>
      <c r="CJ13" s="147" t="str">
        <f>CB5&amp;"11"</f>
        <v>3711</v>
      </c>
      <c r="CK13" s="147" t="str">
        <f>CB5&amp;"12"</f>
        <v>3712</v>
      </c>
      <c r="CL13" s="147" t="str">
        <f>CB5&amp;"13"</f>
        <v>3713</v>
      </c>
      <c r="CM13" s="147" t="str">
        <f>CB5&amp;"14"</f>
        <v>3714</v>
      </c>
      <c r="CN13" s="147" t="str">
        <f>CB5&amp;"15"</f>
        <v>3715</v>
      </c>
      <c r="CO13" s="147" t="str">
        <f>CB5&amp;"16"</f>
        <v>3716</v>
      </c>
      <c r="CP13" s="147" t="str">
        <f>CB5&amp;"21"</f>
        <v>3721</v>
      </c>
      <c r="CQ13" s="153" t="str">
        <f>CB5&amp;"19"</f>
        <v>3719</v>
      </c>
      <c r="CR13" s="132" t="str">
        <f>CB5&amp;"51"</f>
        <v>3751</v>
      </c>
      <c r="CS13" s="152" t="str">
        <f>CB5&amp;"23"</f>
        <v>3723</v>
      </c>
      <c r="CT13" s="147" t="str">
        <f>CT5&amp;"04"</f>
        <v>4504</v>
      </c>
      <c r="CU13" s="147" t="str">
        <f>CT5&amp;"05"</f>
        <v>4505</v>
      </c>
      <c r="CV13" s="147" t="str">
        <f>CT5&amp;"06"</f>
        <v>4506</v>
      </c>
      <c r="CW13" s="147" t="str">
        <f>CT5&amp;"07"</f>
        <v>4507</v>
      </c>
      <c r="CX13" s="147" t="str">
        <f>CT5&amp;"08"</f>
        <v>4508</v>
      </c>
      <c r="CY13" s="147" t="str">
        <f>CT5&amp;"09"</f>
        <v>4509</v>
      </c>
      <c r="CZ13" s="147" t="str">
        <f>CT5&amp;"52"</f>
        <v>4552</v>
      </c>
      <c r="DA13" s="147" t="str">
        <f>CT5&amp;"10"</f>
        <v>4510</v>
      </c>
      <c r="DB13" s="147" t="str">
        <f>CT5&amp;"11"</f>
        <v>4511</v>
      </c>
      <c r="DC13" s="147" t="str">
        <f>CT5&amp;"12"</f>
        <v>4512</v>
      </c>
      <c r="DD13" s="147" t="str">
        <f>CT5&amp;"13"</f>
        <v>4513</v>
      </c>
      <c r="DE13" s="147" t="str">
        <f>CT5&amp;"14"</f>
        <v>4514</v>
      </c>
      <c r="DF13" s="147" t="str">
        <f>CT5&amp;"15"</f>
        <v>4515</v>
      </c>
      <c r="DG13" s="147" t="str">
        <f>CT5&amp;"16"</f>
        <v>4516</v>
      </c>
      <c r="DH13" s="147" t="str">
        <f>CT5&amp;"21"</f>
        <v>4521</v>
      </c>
      <c r="DI13" s="153" t="str">
        <f>CT5&amp;"19"</f>
        <v>4519</v>
      </c>
      <c r="DJ13" s="132" t="str">
        <f>CT5&amp;"51"</f>
        <v>4551</v>
      </c>
      <c r="DK13" s="152" t="str">
        <f>CT5&amp;"23"</f>
        <v>4523</v>
      </c>
      <c r="DL13" s="147" t="str">
        <f>DL5&amp;"04"</f>
        <v>КОЛ04504</v>
      </c>
      <c r="DM13" s="147" t="str">
        <f>DL5&amp;"05"</f>
        <v>КОЛ04505</v>
      </c>
      <c r="DN13" s="147" t="str">
        <f>DL5&amp;"06"</f>
        <v>КОЛ04506</v>
      </c>
      <c r="DO13" s="147" t="str">
        <f>DL5&amp;"07"</f>
        <v>КОЛ04507</v>
      </c>
      <c r="DP13" s="147" t="str">
        <f>DL5&amp;"08"</f>
        <v>КОЛ04508</v>
      </c>
      <c r="DQ13" s="147" t="str">
        <f>DL5&amp;"09"</f>
        <v>КОЛ04509</v>
      </c>
      <c r="DR13" s="147" t="str">
        <f>DL5&amp;"52"</f>
        <v>КОЛ04552</v>
      </c>
      <c r="DS13" s="147" t="str">
        <f>DL5&amp;"10"</f>
        <v>КОЛ04510</v>
      </c>
      <c r="DT13" s="147" t="str">
        <f>DL5&amp;"11"</f>
        <v>КОЛ04511</v>
      </c>
      <c r="DU13" s="147" t="str">
        <f>DL5&amp;"12"</f>
        <v>КОЛ04512</v>
      </c>
      <c r="DV13" s="147" t="str">
        <f>DL5&amp;"13"</f>
        <v>КОЛ04513</v>
      </c>
      <c r="DW13" s="147" t="str">
        <f>DL5&amp;"14"</f>
        <v>КОЛ04514</v>
      </c>
      <c r="DX13" s="147" t="str">
        <f>DL5&amp;"15"</f>
        <v>КОЛ04515</v>
      </c>
      <c r="DY13" s="147" t="str">
        <f>DL5&amp;"16"</f>
        <v>КОЛ04516</v>
      </c>
      <c r="DZ13" s="147" t="str">
        <f>DL5&amp;"21"</f>
        <v>КОЛ04521</v>
      </c>
      <c r="EA13" s="153" t="str">
        <f>DL5&amp;"19"</f>
        <v>КОЛ04519</v>
      </c>
      <c r="EB13" s="132" t="str">
        <f>DL5&amp;"51"</f>
        <v>КОЛ04551</v>
      </c>
      <c r="EC13" s="152" t="str">
        <f>DL5&amp;"23"</f>
        <v>КОЛ04523</v>
      </c>
      <c r="ED13" s="147" t="str">
        <f>ED5&amp;"04"</f>
        <v>7504</v>
      </c>
      <c r="EE13" s="147" t="str">
        <f>ED5&amp;"05"</f>
        <v>7505</v>
      </c>
      <c r="EF13" s="147" t="str">
        <f>ED5&amp;"06"</f>
        <v>7506</v>
      </c>
      <c r="EG13" s="147" t="str">
        <f>ED5&amp;"07"</f>
        <v>7507</v>
      </c>
      <c r="EH13" s="147" t="str">
        <f>ED5&amp;"08"</f>
        <v>7508</v>
      </c>
      <c r="EI13" s="147" t="str">
        <f>ED5&amp;"09"</f>
        <v>7509</v>
      </c>
      <c r="EJ13" s="147" t="str">
        <f>ED5&amp;"52"</f>
        <v>7552</v>
      </c>
      <c r="EK13" s="147" t="str">
        <f>ED5&amp;"10"</f>
        <v>7510</v>
      </c>
      <c r="EL13" s="147" t="str">
        <f>ED5&amp;"11"</f>
        <v>7511</v>
      </c>
      <c r="EM13" s="147" t="str">
        <f>ED5&amp;"12"</f>
        <v>7512</v>
      </c>
      <c r="EN13" s="147" t="str">
        <f>ED5&amp;"13"</f>
        <v>7513</v>
      </c>
      <c r="EO13" s="147" t="str">
        <f>ED5&amp;"14"</f>
        <v>7514</v>
      </c>
      <c r="EP13" s="147" t="str">
        <f>ED5&amp;"15"</f>
        <v>7515</v>
      </c>
      <c r="EQ13" s="147" t="str">
        <f>ED5&amp;"16"</f>
        <v>7516</v>
      </c>
      <c r="ER13" s="147" t="str">
        <f>ED5&amp;"21"</f>
        <v>7521</v>
      </c>
      <c r="ES13" s="153" t="str">
        <f>ED5&amp;"19"</f>
        <v>7519</v>
      </c>
      <c r="ET13" s="132" t="str">
        <f>ED5&amp;"51"</f>
        <v>7551</v>
      </c>
      <c r="EU13" s="152" t="str">
        <f>ED5&amp;"23"</f>
        <v>7523</v>
      </c>
      <c r="EV13" s="147" t="str">
        <f>EV5&amp;"04"</f>
        <v>КОЛ07504</v>
      </c>
      <c r="EW13" s="147" t="str">
        <f>EV5&amp;"05"</f>
        <v>КОЛ07505</v>
      </c>
      <c r="EX13" s="147" t="str">
        <f>EV5&amp;"06"</f>
        <v>КОЛ07506</v>
      </c>
      <c r="EY13" s="147" t="str">
        <f>EV5&amp;"07"</f>
        <v>КОЛ07507</v>
      </c>
      <c r="EZ13" s="147" t="str">
        <f>EV5&amp;"08"</f>
        <v>КОЛ07508</v>
      </c>
      <c r="FA13" s="147" t="str">
        <f>EV5&amp;"09"</f>
        <v>КОЛ07509</v>
      </c>
      <c r="FB13" s="147" t="str">
        <f>EV5&amp;"52"</f>
        <v>КОЛ07552</v>
      </c>
      <c r="FC13" s="147" t="str">
        <f>EV5&amp;"10"</f>
        <v>КОЛ07510</v>
      </c>
      <c r="FD13" s="147" t="str">
        <f>EV5&amp;"11"</f>
        <v>КОЛ07511</v>
      </c>
      <c r="FE13" s="147" t="str">
        <f>EV5&amp;"12"</f>
        <v>КОЛ07512</v>
      </c>
      <c r="FF13" s="147" t="str">
        <f>EV5&amp;"13"</f>
        <v>КОЛ07513</v>
      </c>
      <c r="FG13" s="147" t="str">
        <f>EV5&amp;"14"</f>
        <v>КОЛ07514</v>
      </c>
      <c r="FH13" s="147" t="str">
        <f>EV5&amp;"15"</f>
        <v>КОЛ07515</v>
      </c>
      <c r="FI13" s="147" t="str">
        <f>EV5&amp;"16"</f>
        <v>КОЛ07516</v>
      </c>
      <c r="FJ13" s="147" t="str">
        <f>EV5&amp;"21"</f>
        <v>КОЛ07521</v>
      </c>
      <c r="FK13" s="153" t="str">
        <f>EV5&amp;"19"</f>
        <v>КОЛ07519</v>
      </c>
      <c r="FL13" s="132" t="str">
        <f>EV5&amp;"51"</f>
        <v>КОЛ07551</v>
      </c>
      <c r="FM13" s="152" t="str">
        <f>EV5&amp;"23"</f>
        <v>КОЛ07523</v>
      </c>
      <c r="FN13" s="147" t="str">
        <f>FN5&amp;"04"</f>
        <v>6104</v>
      </c>
      <c r="FO13" s="147" t="str">
        <f>FN5&amp;"05"</f>
        <v>6105</v>
      </c>
      <c r="FP13" s="147" t="str">
        <f>FN5&amp;"06"</f>
        <v>6106</v>
      </c>
      <c r="FQ13" s="147" t="str">
        <f>FN5&amp;"07"</f>
        <v>6107</v>
      </c>
      <c r="FR13" s="147" t="str">
        <f>FN5&amp;"08"</f>
        <v>6108</v>
      </c>
      <c r="FS13" s="147" t="str">
        <f>FN5&amp;"09"</f>
        <v>6109</v>
      </c>
      <c r="FT13" s="147" t="str">
        <f>FN5&amp;"52"</f>
        <v>6152</v>
      </c>
      <c r="FU13" s="147" t="str">
        <f>FN5&amp;"10"</f>
        <v>6110</v>
      </c>
      <c r="FV13" s="147" t="str">
        <f>FN5&amp;"11"</f>
        <v>6111</v>
      </c>
      <c r="FW13" s="147" t="str">
        <f>FN5&amp;"12"</f>
        <v>6112</v>
      </c>
      <c r="FX13" s="147" t="str">
        <f>FN5&amp;"13"</f>
        <v>6113</v>
      </c>
      <c r="FY13" s="147" t="str">
        <f>FN5&amp;"14"</f>
        <v>6114</v>
      </c>
      <c r="FZ13" s="147" t="str">
        <f>FN5&amp;"15"</f>
        <v>6115</v>
      </c>
      <c r="GA13" s="147" t="str">
        <f>FN5&amp;"16"</f>
        <v>6116</v>
      </c>
      <c r="GB13" s="147" t="str">
        <f>FN5&amp;"21"</f>
        <v>6121</v>
      </c>
      <c r="GC13" s="153" t="str">
        <f>FN5&amp;"19"</f>
        <v>6119</v>
      </c>
      <c r="GD13" s="132" t="str">
        <f>FN5&amp;"51"</f>
        <v>6151</v>
      </c>
      <c r="GE13" s="152" t="str">
        <f>FN5&amp;"23"</f>
        <v>6123</v>
      </c>
      <c r="GF13" s="147" t="str">
        <f>GF5&amp;"04"</f>
        <v>4904</v>
      </c>
      <c r="GG13" s="147" t="str">
        <f>GF5&amp;"05"</f>
        <v>4905</v>
      </c>
      <c r="GH13" s="147" t="str">
        <f>GF5&amp;"06"</f>
        <v>4906</v>
      </c>
      <c r="GI13" s="147" t="str">
        <f>GF5&amp;"07"</f>
        <v>4907</v>
      </c>
      <c r="GJ13" s="147" t="str">
        <f>GF5&amp;"08"</f>
        <v>4908</v>
      </c>
      <c r="GK13" s="147" t="str">
        <f>GF5&amp;"09"</f>
        <v>4909</v>
      </c>
      <c r="GL13" s="147" t="str">
        <f>GF5&amp;"52"</f>
        <v>4952</v>
      </c>
      <c r="GM13" s="147" t="str">
        <f>GF5&amp;"10"</f>
        <v>4910</v>
      </c>
      <c r="GN13" s="147" t="str">
        <f>GF5&amp;"11"</f>
        <v>4911</v>
      </c>
      <c r="GO13" s="147" t="str">
        <f>GF5&amp;"12"</f>
        <v>4912</v>
      </c>
      <c r="GP13" s="147" t="str">
        <f>GF5&amp;"13"</f>
        <v>4913</v>
      </c>
      <c r="GQ13" s="147" t="str">
        <f>GF5&amp;"14"</f>
        <v>4914</v>
      </c>
      <c r="GR13" s="147" t="str">
        <f>GF5&amp;"15"</f>
        <v>4915</v>
      </c>
      <c r="GS13" s="147" t="str">
        <f>GF5&amp;"16"</f>
        <v>4916</v>
      </c>
      <c r="GT13" s="147" t="str">
        <f>GF5&amp;"21"</f>
        <v>4921</v>
      </c>
      <c r="GU13" s="153" t="str">
        <f>GF5&amp;"19"</f>
        <v>4919</v>
      </c>
      <c r="GV13" s="132" t="str">
        <f>GF5&amp;"51"</f>
        <v>4951</v>
      </c>
      <c r="GW13" s="152" t="str">
        <f>GF5&amp;"23"</f>
        <v>4923</v>
      </c>
      <c r="GX13" s="147" t="str">
        <f>GX5&amp;"04"</f>
        <v>КОЛ04904</v>
      </c>
      <c r="GY13" s="147" t="str">
        <f>GX5&amp;"05"</f>
        <v>КОЛ04905</v>
      </c>
      <c r="GZ13" s="147" t="str">
        <f>GX5&amp;"06"</f>
        <v>КОЛ04906</v>
      </c>
      <c r="HA13" s="147" t="str">
        <f>GX5&amp;"07"</f>
        <v>КОЛ04907</v>
      </c>
      <c r="HB13" s="147" t="str">
        <f>GX5&amp;"08"</f>
        <v>КОЛ04908</v>
      </c>
      <c r="HC13" s="147" t="str">
        <f>GX5&amp;"09"</f>
        <v>КОЛ04909</v>
      </c>
      <c r="HD13" s="147" t="str">
        <f>GX5&amp;"52"</f>
        <v>КОЛ04952</v>
      </c>
      <c r="HE13" s="147" t="str">
        <f>GX5&amp;"10"</f>
        <v>КОЛ04910</v>
      </c>
      <c r="HF13" s="147" t="str">
        <f>GX5&amp;"11"</f>
        <v>КОЛ04911</v>
      </c>
      <c r="HG13" s="147" t="str">
        <f>GX5&amp;"12"</f>
        <v>КОЛ04912</v>
      </c>
      <c r="HH13" s="147" t="str">
        <f>GX5&amp;"13"</f>
        <v>КОЛ04913</v>
      </c>
      <c r="HI13" s="147" t="str">
        <f>GX5&amp;"14"</f>
        <v>КОЛ04914</v>
      </c>
      <c r="HJ13" s="147" t="str">
        <f>GX5&amp;"15"</f>
        <v>КОЛ04915</v>
      </c>
      <c r="HK13" s="147" t="str">
        <f>GX5&amp;"16"</f>
        <v>КОЛ04916</v>
      </c>
      <c r="HL13" s="147" t="str">
        <f>GX5&amp;"21"</f>
        <v>КОЛ04921</v>
      </c>
      <c r="HM13" s="153" t="str">
        <f>GX5&amp;"19"</f>
        <v>КОЛ04919</v>
      </c>
      <c r="HN13" s="132" t="str">
        <f>GX5&amp;"51"</f>
        <v>КОЛ04951</v>
      </c>
      <c r="HO13" s="152" t="str">
        <f>GX5&amp;"23"</f>
        <v>КОЛ04923</v>
      </c>
      <c r="HP13" s="147" t="str">
        <f>HP5&amp;"04"</f>
        <v>5104</v>
      </c>
      <c r="HQ13" s="147" t="str">
        <f>HP5&amp;"05"</f>
        <v>5105</v>
      </c>
      <c r="HR13" s="147" t="str">
        <f>HP5&amp;"06"</f>
        <v>5106</v>
      </c>
      <c r="HS13" s="147" t="str">
        <f>HP5&amp;"07"</f>
        <v>5107</v>
      </c>
      <c r="HT13" s="147" t="str">
        <f>HP5&amp;"08"</f>
        <v>5108</v>
      </c>
      <c r="HU13" s="147" t="str">
        <f>HP5&amp;"09"</f>
        <v>5109</v>
      </c>
      <c r="HV13" s="147" t="str">
        <f>HP5&amp;"52"</f>
        <v>5152</v>
      </c>
      <c r="HW13" s="147" t="str">
        <f>HP5&amp;"10"</f>
        <v>5110</v>
      </c>
      <c r="HX13" s="147" t="str">
        <f>HP5&amp;"11"</f>
        <v>5111</v>
      </c>
      <c r="HY13" s="147" t="str">
        <f>HP5&amp;"12"</f>
        <v>5112</v>
      </c>
      <c r="HZ13" s="147" t="str">
        <f>HP5&amp;"13"</f>
        <v>5113</v>
      </c>
      <c r="IA13" s="147" t="str">
        <f>HP5&amp;"14"</f>
        <v>5114</v>
      </c>
      <c r="IB13" s="147" t="str">
        <f>HP5&amp;"15"</f>
        <v>5115</v>
      </c>
      <c r="IC13" s="147" t="str">
        <f>HP5&amp;"16"</f>
        <v>5116</v>
      </c>
      <c r="ID13" s="147" t="str">
        <f>HP5&amp;"21"</f>
        <v>5121</v>
      </c>
      <c r="IE13" s="153" t="str">
        <f>HP5&amp;"19"</f>
        <v>5119</v>
      </c>
      <c r="IF13" s="132" t="str">
        <f>HP5&amp;"51"</f>
        <v>5151</v>
      </c>
      <c r="IG13" s="152" t="str">
        <f>HP5&amp;"23"</f>
        <v>5123</v>
      </c>
      <c r="IH13" s="147" t="str">
        <f>IH5&amp;"04"</f>
        <v>КОЛ05104</v>
      </c>
      <c r="II13" s="147" t="str">
        <f>IH5&amp;"05"</f>
        <v>КОЛ05105</v>
      </c>
      <c r="IJ13" s="147" t="str">
        <f>IH5&amp;"06"</f>
        <v>КОЛ05106</v>
      </c>
      <c r="IK13" s="147" t="str">
        <f>IH5&amp;"07"</f>
        <v>КОЛ05107</v>
      </c>
      <c r="IL13" s="147" t="str">
        <f>IH5&amp;"08"</f>
        <v>КОЛ05108</v>
      </c>
      <c r="IM13" s="147" t="str">
        <f>IH5&amp;"09"</f>
        <v>КОЛ05109</v>
      </c>
      <c r="IN13" s="147" t="str">
        <f>IH5&amp;"52"</f>
        <v>КОЛ05152</v>
      </c>
      <c r="IO13" s="147" t="str">
        <f>IH5&amp;"10"</f>
        <v>КОЛ05110</v>
      </c>
      <c r="IP13" s="147" t="str">
        <f>IH5&amp;"11"</f>
        <v>КОЛ05111</v>
      </c>
      <c r="IQ13" s="147" t="str">
        <f>IH5&amp;"12"</f>
        <v>КОЛ05112</v>
      </c>
      <c r="IR13" s="147" t="str">
        <f>IH5&amp;"13"</f>
        <v>КОЛ05113</v>
      </c>
      <c r="IS13" s="147" t="str">
        <f>IH5&amp;"14"</f>
        <v>КОЛ05114</v>
      </c>
      <c r="IT13" s="147" t="str">
        <f>IH5&amp;"15"</f>
        <v>КОЛ05115</v>
      </c>
      <c r="IU13" s="147" t="str">
        <f>IH5&amp;"16"</f>
        <v>КОЛ05116</v>
      </c>
      <c r="IV13" s="147" t="str">
        <f>IH5&amp;"21"</f>
        <v>КОЛ05121</v>
      </c>
      <c r="IW13" s="153" t="str">
        <f>IH5&amp;"19"</f>
        <v>КОЛ05119</v>
      </c>
      <c r="IX13" s="132" t="str">
        <f>IH5&amp;"51"</f>
        <v>КОЛ05151</v>
      </c>
      <c r="IY13" s="152" t="str">
        <f>IH5&amp;"23"</f>
        <v>КОЛ05123</v>
      </c>
      <c r="IZ13" s="147" t="str">
        <f>IZ5&amp;"04"</f>
        <v>5204</v>
      </c>
      <c r="JA13" s="147" t="str">
        <f>IZ5&amp;"05"</f>
        <v>5205</v>
      </c>
      <c r="JB13" s="147" t="str">
        <f>IZ5&amp;"06"</f>
        <v>5206</v>
      </c>
      <c r="JC13" s="147" t="str">
        <f>IZ5&amp;"07"</f>
        <v>5207</v>
      </c>
      <c r="JD13" s="147" t="str">
        <f>IZ5&amp;"08"</f>
        <v>5208</v>
      </c>
      <c r="JE13" s="147" t="str">
        <f>IZ5&amp;"09"</f>
        <v>5209</v>
      </c>
      <c r="JF13" s="147" t="str">
        <f>IZ5&amp;"52"</f>
        <v>5252</v>
      </c>
      <c r="JG13" s="147" t="str">
        <f>IZ5&amp;"10"</f>
        <v>5210</v>
      </c>
      <c r="JH13" s="147" t="str">
        <f>IZ5&amp;"11"</f>
        <v>5211</v>
      </c>
      <c r="JI13" s="147" t="str">
        <f>IZ5&amp;"12"</f>
        <v>5212</v>
      </c>
      <c r="JJ13" s="147" t="str">
        <f>IZ5&amp;"13"</f>
        <v>5213</v>
      </c>
      <c r="JK13" s="147" t="str">
        <f>IZ5&amp;"14"</f>
        <v>5214</v>
      </c>
      <c r="JL13" s="147" t="str">
        <f>IZ5&amp;"15"</f>
        <v>5215</v>
      </c>
      <c r="JM13" s="147" t="str">
        <f>IZ5&amp;"16"</f>
        <v>5216</v>
      </c>
      <c r="JN13" s="147" t="str">
        <f>IZ5&amp;"21"</f>
        <v>5221</v>
      </c>
      <c r="JO13" s="153" t="str">
        <f>IZ5&amp;"19"</f>
        <v>5219</v>
      </c>
      <c r="JP13" s="132" t="str">
        <f>IZ5&amp;"51"</f>
        <v>5251</v>
      </c>
      <c r="JQ13" s="152" t="str">
        <f>IZ5&amp;"23"</f>
        <v>5223</v>
      </c>
      <c r="JR13" s="147" t="str">
        <f>JR5&amp;"04"</f>
        <v>КОЛ05204</v>
      </c>
      <c r="JS13" s="147" t="str">
        <f>JR5&amp;"05"</f>
        <v>КОЛ05205</v>
      </c>
      <c r="JT13" s="147" t="str">
        <f>JR5&amp;"06"</f>
        <v>КОЛ05206</v>
      </c>
      <c r="JU13" s="147" t="str">
        <f>JR5&amp;"07"</f>
        <v>КОЛ05207</v>
      </c>
      <c r="JV13" s="147" t="str">
        <f>JR5&amp;"08"</f>
        <v>КОЛ05208</v>
      </c>
      <c r="JW13" s="147" t="str">
        <f>JR5&amp;"09"</f>
        <v>КОЛ05209</v>
      </c>
      <c r="JX13" s="147" t="str">
        <f>JR5&amp;"52"</f>
        <v>КОЛ05252</v>
      </c>
      <c r="JY13" s="147" t="str">
        <f>JR5&amp;"10"</f>
        <v>КОЛ05210</v>
      </c>
      <c r="JZ13" s="147" t="str">
        <f>JR5&amp;"11"</f>
        <v>КОЛ05211</v>
      </c>
      <c r="KA13" s="147" t="str">
        <f>JR5&amp;"12"</f>
        <v>КОЛ05212</v>
      </c>
      <c r="KB13" s="147" t="str">
        <f>JR5&amp;"13"</f>
        <v>КОЛ05213</v>
      </c>
      <c r="KC13" s="147" t="str">
        <f>JR5&amp;"14"</f>
        <v>КОЛ05214</v>
      </c>
      <c r="KD13" s="147" t="str">
        <f>JR5&amp;"15"</f>
        <v>КОЛ05215</v>
      </c>
      <c r="KE13" s="147" t="str">
        <f>JR5&amp;"16"</f>
        <v>КОЛ05216</v>
      </c>
      <c r="KF13" s="147" t="str">
        <f>JR5&amp;"21"</f>
        <v>КОЛ05221</v>
      </c>
      <c r="KG13" s="153" t="str">
        <f>JR5&amp;"19"</f>
        <v>КОЛ05219</v>
      </c>
      <c r="KH13" s="132" t="str">
        <f>JR5&amp;"51"</f>
        <v>КОЛ05251</v>
      </c>
      <c r="KI13" s="152" t="str">
        <f>JR5&amp;"23"</f>
        <v>КОЛ05223</v>
      </c>
      <c r="KJ13" s="147" t="str">
        <f>KJ5&amp;"04"</f>
        <v>5304</v>
      </c>
      <c r="KK13" s="147" t="str">
        <f>KJ5&amp;"05"</f>
        <v>5305</v>
      </c>
      <c r="KL13" s="147" t="str">
        <f>KJ5&amp;"06"</f>
        <v>5306</v>
      </c>
      <c r="KM13" s="147" t="str">
        <f>KJ5&amp;"07"</f>
        <v>5307</v>
      </c>
      <c r="KN13" s="147" t="str">
        <f>KJ5&amp;"08"</f>
        <v>5308</v>
      </c>
      <c r="KO13" s="147" t="str">
        <f>KJ5&amp;"09"</f>
        <v>5309</v>
      </c>
      <c r="KP13" s="147" t="str">
        <f>KJ5&amp;"52"</f>
        <v>5352</v>
      </c>
      <c r="KQ13" s="147" t="str">
        <f>KJ5&amp;"10"</f>
        <v>5310</v>
      </c>
      <c r="KR13" s="147" t="str">
        <f>KJ5&amp;"11"</f>
        <v>5311</v>
      </c>
      <c r="KS13" s="147" t="str">
        <f>KJ5&amp;"12"</f>
        <v>5312</v>
      </c>
      <c r="KT13" s="147" t="str">
        <f>KJ5&amp;"13"</f>
        <v>5313</v>
      </c>
      <c r="KU13" s="147" t="str">
        <f>KJ5&amp;"14"</f>
        <v>5314</v>
      </c>
      <c r="KV13" s="147" t="str">
        <f>KJ5&amp;"15"</f>
        <v>5315</v>
      </c>
      <c r="KW13" s="147" t="str">
        <f>KJ5&amp;"16"</f>
        <v>5316</v>
      </c>
      <c r="KX13" s="147" t="str">
        <f>KJ5&amp;"21"</f>
        <v>5321</v>
      </c>
      <c r="KY13" s="153" t="str">
        <f>KJ5&amp;"19"</f>
        <v>5319</v>
      </c>
      <c r="KZ13" s="132" t="str">
        <f>KJ5&amp;"51"</f>
        <v>5351</v>
      </c>
      <c r="LA13" s="152" t="str">
        <f>KJ5&amp;"23"</f>
        <v>5323</v>
      </c>
      <c r="LB13" s="147" t="str">
        <f>LB5&amp;"04"</f>
        <v>КОЛ05304</v>
      </c>
      <c r="LC13" s="147" t="str">
        <f>LB5&amp;"05"</f>
        <v>КОЛ05305</v>
      </c>
      <c r="LD13" s="147" t="str">
        <f>LB5&amp;"06"</f>
        <v>КОЛ05306</v>
      </c>
      <c r="LE13" s="147" t="str">
        <f>LB5&amp;"07"</f>
        <v>КОЛ05307</v>
      </c>
      <c r="LF13" s="147" t="str">
        <f>LB5&amp;"08"</f>
        <v>КОЛ05308</v>
      </c>
      <c r="LG13" s="147" t="str">
        <f>LB5&amp;"09"</f>
        <v>КОЛ05309</v>
      </c>
      <c r="LH13" s="147" t="str">
        <f>LB5&amp;"52"</f>
        <v>КОЛ05352</v>
      </c>
      <c r="LI13" s="147" t="str">
        <f>LB5&amp;"10"</f>
        <v>КОЛ05310</v>
      </c>
      <c r="LJ13" s="147" t="str">
        <f>LB5&amp;"11"</f>
        <v>КОЛ05311</v>
      </c>
      <c r="LK13" s="147" t="str">
        <f>LB5&amp;"12"</f>
        <v>КОЛ05312</v>
      </c>
      <c r="LL13" s="147" t="str">
        <f>LB5&amp;"13"</f>
        <v>КОЛ05313</v>
      </c>
      <c r="LM13" s="147" t="str">
        <f>LB5&amp;"14"</f>
        <v>КОЛ05314</v>
      </c>
      <c r="LN13" s="147" t="str">
        <f>LB5&amp;"15"</f>
        <v>КОЛ05315</v>
      </c>
      <c r="LO13" s="147" t="str">
        <f>LB5&amp;"16"</f>
        <v>КОЛ05316</v>
      </c>
      <c r="LP13" s="147" t="str">
        <f>LB5&amp;"21"</f>
        <v>КОЛ05321</v>
      </c>
      <c r="LQ13" s="153" t="str">
        <f>LB5&amp;"19"</f>
        <v>КОЛ05319</v>
      </c>
      <c r="LR13" s="132" t="str">
        <f>LB5&amp;"51"</f>
        <v>КОЛ05351</v>
      </c>
      <c r="LS13" s="152" t="str">
        <f>LB5&amp;"23"</f>
        <v>КОЛ05323</v>
      </c>
      <c r="LT13" s="147" t="str">
        <f>LT5&amp;"04"</f>
        <v>5404</v>
      </c>
      <c r="LU13" s="147" t="str">
        <f>LT5&amp;"05"</f>
        <v>5405</v>
      </c>
      <c r="LV13" s="147" t="str">
        <f>LT5&amp;"06"</f>
        <v>5406</v>
      </c>
      <c r="LW13" s="147" t="str">
        <f>LT5&amp;"07"</f>
        <v>5407</v>
      </c>
      <c r="LX13" s="147" t="str">
        <f>LT5&amp;"08"</f>
        <v>5408</v>
      </c>
      <c r="LY13" s="147" t="str">
        <f>LT5&amp;"09"</f>
        <v>5409</v>
      </c>
      <c r="LZ13" s="147" t="str">
        <f>LT5&amp;"52"</f>
        <v>5452</v>
      </c>
      <c r="MA13" s="147" t="str">
        <f>LT5&amp;"10"</f>
        <v>5410</v>
      </c>
      <c r="MB13" s="147" t="str">
        <f>LT5&amp;"11"</f>
        <v>5411</v>
      </c>
      <c r="MC13" s="147" t="str">
        <f>LT5&amp;"12"</f>
        <v>5412</v>
      </c>
      <c r="MD13" s="147" t="str">
        <f>LT5&amp;"13"</f>
        <v>5413</v>
      </c>
      <c r="ME13" s="147" t="str">
        <f>LT5&amp;"14"</f>
        <v>5414</v>
      </c>
      <c r="MF13" s="147" t="str">
        <f>LT5&amp;"15"</f>
        <v>5415</v>
      </c>
      <c r="MG13" s="147" t="str">
        <f>LT5&amp;"16"</f>
        <v>5416</v>
      </c>
      <c r="MH13" s="147" t="str">
        <f>LT5&amp;"21"</f>
        <v>5421</v>
      </c>
      <c r="MI13" s="153" t="str">
        <f>LT5&amp;"19"</f>
        <v>5419</v>
      </c>
      <c r="MJ13" s="132" t="str">
        <f>LT5&amp;"51"</f>
        <v>5451</v>
      </c>
      <c r="MK13" s="152" t="str">
        <f>LT5&amp;"23"</f>
        <v>5423</v>
      </c>
      <c r="ML13" s="147" t="str">
        <f>ML5&amp;"04"</f>
        <v>КОЛ05404</v>
      </c>
      <c r="MM13" s="147" t="str">
        <f>ML5&amp;"05"</f>
        <v>КОЛ05405</v>
      </c>
      <c r="MN13" s="147" t="str">
        <f>ML5&amp;"06"</f>
        <v>КОЛ05406</v>
      </c>
      <c r="MO13" s="147" t="str">
        <f>ML5&amp;"07"</f>
        <v>КОЛ05407</v>
      </c>
      <c r="MP13" s="147" t="str">
        <f>ML5&amp;"08"</f>
        <v>КОЛ05408</v>
      </c>
      <c r="MQ13" s="147" t="str">
        <f>ML5&amp;"09"</f>
        <v>КОЛ05409</v>
      </c>
      <c r="MR13" s="147" t="str">
        <f>ML5&amp;"52"</f>
        <v>КОЛ05452</v>
      </c>
      <c r="MS13" s="147" t="str">
        <f>ML5&amp;"10"</f>
        <v>КОЛ05410</v>
      </c>
      <c r="MT13" s="147" t="str">
        <f>ML5&amp;"11"</f>
        <v>КОЛ05411</v>
      </c>
      <c r="MU13" s="147" t="str">
        <f>ML5&amp;"12"</f>
        <v>КОЛ05412</v>
      </c>
      <c r="MV13" s="147" t="str">
        <f>ML5&amp;"13"</f>
        <v>КОЛ05413</v>
      </c>
      <c r="MW13" s="147" t="str">
        <f>ML5&amp;"14"</f>
        <v>КОЛ05414</v>
      </c>
      <c r="MX13" s="147" t="str">
        <f>ML5&amp;"15"</f>
        <v>КОЛ05415</v>
      </c>
      <c r="MY13" s="147" t="str">
        <f>ML5&amp;"16"</f>
        <v>КОЛ05416</v>
      </c>
      <c r="MZ13" s="147" t="str">
        <f>ML5&amp;"21"</f>
        <v>КОЛ05421</v>
      </c>
      <c r="NA13" s="153" t="str">
        <f>ML5&amp;"19"</f>
        <v>КОЛ05419</v>
      </c>
      <c r="NB13" s="132" t="str">
        <f>ML5&amp;"51"</f>
        <v>КОЛ05451</v>
      </c>
      <c r="NC13" s="152" t="str">
        <f>ML5&amp;"23"</f>
        <v>КОЛ05423</v>
      </c>
      <c r="ND13" s="147" t="str">
        <f>ND5&amp;"04"</f>
        <v>5504</v>
      </c>
      <c r="NE13" s="147" t="str">
        <f>ND5&amp;"05"</f>
        <v>5505</v>
      </c>
      <c r="NF13" s="147" t="str">
        <f>ND5&amp;"06"</f>
        <v>5506</v>
      </c>
      <c r="NG13" s="147" t="str">
        <f>ND5&amp;"07"</f>
        <v>5507</v>
      </c>
      <c r="NH13" s="147" t="str">
        <f>ND5&amp;"08"</f>
        <v>5508</v>
      </c>
      <c r="NI13" s="147" t="str">
        <f>ND5&amp;"09"</f>
        <v>5509</v>
      </c>
      <c r="NJ13" s="147" t="str">
        <f>ND5&amp;"52"</f>
        <v>5552</v>
      </c>
      <c r="NK13" s="147" t="str">
        <f>ND5&amp;"10"</f>
        <v>5510</v>
      </c>
      <c r="NL13" s="147" t="str">
        <f>ND5&amp;"11"</f>
        <v>5511</v>
      </c>
      <c r="NM13" s="147" t="str">
        <f>ND5&amp;"12"</f>
        <v>5512</v>
      </c>
      <c r="NN13" s="147" t="str">
        <f>ND5&amp;"13"</f>
        <v>5513</v>
      </c>
      <c r="NO13" s="147" t="str">
        <f>ND5&amp;"14"</f>
        <v>5514</v>
      </c>
      <c r="NP13" s="147" t="str">
        <f>ND5&amp;"15"</f>
        <v>5515</v>
      </c>
      <c r="NQ13" s="147" t="str">
        <f>ND5&amp;"16"</f>
        <v>5516</v>
      </c>
      <c r="NR13" s="147" t="str">
        <f>ND5&amp;"21"</f>
        <v>5521</v>
      </c>
      <c r="NS13" s="153" t="str">
        <f>ND5&amp;"19"</f>
        <v>5519</v>
      </c>
      <c r="NT13" s="132" t="str">
        <f>ND5&amp;"51"</f>
        <v>5551</v>
      </c>
      <c r="NU13" s="152" t="str">
        <f>ND5&amp;"23"</f>
        <v>5523</v>
      </c>
      <c r="NV13" s="147" t="str">
        <f>NV5&amp;"04"</f>
        <v>КОЛ05504</v>
      </c>
      <c r="NW13" s="147" t="str">
        <f>NV5&amp;"05"</f>
        <v>КОЛ05505</v>
      </c>
      <c r="NX13" s="147" t="str">
        <f>NV5&amp;"06"</f>
        <v>КОЛ05506</v>
      </c>
      <c r="NY13" s="147" t="str">
        <f>NV5&amp;"07"</f>
        <v>КОЛ05507</v>
      </c>
      <c r="NZ13" s="147" t="str">
        <f>NV5&amp;"08"</f>
        <v>КОЛ05508</v>
      </c>
      <c r="OA13" s="147" t="str">
        <f>NV5&amp;"09"</f>
        <v>КОЛ05509</v>
      </c>
      <c r="OB13" s="147" t="str">
        <f>NV5&amp;"52"</f>
        <v>КОЛ05552</v>
      </c>
      <c r="OC13" s="147" t="str">
        <f>NV5&amp;"10"</f>
        <v>КОЛ05510</v>
      </c>
      <c r="OD13" s="147" t="str">
        <f>NV5&amp;"11"</f>
        <v>КОЛ05511</v>
      </c>
      <c r="OE13" s="147" t="str">
        <f>NV5&amp;"12"</f>
        <v>КОЛ05512</v>
      </c>
      <c r="OF13" s="147" t="str">
        <f>NV5&amp;"13"</f>
        <v>КОЛ05513</v>
      </c>
      <c r="OG13" s="147" t="str">
        <f>NV5&amp;"14"</f>
        <v>КОЛ05514</v>
      </c>
      <c r="OH13" s="147" t="str">
        <f>NV5&amp;"15"</f>
        <v>КОЛ05515</v>
      </c>
      <c r="OI13" s="147" t="str">
        <f>NV5&amp;"16"</f>
        <v>КОЛ05516</v>
      </c>
      <c r="OJ13" s="147" t="str">
        <f>NV5&amp;"21"</f>
        <v>КОЛ05521</v>
      </c>
      <c r="OK13" s="153" t="str">
        <f>NV5&amp;"19"</f>
        <v>КОЛ05519</v>
      </c>
      <c r="OL13" s="132" t="str">
        <f>NV5&amp;"51"</f>
        <v>КОЛ05551</v>
      </c>
      <c r="OM13" s="152" t="str">
        <f>NV5&amp;"23"</f>
        <v>КОЛ05523</v>
      </c>
      <c r="ON13" s="147" t="str">
        <f>ON5&amp;"04"</f>
        <v>6004</v>
      </c>
      <c r="OO13" s="147" t="str">
        <f>ON5&amp;"05"</f>
        <v>6005</v>
      </c>
      <c r="OP13" s="147" t="str">
        <f>ON5&amp;"06"</f>
        <v>6006</v>
      </c>
      <c r="OQ13" s="147" t="str">
        <f>ON5&amp;"07"</f>
        <v>6007</v>
      </c>
      <c r="OR13" s="147" t="str">
        <f>ON5&amp;"08"</f>
        <v>6008</v>
      </c>
      <c r="OS13" s="147" t="str">
        <f>ON5&amp;"09"</f>
        <v>6009</v>
      </c>
      <c r="OT13" s="147" t="str">
        <f>ON5&amp;"52"</f>
        <v>6052</v>
      </c>
      <c r="OU13" s="147" t="str">
        <f>ON5&amp;"10"</f>
        <v>6010</v>
      </c>
      <c r="OV13" s="147" t="str">
        <f>ON5&amp;"11"</f>
        <v>6011</v>
      </c>
      <c r="OW13" s="147" t="str">
        <f>ON5&amp;"12"</f>
        <v>6012</v>
      </c>
      <c r="OX13" s="147" t="str">
        <f>ON5&amp;"13"</f>
        <v>6013</v>
      </c>
      <c r="OY13" s="147" t="str">
        <f>ON5&amp;"14"</f>
        <v>6014</v>
      </c>
      <c r="OZ13" s="147" t="str">
        <f>ON5&amp;"15"</f>
        <v>6015</v>
      </c>
      <c r="PA13" s="147" t="str">
        <f>ON5&amp;"16"</f>
        <v>6016</v>
      </c>
      <c r="PB13" s="147" t="str">
        <f>ON5&amp;"21"</f>
        <v>6021</v>
      </c>
      <c r="PC13" s="153" t="str">
        <f>ON5&amp;"19"</f>
        <v>6019</v>
      </c>
      <c r="PD13" s="132" t="str">
        <f>ON5&amp;"51"</f>
        <v>6051</v>
      </c>
      <c r="PE13" s="152" t="str">
        <f>ON5&amp;"23"</f>
        <v>6023</v>
      </c>
      <c r="PF13" s="147" t="str">
        <f>PF5&amp;"04"</f>
        <v>КОЛ06004</v>
      </c>
      <c r="PG13" s="147" t="str">
        <f>PF5&amp;"05"</f>
        <v>КОЛ06005</v>
      </c>
      <c r="PH13" s="147" t="str">
        <f>PF5&amp;"06"</f>
        <v>КОЛ06006</v>
      </c>
      <c r="PI13" s="147" t="str">
        <f>PF5&amp;"07"</f>
        <v>КОЛ06007</v>
      </c>
      <c r="PJ13" s="147" t="str">
        <f>PF5&amp;"08"</f>
        <v>КОЛ06008</v>
      </c>
      <c r="PK13" s="147" t="str">
        <f>PF5&amp;"09"</f>
        <v>КОЛ06009</v>
      </c>
      <c r="PL13" s="147" t="str">
        <f>PF5&amp;"52"</f>
        <v>КОЛ06052</v>
      </c>
      <c r="PM13" s="147" t="str">
        <f>PF5&amp;"10"</f>
        <v>КОЛ06010</v>
      </c>
      <c r="PN13" s="147" t="str">
        <f>PF5&amp;"11"</f>
        <v>КОЛ06011</v>
      </c>
      <c r="PO13" s="147" t="str">
        <f>PF5&amp;"12"</f>
        <v>КОЛ06012</v>
      </c>
      <c r="PP13" s="147" t="str">
        <f>PF5&amp;"13"</f>
        <v>КОЛ06013</v>
      </c>
      <c r="PQ13" s="147" t="str">
        <f>PF5&amp;"14"</f>
        <v>КОЛ06014</v>
      </c>
      <c r="PR13" s="147" t="str">
        <f>PF5&amp;"15"</f>
        <v>КОЛ06015</v>
      </c>
      <c r="PS13" s="147" t="str">
        <f>PF5&amp;"16"</f>
        <v>КОЛ06016</v>
      </c>
      <c r="PT13" s="147" t="str">
        <f>PF5&amp;"21"</f>
        <v>КОЛ06021</v>
      </c>
      <c r="PU13" s="153" t="str">
        <f>PF5&amp;"19"</f>
        <v>КОЛ06019</v>
      </c>
      <c r="PV13" s="132" t="str">
        <f>PF5&amp;"51"</f>
        <v>КОЛ06051</v>
      </c>
      <c r="PW13" s="152" t="str">
        <f>PF5&amp;"23"</f>
        <v>КОЛ06023</v>
      </c>
      <c r="PX13" s="147" t="str">
        <f>PX5&amp;"04"</f>
        <v>5704</v>
      </c>
      <c r="PY13" s="147" t="str">
        <f>PX5&amp;"05"</f>
        <v>5705</v>
      </c>
      <c r="PZ13" s="147" t="str">
        <f>PX5&amp;"06"</f>
        <v>5706</v>
      </c>
      <c r="QA13" s="147" t="str">
        <f>PX5&amp;"07"</f>
        <v>5707</v>
      </c>
      <c r="QB13" s="147" t="str">
        <f>PX5&amp;"08"</f>
        <v>5708</v>
      </c>
      <c r="QC13" s="147" t="str">
        <f>PX5&amp;"09"</f>
        <v>5709</v>
      </c>
      <c r="QD13" s="147" t="str">
        <f>PX5&amp;"52"</f>
        <v>5752</v>
      </c>
      <c r="QE13" s="147" t="str">
        <f>PX5&amp;"10"</f>
        <v>5710</v>
      </c>
      <c r="QF13" s="147" t="str">
        <f>PX5&amp;"11"</f>
        <v>5711</v>
      </c>
      <c r="QG13" s="147" t="str">
        <f>PX5&amp;"12"</f>
        <v>5712</v>
      </c>
      <c r="QH13" s="147" t="str">
        <f>PX5&amp;"13"</f>
        <v>5713</v>
      </c>
      <c r="QI13" s="147" t="str">
        <f>PX5&amp;"14"</f>
        <v>5714</v>
      </c>
      <c r="QJ13" s="147" t="str">
        <f>PX5&amp;"15"</f>
        <v>5715</v>
      </c>
      <c r="QK13" s="147" t="str">
        <f>PX5&amp;"16"</f>
        <v>5716</v>
      </c>
      <c r="QL13" s="147" t="str">
        <f>PX5&amp;"21"</f>
        <v>5721</v>
      </c>
      <c r="QM13" s="153" t="str">
        <f>PX5&amp;"19"</f>
        <v>5719</v>
      </c>
      <c r="QN13" s="132" t="str">
        <f>PX5&amp;"51"</f>
        <v>5751</v>
      </c>
      <c r="QO13" s="152" t="str">
        <f>PX5&amp;"23"</f>
        <v>5723</v>
      </c>
    </row>
    <row r="14" spans="1:457" x14ac:dyDescent="0.25">
      <c r="A14" s="133" t="s">
        <v>1</v>
      </c>
      <c r="B14" s="134" t="s">
        <v>2</v>
      </c>
      <c r="C14" s="135" t="s">
        <v>3</v>
      </c>
      <c r="F14" s="150">
        <f>SUM(F15:F23)</f>
        <v>143893325000</v>
      </c>
      <c r="G14" s="150">
        <f t="shared" ref="G14:Y14" si="0">SUM(G15:G23)</f>
        <v>0</v>
      </c>
      <c r="H14" s="150">
        <f t="shared" si="0"/>
        <v>0</v>
      </c>
      <c r="I14" s="150">
        <f t="shared" si="0"/>
        <v>62159770186.200012</v>
      </c>
      <c r="J14" s="150">
        <f t="shared" si="0"/>
        <v>55004629300</v>
      </c>
      <c r="K14" s="150">
        <f t="shared" si="0"/>
        <v>7155140886.1999989</v>
      </c>
      <c r="L14" s="150">
        <f t="shared" si="0"/>
        <v>54731057880.080009</v>
      </c>
      <c r="M14" s="150">
        <f t="shared" si="0"/>
        <v>316537946.10999995</v>
      </c>
      <c r="N14" s="150">
        <f t="shared" si="0"/>
        <v>0</v>
      </c>
      <c r="O14" s="150">
        <f t="shared" si="0"/>
        <v>61810034832.169998</v>
      </c>
      <c r="P14" s="150">
        <f t="shared" si="0"/>
        <v>54730732126.609993</v>
      </c>
      <c r="Q14" s="150">
        <f t="shared" si="0"/>
        <v>0</v>
      </c>
      <c r="R14" s="150">
        <f t="shared" si="0"/>
        <v>7079302705.5600004</v>
      </c>
      <c r="S14" s="150">
        <f t="shared" si="0"/>
        <v>1136.17596</v>
      </c>
      <c r="T14" s="150">
        <f t="shared" si="0"/>
        <v>316537946.10999995</v>
      </c>
      <c r="U14" s="150">
        <f t="shared" si="0"/>
        <v>325753.47000000003</v>
      </c>
      <c r="V14" s="150">
        <f t="shared" si="0"/>
        <v>54730732126.609993</v>
      </c>
      <c r="W14" s="150">
        <f t="shared" si="0"/>
        <v>0</v>
      </c>
      <c r="X14" s="150">
        <f t="shared" si="0"/>
        <v>55004629300</v>
      </c>
      <c r="Y14" s="150">
        <f t="shared" si="0"/>
        <v>55004629300</v>
      </c>
      <c r="Z14" s="211">
        <f t="shared" ref="Z14:AQ14" si="1">SUM(Z15:Z23)</f>
        <v>0</v>
      </c>
      <c r="AA14" s="211">
        <f t="shared" si="1"/>
        <v>4318310850.29</v>
      </c>
      <c r="AB14" s="211">
        <f t="shared" si="1"/>
        <v>3689245200</v>
      </c>
      <c r="AC14" s="211">
        <f t="shared" si="1"/>
        <v>629065650.29000008</v>
      </c>
      <c r="AD14" s="211">
        <f t="shared" si="1"/>
        <v>3689245200</v>
      </c>
      <c r="AE14" s="211">
        <f t="shared" si="1"/>
        <v>0</v>
      </c>
      <c r="AF14" s="211">
        <f t="shared" si="1"/>
        <v>0</v>
      </c>
      <c r="AG14" s="211">
        <f t="shared" si="1"/>
        <v>3158646739.8599992</v>
      </c>
      <c r="AH14" s="211">
        <f t="shared" si="1"/>
        <v>2784083638.2999997</v>
      </c>
      <c r="AI14" s="211">
        <f t="shared" si="1"/>
        <v>0</v>
      </c>
      <c r="AJ14" s="211">
        <f t="shared" si="1"/>
        <v>374563101.55999994</v>
      </c>
      <c r="AK14" s="211">
        <f t="shared" si="1"/>
        <v>107.98988</v>
      </c>
      <c r="AL14" s="211">
        <f t="shared" si="1"/>
        <v>0</v>
      </c>
      <c r="AM14" s="211">
        <f t="shared" si="1"/>
        <v>905161561.70000005</v>
      </c>
      <c r="AN14" s="211">
        <f t="shared" si="1"/>
        <v>2784083638.2999997</v>
      </c>
      <c r="AO14" s="211">
        <f t="shared" si="1"/>
        <v>0</v>
      </c>
      <c r="AP14" s="211">
        <f t="shared" si="1"/>
        <v>3689245200</v>
      </c>
      <c r="AQ14" s="211">
        <f t="shared" si="1"/>
        <v>3689245200</v>
      </c>
      <c r="AR14" s="150">
        <f t="shared" ref="AR14:BI14" si="2">SUM(AR15:AR23)</f>
        <v>0</v>
      </c>
      <c r="AS14" s="150">
        <f t="shared" si="2"/>
        <v>12700043727.720001</v>
      </c>
      <c r="AT14" s="150">
        <f t="shared" si="2"/>
        <v>7964386400</v>
      </c>
      <c r="AU14" s="150">
        <f t="shared" si="2"/>
        <v>4735657327.7199993</v>
      </c>
      <c r="AV14" s="150">
        <f t="shared" si="2"/>
        <v>7953283230.3299999</v>
      </c>
      <c r="AW14" s="150">
        <f t="shared" si="2"/>
        <v>6138145</v>
      </c>
      <c r="AX14" s="150">
        <f t="shared" si="2"/>
        <v>0</v>
      </c>
      <c r="AY14" s="150">
        <f t="shared" si="2"/>
        <v>12670697322.380001</v>
      </c>
      <c r="AZ14" s="150">
        <f t="shared" si="2"/>
        <v>7952994222.5700006</v>
      </c>
      <c r="BA14" s="150">
        <f t="shared" si="2"/>
        <v>0</v>
      </c>
      <c r="BB14" s="150">
        <f t="shared" si="2"/>
        <v>4717703099.8099995</v>
      </c>
      <c r="BC14" s="150">
        <f t="shared" si="2"/>
        <v>2275.8317099999999</v>
      </c>
      <c r="BD14" s="150">
        <f t="shared" si="2"/>
        <v>6138145</v>
      </c>
      <c r="BE14" s="150">
        <f t="shared" si="2"/>
        <v>289007.76</v>
      </c>
      <c r="BF14" s="150">
        <f t="shared" si="2"/>
        <v>7952994222.5700006</v>
      </c>
      <c r="BG14" s="150">
        <f t="shared" si="2"/>
        <v>0</v>
      </c>
      <c r="BH14" s="150">
        <f t="shared" si="2"/>
        <v>7964395200</v>
      </c>
      <c r="BI14" s="150">
        <f t="shared" si="2"/>
        <v>7964386400</v>
      </c>
      <c r="BJ14" s="211">
        <f t="shared" ref="BJ14:CA14" si="3">SUM(BJ15:BJ23)</f>
        <v>0</v>
      </c>
      <c r="BK14" s="211">
        <f t="shared" si="3"/>
        <v>126315790</v>
      </c>
      <c r="BL14" s="211">
        <f t="shared" si="3"/>
        <v>120000000</v>
      </c>
      <c r="BM14" s="211">
        <f t="shared" si="3"/>
        <v>6315790</v>
      </c>
      <c r="BN14" s="211">
        <f t="shared" si="3"/>
        <v>120000000</v>
      </c>
      <c r="BO14" s="211">
        <f t="shared" si="3"/>
        <v>0</v>
      </c>
      <c r="BP14" s="211">
        <f t="shared" si="3"/>
        <v>0</v>
      </c>
      <c r="BQ14" s="211">
        <f t="shared" si="3"/>
        <v>126315789.47</v>
      </c>
      <c r="BR14" s="211">
        <f t="shared" si="3"/>
        <v>120000000</v>
      </c>
      <c r="BS14" s="211">
        <f t="shared" si="3"/>
        <v>0</v>
      </c>
      <c r="BT14" s="211">
        <f t="shared" si="3"/>
        <v>6315789.4699999997</v>
      </c>
      <c r="BU14" s="211">
        <f t="shared" si="3"/>
        <v>5</v>
      </c>
      <c r="BV14" s="211">
        <f t="shared" si="3"/>
        <v>0</v>
      </c>
      <c r="BW14" s="211">
        <f t="shared" si="3"/>
        <v>0</v>
      </c>
      <c r="BX14" s="211">
        <f t="shared" si="3"/>
        <v>120000000</v>
      </c>
      <c r="BY14" s="211">
        <f t="shared" si="3"/>
        <v>0</v>
      </c>
      <c r="BZ14" s="211">
        <f t="shared" si="3"/>
        <v>120000000</v>
      </c>
      <c r="CA14" s="211">
        <f t="shared" si="3"/>
        <v>120000000</v>
      </c>
      <c r="CB14" s="150">
        <f t="shared" ref="CB14:CS14" si="4">SUM(CB15:CB23)</f>
        <v>0</v>
      </c>
      <c r="CC14" s="150">
        <f t="shared" si="4"/>
        <v>14571475859.129999</v>
      </c>
      <c r="CD14" s="150">
        <f t="shared" si="4"/>
        <v>11341327900</v>
      </c>
      <c r="CE14" s="150">
        <f t="shared" si="4"/>
        <v>3230147959.1299996</v>
      </c>
      <c r="CF14" s="150">
        <f t="shared" si="4"/>
        <v>11293007727.040001</v>
      </c>
      <c r="CG14" s="150">
        <f t="shared" si="4"/>
        <v>9380198.870000001</v>
      </c>
      <c r="CH14" s="150">
        <f t="shared" si="4"/>
        <v>0</v>
      </c>
      <c r="CI14" s="150">
        <f t="shared" si="4"/>
        <v>14510131513.710003</v>
      </c>
      <c r="CJ14" s="150">
        <f t="shared" si="4"/>
        <v>11286989835.08</v>
      </c>
      <c r="CK14" s="150">
        <f t="shared" si="4"/>
        <v>0</v>
      </c>
      <c r="CL14" s="150">
        <f t="shared" si="4"/>
        <v>3223141678.6300001</v>
      </c>
      <c r="CM14" s="150">
        <f t="shared" si="4"/>
        <v>1668.1687400000001</v>
      </c>
      <c r="CN14" s="150">
        <f t="shared" si="4"/>
        <v>9376980.9100000001</v>
      </c>
      <c r="CO14" s="150">
        <f t="shared" si="4"/>
        <v>6021109.919999999</v>
      </c>
      <c r="CP14" s="150">
        <f t="shared" si="4"/>
        <v>11286989835.08</v>
      </c>
      <c r="CQ14" s="150">
        <f t="shared" si="4"/>
        <v>0</v>
      </c>
      <c r="CR14" s="150">
        <f t="shared" si="4"/>
        <v>11341778900</v>
      </c>
      <c r="CS14" s="150">
        <f t="shared" si="4"/>
        <v>11341327900</v>
      </c>
      <c r="CT14" s="150">
        <f t="shared" ref="CT14:DK14" si="5">SUM(CT15:CT23)</f>
        <v>0</v>
      </c>
      <c r="CU14" s="150">
        <f t="shared" si="5"/>
        <v>43743223823.980003</v>
      </c>
      <c r="CV14" s="150">
        <f t="shared" si="5"/>
        <v>38990686800</v>
      </c>
      <c r="CW14" s="150">
        <f t="shared" si="5"/>
        <v>4752537023.9799995</v>
      </c>
      <c r="CX14" s="150">
        <f t="shared" si="5"/>
        <v>38879903211.219994</v>
      </c>
      <c r="CY14" s="150">
        <f t="shared" si="5"/>
        <v>10488068.970000001</v>
      </c>
      <c r="CZ14" s="150">
        <f t="shared" si="5"/>
        <v>0</v>
      </c>
      <c r="DA14" s="150">
        <f t="shared" si="5"/>
        <v>43598819022.859993</v>
      </c>
      <c r="DB14" s="150">
        <f t="shared" si="5"/>
        <v>38874794469.419998</v>
      </c>
      <c r="DC14" s="150">
        <f t="shared" si="5"/>
        <v>0</v>
      </c>
      <c r="DD14" s="150">
        <f t="shared" si="5"/>
        <v>4724024553.4399996</v>
      </c>
      <c r="DE14" s="150">
        <f t="shared" si="5"/>
        <v>1206.4282499999999</v>
      </c>
      <c r="DF14" s="150">
        <f t="shared" si="5"/>
        <v>10488068.970000001</v>
      </c>
      <c r="DG14" s="150">
        <f t="shared" si="5"/>
        <v>5108741.8</v>
      </c>
      <c r="DH14" s="150">
        <f t="shared" si="5"/>
        <v>38874794469.419998</v>
      </c>
      <c r="DI14" s="150">
        <f t="shared" si="5"/>
        <v>0</v>
      </c>
      <c r="DJ14" s="150">
        <f t="shared" si="5"/>
        <v>39004635900</v>
      </c>
      <c r="DK14" s="150">
        <f t="shared" si="5"/>
        <v>38990686800</v>
      </c>
      <c r="DL14" s="211">
        <f t="shared" ref="DL14:EC14" si="6">SUM(DL15:DL23)</f>
        <v>0</v>
      </c>
      <c r="DM14" s="211">
        <f t="shared" si="6"/>
        <v>84210527</v>
      </c>
      <c r="DN14" s="211">
        <f t="shared" si="6"/>
        <v>80000000</v>
      </c>
      <c r="DO14" s="211">
        <f t="shared" si="6"/>
        <v>4210527</v>
      </c>
      <c r="DP14" s="211">
        <f t="shared" si="6"/>
        <v>80000000</v>
      </c>
      <c r="DQ14" s="211">
        <f t="shared" si="6"/>
        <v>0</v>
      </c>
      <c r="DR14" s="211">
        <f t="shared" si="6"/>
        <v>0</v>
      </c>
      <c r="DS14" s="211">
        <f t="shared" si="6"/>
        <v>84210526.310000002</v>
      </c>
      <c r="DT14" s="211">
        <f t="shared" si="6"/>
        <v>80000000</v>
      </c>
      <c r="DU14" s="211">
        <f t="shared" si="6"/>
        <v>0</v>
      </c>
      <c r="DV14" s="211">
        <f t="shared" si="6"/>
        <v>4210526.3099999996</v>
      </c>
      <c r="DW14" s="211">
        <f t="shared" si="6"/>
        <v>5</v>
      </c>
      <c r="DX14" s="211">
        <f t="shared" si="6"/>
        <v>0</v>
      </c>
      <c r="DY14" s="211">
        <f t="shared" si="6"/>
        <v>0</v>
      </c>
      <c r="DZ14" s="211">
        <f t="shared" si="6"/>
        <v>80000000</v>
      </c>
      <c r="EA14" s="211">
        <f t="shared" si="6"/>
        <v>0</v>
      </c>
      <c r="EB14" s="211">
        <f t="shared" si="6"/>
        <v>80000000</v>
      </c>
      <c r="EC14" s="211">
        <f t="shared" si="6"/>
        <v>80000000</v>
      </c>
      <c r="ED14" s="150">
        <f t="shared" ref="ED14:EK14" si="7">SUM(ED15:ED23)</f>
        <v>0</v>
      </c>
      <c r="EE14" s="150">
        <f t="shared" si="7"/>
        <v>16198512871.4</v>
      </c>
      <c r="EF14" s="150">
        <f t="shared" si="7"/>
        <v>15225943600</v>
      </c>
      <c r="EG14" s="150">
        <f t="shared" si="7"/>
        <v>972569271.39999998</v>
      </c>
      <c r="EH14" s="150">
        <f t="shared" si="7"/>
        <v>15167502528.519999</v>
      </c>
      <c r="EI14" s="150">
        <f t="shared" si="7"/>
        <v>0</v>
      </c>
      <c r="EJ14" s="150">
        <f t="shared" si="7"/>
        <v>0</v>
      </c>
      <c r="EK14" s="150">
        <f t="shared" si="7"/>
        <v>16133997699.989998</v>
      </c>
      <c r="EL14" s="150">
        <f t="shared" ref="EL14:GW14" si="8">SUM(EL15:EL23)</f>
        <v>15167489162.730001</v>
      </c>
      <c r="EM14" s="150">
        <f t="shared" si="8"/>
        <v>0</v>
      </c>
      <c r="EN14" s="150">
        <f t="shared" si="8"/>
        <v>966508537.25999999</v>
      </c>
      <c r="EO14" s="150">
        <f t="shared" si="8"/>
        <v>344.21465999999992</v>
      </c>
      <c r="EP14" s="150">
        <f t="shared" si="8"/>
        <v>0</v>
      </c>
      <c r="EQ14" s="150">
        <f t="shared" si="8"/>
        <v>13365.789999999999</v>
      </c>
      <c r="ER14" s="150">
        <f t="shared" si="8"/>
        <v>15167489162.730001</v>
      </c>
      <c r="ES14" s="150">
        <f t="shared" si="8"/>
        <v>0</v>
      </c>
      <c r="ET14" s="150">
        <f t="shared" si="8"/>
        <v>15225943600</v>
      </c>
      <c r="EU14" s="150">
        <f t="shared" si="8"/>
        <v>15225943600</v>
      </c>
      <c r="EV14" s="211">
        <f t="shared" si="8"/>
        <v>0</v>
      </c>
      <c r="EW14" s="211">
        <f t="shared" si="8"/>
        <v>338198749.49000001</v>
      </c>
      <c r="EX14" s="211">
        <f t="shared" si="8"/>
        <v>280385600</v>
      </c>
      <c r="EY14" s="211">
        <f t="shared" si="8"/>
        <v>57813149.490000002</v>
      </c>
      <c r="EZ14" s="211">
        <f t="shared" si="8"/>
        <v>280385600</v>
      </c>
      <c r="FA14" s="211">
        <f t="shared" si="8"/>
        <v>0</v>
      </c>
      <c r="FB14" s="211">
        <f t="shared" si="8"/>
        <v>0</v>
      </c>
      <c r="FC14" s="211">
        <f t="shared" si="8"/>
        <v>326536370.25</v>
      </c>
      <c r="FD14" s="211">
        <f t="shared" ref="FD14:FM14" si="9">SUM(FD15:FD23)</f>
        <v>269306360.13999999</v>
      </c>
      <c r="FE14" s="211">
        <f t="shared" si="9"/>
        <v>0</v>
      </c>
      <c r="FF14" s="211">
        <f t="shared" si="9"/>
        <v>57230010.109999999</v>
      </c>
      <c r="FG14" s="211">
        <f t="shared" si="9"/>
        <v>127.93633</v>
      </c>
      <c r="FH14" s="211">
        <f t="shared" si="9"/>
        <v>0</v>
      </c>
      <c r="FI14" s="211">
        <f t="shared" si="9"/>
        <v>11079239.859999999</v>
      </c>
      <c r="FJ14" s="211">
        <f t="shared" si="9"/>
        <v>269306360.13999999</v>
      </c>
      <c r="FK14" s="211">
        <f t="shared" si="9"/>
        <v>0</v>
      </c>
      <c r="FL14" s="211">
        <f t="shared" si="9"/>
        <v>280385600</v>
      </c>
      <c r="FM14" s="211">
        <f t="shared" si="9"/>
        <v>280385600</v>
      </c>
      <c r="FN14" s="150">
        <f t="shared" si="8"/>
        <v>0</v>
      </c>
      <c r="FO14" s="150">
        <f t="shared" si="8"/>
        <v>5606825957.0600004</v>
      </c>
      <c r="FP14" s="150">
        <f t="shared" si="8"/>
        <v>4410613900</v>
      </c>
      <c r="FQ14" s="150">
        <f t="shared" si="8"/>
        <v>1196212057.0599999</v>
      </c>
      <c r="FR14" s="150">
        <f t="shared" si="8"/>
        <v>4223056348.8399997</v>
      </c>
      <c r="FS14" s="150">
        <f t="shared" si="8"/>
        <v>6680672.1900000004</v>
      </c>
      <c r="FT14" s="150">
        <f t="shared" si="8"/>
        <v>0</v>
      </c>
      <c r="FU14" s="150">
        <f t="shared" si="8"/>
        <v>5382825518.8299999</v>
      </c>
      <c r="FV14" s="150">
        <f t="shared" si="8"/>
        <v>4223056104.8499994</v>
      </c>
      <c r="FW14" s="150">
        <f t="shared" si="8"/>
        <v>0</v>
      </c>
      <c r="FX14" s="150">
        <f t="shared" si="8"/>
        <v>1159769413.98</v>
      </c>
      <c r="FY14" s="150">
        <f t="shared" si="8"/>
        <v>1656.4929500000001</v>
      </c>
      <c r="FZ14" s="150">
        <f t="shared" si="8"/>
        <v>6680672.1900000004</v>
      </c>
      <c r="GA14" s="150">
        <f t="shared" si="8"/>
        <v>243.99</v>
      </c>
      <c r="GB14" s="150">
        <f t="shared" si="8"/>
        <v>4223056104.8499994</v>
      </c>
      <c r="GC14" s="150">
        <f t="shared" si="8"/>
        <v>0</v>
      </c>
      <c r="GD14" s="150">
        <f t="shared" si="8"/>
        <v>4412613900</v>
      </c>
      <c r="GE14" s="150">
        <f t="shared" si="8"/>
        <v>4410613900</v>
      </c>
      <c r="GF14" s="150">
        <f t="shared" si="8"/>
        <v>0</v>
      </c>
      <c r="GG14" s="150">
        <f t="shared" si="8"/>
        <v>6668366156.04</v>
      </c>
      <c r="GH14" s="150">
        <f t="shared" si="8"/>
        <v>3456098800</v>
      </c>
      <c r="GI14" s="150">
        <f t="shared" si="8"/>
        <v>3212267356.04</v>
      </c>
      <c r="GJ14" s="150">
        <f t="shared" si="8"/>
        <v>3451215151.3300004</v>
      </c>
      <c r="GK14" s="150">
        <f t="shared" si="8"/>
        <v>45374411.960000008</v>
      </c>
      <c r="GL14" s="150">
        <f t="shared" si="8"/>
        <v>0</v>
      </c>
      <c r="GM14" s="150">
        <f t="shared" si="8"/>
        <v>6657782443.2699995</v>
      </c>
      <c r="GN14" s="150">
        <f t="shared" si="8"/>
        <v>3449965464.9200001</v>
      </c>
      <c r="GO14" s="150">
        <f t="shared" si="8"/>
        <v>0</v>
      </c>
      <c r="GP14" s="150">
        <f t="shared" si="8"/>
        <v>3207816978.3500004</v>
      </c>
      <c r="GQ14" s="150">
        <f t="shared" si="8"/>
        <v>3667.9256</v>
      </c>
      <c r="GR14" s="150">
        <f t="shared" si="8"/>
        <v>44979389.720000006</v>
      </c>
      <c r="GS14" s="150">
        <f t="shared" si="8"/>
        <v>1644708.65</v>
      </c>
      <c r="GT14" s="150">
        <f t="shared" si="8"/>
        <v>3449965464.9200001</v>
      </c>
      <c r="GU14" s="150">
        <f t="shared" si="8"/>
        <v>0</v>
      </c>
      <c r="GV14" s="150">
        <f t="shared" si="8"/>
        <v>3456098800</v>
      </c>
      <c r="GW14" s="150">
        <f t="shared" si="8"/>
        <v>3456098800</v>
      </c>
      <c r="GX14" s="150">
        <f t="shared" ref="GX14:JI14" si="10">SUM(GX15:GX23)</f>
        <v>0</v>
      </c>
      <c r="GY14" s="150">
        <f t="shared" si="10"/>
        <v>0</v>
      </c>
      <c r="GZ14" s="150">
        <f t="shared" si="10"/>
        <v>0</v>
      </c>
      <c r="HA14" s="150">
        <f t="shared" si="10"/>
        <v>0</v>
      </c>
      <c r="HB14" s="150">
        <f t="shared" si="10"/>
        <v>0</v>
      </c>
      <c r="HC14" s="150">
        <f t="shared" si="10"/>
        <v>21628995.93</v>
      </c>
      <c r="HD14" s="150">
        <f t="shared" si="10"/>
        <v>0</v>
      </c>
      <c r="HE14" s="150">
        <f t="shared" si="10"/>
        <v>0</v>
      </c>
      <c r="HF14" s="150">
        <f t="shared" si="10"/>
        <v>0</v>
      </c>
      <c r="HG14" s="150">
        <f t="shared" si="10"/>
        <v>0</v>
      </c>
      <c r="HH14" s="150">
        <f t="shared" si="10"/>
        <v>0</v>
      </c>
      <c r="HI14" s="150">
        <f t="shared" si="10"/>
        <v>0</v>
      </c>
      <c r="HJ14" s="150">
        <f t="shared" si="10"/>
        <v>21034091.329999998</v>
      </c>
      <c r="HK14" s="150">
        <f t="shared" si="10"/>
        <v>594904.60000000009</v>
      </c>
      <c r="HL14" s="150">
        <f t="shared" si="10"/>
        <v>0</v>
      </c>
      <c r="HM14" s="150">
        <f t="shared" si="10"/>
        <v>0</v>
      </c>
      <c r="HN14" s="150">
        <f t="shared" si="10"/>
        <v>0</v>
      </c>
      <c r="HO14" s="150">
        <f t="shared" si="10"/>
        <v>0</v>
      </c>
      <c r="HP14" s="150">
        <f t="shared" si="10"/>
        <v>0</v>
      </c>
      <c r="HQ14" s="150">
        <f t="shared" si="10"/>
        <v>3682840890.8399997</v>
      </c>
      <c r="HR14" s="150">
        <f t="shared" si="10"/>
        <v>1803996800</v>
      </c>
      <c r="HS14" s="150">
        <f t="shared" si="10"/>
        <v>1878844090.8399997</v>
      </c>
      <c r="HT14" s="150">
        <f t="shared" si="10"/>
        <v>1770226960.0699999</v>
      </c>
      <c r="HU14" s="150">
        <f t="shared" si="10"/>
        <v>22817512.800000001</v>
      </c>
      <c r="HV14" s="150">
        <f t="shared" si="10"/>
        <v>0</v>
      </c>
      <c r="HW14" s="150">
        <f t="shared" si="10"/>
        <v>3602726822.2899995</v>
      </c>
      <c r="HX14" s="150">
        <f t="shared" si="10"/>
        <v>1763909249.8999999</v>
      </c>
      <c r="HY14" s="150">
        <f t="shared" si="10"/>
        <v>0</v>
      </c>
      <c r="HZ14" s="150">
        <f t="shared" si="10"/>
        <v>1838817572.3900001</v>
      </c>
      <c r="IA14" s="150">
        <f t="shared" si="10"/>
        <v>2656.8609699999993</v>
      </c>
      <c r="IB14" s="150">
        <f t="shared" si="10"/>
        <v>22817512.800000001</v>
      </c>
      <c r="IC14" s="150">
        <f t="shared" si="10"/>
        <v>6317710.169999999</v>
      </c>
      <c r="ID14" s="150">
        <f t="shared" si="10"/>
        <v>1763909249.8999999</v>
      </c>
      <c r="IE14" s="150">
        <f t="shared" si="10"/>
        <v>0</v>
      </c>
      <c r="IF14" s="150">
        <f t="shared" si="10"/>
        <v>1803996800</v>
      </c>
      <c r="IG14" s="150">
        <f t="shared" si="10"/>
        <v>1803996800</v>
      </c>
      <c r="IH14" s="150">
        <f t="shared" si="10"/>
        <v>0</v>
      </c>
      <c r="II14" s="150">
        <f t="shared" si="10"/>
        <v>0</v>
      </c>
      <c r="IJ14" s="150">
        <f t="shared" si="10"/>
        <v>0</v>
      </c>
      <c r="IK14" s="150">
        <f t="shared" si="10"/>
        <v>0</v>
      </c>
      <c r="IL14" s="150">
        <f t="shared" si="10"/>
        <v>0</v>
      </c>
      <c r="IM14" s="150">
        <f t="shared" si="10"/>
        <v>413648.83</v>
      </c>
      <c r="IN14" s="150">
        <f t="shared" si="10"/>
        <v>0</v>
      </c>
      <c r="IO14" s="150">
        <f t="shared" si="10"/>
        <v>0</v>
      </c>
      <c r="IP14" s="150">
        <f t="shared" si="10"/>
        <v>0</v>
      </c>
      <c r="IQ14" s="150">
        <f t="shared" si="10"/>
        <v>0</v>
      </c>
      <c r="IR14" s="150">
        <f t="shared" si="10"/>
        <v>0</v>
      </c>
      <c r="IS14" s="150">
        <f t="shared" si="10"/>
        <v>0</v>
      </c>
      <c r="IT14" s="150">
        <f t="shared" si="10"/>
        <v>413648.83</v>
      </c>
      <c r="IU14" s="150">
        <f t="shared" si="10"/>
        <v>0</v>
      </c>
      <c r="IV14" s="150">
        <f t="shared" si="10"/>
        <v>0</v>
      </c>
      <c r="IW14" s="150">
        <f t="shared" si="10"/>
        <v>0</v>
      </c>
      <c r="IX14" s="150">
        <f t="shared" si="10"/>
        <v>0</v>
      </c>
      <c r="IY14" s="150">
        <f t="shared" si="10"/>
        <v>0</v>
      </c>
      <c r="IZ14" s="150">
        <f t="shared" si="10"/>
        <v>0</v>
      </c>
      <c r="JA14" s="150">
        <f t="shared" si="10"/>
        <v>935155328.58000004</v>
      </c>
      <c r="JB14" s="150">
        <f t="shared" si="10"/>
        <v>391805100</v>
      </c>
      <c r="JC14" s="150">
        <f t="shared" si="10"/>
        <v>543350228.57999992</v>
      </c>
      <c r="JD14" s="150">
        <f t="shared" si="10"/>
        <v>352026736.27999997</v>
      </c>
      <c r="JE14" s="150">
        <f t="shared" si="10"/>
        <v>16339611.92</v>
      </c>
      <c r="JF14" s="150">
        <f t="shared" si="10"/>
        <v>0</v>
      </c>
      <c r="JG14" s="150">
        <f t="shared" si="10"/>
        <v>752765099.52999997</v>
      </c>
      <c r="JH14" s="150">
        <f t="shared" si="10"/>
        <v>352026235.45000005</v>
      </c>
      <c r="JI14" s="150">
        <f t="shared" si="10"/>
        <v>0</v>
      </c>
      <c r="JJ14" s="150">
        <f t="shared" ref="JJ14:LU14" si="11">SUM(JJ15:JJ23)</f>
        <v>400738864.08000004</v>
      </c>
      <c r="JK14" s="150">
        <f t="shared" si="11"/>
        <v>879.65710999999999</v>
      </c>
      <c r="JL14" s="150">
        <f t="shared" si="11"/>
        <v>16339611.92</v>
      </c>
      <c r="JM14" s="150">
        <f t="shared" si="11"/>
        <v>500.83</v>
      </c>
      <c r="JN14" s="150">
        <f t="shared" si="11"/>
        <v>352026235.45000005</v>
      </c>
      <c r="JO14" s="150">
        <f t="shared" si="11"/>
        <v>0</v>
      </c>
      <c r="JP14" s="150">
        <f t="shared" si="11"/>
        <v>391805100</v>
      </c>
      <c r="JQ14" s="150">
        <f t="shared" si="11"/>
        <v>391805100</v>
      </c>
      <c r="JR14" s="150">
        <f t="shared" si="11"/>
        <v>0</v>
      </c>
      <c r="JS14" s="150">
        <f t="shared" si="11"/>
        <v>0</v>
      </c>
      <c r="JT14" s="150">
        <f t="shared" si="11"/>
        <v>0</v>
      </c>
      <c r="JU14" s="150">
        <f t="shared" si="11"/>
        <v>0</v>
      </c>
      <c r="JV14" s="150">
        <f t="shared" si="11"/>
        <v>0</v>
      </c>
      <c r="JW14" s="150">
        <f t="shared" si="11"/>
        <v>402248.84</v>
      </c>
      <c r="JX14" s="150">
        <f t="shared" si="11"/>
        <v>0</v>
      </c>
      <c r="JY14" s="150">
        <f t="shared" si="11"/>
        <v>0</v>
      </c>
      <c r="JZ14" s="150">
        <f t="shared" si="11"/>
        <v>0</v>
      </c>
      <c r="KA14" s="150">
        <f t="shared" si="11"/>
        <v>0</v>
      </c>
      <c r="KB14" s="150">
        <f t="shared" si="11"/>
        <v>0</v>
      </c>
      <c r="KC14" s="150">
        <f t="shared" si="11"/>
        <v>0</v>
      </c>
      <c r="KD14" s="150">
        <f t="shared" si="11"/>
        <v>402248.84</v>
      </c>
      <c r="KE14" s="150">
        <f t="shared" si="11"/>
        <v>0</v>
      </c>
      <c r="KF14" s="150">
        <f t="shared" si="11"/>
        <v>0</v>
      </c>
      <c r="KG14" s="150">
        <f t="shared" si="11"/>
        <v>0</v>
      </c>
      <c r="KH14" s="150">
        <f t="shared" si="11"/>
        <v>0</v>
      </c>
      <c r="KI14" s="150">
        <f t="shared" si="11"/>
        <v>0</v>
      </c>
      <c r="KJ14" s="150">
        <f t="shared" si="11"/>
        <v>0</v>
      </c>
      <c r="KK14" s="150">
        <f t="shared" si="11"/>
        <v>505681801.81</v>
      </c>
      <c r="KL14" s="150">
        <f t="shared" si="11"/>
        <v>156680800</v>
      </c>
      <c r="KM14" s="150">
        <f t="shared" si="11"/>
        <v>349001001.81</v>
      </c>
      <c r="KN14" s="150">
        <f t="shared" si="11"/>
        <v>155402587.40000001</v>
      </c>
      <c r="KO14" s="150">
        <f t="shared" si="11"/>
        <v>76059</v>
      </c>
      <c r="KP14" s="150">
        <f t="shared" si="11"/>
        <v>0</v>
      </c>
      <c r="KQ14" s="150">
        <f t="shared" si="11"/>
        <v>502557883.03000003</v>
      </c>
      <c r="KR14" s="150">
        <f t="shared" si="11"/>
        <v>155402587.40000001</v>
      </c>
      <c r="KS14" s="150">
        <f t="shared" si="11"/>
        <v>0</v>
      </c>
      <c r="KT14" s="150">
        <f t="shared" si="11"/>
        <v>347155295.62999994</v>
      </c>
      <c r="KU14" s="150">
        <f t="shared" si="11"/>
        <v>2422.4335700000001</v>
      </c>
      <c r="KV14" s="150">
        <f t="shared" si="11"/>
        <v>76059</v>
      </c>
      <c r="KW14" s="150">
        <f t="shared" si="11"/>
        <v>0</v>
      </c>
      <c r="KX14" s="150">
        <f t="shared" si="11"/>
        <v>155402587.40000001</v>
      </c>
      <c r="KY14" s="150">
        <f t="shared" si="11"/>
        <v>0</v>
      </c>
      <c r="KZ14" s="150">
        <f t="shared" si="11"/>
        <v>156680800</v>
      </c>
      <c r="LA14" s="150">
        <f t="shared" si="11"/>
        <v>156680800</v>
      </c>
      <c r="LB14" s="150">
        <f t="shared" si="11"/>
        <v>0</v>
      </c>
      <c r="LC14" s="150">
        <f t="shared" si="11"/>
        <v>0</v>
      </c>
      <c r="LD14" s="150">
        <f t="shared" si="11"/>
        <v>0</v>
      </c>
      <c r="LE14" s="150">
        <f t="shared" si="11"/>
        <v>0</v>
      </c>
      <c r="LF14" s="150">
        <f t="shared" si="11"/>
        <v>0</v>
      </c>
      <c r="LG14" s="150">
        <f t="shared" si="11"/>
        <v>0</v>
      </c>
      <c r="LH14" s="150">
        <f t="shared" si="11"/>
        <v>0</v>
      </c>
      <c r="LI14" s="150">
        <f t="shared" si="11"/>
        <v>0</v>
      </c>
      <c r="LJ14" s="150">
        <f t="shared" si="11"/>
        <v>0</v>
      </c>
      <c r="LK14" s="150">
        <f t="shared" si="11"/>
        <v>0</v>
      </c>
      <c r="LL14" s="150">
        <f t="shared" si="11"/>
        <v>0</v>
      </c>
      <c r="LM14" s="150">
        <f t="shared" si="11"/>
        <v>0</v>
      </c>
      <c r="LN14" s="150">
        <f t="shared" si="11"/>
        <v>0</v>
      </c>
      <c r="LO14" s="150">
        <f t="shared" si="11"/>
        <v>0</v>
      </c>
      <c r="LP14" s="150">
        <f t="shared" si="11"/>
        <v>0</v>
      </c>
      <c r="LQ14" s="150">
        <f t="shared" si="11"/>
        <v>0</v>
      </c>
      <c r="LR14" s="150">
        <f t="shared" si="11"/>
        <v>0</v>
      </c>
      <c r="LS14" s="150">
        <f t="shared" si="11"/>
        <v>0</v>
      </c>
      <c r="LT14" s="150">
        <f t="shared" si="11"/>
        <v>0</v>
      </c>
      <c r="LU14" s="150">
        <f t="shared" si="11"/>
        <v>280710244.25999999</v>
      </c>
      <c r="LV14" s="150">
        <f t="shared" ref="LV14:OG14" si="12">SUM(LV15:LV23)</f>
        <v>117527800</v>
      </c>
      <c r="LW14" s="150">
        <f t="shared" si="12"/>
        <v>163182444.25999999</v>
      </c>
      <c r="LX14" s="150">
        <f t="shared" si="12"/>
        <v>112040702.73999999</v>
      </c>
      <c r="LY14" s="150">
        <f t="shared" si="12"/>
        <v>22767360</v>
      </c>
      <c r="LZ14" s="150">
        <f t="shared" si="12"/>
        <v>0</v>
      </c>
      <c r="MA14" s="150">
        <f t="shared" si="12"/>
        <v>270008996.13</v>
      </c>
      <c r="MB14" s="150">
        <f t="shared" si="12"/>
        <v>112040697.47000001</v>
      </c>
      <c r="MC14" s="150">
        <f t="shared" si="12"/>
        <v>0</v>
      </c>
      <c r="MD14" s="150">
        <f t="shared" si="12"/>
        <v>157968298.66</v>
      </c>
      <c r="ME14" s="150">
        <f t="shared" si="12"/>
        <v>1738.6875400000001</v>
      </c>
      <c r="MF14" s="150">
        <f t="shared" si="12"/>
        <v>22767360</v>
      </c>
      <c r="MG14" s="150">
        <f t="shared" si="12"/>
        <v>5.27</v>
      </c>
      <c r="MH14" s="150">
        <f t="shared" si="12"/>
        <v>112040697.47000001</v>
      </c>
      <c r="MI14" s="150">
        <f t="shared" si="12"/>
        <v>0</v>
      </c>
      <c r="MJ14" s="150">
        <f t="shared" si="12"/>
        <v>117527800</v>
      </c>
      <c r="MK14" s="150">
        <f t="shared" si="12"/>
        <v>117527800</v>
      </c>
      <c r="ML14" s="150">
        <f t="shared" si="12"/>
        <v>0</v>
      </c>
      <c r="MM14" s="150">
        <f t="shared" si="12"/>
        <v>0</v>
      </c>
      <c r="MN14" s="150">
        <f t="shared" si="12"/>
        <v>0</v>
      </c>
      <c r="MO14" s="150">
        <f t="shared" si="12"/>
        <v>0</v>
      </c>
      <c r="MP14" s="150">
        <f t="shared" si="12"/>
        <v>0</v>
      </c>
      <c r="MQ14" s="150">
        <f t="shared" si="12"/>
        <v>0</v>
      </c>
      <c r="MR14" s="150">
        <f t="shared" si="12"/>
        <v>0</v>
      </c>
      <c r="MS14" s="150">
        <f t="shared" si="12"/>
        <v>0</v>
      </c>
      <c r="MT14" s="150">
        <f t="shared" si="12"/>
        <v>0</v>
      </c>
      <c r="MU14" s="150">
        <f t="shared" si="12"/>
        <v>0</v>
      </c>
      <c r="MV14" s="150">
        <f t="shared" si="12"/>
        <v>0</v>
      </c>
      <c r="MW14" s="150">
        <f t="shared" si="12"/>
        <v>0</v>
      </c>
      <c r="MX14" s="150">
        <f t="shared" si="12"/>
        <v>0</v>
      </c>
      <c r="MY14" s="150">
        <f t="shared" si="12"/>
        <v>0</v>
      </c>
      <c r="MZ14" s="150">
        <f t="shared" si="12"/>
        <v>0</v>
      </c>
      <c r="NA14" s="150">
        <f t="shared" si="12"/>
        <v>0</v>
      </c>
      <c r="NB14" s="150">
        <f t="shared" si="12"/>
        <v>0</v>
      </c>
      <c r="NC14" s="150">
        <f t="shared" si="12"/>
        <v>0</v>
      </c>
      <c r="ND14" s="150">
        <f t="shared" si="12"/>
        <v>0</v>
      </c>
      <c r="NE14" s="150">
        <f t="shared" si="12"/>
        <v>1447587764.7400002</v>
      </c>
      <c r="NF14" s="150">
        <f t="shared" si="12"/>
        <v>783541800</v>
      </c>
      <c r="NG14" s="150">
        <f t="shared" si="12"/>
        <v>664045964.74000001</v>
      </c>
      <c r="NH14" s="150">
        <f t="shared" si="12"/>
        <v>748110572.51999998</v>
      </c>
      <c r="NI14" s="150">
        <f t="shared" si="12"/>
        <v>10391920</v>
      </c>
      <c r="NJ14" s="150">
        <f t="shared" si="12"/>
        <v>0</v>
      </c>
      <c r="NK14" s="150">
        <f t="shared" si="12"/>
        <v>1354535351.9000001</v>
      </c>
      <c r="NL14" s="150">
        <f t="shared" si="12"/>
        <v>746674177.73000002</v>
      </c>
      <c r="NM14" s="150">
        <f t="shared" si="12"/>
        <v>0</v>
      </c>
      <c r="NN14" s="150">
        <f t="shared" si="12"/>
        <v>607861174.16999996</v>
      </c>
      <c r="NO14" s="150">
        <f t="shared" si="12"/>
        <v>849.13232000000016</v>
      </c>
      <c r="NP14" s="150">
        <f t="shared" si="12"/>
        <v>10391920</v>
      </c>
      <c r="NQ14" s="150">
        <f t="shared" si="12"/>
        <v>1436394.79</v>
      </c>
      <c r="NR14" s="150">
        <f t="shared" si="12"/>
        <v>746674177.73000002</v>
      </c>
      <c r="NS14" s="150">
        <f t="shared" si="12"/>
        <v>0</v>
      </c>
      <c r="NT14" s="150">
        <f t="shared" si="12"/>
        <v>783541800</v>
      </c>
      <c r="NU14" s="150">
        <f t="shared" si="12"/>
        <v>783541800</v>
      </c>
      <c r="NV14" s="150">
        <f t="shared" si="12"/>
        <v>0</v>
      </c>
      <c r="NW14" s="150">
        <f t="shared" si="12"/>
        <v>0</v>
      </c>
      <c r="NX14" s="150">
        <f t="shared" si="12"/>
        <v>0</v>
      </c>
      <c r="NY14" s="150">
        <f t="shared" si="12"/>
        <v>0</v>
      </c>
      <c r="NZ14" s="150">
        <f t="shared" si="12"/>
        <v>0</v>
      </c>
      <c r="OA14" s="150">
        <f t="shared" si="12"/>
        <v>0</v>
      </c>
      <c r="OB14" s="150">
        <f t="shared" si="12"/>
        <v>0</v>
      </c>
      <c r="OC14" s="150">
        <f t="shared" si="12"/>
        <v>0</v>
      </c>
      <c r="OD14" s="150">
        <f t="shared" si="12"/>
        <v>0</v>
      </c>
      <c r="OE14" s="150">
        <f t="shared" si="12"/>
        <v>0</v>
      </c>
      <c r="OF14" s="150">
        <f t="shared" si="12"/>
        <v>0</v>
      </c>
      <c r="OG14" s="150">
        <f t="shared" si="12"/>
        <v>0</v>
      </c>
      <c r="OH14" s="150">
        <f t="shared" ref="OH14:QO14" si="13">SUM(OH15:OH23)</f>
        <v>0</v>
      </c>
      <c r="OI14" s="150">
        <f t="shared" si="13"/>
        <v>0</v>
      </c>
      <c r="OJ14" s="150">
        <f t="shared" si="13"/>
        <v>0</v>
      </c>
      <c r="OK14" s="150">
        <f t="shared" si="13"/>
        <v>0</v>
      </c>
      <c r="OL14" s="150">
        <f t="shared" si="13"/>
        <v>0</v>
      </c>
      <c r="OM14" s="150">
        <f t="shared" si="13"/>
        <v>0</v>
      </c>
      <c r="ON14" s="150">
        <f t="shared" si="13"/>
        <v>0</v>
      </c>
      <c r="OO14" s="150">
        <f t="shared" si="13"/>
        <v>183704388.74000001</v>
      </c>
      <c r="OP14" s="150">
        <f t="shared" si="13"/>
        <v>76455200</v>
      </c>
      <c r="OQ14" s="150">
        <f t="shared" si="13"/>
        <v>107249188.73999999</v>
      </c>
      <c r="OR14" s="150">
        <f t="shared" si="13"/>
        <v>76393063.030000001</v>
      </c>
      <c r="OS14" s="150">
        <f t="shared" si="13"/>
        <v>7280</v>
      </c>
      <c r="OT14" s="150">
        <f t="shared" si="13"/>
        <v>0</v>
      </c>
      <c r="OU14" s="150">
        <f t="shared" si="13"/>
        <v>183514643.17000002</v>
      </c>
      <c r="OV14" s="150">
        <f t="shared" si="13"/>
        <v>76392379.879999995</v>
      </c>
      <c r="OW14" s="150">
        <f t="shared" si="13"/>
        <v>0</v>
      </c>
      <c r="OX14" s="150">
        <f t="shared" si="13"/>
        <v>107122263.29000001</v>
      </c>
      <c r="OY14" s="150">
        <f t="shared" si="13"/>
        <v>2321.1804300000003</v>
      </c>
      <c r="OZ14" s="150">
        <f t="shared" si="13"/>
        <v>7280</v>
      </c>
      <c r="PA14" s="150">
        <f t="shared" si="13"/>
        <v>683.15</v>
      </c>
      <c r="PB14" s="150">
        <f t="shared" si="13"/>
        <v>76392379.879999995</v>
      </c>
      <c r="PC14" s="150">
        <f t="shared" si="13"/>
        <v>0</v>
      </c>
      <c r="PD14" s="150">
        <f t="shared" si="13"/>
        <v>76455200</v>
      </c>
      <c r="PE14" s="150">
        <f t="shared" si="13"/>
        <v>76455200</v>
      </c>
      <c r="PF14" s="150">
        <f t="shared" si="13"/>
        <v>0</v>
      </c>
      <c r="PG14" s="150">
        <f t="shared" si="13"/>
        <v>0</v>
      </c>
      <c r="PH14" s="150">
        <f t="shared" si="13"/>
        <v>0</v>
      </c>
      <c r="PI14" s="150">
        <f t="shared" si="13"/>
        <v>0</v>
      </c>
      <c r="PJ14" s="150">
        <f t="shared" si="13"/>
        <v>0</v>
      </c>
      <c r="PK14" s="150">
        <f t="shared" si="13"/>
        <v>0</v>
      </c>
      <c r="PL14" s="150">
        <f t="shared" si="13"/>
        <v>0</v>
      </c>
      <c r="PM14" s="150">
        <f t="shared" si="13"/>
        <v>0</v>
      </c>
      <c r="PN14" s="150">
        <f t="shared" si="13"/>
        <v>0</v>
      </c>
      <c r="PO14" s="150">
        <f t="shared" si="13"/>
        <v>0</v>
      </c>
      <c r="PP14" s="150">
        <f t="shared" si="13"/>
        <v>0</v>
      </c>
      <c r="PQ14" s="150">
        <f t="shared" si="13"/>
        <v>0</v>
      </c>
      <c r="PR14" s="150">
        <f t="shared" si="13"/>
        <v>0</v>
      </c>
      <c r="PS14" s="150">
        <f t="shared" si="13"/>
        <v>0</v>
      </c>
      <c r="PT14" s="150">
        <f t="shared" si="13"/>
        <v>0</v>
      </c>
      <c r="PU14" s="150">
        <f t="shared" si="13"/>
        <v>0</v>
      </c>
      <c r="PV14" s="150">
        <f t="shared" si="13"/>
        <v>0</v>
      </c>
      <c r="PW14" s="150">
        <f t="shared" si="13"/>
        <v>0</v>
      </c>
      <c r="PX14" s="150">
        <f t="shared" si="13"/>
        <v>0</v>
      </c>
      <c r="PY14" s="150">
        <f t="shared" si="13"/>
        <v>0</v>
      </c>
      <c r="PZ14" s="150">
        <f t="shared" si="13"/>
        <v>0</v>
      </c>
      <c r="QA14" s="150">
        <f t="shared" si="13"/>
        <v>0</v>
      </c>
      <c r="QB14" s="150">
        <f t="shared" si="13"/>
        <v>0</v>
      </c>
      <c r="QC14" s="150">
        <f t="shared" si="13"/>
        <v>625216674.13999999</v>
      </c>
      <c r="QD14" s="150">
        <f t="shared" si="13"/>
        <v>0</v>
      </c>
      <c r="QE14" s="150">
        <f t="shared" si="13"/>
        <v>0</v>
      </c>
      <c r="QF14" s="150">
        <f t="shared" si="13"/>
        <v>0</v>
      </c>
      <c r="QG14" s="150">
        <f t="shared" si="13"/>
        <v>0</v>
      </c>
      <c r="QH14" s="150">
        <f t="shared" si="13"/>
        <v>0</v>
      </c>
      <c r="QI14" s="150">
        <f t="shared" si="13"/>
        <v>0</v>
      </c>
      <c r="QJ14" s="150">
        <f t="shared" si="13"/>
        <v>617944105.96000004</v>
      </c>
      <c r="QK14" s="150">
        <f t="shared" si="13"/>
        <v>7272568.1799999997</v>
      </c>
      <c r="QL14" s="150">
        <f t="shared" si="13"/>
        <v>0</v>
      </c>
      <c r="QM14" s="150">
        <f t="shared" si="13"/>
        <v>0</v>
      </c>
      <c r="QN14" s="150">
        <f t="shared" si="13"/>
        <v>0</v>
      </c>
      <c r="QO14" s="150">
        <f t="shared" si="13"/>
        <v>0</v>
      </c>
    </row>
    <row r="15" spans="1:457" x14ac:dyDescent="0.25">
      <c r="A15" s="133" t="s">
        <v>1</v>
      </c>
      <c r="B15" s="134" t="s">
        <v>2</v>
      </c>
      <c r="C15" s="135" t="s">
        <v>4</v>
      </c>
      <c r="F15" s="150">
        <f>data_1!F15</f>
        <v>0</v>
      </c>
      <c r="G15" s="150">
        <f>data_1!G15</f>
        <v>0</v>
      </c>
      <c r="H15" s="150">
        <f>data_1!H15</f>
        <v>0</v>
      </c>
      <c r="I15" s="150">
        <f>data_1!I15</f>
        <v>0</v>
      </c>
      <c r="J15" s="150">
        <f>data_1!J15</f>
        <v>0</v>
      </c>
      <c r="K15" s="150">
        <f>data_1!K15</f>
        <v>0</v>
      </c>
      <c r="L15" s="150">
        <f>data_1!L15</f>
        <v>0</v>
      </c>
      <c r="M15" s="150">
        <f>data_1!M15</f>
        <v>0</v>
      </c>
      <c r="N15" s="150">
        <f>data_1!N15</f>
        <v>0</v>
      </c>
      <c r="O15" s="150">
        <f>data_1!O15</f>
        <v>0</v>
      </c>
      <c r="P15" s="150">
        <f>data_1!P15</f>
        <v>0</v>
      </c>
      <c r="Q15" s="150">
        <f>data_1!Q15</f>
        <v>0</v>
      </c>
      <c r="R15" s="150">
        <f>data_1!R15</f>
        <v>0</v>
      </c>
      <c r="S15" s="150">
        <f>data_1!S15</f>
        <v>0</v>
      </c>
      <c r="T15" s="150">
        <f>data_1!T15</f>
        <v>0</v>
      </c>
      <c r="U15" s="150">
        <f>data_1!U15</f>
        <v>0</v>
      </c>
      <c r="V15" s="150">
        <f>data_1!V15</f>
        <v>0</v>
      </c>
      <c r="W15" s="150">
        <f>data_1!W15</f>
        <v>0</v>
      </c>
      <c r="X15" s="150">
        <f>data_1!X15</f>
        <v>0</v>
      </c>
      <c r="Y15" s="150">
        <f>data_1!Y15</f>
        <v>0</v>
      </c>
      <c r="Z15" s="211">
        <f>data_1!Z15</f>
        <v>0</v>
      </c>
      <c r="AA15" s="211">
        <f>data_1!AA15</f>
        <v>0</v>
      </c>
      <c r="AB15" s="211">
        <f>data_1!AB15</f>
        <v>0</v>
      </c>
      <c r="AC15" s="211">
        <f>data_1!AC15</f>
        <v>0</v>
      </c>
      <c r="AD15" s="211">
        <f>data_1!AD15</f>
        <v>0</v>
      </c>
      <c r="AE15" s="211">
        <f>data_1!AE15</f>
        <v>0</v>
      </c>
      <c r="AF15" s="211">
        <f>data_1!AF15</f>
        <v>0</v>
      </c>
      <c r="AG15" s="211">
        <f>data_1!AG15</f>
        <v>0</v>
      </c>
      <c r="AH15" s="211">
        <f>data_1!AH15</f>
        <v>0</v>
      </c>
      <c r="AI15" s="211">
        <f>data_1!AI15</f>
        <v>0</v>
      </c>
      <c r="AJ15" s="211">
        <f>data_1!AJ15</f>
        <v>0</v>
      </c>
      <c r="AK15" s="211">
        <f>data_1!AK15</f>
        <v>0</v>
      </c>
      <c r="AL15" s="211">
        <f>data_1!AL15</f>
        <v>0</v>
      </c>
      <c r="AM15" s="211">
        <f>data_1!AM15</f>
        <v>0</v>
      </c>
      <c r="AN15" s="211">
        <f>data_1!AN15</f>
        <v>0</v>
      </c>
      <c r="AO15" s="211">
        <f>data_1!AO15</f>
        <v>0</v>
      </c>
      <c r="AP15" s="211">
        <f>data_1!AP15</f>
        <v>0</v>
      </c>
      <c r="AQ15" s="211">
        <f>data_1!AQ15</f>
        <v>0</v>
      </c>
      <c r="AR15" s="150">
        <f>data_1!AR15</f>
        <v>0</v>
      </c>
      <c r="AS15" s="150">
        <f>data_1!AS15</f>
        <v>0</v>
      </c>
      <c r="AT15" s="150">
        <f>data_1!AT15</f>
        <v>0</v>
      </c>
      <c r="AU15" s="150">
        <f>data_1!AU15</f>
        <v>0</v>
      </c>
      <c r="AV15" s="150">
        <f>data_1!AV15</f>
        <v>0</v>
      </c>
      <c r="AW15" s="150">
        <f>data_1!AW15</f>
        <v>0</v>
      </c>
      <c r="AX15" s="150">
        <f>data_1!AX15</f>
        <v>0</v>
      </c>
      <c r="AY15" s="150">
        <f>data_1!AY15</f>
        <v>0</v>
      </c>
      <c r="AZ15" s="150">
        <f>data_1!AZ15</f>
        <v>0</v>
      </c>
      <c r="BA15" s="150">
        <f>data_1!BA15</f>
        <v>0</v>
      </c>
      <c r="BB15" s="150">
        <f>data_1!BB15</f>
        <v>0</v>
      </c>
      <c r="BC15" s="150">
        <f>data_1!BC15</f>
        <v>0</v>
      </c>
      <c r="BD15" s="150">
        <f>data_1!BD15</f>
        <v>0</v>
      </c>
      <c r="BE15" s="150">
        <f>data_1!BE15</f>
        <v>0</v>
      </c>
      <c r="BF15" s="150">
        <f>data_1!BF15</f>
        <v>0</v>
      </c>
      <c r="BG15" s="150">
        <f>data_1!BG15</f>
        <v>0</v>
      </c>
      <c r="BH15" s="150">
        <f>data_1!BH15</f>
        <v>0</v>
      </c>
      <c r="BI15" s="150">
        <f>data_1!BI15</f>
        <v>0</v>
      </c>
      <c r="BJ15" s="211">
        <f>data_1!BJ15</f>
        <v>0</v>
      </c>
      <c r="BK15" s="211">
        <f>data_1!BK15</f>
        <v>0</v>
      </c>
      <c r="BL15" s="211">
        <f>data_1!BL15</f>
        <v>0</v>
      </c>
      <c r="BM15" s="211">
        <f>data_1!BM15</f>
        <v>0</v>
      </c>
      <c r="BN15" s="211">
        <f>data_1!BN15</f>
        <v>0</v>
      </c>
      <c r="BO15" s="211">
        <f>data_1!BO15</f>
        <v>0</v>
      </c>
      <c r="BP15" s="211">
        <f>data_1!BP15</f>
        <v>0</v>
      </c>
      <c r="BQ15" s="211">
        <f>data_1!BQ15</f>
        <v>0</v>
      </c>
      <c r="BR15" s="211">
        <f>data_1!BR15</f>
        <v>0</v>
      </c>
      <c r="BS15" s="211">
        <f>data_1!BS15</f>
        <v>0</v>
      </c>
      <c r="BT15" s="211">
        <f>data_1!BT15</f>
        <v>0</v>
      </c>
      <c r="BU15" s="211">
        <f>data_1!BU15</f>
        <v>0</v>
      </c>
      <c r="BV15" s="211">
        <f>data_1!BV15</f>
        <v>0</v>
      </c>
      <c r="BW15" s="211">
        <f>data_1!BW15</f>
        <v>0</v>
      </c>
      <c r="BX15" s="211">
        <f>data_1!BX15</f>
        <v>0</v>
      </c>
      <c r="BY15" s="211">
        <f>data_1!BY15</f>
        <v>0</v>
      </c>
      <c r="BZ15" s="211">
        <f>data_1!BZ15</f>
        <v>0</v>
      </c>
      <c r="CA15" s="211">
        <f>data_1!CA15</f>
        <v>0</v>
      </c>
      <c r="CB15" s="150">
        <f>data_1!CB15</f>
        <v>0</v>
      </c>
      <c r="CC15" s="150">
        <f>data_1!CC15</f>
        <v>0</v>
      </c>
      <c r="CD15" s="150">
        <f>data_1!CD15</f>
        <v>0</v>
      </c>
      <c r="CE15" s="150">
        <f>data_1!CE15</f>
        <v>0</v>
      </c>
      <c r="CF15" s="150">
        <f>data_1!CF15</f>
        <v>0</v>
      </c>
      <c r="CG15" s="150">
        <f>data_1!CG15</f>
        <v>0</v>
      </c>
      <c r="CH15" s="150">
        <f>data_1!CH15</f>
        <v>0</v>
      </c>
      <c r="CI15" s="150">
        <f>data_1!CI15</f>
        <v>0</v>
      </c>
      <c r="CJ15" s="150">
        <f>data_1!CJ15</f>
        <v>0</v>
      </c>
      <c r="CK15" s="150">
        <f>data_1!CK15</f>
        <v>0</v>
      </c>
      <c r="CL15" s="150">
        <f>data_1!CL15</f>
        <v>0</v>
      </c>
      <c r="CM15" s="150">
        <f>data_1!CM15</f>
        <v>0</v>
      </c>
      <c r="CN15" s="150">
        <f>data_1!CN15</f>
        <v>0</v>
      </c>
      <c r="CO15" s="150">
        <f>data_1!CO15</f>
        <v>0</v>
      </c>
      <c r="CP15" s="150">
        <f>data_1!CP15</f>
        <v>0</v>
      </c>
      <c r="CQ15" s="150">
        <f>data_1!CQ15</f>
        <v>0</v>
      </c>
      <c r="CR15" s="150">
        <f>data_1!CR15</f>
        <v>0</v>
      </c>
      <c r="CS15" s="150">
        <f>data_1!CS15</f>
        <v>0</v>
      </c>
      <c r="CT15" s="150">
        <f>data_1!CT15</f>
        <v>0</v>
      </c>
      <c r="CU15" s="150">
        <f>data_1!CU15</f>
        <v>0</v>
      </c>
      <c r="CV15" s="150">
        <f>data_1!CV15</f>
        <v>0</v>
      </c>
      <c r="CW15" s="150">
        <f>data_1!CW15</f>
        <v>0</v>
      </c>
      <c r="CX15" s="150">
        <f>data_1!CX15</f>
        <v>0</v>
      </c>
      <c r="CY15" s="150">
        <f>data_1!CY15</f>
        <v>0</v>
      </c>
      <c r="CZ15" s="150">
        <f>data_1!CZ15</f>
        <v>0</v>
      </c>
      <c r="DA15" s="150">
        <f>data_1!DA15</f>
        <v>0</v>
      </c>
      <c r="DB15" s="150">
        <f>data_1!DB15</f>
        <v>0</v>
      </c>
      <c r="DC15" s="150">
        <f>data_1!DC15</f>
        <v>0</v>
      </c>
      <c r="DD15" s="150">
        <f>data_1!DD15</f>
        <v>0</v>
      </c>
      <c r="DE15" s="150">
        <f>data_1!DE15</f>
        <v>0</v>
      </c>
      <c r="DF15" s="150">
        <f>data_1!DF15</f>
        <v>0</v>
      </c>
      <c r="DG15" s="150">
        <f>data_1!DG15</f>
        <v>0</v>
      </c>
      <c r="DH15" s="150">
        <f>data_1!DH15</f>
        <v>0</v>
      </c>
      <c r="DI15" s="150">
        <f>data_1!DI15</f>
        <v>0</v>
      </c>
      <c r="DJ15" s="150">
        <f>data_1!DJ15</f>
        <v>0</v>
      </c>
      <c r="DK15" s="150">
        <f>data_1!DK15</f>
        <v>0</v>
      </c>
      <c r="DL15" s="211">
        <f>data_1!DL15</f>
        <v>0</v>
      </c>
      <c r="DM15" s="211">
        <f>data_1!DM15</f>
        <v>0</v>
      </c>
      <c r="DN15" s="211">
        <f>data_1!DN15</f>
        <v>0</v>
      </c>
      <c r="DO15" s="211">
        <f>data_1!DO15</f>
        <v>0</v>
      </c>
      <c r="DP15" s="211">
        <f>data_1!DP15</f>
        <v>0</v>
      </c>
      <c r="DQ15" s="211">
        <f>data_1!DQ15</f>
        <v>0</v>
      </c>
      <c r="DR15" s="211">
        <f>data_1!DR15</f>
        <v>0</v>
      </c>
      <c r="DS15" s="211">
        <f>data_1!DS15</f>
        <v>0</v>
      </c>
      <c r="DT15" s="211">
        <f>data_1!DT15</f>
        <v>0</v>
      </c>
      <c r="DU15" s="211">
        <f>data_1!DU15</f>
        <v>0</v>
      </c>
      <c r="DV15" s="211">
        <f>data_1!DV15</f>
        <v>0</v>
      </c>
      <c r="DW15" s="211">
        <f>data_1!DW15</f>
        <v>0</v>
      </c>
      <c r="DX15" s="211">
        <f>data_1!DX15</f>
        <v>0</v>
      </c>
      <c r="DY15" s="211">
        <f>data_1!DY15</f>
        <v>0</v>
      </c>
      <c r="DZ15" s="211">
        <f>data_1!DZ15</f>
        <v>0</v>
      </c>
      <c r="EA15" s="211">
        <f>data_1!EA15</f>
        <v>0</v>
      </c>
      <c r="EB15" s="211">
        <f>data_1!EB15</f>
        <v>0</v>
      </c>
      <c r="EC15" s="211">
        <f>data_1!EC15</f>
        <v>0</v>
      </c>
      <c r="ED15" s="150">
        <f>data_1!ED15</f>
        <v>0</v>
      </c>
      <c r="EE15" s="150">
        <f>data_1!EE15</f>
        <v>0</v>
      </c>
      <c r="EF15" s="150">
        <f>data_1!EF15</f>
        <v>0</v>
      </c>
      <c r="EG15" s="150">
        <f>data_1!EG15</f>
        <v>0</v>
      </c>
      <c r="EH15" s="150">
        <f>data_1!EH15</f>
        <v>0</v>
      </c>
      <c r="EI15" s="150">
        <f>data_1!EI15</f>
        <v>0</v>
      </c>
      <c r="EJ15" s="150">
        <f>data_1!EJ15</f>
        <v>0</v>
      </c>
      <c r="EK15" s="150">
        <f>data_1!EK15</f>
        <v>0</v>
      </c>
      <c r="EL15" s="150">
        <f>data_1!EL15</f>
        <v>0</v>
      </c>
      <c r="EM15" s="150">
        <f>data_1!EM15</f>
        <v>0</v>
      </c>
      <c r="EN15" s="150">
        <f>data_1!EN15</f>
        <v>0</v>
      </c>
      <c r="EO15" s="150">
        <f>data_1!EO15</f>
        <v>0</v>
      </c>
      <c r="EP15" s="150">
        <f>data_1!EP15</f>
        <v>0</v>
      </c>
      <c r="EQ15" s="150">
        <f>data_1!EQ15</f>
        <v>0</v>
      </c>
      <c r="ER15" s="150">
        <f>data_1!ER15</f>
        <v>0</v>
      </c>
      <c r="ES15" s="150">
        <f>data_1!ES15</f>
        <v>0</v>
      </c>
      <c r="ET15" s="150">
        <f>data_1!ET15</f>
        <v>0</v>
      </c>
      <c r="EU15" s="150">
        <f>data_1!EU15</f>
        <v>0</v>
      </c>
      <c r="EV15" s="211">
        <f>data_1!EV15</f>
        <v>0</v>
      </c>
      <c r="EW15" s="211">
        <f>data_1!EW15</f>
        <v>0</v>
      </c>
      <c r="EX15" s="211">
        <f>data_1!EX15</f>
        <v>0</v>
      </c>
      <c r="EY15" s="211">
        <f>data_1!EY15</f>
        <v>0</v>
      </c>
      <c r="EZ15" s="211">
        <f>data_1!EZ15</f>
        <v>0</v>
      </c>
      <c r="FA15" s="211">
        <f>data_1!FA15</f>
        <v>0</v>
      </c>
      <c r="FB15" s="211">
        <f>data_1!FB15</f>
        <v>0</v>
      </c>
      <c r="FC15" s="211">
        <f>data_1!FC15</f>
        <v>0</v>
      </c>
      <c r="FD15" s="211">
        <f>data_1!FD15</f>
        <v>0</v>
      </c>
      <c r="FE15" s="211">
        <f>data_1!FE15</f>
        <v>0</v>
      </c>
      <c r="FF15" s="211">
        <f>data_1!FF15</f>
        <v>0</v>
      </c>
      <c r="FG15" s="211">
        <f>data_1!FG15</f>
        <v>0</v>
      </c>
      <c r="FH15" s="211">
        <f>data_1!FH15</f>
        <v>0</v>
      </c>
      <c r="FI15" s="211">
        <f>data_1!FI15</f>
        <v>0</v>
      </c>
      <c r="FJ15" s="211">
        <f>data_1!FJ15</f>
        <v>0</v>
      </c>
      <c r="FK15" s="211">
        <f>data_1!FK15</f>
        <v>0</v>
      </c>
      <c r="FL15" s="211">
        <f>data_1!FL15</f>
        <v>0</v>
      </c>
      <c r="FM15" s="211">
        <f>data_1!FM15</f>
        <v>0</v>
      </c>
      <c r="FN15" s="150">
        <f>data_1!FN15</f>
        <v>0</v>
      </c>
      <c r="FO15" s="150">
        <f>data_1!FO15</f>
        <v>0</v>
      </c>
      <c r="FP15" s="150">
        <f>data_1!FP15</f>
        <v>0</v>
      </c>
      <c r="FQ15" s="150">
        <f>data_1!FQ15</f>
        <v>0</v>
      </c>
      <c r="FR15" s="150">
        <f>data_1!FR15</f>
        <v>0</v>
      </c>
      <c r="FS15" s="150">
        <f>data_1!FS15</f>
        <v>0</v>
      </c>
      <c r="FT15" s="150">
        <f>data_1!FT15</f>
        <v>0</v>
      </c>
      <c r="FU15" s="150">
        <f>data_1!FU15</f>
        <v>0</v>
      </c>
      <c r="FV15" s="150">
        <f>data_1!FV15</f>
        <v>0</v>
      </c>
      <c r="FW15" s="150">
        <f>data_1!FW15</f>
        <v>0</v>
      </c>
      <c r="FX15" s="150">
        <f>data_1!FX15</f>
        <v>0</v>
      </c>
      <c r="FY15" s="150">
        <f>data_1!FY15</f>
        <v>0</v>
      </c>
      <c r="FZ15" s="150">
        <f>data_1!FZ15</f>
        <v>0</v>
      </c>
      <c r="GA15" s="150">
        <f>data_1!GA15</f>
        <v>0</v>
      </c>
      <c r="GB15" s="150">
        <f>data_1!GB15</f>
        <v>0</v>
      </c>
      <c r="GC15" s="150">
        <f>data_1!GC15</f>
        <v>0</v>
      </c>
      <c r="GD15" s="150">
        <f>data_1!GD15</f>
        <v>0</v>
      </c>
      <c r="GE15" s="150">
        <f>data_1!GE15</f>
        <v>0</v>
      </c>
      <c r="GF15" s="150">
        <f>data_1!GF15</f>
        <v>0</v>
      </c>
      <c r="GG15" s="150">
        <f>data_1!GG15</f>
        <v>0</v>
      </c>
      <c r="GH15" s="150">
        <f>data_1!GH15</f>
        <v>0</v>
      </c>
      <c r="GI15" s="150">
        <f>data_1!GI15</f>
        <v>0</v>
      </c>
      <c r="GJ15" s="150">
        <f>data_1!GJ15</f>
        <v>0</v>
      </c>
      <c r="GK15" s="150">
        <f>data_1!GK15</f>
        <v>0</v>
      </c>
      <c r="GL15" s="150">
        <f>data_1!GL15</f>
        <v>0</v>
      </c>
      <c r="GM15" s="150">
        <f>data_1!GM15</f>
        <v>0</v>
      </c>
      <c r="GN15" s="150">
        <f>data_1!GN15</f>
        <v>0</v>
      </c>
      <c r="GO15" s="150">
        <f>data_1!GO15</f>
        <v>0</v>
      </c>
      <c r="GP15" s="150">
        <f>data_1!GP15</f>
        <v>0</v>
      </c>
      <c r="GQ15" s="150">
        <f>data_1!GQ15</f>
        <v>0</v>
      </c>
      <c r="GR15" s="150">
        <f>data_1!GR15</f>
        <v>0</v>
      </c>
      <c r="GS15" s="150">
        <f>data_1!GS15</f>
        <v>0</v>
      </c>
      <c r="GT15" s="150">
        <f>data_1!GT15</f>
        <v>0</v>
      </c>
      <c r="GU15" s="150">
        <f>data_1!GU15</f>
        <v>0</v>
      </c>
      <c r="GV15" s="150">
        <f>data_1!GV15</f>
        <v>0</v>
      </c>
      <c r="GW15" s="150">
        <f>data_1!GW15</f>
        <v>0</v>
      </c>
      <c r="GX15" s="150">
        <f>data_1!GX15</f>
        <v>0</v>
      </c>
      <c r="GY15" s="150">
        <f>data_1!GY15</f>
        <v>0</v>
      </c>
      <c r="GZ15" s="150">
        <f>data_1!GZ15</f>
        <v>0</v>
      </c>
      <c r="HA15" s="150">
        <f>data_1!HA15</f>
        <v>0</v>
      </c>
      <c r="HB15" s="150">
        <f>data_1!HB15</f>
        <v>0</v>
      </c>
      <c r="HC15" s="150">
        <f>data_1!HC15</f>
        <v>0</v>
      </c>
      <c r="HD15" s="150">
        <f>data_1!HD15</f>
        <v>0</v>
      </c>
      <c r="HE15" s="150">
        <f>data_1!HE15</f>
        <v>0</v>
      </c>
      <c r="HF15" s="150">
        <f>data_1!HF15</f>
        <v>0</v>
      </c>
      <c r="HG15" s="150">
        <f>data_1!HG15</f>
        <v>0</v>
      </c>
      <c r="HH15" s="150">
        <f>data_1!HH15</f>
        <v>0</v>
      </c>
      <c r="HI15" s="150">
        <f>data_1!HI15</f>
        <v>0</v>
      </c>
      <c r="HJ15" s="150">
        <f>data_1!HJ15</f>
        <v>0</v>
      </c>
      <c r="HK15" s="150">
        <f>data_1!HK15</f>
        <v>0</v>
      </c>
      <c r="HL15" s="150">
        <f>data_1!HL15</f>
        <v>0</v>
      </c>
      <c r="HM15" s="150">
        <f>data_1!HM15</f>
        <v>0</v>
      </c>
      <c r="HN15" s="150">
        <f>data_1!HN15</f>
        <v>0</v>
      </c>
      <c r="HO15" s="150">
        <f>data_1!HO15</f>
        <v>0</v>
      </c>
      <c r="HP15" s="150">
        <f>data_1!HP15</f>
        <v>0</v>
      </c>
      <c r="HQ15" s="150">
        <f>data_1!HQ15</f>
        <v>0</v>
      </c>
      <c r="HR15" s="150">
        <f>data_1!HR15</f>
        <v>0</v>
      </c>
      <c r="HS15" s="150">
        <f>data_1!HS15</f>
        <v>0</v>
      </c>
      <c r="HT15" s="150">
        <f>data_1!HT15</f>
        <v>0</v>
      </c>
      <c r="HU15" s="150">
        <f>data_1!HU15</f>
        <v>0</v>
      </c>
      <c r="HV15" s="150">
        <f>data_1!HV15</f>
        <v>0</v>
      </c>
      <c r="HW15" s="150">
        <f>data_1!HW15</f>
        <v>0</v>
      </c>
      <c r="HX15" s="150">
        <f>data_1!HX15</f>
        <v>0</v>
      </c>
      <c r="HY15" s="150">
        <f>data_1!HY15</f>
        <v>0</v>
      </c>
      <c r="HZ15" s="150">
        <f>data_1!HZ15</f>
        <v>0</v>
      </c>
      <c r="IA15" s="150">
        <f>data_1!IA15</f>
        <v>0</v>
      </c>
      <c r="IB15" s="150">
        <f>data_1!IB15</f>
        <v>0</v>
      </c>
      <c r="IC15" s="150">
        <f>data_1!IC15</f>
        <v>0</v>
      </c>
      <c r="ID15" s="150">
        <f>data_1!ID15</f>
        <v>0</v>
      </c>
      <c r="IE15" s="150">
        <f>data_1!IE15</f>
        <v>0</v>
      </c>
      <c r="IF15" s="150">
        <f>data_1!IF15</f>
        <v>0</v>
      </c>
      <c r="IG15" s="150">
        <f>data_1!IG15</f>
        <v>0</v>
      </c>
      <c r="IH15" s="150">
        <f>data_1!IH15</f>
        <v>0</v>
      </c>
      <c r="II15" s="150">
        <f>data_1!II15</f>
        <v>0</v>
      </c>
      <c r="IJ15" s="150">
        <f>data_1!IJ15</f>
        <v>0</v>
      </c>
      <c r="IK15" s="150">
        <f>data_1!IK15</f>
        <v>0</v>
      </c>
      <c r="IL15" s="150">
        <f>data_1!IL15</f>
        <v>0</v>
      </c>
      <c r="IM15" s="150">
        <f>data_1!IM15</f>
        <v>0</v>
      </c>
      <c r="IN15" s="150">
        <f>data_1!IN15</f>
        <v>0</v>
      </c>
      <c r="IO15" s="150">
        <f>data_1!IO15</f>
        <v>0</v>
      </c>
      <c r="IP15" s="150">
        <f>data_1!IP15</f>
        <v>0</v>
      </c>
      <c r="IQ15" s="150">
        <f>data_1!IQ15</f>
        <v>0</v>
      </c>
      <c r="IR15" s="150">
        <f>data_1!IR15</f>
        <v>0</v>
      </c>
      <c r="IS15" s="150">
        <f>data_1!IS15</f>
        <v>0</v>
      </c>
      <c r="IT15" s="150">
        <f>data_1!IT15</f>
        <v>0</v>
      </c>
      <c r="IU15" s="150">
        <f>data_1!IU15</f>
        <v>0</v>
      </c>
      <c r="IV15" s="150">
        <f>data_1!IV15</f>
        <v>0</v>
      </c>
      <c r="IW15" s="150">
        <f>data_1!IW15</f>
        <v>0</v>
      </c>
      <c r="IX15" s="150">
        <f>data_1!IX15</f>
        <v>0</v>
      </c>
      <c r="IY15" s="150">
        <f>data_1!IY15</f>
        <v>0</v>
      </c>
      <c r="IZ15" s="150">
        <f>data_1!IZ15</f>
        <v>0</v>
      </c>
      <c r="JA15" s="150">
        <f>data_1!JA15</f>
        <v>0</v>
      </c>
      <c r="JB15" s="150">
        <f>data_1!JB15</f>
        <v>0</v>
      </c>
      <c r="JC15" s="150">
        <f>data_1!JC15</f>
        <v>0</v>
      </c>
      <c r="JD15" s="150">
        <f>data_1!JD15</f>
        <v>0</v>
      </c>
      <c r="JE15" s="150">
        <f>data_1!JE15</f>
        <v>0</v>
      </c>
      <c r="JF15" s="150">
        <f>data_1!JF15</f>
        <v>0</v>
      </c>
      <c r="JG15" s="150">
        <f>data_1!JG15</f>
        <v>0</v>
      </c>
      <c r="JH15" s="150">
        <f>data_1!JH15</f>
        <v>0</v>
      </c>
      <c r="JI15" s="150">
        <f>data_1!JI15</f>
        <v>0</v>
      </c>
      <c r="JJ15" s="150">
        <f>data_1!JJ15</f>
        <v>0</v>
      </c>
      <c r="JK15" s="150">
        <f>data_1!JK15</f>
        <v>0</v>
      </c>
      <c r="JL15" s="150">
        <f>data_1!JL15</f>
        <v>0</v>
      </c>
      <c r="JM15" s="150">
        <f>data_1!JM15</f>
        <v>0</v>
      </c>
      <c r="JN15" s="150">
        <f>data_1!JN15</f>
        <v>0</v>
      </c>
      <c r="JO15" s="150">
        <f>data_1!JO15</f>
        <v>0</v>
      </c>
      <c r="JP15" s="150">
        <f>data_1!JP15</f>
        <v>0</v>
      </c>
      <c r="JQ15" s="150">
        <f>data_1!JQ15</f>
        <v>0</v>
      </c>
      <c r="JR15" s="150">
        <f>data_1!JR15</f>
        <v>0</v>
      </c>
      <c r="JS15" s="150">
        <f>data_1!JS15</f>
        <v>0</v>
      </c>
      <c r="JT15" s="150">
        <f>data_1!JT15</f>
        <v>0</v>
      </c>
      <c r="JU15" s="150">
        <f>data_1!JU15</f>
        <v>0</v>
      </c>
      <c r="JV15" s="150">
        <f>data_1!JV15</f>
        <v>0</v>
      </c>
      <c r="JW15" s="150">
        <f>data_1!JW15</f>
        <v>0</v>
      </c>
      <c r="JX15" s="150">
        <f>data_1!JX15</f>
        <v>0</v>
      </c>
      <c r="JY15" s="150">
        <f>data_1!JY15</f>
        <v>0</v>
      </c>
      <c r="JZ15" s="150">
        <f>data_1!JZ15</f>
        <v>0</v>
      </c>
      <c r="KA15" s="150">
        <f>data_1!KA15</f>
        <v>0</v>
      </c>
      <c r="KB15" s="150">
        <f>data_1!KB15</f>
        <v>0</v>
      </c>
      <c r="KC15" s="150">
        <f>data_1!KC15</f>
        <v>0</v>
      </c>
      <c r="KD15" s="150">
        <f>data_1!KD15</f>
        <v>0</v>
      </c>
      <c r="KE15" s="150">
        <f>data_1!KE15</f>
        <v>0</v>
      </c>
      <c r="KF15" s="150">
        <f>data_1!KF15</f>
        <v>0</v>
      </c>
      <c r="KG15" s="150">
        <f>data_1!KG15</f>
        <v>0</v>
      </c>
      <c r="KH15" s="150">
        <f>data_1!KH15</f>
        <v>0</v>
      </c>
      <c r="KI15" s="150">
        <f>data_1!KI15</f>
        <v>0</v>
      </c>
      <c r="KJ15" s="150">
        <f>data_1!KJ15</f>
        <v>0</v>
      </c>
      <c r="KK15" s="150">
        <f>data_1!KK15</f>
        <v>0</v>
      </c>
      <c r="KL15" s="150">
        <f>data_1!KL15</f>
        <v>0</v>
      </c>
      <c r="KM15" s="150">
        <f>data_1!KM15</f>
        <v>0</v>
      </c>
      <c r="KN15" s="150">
        <f>data_1!KN15</f>
        <v>0</v>
      </c>
      <c r="KO15" s="150">
        <f>data_1!KO15</f>
        <v>0</v>
      </c>
      <c r="KP15" s="150">
        <f>data_1!KP15</f>
        <v>0</v>
      </c>
      <c r="KQ15" s="150">
        <f>data_1!KQ15</f>
        <v>0</v>
      </c>
      <c r="KR15" s="150">
        <f>data_1!KR15</f>
        <v>0</v>
      </c>
      <c r="KS15" s="150">
        <f>data_1!KS15</f>
        <v>0</v>
      </c>
      <c r="KT15" s="150">
        <f>data_1!KT15</f>
        <v>0</v>
      </c>
      <c r="KU15" s="150">
        <f>data_1!KU15</f>
        <v>0</v>
      </c>
      <c r="KV15" s="150">
        <f>data_1!KV15</f>
        <v>0</v>
      </c>
      <c r="KW15" s="150">
        <f>data_1!KW15</f>
        <v>0</v>
      </c>
      <c r="KX15" s="150">
        <f>data_1!KX15</f>
        <v>0</v>
      </c>
      <c r="KY15" s="150">
        <f>data_1!KY15</f>
        <v>0</v>
      </c>
      <c r="KZ15" s="150">
        <f>data_1!KZ15</f>
        <v>0</v>
      </c>
      <c r="LA15" s="150">
        <f>data_1!LA15</f>
        <v>0</v>
      </c>
      <c r="LB15" s="150">
        <f>data_1!LB15</f>
        <v>0</v>
      </c>
      <c r="LC15" s="150">
        <f>data_1!LC15</f>
        <v>0</v>
      </c>
      <c r="LD15" s="150">
        <f>data_1!LD15</f>
        <v>0</v>
      </c>
      <c r="LE15" s="150">
        <f>data_1!LE15</f>
        <v>0</v>
      </c>
      <c r="LF15" s="150">
        <f>data_1!LF15</f>
        <v>0</v>
      </c>
      <c r="LG15" s="150">
        <f>data_1!LG15</f>
        <v>0</v>
      </c>
      <c r="LH15" s="150">
        <f>data_1!LH15</f>
        <v>0</v>
      </c>
      <c r="LI15" s="150">
        <f>data_1!LI15</f>
        <v>0</v>
      </c>
      <c r="LJ15" s="150">
        <f>data_1!LJ15</f>
        <v>0</v>
      </c>
      <c r="LK15" s="150">
        <f>data_1!LK15</f>
        <v>0</v>
      </c>
      <c r="LL15" s="150">
        <f>data_1!LL15</f>
        <v>0</v>
      </c>
      <c r="LM15" s="150">
        <f>data_1!LM15</f>
        <v>0</v>
      </c>
      <c r="LN15" s="150">
        <f>data_1!LN15</f>
        <v>0</v>
      </c>
      <c r="LO15" s="150">
        <f>data_1!LO15</f>
        <v>0</v>
      </c>
      <c r="LP15" s="150">
        <f>data_1!LP15</f>
        <v>0</v>
      </c>
      <c r="LQ15" s="150">
        <f>data_1!LQ15</f>
        <v>0</v>
      </c>
      <c r="LR15" s="150">
        <f>data_1!LR15</f>
        <v>0</v>
      </c>
      <c r="LS15" s="150">
        <f>data_1!LS15</f>
        <v>0</v>
      </c>
      <c r="LT15" s="150">
        <f>data_1!LT15</f>
        <v>0</v>
      </c>
      <c r="LU15" s="150">
        <f>data_1!LU15</f>
        <v>0</v>
      </c>
      <c r="LV15" s="150">
        <f>data_1!LV15</f>
        <v>0</v>
      </c>
      <c r="LW15" s="150">
        <f>data_1!LW15</f>
        <v>0</v>
      </c>
      <c r="LX15" s="150">
        <f>data_1!LX15</f>
        <v>0</v>
      </c>
      <c r="LY15" s="150">
        <f>data_1!LY15</f>
        <v>0</v>
      </c>
      <c r="LZ15" s="150">
        <f>data_1!LZ15</f>
        <v>0</v>
      </c>
      <c r="MA15" s="150">
        <f>data_1!MA15</f>
        <v>0</v>
      </c>
      <c r="MB15" s="150">
        <f>data_1!MB15</f>
        <v>0</v>
      </c>
      <c r="MC15" s="150">
        <f>data_1!MC15</f>
        <v>0</v>
      </c>
      <c r="MD15" s="150">
        <f>data_1!MD15</f>
        <v>0</v>
      </c>
      <c r="ME15" s="150">
        <f>data_1!ME15</f>
        <v>0</v>
      </c>
      <c r="MF15" s="150">
        <f>data_1!MF15</f>
        <v>0</v>
      </c>
      <c r="MG15" s="150">
        <f>data_1!MG15</f>
        <v>0</v>
      </c>
      <c r="MH15" s="150">
        <f>data_1!MH15</f>
        <v>0</v>
      </c>
      <c r="MI15" s="150">
        <f>data_1!MI15</f>
        <v>0</v>
      </c>
      <c r="MJ15" s="150">
        <f>data_1!MJ15</f>
        <v>0</v>
      </c>
      <c r="MK15" s="150">
        <f>data_1!MK15</f>
        <v>0</v>
      </c>
      <c r="ML15" s="150">
        <f>data_1!ML15</f>
        <v>0</v>
      </c>
      <c r="MM15" s="150">
        <f>data_1!MM15</f>
        <v>0</v>
      </c>
      <c r="MN15" s="150">
        <f>data_1!MN15</f>
        <v>0</v>
      </c>
      <c r="MO15" s="150">
        <f>data_1!MO15</f>
        <v>0</v>
      </c>
      <c r="MP15" s="150">
        <f>data_1!MP15</f>
        <v>0</v>
      </c>
      <c r="MQ15" s="150">
        <f>data_1!MQ15</f>
        <v>0</v>
      </c>
      <c r="MR15" s="150">
        <f>data_1!MR15</f>
        <v>0</v>
      </c>
      <c r="MS15" s="150">
        <f>data_1!MS15</f>
        <v>0</v>
      </c>
      <c r="MT15" s="150">
        <f>data_1!MT15</f>
        <v>0</v>
      </c>
      <c r="MU15" s="150">
        <f>data_1!MU15</f>
        <v>0</v>
      </c>
      <c r="MV15" s="150">
        <f>data_1!MV15</f>
        <v>0</v>
      </c>
      <c r="MW15" s="150">
        <f>data_1!MW15</f>
        <v>0</v>
      </c>
      <c r="MX15" s="150">
        <f>data_1!MX15</f>
        <v>0</v>
      </c>
      <c r="MY15" s="150">
        <f>data_1!MY15</f>
        <v>0</v>
      </c>
      <c r="MZ15" s="150">
        <f>data_1!MZ15</f>
        <v>0</v>
      </c>
      <c r="NA15" s="150">
        <f>data_1!NA15</f>
        <v>0</v>
      </c>
      <c r="NB15" s="150">
        <f>data_1!NB15</f>
        <v>0</v>
      </c>
      <c r="NC15" s="150">
        <f>data_1!NC15</f>
        <v>0</v>
      </c>
      <c r="ND15" s="150">
        <f>data_1!ND15</f>
        <v>0</v>
      </c>
      <c r="NE15" s="150">
        <f>data_1!NE15</f>
        <v>0</v>
      </c>
      <c r="NF15" s="150">
        <f>data_1!NF15</f>
        <v>0</v>
      </c>
      <c r="NG15" s="150">
        <f>data_1!NG15</f>
        <v>0</v>
      </c>
      <c r="NH15" s="150">
        <f>data_1!NH15</f>
        <v>0</v>
      </c>
      <c r="NI15" s="150">
        <f>data_1!NI15</f>
        <v>0</v>
      </c>
      <c r="NJ15" s="150">
        <f>data_1!NJ15</f>
        <v>0</v>
      </c>
      <c r="NK15" s="150">
        <f>data_1!NK15</f>
        <v>0</v>
      </c>
      <c r="NL15" s="150">
        <f>data_1!NL15</f>
        <v>0</v>
      </c>
      <c r="NM15" s="150">
        <f>data_1!NM15</f>
        <v>0</v>
      </c>
      <c r="NN15" s="150">
        <f>data_1!NN15</f>
        <v>0</v>
      </c>
      <c r="NO15" s="150">
        <f>data_1!NO15</f>
        <v>0</v>
      </c>
      <c r="NP15" s="150">
        <f>data_1!NP15</f>
        <v>0</v>
      </c>
      <c r="NQ15" s="150">
        <f>data_1!NQ15</f>
        <v>0</v>
      </c>
      <c r="NR15" s="150">
        <f>data_1!NR15</f>
        <v>0</v>
      </c>
      <c r="NS15" s="150">
        <f>data_1!NS15</f>
        <v>0</v>
      </c>
      <c r="NT15" s="150">
        <f>data_1!NT15</f>
        <v>0</v>
      </c>
      <c r="NU15" s="150">
        <f>data_1!NU15</f>
        <v>0</v>
      </c>
      <c r="NV15" s="150">
        <f>data_1!NV15</f>
        <v>0</v>
      </c>
      <c r="NW15" s="150">
        <f>data_1!NW15</f>
        <v>0</v>
      </c>
      <c r="NX15" s="150">
        <f>data_1!NX15</f>
        <v>0</v>
      </c>
      <c r="NY15" s="150">
        <f>data_1!NY15</f>
        <v>0</v>
      </c>
      <c r="NZ15" s="150">
        <f>data_1!NZ15</f>
        <v>0</v>
      </c>
      <c r="OA15" s="150">
        <f>data_1!OA15</f>
        <v>0</v>
      </c>
      <c r="OB15" s="150">
        <f>data_1!OB15</f>
        <v>0</v>
      </c>
      <c r="OC15" s="150">
        <f>data_1!OC15</f>
        <v>0</v>
      </c>
      <c r="OD15" s="150">
        <f>data_1!OD15</f>
        <v>0</v>
      </c>
      <c r="OE15" s="150">
        <f>data_1!OE15</f>
        <v>0</v>
      </c>
      <c r="OF15" s="150">
        <f>data_1!OF15</f>
        <v>0</v>
      </c>
      <c r="OG15" s="150">
        <f>data_1!OG15</f>
        <v>0</v>
      </c>
      <c r="OH15" s="150">
        <f>data_1!OH15</f>
        <v>0</v>
      </c>
      <c r="OI15" s="150">
        <f>data_1!OI15</f>
        <v>0</v>
      </c>
      <c r="OJ15" s="150">
        <f>data_1!OJ15</f>
        <v>0</v>
      </c>
      <c r="OK15" s="150">
        <f>data_1!OK15</f>
        <v>0</v>
      </c>
      <c r="OL15" s="150">
        <f>data_1!OL15</f>
        <v>0</v>
      </c>
      <c r="OM15" s="150">
        <f>data_1!OM15</f>
        <v>0</v>
      </c>
      <c r="ON15" s="150">
        <f>data_1!ON15</f>
        <v>0</v>
      </c>
      <c r="OO15" s="150">
        <f>data_1!OO15</f>
        <v>0</v>
      </c>
      <c r="OP15" s="150">
        <f>data_1!OP15</f>
        <v>0</v>
      </c>
      <c r="OQ15" s="150">
        <f>data_1!OQ15</f>
        <v>0</v>
      </c>
      <c r="OR15" s="150">
        <f>data_1!OR15</f>
        <v>0</v>
      </c>
      <c r="OS15" s="150">
        <f>data_1!OS15</f>
        <v>0</v>
      </c>
      <c r="OT15" s="150">
        <f>data_1!OT15</f>
        <v>0</v>
      </c>
      <c r="OU15" s="150">
        <f>data_1!OU15</f>
        <v>0</v>
      </c>
      <c r="OV15" s="150">
        <f>data_1!OV15</f>
        <v>0</v>
      </c>
      <c r="OW15" s="150">
        <f>data_1!OW15</f>
        <v>0</v>
      </c>
      <c r="OX15" s="150">
        <f>data_1!OX15</f>
        <v>0</v>
      </c>
      <c r="OY15" s="150">
        <f>data_1!OY15</f>
        <v>0</v>
      </c>
      <c r="OZ15" s="150">
        <f>data_1!OZ15</f>
        <v>0</v>
      </c>
      <c r="PA15" s="150">
        <f>data_1!PA15</f>
        <v>0</v>
      </c>
      <c r="PB15" s="150">
        <f>data_1!PB15</f>
        <v>0</v>
      </c>
      <c r="PC15" s="150">
        <f>data_1!PC15</f>
        <v>0</v>
      </c>
      <c r="PD15" s="150">
        <f>data_1!PD15</f>
        <v>0</v>
      </c>
      <c r="PE15" s="150">
        <f>data_1!PE15</f>
        <v>0</v>
      </c>
      <c r="PF15" s="150">
        <f>data_1!PF15</f>
        <v>0</v>
      </c>
      <c r="PG15" s="150">
        <f>data_1!PG15</f>
        <v>0</v>
      </c>
      <c r="PH15" s="150">
        <f>data_1!PH15</f>
        <v>0</v>
      </c>
      <c r="PI15" s="150">
        <f>data_1!PI15</f>
        <v>0</v>
      </c>
      <c r="PJ15" s="150">
        <f>data_1!PJ15</f>
        <v>0</v>
      </c>
      <c r="PK15" s="150">
        <f>data_1!PK15</f>
        <v>0</v>
      </c>
      <c r="PL15" s="150">
        <f>data_1!PL15</f>
        <v>0</v>
      </c>
      <c r="PM15" s="150">
        <f>data_1!PM15</f>
        <v>0</v>
      </c>
      <c r="PN15" s="150">
        <f>data_1!PN15</f>
        <v>0</v>
      </c>
      <c r="PO15" s="150">
        <f>data_1!PO15</f>
        <v>0</v>
      </c>
      <c r="PP15" s="150">
        <f>data_1!PP15</f>
        <v>0</v>
      </c>
      <c r="PQ15" s="150">
        <f>data_1!PQ15</f>
        <v>0</v>
      </c>
      <c r="PR15" s="150">
        <f>data_1!PR15</f>
        <v>0</v>
      </c>
      <c r="PS15" s="150">
        <f>data_1!PS15</f>
        <v>0</v>
      </c>
      <c r="PT15" s="150">
        <f>data_1!PT15</f>
        <v>0</v>
      </c>
      <c r="PU15" s="150">
        <f>data_1!PU15</f>
        <v>0</v>
      </c>
      <c r="PV15" s="150">
        <f>data_1!PV15</f>
        <v>0</v>
      </c>
      <c r="PW15" s="150">
        <f>data_1!PW15</f>
        <v>0</v>
      </c>
      <c r="PX15" s="150">
        <f>data_1!PX15</f>
        <v>0</v>
      </c>
      <c r="PY15" s="150">
        <f>data_1!PY15</f>
        <v>0</v>
      </c>
      <c r="PZ15" s="150">
        <f>data_1!PZ15</f>
        <v>0</v>
      </c>
      <c r="QA15" s="150">
        <f>data_1!QA15</f>
        <v>0</v>
      </c>
      <c r="QB15" s="150">
        <f>data_1!QB15</f>
        <v>0</v>
      </c>
      <c r="QC15" s="150">
        <f>data_1!QC15</f>
        <v>0</v>
      </c>
      <c r="QD15" s="150">
        <f>data_1!QD15</f>
        <v>0</v>
      </c>
      <c r="QE15" s="150">
        <f>data_1!QE15</f>
        <v>0</v>
      </c>
      <c r="QF15" s="150">
        <f>data_1!QF15</f>
        <v>0</v>
      </c>
      <c r="QG15" s="150">
        <f>data_1!QG15</f>
        <v>0</v>
      </c>
      <c r="QH15" s="150">
        <f>data_1!QH15</f>
        <v>0</v>
      </c>
      <c r="QI15" s="150">
        <f>data_1!QI15</f>
        <v>0</v>
      </c>
      <c r="QJ15" s="150">
        <f>data_1!QJ15</f>
        <v>0</v>
      </c>
      <c r="QK15" s="150">
        <f>data_1!QK15</f>
        <v>0</v>
      </c>
      <c r="QL15" s="150">
        <f>data_1!QL15</f>
        <v>0</v>
      </c>
      <c r="QM15" s="150">
        <f>data_1!QM15</f>
        <v>0</v>
      </c>
      <c r="QN15" s="150">
        <f>data_1!QN15</f>
        <v>0</v>
      </c>
      <c r="QO15" s="150">
        <f>data_1!QO15</f>
        <v>0</v>
      </c>
    </row>
    <row r="16" spans="1:457" ht="15.75" thickBot="1" x14ac:dyDescent="0.3">
      <c r="A16" s="133" t="s">
        <v>5</v>
      </c>
      <c r="B16" s="136" t="s">
        <v>6</v>
      </c>
      <c r="C16" s="137" t="s">
        <v>7</v>
      </c>
      <c r="F16" s="151">
        <f>SUM(data_1!F17:F34)</f>
        <v>53599937200</v>
      </c>
      <c r="G16" s="151">
        <f>SUM(data_1!G17:G34)</f>
        <v>0</v>
      </c>
      <c r="H16" s="151">
        <f>SUM(data_1!H17:H34)</f>
        <v>0</v>
      </c>
      <c r="I16" s="151">
        <f>SUM(data_1!I17:I34)</f>
        <v>31926736230.260002</v>
      </c>
      <c r="J16" s="151">
        <f>SUM(data_1!J17:J34)</f>
        <v>28936547800</v>
      </c>
      <c r="K16" s="151">
        <f>SUM(data_1!K17:K34)</f>
        <v>2990188430.2599993</v>
      </c>
      <c r="L16" s="151">
        <f>SUM(data_1!L17:L34)</f>
        <v>28936041865.799999</v>
      </c>
      <c r="M16" s="151">
        <f>SUM(data_1!M17:M34)</f>
        <v>1759610.51</v>
      </c>
      <c r="N16" s="151">
        <f>SUM(data_1!N17:N34)</f>
        <v>0</v>
      </c>
      <c r="O16" s="151">
        <f>SUM(data_1!O17:O34)</f>
        <v>31926047293.720001</v>
      </c>
      <c r="P16" s="151">
        <f>SUM(data_1!P17:P34)</f>
        <v>28936023978.02</v>
      </c>
      <c r="Q16" s="151">
        <f>SUM(data_1!Q17:Q34)</f>
        <v>0</v>
      </c>
      <c r="R16" s="151">
        <f>SUM(data_1!R17:R34)</f>
        <v>2990023315.6999998</v>
      </c>
      <c r="S16" s="151">
        <f>SUM(data_1!S17:S34)</f>
        <v>223.6559</v>
      </c>
      <c r="T16" s="151">
        <f>SUM(data_1!T17:T34)</f>
        <v>1759610.51</v>
      </c>
      <c r="U16" s="151">
        <f>SUM(data_1!U17:U34)</f>
        <v>17887.78</v>
      </c>
      <c r="V16" s="151">
        <f>SUM(data_1!V17:V34)</f>
        <v>28936023978.02</v>
      </c>
      <c r="W16" s="151">
        <f>SUM(data_1!W17:W34)</f>
        <v>0</v>
      </c>
      <c r="X16" s="151">
        <f>SUM(data_1!X17:X34)</f>
        <v>28936547800</v>
      </c>
      <c r="Y16" s="151">
        <f>SUM(data_1!Y17:Y34)</f>
        <v>28936547800</v>
      </c>
      <c r="Z16" s="212">
        <f>SUM(data_1!Z17:Z34)</f>
        <v>0</v>
      </c>
      <c r="AA16" s="212">
        <f>SUM(data_1!AA17:AA34)</f>
        <v>3580556460.0999994</v>
      </c>
      <c r="AB16" s="212">
        <f>SUM(data_1!AB17:AB34)</f>
        <v>2994115800</v>
      </c>
      <c r="AC16" s="212">
        <f>SUM(data_1!AC17:AC34)</f>
        <v>586440660.10000002</v>
      </c>
      <c r="AD16" s="212">
        <f>SUM(data_1!AD17:AD34)</f>
        <v>2994115800</v>
      </c>
      <c r="AE16" s="212">
        <f>SUM(data_1!AE17:AE34)</f>
        <v>0</v>
      </c>
      <c r="AF16" s="212">
        <f>SUM(data_1!AF17:AF34)</f>
        <v>0</v>
      </c>
      <c r="AG16" s="212">
        <f>SUM(data_1!AG17:AG34)</f>
        <v>2463620665.4399991</v>
      </c>
      <c r="AH16" s="212">
        <f>SUM(data_1!AH17:AH34)</f>
        <v>2129546138.28</v>
      </c>
      <c r="AI16" s="212">
        <f>SUM(data_1!AI17:AI34)</f>
        <v>0</v>
      </c>
      <c r="AJ16" s="212">
        <f>SUM(data_1!AJ17:AJ34)</f>
        <v>334074527.15999997</v>
      </c>
      <c r="AK16" s="212">
        <f>SUM(data_1!AK17:AK34)</f>
        <v>58.199870000000004</v>
      </c>
      <c r="AL16" s="212">
        <f>SUM(data_1!AL17:AL34)</f>
        <v>0</v>
      </c>
      <c r="AM16" s="212">
        <f>SUM(data_1!AM17:AM34)</f>
        <v>864569661.72000003</v>
      </c>
      <c r="AN16" s="212">
        <f>SUM(data_1!AN17:AN34)</f>
        <v>2129546138.28</v>
      </c>
      <c r="AO16" s="212">
        <f>SUM(data_1!AO17:AO34)</f>
        <v>0</v>
      </c>
      <c r="AP16" s="212">
        <f>SUM(data_1!AP17:AP34)</f>
        <v>2994115800</v>
      </c>
      <c r="AQ16" s="212">
        <f>SUM(data_1!AQ17:AQ34)</f>
        <v>2994115800</v>
      </c>
      <c r="AR16" s="151">
        <f>SUM(data_1!AR17:AR34)</f>
        <v>0</v>
      </c>
      <c r="AS16" s="151">
        <f>SUM(data_1!AS17:AS34)</f>
        <v>2481509663.79</v>
      </c>
      <c r="AT16" s="151">
        <f>SUM(data_1!AT17:AT34)</f>
        <v>2146482500</v>
      </c>
      <c r="AU16" s="151">
        <f>SUM(data_1!AU17:AU34)</f>
        <v>335027163.78999996</v>
      </c>
      <c r="AV16" s="151">
        <f>SUM(data_1!AV17:AV34)</f>
        <v>2146132945.01</v>
      </c>
      <c r="AW16" s="151">
        <f>SUM(data_1!AW17:AW34)</f>
        <v>0</v>
      </c>
      <c r="AX16" s="151">
        <f>SUM(data_1!AX17:AX34)</f>
        <v>0</v>
      </c>
      <c r="AY16" s="151">
        <f>SUM(data_1!AY17:AY34)</f>
        <v>2480752539.4499998</v>
      </c>
      <c r="AZ16" s="151">
        <f>SUM(data_1!AZ17:AZ34)</f>
        <v>2145861316.9699998</v>
      </c>
      <c r="BA16" s="151">
        <f>SUM(data_1!BA17:BA34)</f>
        <v>0</v>
      </c>
      <c r="BB16" s="151">
        <f>SUM(data_1!BB17:BB34)</f>
        <v>334891222.47999996</v>
      </c>
      <c r="BC16" s="151">
        <f>SUM(data_1!BC17:BC34)</f>
        <v>193.14562000000001</v>
      </c>
      <c r="BD16" s="151">
        <f>SUM(data_1!BD17:BD34)</f>
        <v>0</v>
      </c>
      <c r="BE16" s="151">
        <f>SUM(data_1!BE17:BE34)</f>
        <v>271628.03999999998</v>
      </c>
      <c r="BF16" s="151">
        <f>SUM(data_1!BF17:BF34)</f>
        <v>2145861316.9699998</v>
      </c>
      <c r="BG16" s="151">
        <f>SUM(data_1!BG17:BG34)</f>
        <v>0</v>
      </c>
      <c r="BH16" s="151">
        <f>SUM(data_1!BH17:BH34)</f>
        <v>2146482500</v>
      </c>
      <c r="BI16" s="151">
        <f>SUM(data_1!BI17:BI34)</f>
        <v>2146482500</v>
      </c>
      <c r="BJ16" s="212">
        <f>SUM(data_1!BJ17:BJ34)</f>
        <v>0</v>
      </c>
      <c r="BK16" s="212">
        <f>SUM(data_1!BK17:BK34)</f>
        <v>0</v>
      </c>
      <c r="BL16" s="212">
        <f>SUM(data_1!BL17:BL34)</f>
        <v>0</v>
      </c>
      <c r="BM16" s="212">
        <f>SUM(data_1!BM17:BM34)</f>
        <v>0</v>
      </c>
      <c r="BN16" s="212">
        <f>SUM(data_1!BN17:BN34)</f>
        <v>0</v>
      </c>
      <c r="BO16" s="212">
        <f>SUM(data_1!BO17:BO34)</f>
        <v>0</v>
      </c>
      <c r="BP16" s="212">
        <f>SUM(data_1!BP17:BP34)</f>
        <v>0</v>
      </c>
      <c r="BQ16" s="212">
        <f>SUM(data_1!BQ17:BQ34)</f>
        <v>0</v>
      </c>
      <c r="BR16" s="212">
        <f>SUM(data_1!BR17:BR34)</f>
        <v>0</v>
      </c>
      <c r="BS16" s="212">
        <f>SUM(data_1!BS17:BS34)</f>
        <v>0</v>
      </c>
      <c r="BT16" s="212">
        <f>SUM(data_1!BT17:BT34)</f>
        <v>0</v>
      </c>
      <c r="BU16" s="212">
        <f>SUM(data_1!BU17:BU34)</f>
        <v>0</v>
      </c>
      <c r="BV16" s="212">
        <f>SUM(data_1!BV17:BV34)</f>
        <v>0</v>
      </c>
      <c r="BW16" s="212">
        <f>SUM(data_1!BW17:BW34)</f>
        <v>0</v>
      </c>
      <c r="BX16" s="212">
        <f>SUM(data_1!BX17:BX34)</f>
        <v>0</v>
      </c>
      <c r="BY16" s="212">
        <f>SUM(data_1!BY17:BY34)</f>
        <v>0</v>
      </c>
      <c r="BZ16" s="212">
        <f>SUM(data_1!BZ17:BZ34)</f>
        <v>0</v>
      </c>
      <c r="CA16" s="212">
        <f>SUM(data_1!CA17:CA34)</f>
        <v>0</v>
      </c>
      <c r="CB16" s="151">
        <f>SUM(data_1!CB17:CB34)</f>
        <v>0</v>
      </c>
      <c r="CC16" s="151">
        <f>SUM(data_1!CC17:CC34)</f>
        <v>1921600699.6300001</v>
      </c>
      <c r="CD16" s="151">
        <f>SUM(data_1!CD17:CD34)</f>
        <v>1702205800</v>
      </c>
      <c r="CE16" s="151">
        <f>SUM(data_1!CE17:CE34)</f>
        <v>219394899.63</v>
      </c>
      <c r="CF16" s="151">
        <f>SUM(data_1!CF17:CF34)</f>
        <v>1662829704.51</v>
      </c>
      <c r="CG16" s="151">
        <f>SUM(data_1!CG17:CG34)</f>
        <v>1370366.26</v>
      </c>
      <c r="CH16" s="151">
        <f>SUM(data_1!CH17:CH34)</f>
        <v>0</v>
      </c>
      <c r="CI16" s="151">
        <f>SUM(data_1!CI17:CI34)</f>
        <v>1878493913.1800003</v>
      </c>
      <c r="CJ16" s="151">
        <f>SUM(data_1!CJ17:CJ34)</f>
        <v>1661516116.3199999</v>
      </c>
      <c r="CK16" s="151">
        <f>SUM(data_1!CK17:CK34)</f>
        <v>0</v>
      </c>
      <c r="CL16" s="151">
        <f>SUM(data_1!CL17:CL34)</f>
        <v>216977796.85999998</v>
      </c>
      <c r="CM16" s="151">
        <f>SUM(data_1!CM17:CM34)</f>
        <v>172.64440000000002</v>
      </c>
      <c r="CN16" s="151">
        <f>SUM(data_1!CN17:CN34)</f>
        <v>1367148.3</v>
      </c>
      <c r="CO16" s="151">
        <f>SUM(data_1!CO17:CO34)</f>
        <v>1316806.1499999999</v>
      </c>
      <c r="CP16" s="151">
        <f>SUM(data_1!CP17:CP34)</f>
        <v>1661516116.3199999</v>
      </c>
      <c r="CQ16" s="151">
        <f>SUM(data_1!CQ17:CQ34)</f>
        <v>0</v>
      </c>
      <c r="CR16" s="151">
        <f>SUM(data_1!CR17:CR34)</f>
        <v>1702302000</v>
      </c>
      <c r="CS16" s="151">
        <f>SUM(data_1!CS17:CS34)</f>
        <v>1702205800</v>
      </c>
      <c r="CT16" s="151">
        <f>SUM(data_1!CT17:CT34)</f>
        <v>0</v>
      </c>
      <c r="CU16" s="151">
        <f>SUM(data_1!CU17:CU34)</f>
        <v>10530026418.99</v>
      </c>
      <c r="CV16" s="151">
        <f>SUM(data_1!CV17:CV34)</f>
        <v>9751829600</v>
      </c>
      <c r="CW16" s="151">
        <f>SUM(data_1!CW17:CW34)</f>
        <v>778196818.99000001</v>
      </c>
      <c r="CX16" s="151">
        <f>SUM(data_1!CX17:CX34)</f>
        <v>9742887282.6699982</v>
      </c>
      <c r="CY16" s="151">
        <f>SUM(data_1!CY17:CY34)</f>
        <v>1511800</v>
      </c>
      <c r="CZ16" s="151">
        <f>SUM(data_1!CZ17:CZ34)</f>
        <v>0</v>
      </c>
      <c r="DA16" s="151">
        <f>SUM(data_1!DA17:DA34)</f>
        <v>10519463399.329998</v>
      </c>
      <c r="DB16" s="151">
        <f>SUM(data_1!DB17:DB34)</f>
        <v>9742887282.0499992</v>
      </c>
      <c r="DC16" s="151">
        <f>SUM(data_1!DC17:DC34)</f>
        <v>0</v>
      </c>
      <c r="DD16" s="151">
        <f>SUM(data_1!DD17:DD34)</f>
        <v>776576117.27999997</v>
      </c>
      <c r="DE16" s="151">
        <f>SUM(data_1!DE17:DE34)</f>
        <v>153.76865999999998</v>
      </c>
      <c r="DF16" s="151">
        <f>SUM(data_1!DF17:DF34)</f>
        <v>1511800</v>
      </c>
      <c r="DG16" s="151">
        <f>SUM(data_1!DG17:DG34)</f>
        <v>0.62</v>
      </c>
      <c r="DH16" s="151">
        <f>SUM(data_1!DH17:DH34)</f>
        <v>9742887282.0499992</v>
      </c>
      <c r="DI16" s="151">
        <f>SUM(data_1!DI17:DI34)</f>
        <v>0</v>
      </c>
      <c r="DJ16" s="151">
        <f>SUM(data_1!DJ17:DJ34)</f>
        <v>9751829600</v>
      </c>
      <c r="DK16" s="151">
        <f>SUM(data_1!DK17:DK34)</f>
        <v>9751829600</v>
      </c>
      <c r="DL16" s="212">
        <f>SUM(data_1!DL17:DL34)</f>
        <v>0</v>
      </c>
      <c r="DM16" s="212">
        <f>SUM(data_1!DM17:DM34)</f>
        <v>0</v>
      </c>
      <c r="DN16" s="212">
        <f>SUM(data_1!DN17:DN34)</f>
        <v>0</v>
      </c>
      <c r="DO16" s="212">
        <f>SUM(data_1!DO17:DO34)</f>
        <v>0</v>
      </c>
      <c r="DP16" s="212">
        <f>SUM(data_1!DP17:DP34)</f>
        <v>0</v>
      </c>
      <c r="DQ16" s="212">
        <f>SUM(data_1!DQ17:DQ34)</f>
        <v>0</v>
      </c>
      <c r="DR16" s="212">
        <f>SUM(data_1!DR17:DR34)</f>
        <v>0</v>
      </c>
      <c r="DS16" s="212">
        <f>SUM(data_1!DS17:DS34)</f>
        <v>0</v>
      </c>
      <c r="DT16" s="212">
        <f>SUM(data_1!DT17:DT34)</f>
        <v>0</v>
      </c>
      <c r="DU16" s="212">
        <f>SUM(data_1!DU17:DU34)</f>
        <v>0</v>
      </c>
      <c r="DV16" s="212">
        <f>SUM(data_1!DV17:DV34)</f>
        <v>0</v>
      </c>
      <c r="DW16" s="212">
        <f>SUM(data_1!DW17:DW34)</f>
        <v>0</v>
      </c>
      <c r="DX16" s="212">
        <f>SUM(data_1!DX17:DX34)</f>
        <v>0</v>
      </c>
      <c r="DY16" s="212">
        <f>SUM(data_1!DY17:DY34)</f>
        <v>0</v>
      </c>
      <c r="DZ16" s="212">
        <f>SUM(data_1!DZ17:DZ34)</f>
        <v>0</v>
      </c>
      <c r="EA16" s="212">
        <f>SUM(data_1!EA17:EA34)</f>
        <v>0</v>
      </c>
      <c r="EB16" s="212">
        <f>SUM(data_1!EB17:EB34)</f>
        <v>0</v>
      </c>
      <c r="EC16" s="212">
        <f>SUM(data_1!EC17:EC34)</f>
        <v>0</v>
      </c>
      <c r="ED16" s="151">
        <f>SUM(data_1!ED17:ED34)</f>
        <v>0</v>
      </c>
      <c r="EE16" s="151">
        <f>SUM(data_1!EE17:EE34)</f>
        <v>6914567179.7399998</v>
      </c>
      <c r="EF16" s="151">
        <f>SUM(data_1!EF17:EF34)</f>
        <v>6498531800</v>
      </c>
      <c r="EG16" s="151">
        <f>SUM(data_1!EG17:EG34)</f>
        <v>416035379.74000001</v>
      </c>
      <c r="EH16" s="151">
        <f>SUM(data_1!EH17:EH34)</f>
        <v>6498508598.9299994</v>
      </c>
      <c r="EI16" s="151">
        <f>SUM(data_1!EI17:EI34)</f>
        <v>0</v>
      </c>
      <c r="EJ16" s="151">
        <f>SUM(data_1!EJ17:EJ34)</f>
        <v>0</v>
      </c>
      <c r="EK16" s="151">
        <f>SUM(data_1!EK17:EK34)</f>
        <v>6914542230.0600004</v>
      </c>
      <c r="EL16" s="151">
        <f>SUM(data_1!EL17:EL34)</f>
        <v>6498508598.9100008</v>
      </c>
      <c r="EM16" s="151">
        <f>SUM(data_1!EM17:EM34)</f>
        <v>0</v>
      </c>
      <c r="EN16" s="151">
        <f>SUM(data_1!EN17:EN34)</f>
        <v>416033631.14999998</v>
      </c>
      <c r="EO16" s="151">
        <f>SUM(data_1!EO17:EO34)</f>
        <v>99.344719999999995</v>
      </c>
      <c r="EP16" s="151">
        <f>SUM(data_1!EP17:EP34)</f>
        <v>0</v>
      </c>
      <c r="EQ16" s="151">
        <f>SUM(data_1!EQ17:EQ34)</f>
        <v>0.02</v>
      </c>
      <c r="ER16" s="151">
        <f>SUM(data_1!ER17:ER34)</f>
        <v>6498508598.9100008</v>
      </c>
      <c r="ES16" s="151">
        <f>SUM(data_1!ES17:ES34)</f>
        <v>0</v>
      </c>
      <c r="ET16" s="151">
        <f>SUM(data_1!ET17:ET34)</f>
        <v>6498531800</v>
      </c>
      <c r="EU16" s="151">
        <f>SUM(data_1!EU17:EU34)</f>
        <v>6498531800</v>
      </c>
      <c r="EV16" s="212">
        <f>SUM(data_1!EV17:EV34)</f>
        <v>0</v>
      </c>
      <c r="EW16" s="212">
        <f>SUM(data_1!EW17:EW34)</f>
        <v>32079640</v>
      </c>
      <c r="EX16" s="212">
        <f>SUM(data_1!EX17:EX34)</f>
        <v>30414000</v>
      </c>
      <c r="EY16" s="212">
        <f>SUM(data_1!EY17:EY34)</f>
        <v>1665640</v>
      </c>
      <c r="EZ16" s="212">
        <f>SUM(data_1!EZ17:EZ34)</f>
        <v>30414000</v>
      </c>
      <c r="FA16" s="212">
        <f>SUM(data_1!FA17:FA34)</f>
        <v>0</v>
      </c>
      <c r="FB16" s="212">
        <f>SUM(data_1!FB17:FB34)</f>
        <v>0</v>
      </c>
      <c r="FC16" s="212">
        <f>SUM(data_1!FC17:FC34)</f>
        <v>32079640</v>
      </c>
      <c r="FD16" s="212">
        <f>SUM(data_1!FD17:FD34)</f>
        <v>30414000</v>
      </c>
      <c r="FE16" s="212">
        <f>SUM(data_1!FE17:FE34)</f>
        <v>0</v>
      </c>
      <c r="FF16" s="212">
        <f>SUM(data_1!FF17:FF34)</f>
        <v>1665640</v>
      </c>
      <c r="FG16" s="212">
        <f>SUM(data_1!FG17:FG34)</f>
        <v>10.23584</v>
      </c>
      <c r="FH16" s="212">
        <f>SUM(data_1!FH17:FH34)</f>
        <v>0</v>
      </c>
      <c r="FI16" s="212">
        <f>SUM(data_1!FI17:FI34)</f>
        <v>0</v>
      </c>
      <c r="FJ16" s="212">
        <f>SUM(data_1!FJ17:FJ34)</f>
        <v>30414000</v>
      </c>
      <c r="FK16" s="212">
        <f>SUM(data_1!FK17:FK34)</f>
        <v>0</v>
      </c>
      <c r="FL16" s="212">
        <f>SUM(data_1!FL17:FL34)</f>
        <v>30414000</v>
      </c>
      <c r="FM16" s="212">
        <f>SUM(data_1!FM17:FM34)</f>
        <v>30414000</v>
      </c>
      <c r="FN16" s="151">
        <f>SUM(data_1!FN17:FN34)</f>
        <v>0</v>
      </c>
      <c r="FO16" s="151">
        <f>SUM(data_1!FO17:FO34)</f>
        <v>579014937.61000001</v>
      </c>
      <c r="FP16" s="151">
        <f>SUM(data_1!FP17:FP34)</f>
        <v>447676600</v>
      </c>
      <c r="FQ16" s="151">
        <f>SUM(data_1!FQ17:FQ34)</f>
        <v>131338337.61</v>
      </c>
      <c r="FR16" s="151">
        <f>SUM(data_1!FR17:FR34)</f>
        <v>440444600.00999999</v>
      </c>
      <c r="FS16" s="151">
        <f>SUM(data_1!FS17:FS34)</f>
        <v>12502</v>
      </c>
      <c r="FT16" s="151">
        <f>SUM(data_1!FT17:FT34)</f>
        <v>0</v>
      </c>
      <c r="FU16" s="151">
        <f>SUM(data_1!FU17:FU34)</f>
        <v>570741355.29000008</v>
      </c>
      <c r="FV16" s="151">
        <f>SUM(data_1!FV17:FV34)</f>
        <v>440444600.00999999</v>
      </c>
      <c r="FW16" s="151">
        <f>SUM(data_1!FW17:FW34)</f>
        <v>0</v>
      </c>
      <c r="FX16" s="151">
        <f>SUM(data_1!FX17:FX34)</f>
        <v>130296755.28</v>
      </c>
      <c r="FY16" s="151">
        <f>SUM(data_1!FY17:FY34)</f>
        <v>288.71569</v>
      </c>
      <c r="FZ16" s="151">
        <f>SUM(data_1!FZ17:FZ34)</f>
        <v>12502</v>
      </c>
      <c r="GA16" s="151">
        <f>SUM(data_1!GA17:GA34)</f>
        <v>0</v>
      </c>
      <c r="GB16" s="151">
        <f>SUM(data_1!GB17:GB34)</f>
        <v>440444600.00999999</v>
      </c>
      <c r="GC16" s="151">
        <f>SUM(data_1!GC17:GC34)</f>
        <v>0</v>
      </c>
      <c r="GD16" s="151">
        <f>SUM(data_1!GD17:GD34)</f>
        <v>449676600</v>
      </c>
      <c r="GE16" s="151">
        <f>SUM(data_1!GE17:GE34)</f>
        <v>447676600</v>
      </c>
      <c r="GF16" s="151">
        <f>SUM(data_1!GF17:GF34)</f>
        <v>0</v>
      </c>
      <c r="GG16" s="151">
        <f>SUM(data_1!GG17:GG34)</f>
        <v>993467597.20000005</v>
      </c>
      <c r="GH16" s="151">
        <f>SUM(data_1!GH17:GH34)</f>
        <v>505846100</v>
      </c>
      <c r="GI16" s="151">
        <f>SUM(data_1!GI17:GI34)</f>
        <v>487621497.19999999</v>
      </c>
      <c r="GJ16" s="151">
        <f>SUM(data_1!GJ17:GJ34)</f>
        <v>505593547.70999998</v>
      </c>
      <c r="GK16" s="151">
        <f>SUM(data_1!GK17:GK34)</f>
        <v>3319002.8400000003</v>
      </c>
      <c r="GL16" s="151">
        <f>SUM(data_1!GL17:GL34)</f>
        <v>0</v>
      </c>
      <c r="GM16" s="151">
        <f>SUM(data_1!GM17:GM34)</f>
        <v>992420304</v>
      </c>
      <c r="GN16" s="151">
        <f>SUM(data_1!GN17:GN34)</f>
        <v>505206756.07999998</v>
      </c>
      <c r="GO16" s="151">
        <f>SUM(data_1!GO17:GO34)</f>
        <v>0</v>
      </c>
      <c r="GP16" s="151">
        <f>SUM(data_1!GP17:GP34)</f>
        <v>487213547.91999996</v>
      </c>
      <c r="GQ16" s="151">
        <f>SUM(data_1!GQ17:GQ34)</f>
        <v>813.62581999999986</v>
      </c>
      <c r="GR16" s="151">
        <f>SUM(data_1!GR17:GR34)</f>
        <v>3319002.8400000003</v>
      </c>
      <c r="GS16" s="151">
        <f>SUM(data_1!GS17:GS34)</f>
        <v>386791.63</v>
      </c>
      <c r="GT16" s="151">
        <f>SUM(data_1!GT17:GT34)</f>
        <v>505206756.07999998</v>
      </c>
      <c r="GU16" s="151">
        <f>SUM(data_1!GU17:GU34)</f>
        <v>0</v>
      </c>
      <c r="GV16" s="151">
        <f>SUM(data_1!GV17:GV34)</f>
        <v>505846100</v>
      </c>
      <c r="GW16" s="151">
        <f>SUM(data_1!GW17:GW34)</f>
        <v>505846100</v>
      </c>
      <c r="GX16" s="151">
        <f>SUM(data_1!GX17:GX34)</f>
        <v>0</v>
      </c>
      <c r="GY16" s="151">
        <f>SUM(data_1!GY17:GY34)</f>
        <v>0</v>
      </c>
      <c r="GZ16" s="151">
        <f>SUM(data_1!GZ17:GZ34)</f>
        <v>0</v>
      </c>
      <c r="HA16" s="151">
        <f>SUM(data_1!HA17:HA34)</f>
        <v>0</v>
      </c>
      <c r="HB16" s="151">
        <f>SUM(data_1!HB17:HB34)</f>
        <v>0</v>
      </c>
      <c r="HC16" s="151">
        <f>SUM(data_1!HC17:HC34)</f>
        <v>3218932.04</v>
      </c>
      <c r="HD16" s="151">
        <f>SUM(data_1!HD17:HD34)</f>
        <v>0</v>
      </c>
      <c r="HE16" s="151">
        <f>SUM(data_1!HE17:HE34)</f>
        <v>0</v>
      </c>
      <c r="HF16" s="151">
        <f>SUM(data_1!HF17:HF34)</f>
        <v>0</v>
      </c>
      <c r="HG16" s="151">
        <f>SUM(data_1!HG17:HG34)</f>
        <v>0</v>
      </c>
      <c r="HH16" s="151">
        <f>SUM(data_1!HH17:HH34)</f>
        <v>0</v>
      </c>
      <c r="HI16" s="151">
        <f>SUM(data_1!HI17:HI34)</f>
        <v>0</v>
      </c>
      <c r="HJ16" s="151">
        <f>SUM(data_1!HJ17:HJ34)</f>
        <v>3194572.04</v>
      </c>
      <c r="HK16" s="151">
        <f>SUM(data_1!HK17:HK34)</f>
        <v>24360</v>
      </c>
      <c r="HL16" s="151">
        <f>SUM(data_1!HL17:HL34)</f>
        <v>0</v>
      </c>
      <c r="HM16" s="151">
        <f>SUM(data_1!HM17:HM34)</f>
        <v>0</v>
      </c>
      <c r="HN16" s="151">
        <f>SUM(data_1!HN17:HN34)</f>
        <v>0</v>
      </c>
      <c r="HO16" s="151">
        <f>SUM(data_1!HO17:HO34)</f>
        <v>0</v>
      </c>
      <c r="HP16" s="151">
        <f>SUM(data_1!HP17:HP34)</f>
        <v>0</v>
      </c>
      <c r="HQ16" s="151">
        <f>SUM(data_1!HQ17:HQ34)</f>
        <v>753002674.25999987</v>
      </c>
      <c r="HR16" s="151">
        <f>SUM(data_1!HR17:HR34)</f>
        <v>392040200</v>
      </c>
      <c r="HS16" s="151">
        <f>SUM(data_1!HS17:HS34)</f>
        <v>360962474.25999999</v>
      </c>
      <c r="HT16" s="151">
        <f>SUM(data_1!HT17:HT34)</f>
        <v>380341269.99999994</v>
      </c>
      <c r="HU16" s="151">
        <f>SUM(data_1!HU17:HU34)</f>
        <v>705016.10000000009</v>
      </c>
      <c r="HV16" s="151">
        <f>SUM(data_1!HV17:HV34)</f>
        <v>0</v>
      </c>
      <c r="HW16" s="151">
        <f>SUM(data_1!HW17:HW34)</f>
        <v>731574363.00999987</v>
      </c>
      <c r="HX16" s="151">
        <f>SUM(data_1!HX17:HX34)</f>
        <v>379981165.57999992</v>
      </c>
      <c r="HY16" s="151">
        <f>SUM(data_1!HY17:HY34)</f>
        <v>0</v>
      </c>
      <c r="HZ16" s="151">
        <f>SUM(data_1!HZ17:HZ34)</f>
        <v>351593197.42999995</v>
      </c>
      <c r="IA16" s="151">
        <f>SUM(data_1!IA17:IA34)</f>
        <v>750.12025999999992</v>
      </c>
      <c r="IB16" s="151">
        <f>SUM(data_1!IB17:IB34)</f>
        <v>705016.10000000009</v>
      </c>
      <c r="IC16" s="151">
        <f>SUM(data_1!IC17:IC34)</f>
        <v>360104.42000000004</v>
      </c>
      <c r="ID16" s="151">
        <f>SUM(data_1!ID17:ID34)</f>
        <v>379981165.57999992</v>
      </c>
      <c r="IE16" s="151">
        <f>SUM(data_1!IE17:IE34)</f>
        <v>0</v>
      </c>
      <c r="IF16" s="151">
        <f>SUM(data_1!IF17:IF34)</f>
        <v>392040200</v>
      </c>
      <c r="IG16" s="151">
        <f>SUM(data_1!IG17:IG34)</f>
        <v>392040200</v>
      </c>
      <c r="IH16" s="151">
        <f>SUM(data_1!IH17:IH34)</f>
        <v>0</v>
      </c>
      <c r="II16" s="151">
        <f>SUM(data_1!II17:II34)</f>
        <v>0</v>
      </c>
      <c r="IJ16" s="151">
        <f>SUM(data_1!IJ17:IJ34)</f>
        <v>0</v>
      </c>
      <c r="IK16" s="151">
        <f>SUM(data_1!IK17:IK34)</f>
        <v>0</v>
      </c>
      <c r="IL16" s="151">
        <f>SUM(data_1!IL17:IL34)</f>
        <v>0</v>
      </c>
      <c r="IM16" s="151">
        <f>SUM(data_1!IM17:IM34)</f>
        <v>0</v>
      </c>
      <c r="IN16" s="151">
        <f>SUM(data_1!IN17:IN34)</f>
        <v>0</v>
      </c>
      <c r="IO16" s="151">
        <f>SUM(data_1!IO17:IO34)</f>
        <v>0</v>
      </c>
      <c r="IP16" s="151">
        <f>SUM(data_1!IP17:IP34)</f>
        <v>0</v>
      </c>
      <c r="IQ16" s="151">
        <f>SUM(data_1!IQ17:IQ34)</f>
        <v>0</v>
      </c>
      <c r="IR16" s="151">
        <f>SUM(data_1!IR17:IR34)</f>
        <v>0</v>
      </c>
      <c r="IS16" s="151">
        <f>SUM(data_1!IS17:IS34)</f>
        <v>0</v>
      </c>
      <c r="IT16" s="151">
        <f>SUM(data_1!IT17:IT34)</f>
        <v>0</v>
      </c>
      <c r="IU16" s="151">
        <f>SUM(data_1!IU17:IU34)</f>
        <v>0</v>
      </c>
      <c r="IV16" s="151">
        <f>SUM(data_1!IV17:IV34)</f>
        <v>0</v>
      </c>
      <c r="IW16" s="151">
        <f>SUM(data_1!IW17:IW34)</f>
        <v>0</v>
      </c>
      <c r="IX16" s="151">
        <f>SUM(data_1!IX17:IX34)</f>
        <v>0</v>
      </c>
      <c r="IY16" s="151">
        <f>SUM(data_1!IY17:IY34)</f>
        <v>0</v>
      </c>
      <c r="IZ16" s="151">
        <f>SUM(data_1!IZ17:IZ34)</f>
        <v>0</v>
      </c>
      <c r="JA16" s="151">
        <f>SUM(data_1!JA17:JA34)</f>
        <v>44701100</v>
      </c>
      <c r="JB16" s="151">
        <f>SUM(data_1!JB17:JB34)</f>
        <v>30850000</v>
      </c>
      <c r="JC16" s="151">
        <f>SUM(data_1!JC17:JC34)</f>
        <v>13851100</v>
      </c>
      <c r="JD16" s="151">
        <f>SUM(data_1!JD17:JD34)</f>
        <v>9245640.7699999996</v>
      </c>
      <c r="JE16" s="151">
        <f>SUM(data_1!JE17:JE34)</f>
        <v>0</v>
      </c>
      <c r="JF16" s="151">
        <f>SUM(data_1!JF17:JF34)</f>
        <v>0</v>
      </c>
      <c r="JG16" s="151">
        <f>SUM(data_1!JG17:JG34)</f>
        <v>13837463.59</v>
      </c>
      <c r="JH16" s="151">
        <f>SUM(data_1!JH17:JH34)</f>
        <v>9245640.7699999996</v>
      </c>
      <c r="JI16" s="151">
        <f>SUM(data_1!JI17:JI34)</f>
        <v>0</v>
      </c>
      <c r="JJ16" s="151">
        <f>SUM(data_1!JJ17:JJ34)</f>
        <v>4591822.82</v>
      </c>
      <c r="JK16" s="151">
        <f>SUM(data_1!JK17:JK34)</f>
        <v>63.810079999999999</v>
      </c>
      <c r="JL16" s="151">
        <f>SUM(data_1!JL17:JL34)</f>
        <v>0</v>
      </c>
      <c r="JM16" s="151">
        <f>SUM(data_1!JM17:JM34)</f>
        <v>0</v>
      </c>
      <c r="JN16" s="151">
        <f>SUM(data_1!JN17:JN34)</f>
        <v>9245640.7699999996</v>
      </c>
      <c r="JO16" s="151">
        <f>SUM(data_1!JO17:JO34)</f>
        <v>0</v>
      </c>
      <c r="JP16" s="151">
        <f>SUM(data_1!JP17:JP34)</f>
        <v>30850000</v>
      </c>
      <c r="JQ16" s="151">
        <f>SUM(data_1!JQ17:JQ34)</f>
        <v>30850000</v>
      </c>
      <c r="JR16" s="151">
        <f>SUM(data_1!JR17:JR34)</f>
        <v>0</v>
      </c>
      <c r="JS16" s="151">
        <f>SUM(data_1!JS17:JS34)</f>
        <v>0</v>
      </c>
      <c r="JT16" s="151">
        <f>SUM(data_1!JT17:JT34)</f>
        <v>0</v>
      </c>
      <c r="JU16" s="151">
        <f>SUM(data_1!JU17:JU34)</f>
        <v>0</v>
      </c>
      <c r="JV16" s="151">
        <f>SUM(data_1!JV17:JV34)</f>
        <v>0</v>
      </c>
      <c r="JW16" s="151">
        <f>SUM(data_1!JW17:JW34)</f>
        <v>0</v>
      </c>
      <c r="JX16" s="151">
        <f>SUM(data_1!JX17:JX34)</f>
        <v>0</v>
      </c>
      <c r="JY16" s="151">
        <f>SUM(data_1!JY17:JY34)</f>
        <v>0</v>
      </c>
      <c r="JZ16" s="151">
        <f>SUM(data_1!JZ17:JZ34)</f>
        <v>0</v>
      </c>
      <c r="KA16" s="151">
        <f>SUM(data_1!KA17:KA34)</f>
        <v>0</v>
      </c>
      <c r="KB16" s="151">
        <f>SUM(data_1!KB17:KB34)</f>
        <v>0</v>
      </c>
      <c r="KC16" s="151">
        <f>SUM(data_1!KC17:KC34)</f>
        <v>0</v>
      </c>
      <c r="KD16" s="151">
        <f>SUM(data_1!KD17:KD34)</f>
        <v>0</v>
      </c>
      <c r="KE16" s="151">
        <f>SUM(data_1!KE17:KE34)</f>
        <v>0</v>
      </c>
      <c r="KF16" s="151">
        <f>SUM(data_1!KF17:KF34)</f>
        <v>0</v>
      </c>
      <c r="KG16" s="151">
        <f>SUM(data_1!KG17:KG34)</f>
        <v>0</v>
      </c>
      <c r="KH16" s="151">
        <f>SUM(data_1!KH17:KH34)</f>
        <v>0</v>
      </c>
      <c r="KI16" s="151">
        <f>SUM(data_1!KI17:KI34)</f>
        <v>0</v>
      </c>
      <c r="KJ16" s="151">
        <f>SUM(data_1!KJ17:KJ34)</f>
        <v>0</v>
      </c>
      <c r="KK16" s="151">
        <f>SUM(data_1!KK17:KK34)</f>
        <v>99381920.830000013</v>
      </c>
      <c r="KL16" s="151">
        <f>SUM(data_1!KL17:KL34)</f>
        <v>24092000</v>
      </c>
      <c r="KM16" s="151">
        <f>SUM(data_1!KM17:KM34)</f>
        <v>75289920.830000013</v>
      </c>
      <c r="KN16" s="151">
        <f>SUM(data_1!KN17:KN34)</f>
        <v>23970422.310000002</v>
      </c>
      <c r="KO16" s="151">
        <f>SUM(data_1!KO17:KO34)</f>
        <v>0</v>
      </c>
      <c r="KP16" s="151">
        <f>SUM(data_1!KP17:KP34)</f>
        <v>0</v>
      </c>
      <c r="KQ16" s="151">
        <f>SUM(data_1!KQ17:KQ34)</f>
        <v>99013521.930000007</v>
      </c>
      <c r="KR16" s="151">
        <f>SUM(data_1!KR17:KR34)</f>
        <v>23970422.310000002</v>
      </c>
      <c r="KS16" s="151">
        <f>SUM(data_1!KS17:KS34)</f>
        <v>0</v>
      </c>
      <c r="KT16" s="151">
        <f>SUM(data_1!KT17:KT34)</f>
        <v>75043099.620000005</v>
      </c>
      <c r="KU16" s="151">
        <f>SUM(data_1!KU17:KU34)</f>
        <v>593.62779</v>
      </c>
      <c r="KV16" s="151">
        <f>SUM(data_1!KV17:KV34)</f>
        <v>0</v>
      </c>
      <c r="KW16" s="151">
        <f>SUM(data_1!KW17:KW34)</f>
        <v>0</v>
      </c>
      <c r="KX16" s="151">
        <f>SUM(data_1!KX17:KX34)</f>
        <v>23970422.310000002</v>
      </c>
      <c r="KY16" s="151">
        <f>SUM(data_1!KY17:KY34)</f>
        <v>0</v>
      </c>
      <c r="KZ16" s="151">
        <f>SUM(data_1!KZ17:KZ34)</f>
        <v>24092000</v>
      </c>
      <c r="LA16" s="151">
        <f>SUM(data_1!LA17:LA34)</f>
        <v>24092000</v>
      </c>
      <c r="LB16" s="151">
        <f>SUM(data_1!LB17:LB34)</f>
        <v>0</v>
      </c>
      <c r="LC16" s="151">
        <f>SUM(data_1!LC17:LC34)</f>
        <v>0</v>
      </c>
      <c r="LD16" s="151">
        <f>SUM(data_1!LD17:LD34)</f>
        <v>0</v>
      </c>
      <c r="LE16" s="151">
        <f>SUM(data_1!LE17:LE34)</f>
        <v>0</v>
      </c>
      <c r="LF16" s="151">
        <f>SUM(data_1!LF17:LF34)</f>
        <v>0</v>
      </c>
      <c r="LG16" s="151">
        <f>SUM(data_1!LG17:LG34)</f>
        <v>0</v>
      </c>
      <c r="LH16" s="151">
        <f>SUM(data_1!LH17:LH34)</f>
        <v>0</v>
      </c>
      <c r="LI16" s="151">
        <f>SUM(data_1!LI17:LI34)</f>
        <v>0</v>
      </c>
      <c r="LJ16" s="151">
        <f>SUM(data_1!LJ17:LJ34)</f>
        <v>0</v>
      </c>
      <c r="LK16" s="151">
        <f>SUM(data_1!LK17:LK34)</f>
        <v>0</v>
      </c>
      <c r="LL16" s="151">
        <f>SUM(data_1!LL17:LL34)</f>
        <v>0</v>
      </c>
      <c r="LM16" s="151">
        <f>SUM(data_1!LM17:LM34)</f>
        <v>0</v>
      </c>
      <c r="LN16" s="151">
        <f>SUM(data_1!LN17:LN34)</f>
        <v>0</v>
      </c>
      <c r="LO16" s="151">
        <f>SUM(data_1!LO17:LO34)</f>
        <v>0</v>
      </c>
      <c r="LP16" s="151">
        <f>SUM(data_1!LP17:LP34)</f>
        <v>0</v>
      </c>
      <c r="LQ16" s="151">
        <f>SUM(data_1!LQ17:LQ34)</f>
        <v>0</v>
      </c>
      <c r="LR16" s="151">
        <f>SUM(data_1!LR17:LR34)</f>
        <v>0</v>
      </c>
      <c r="LS16" s="151">
        <f>SUM(data_1!LS17:LS34)</f>
        <v>0</v>
      </c>
      <c r="LT16" s="151">
        <f>SUM(data_1!LT17:LT34)</f>
        <v>0</v>
      </c>
      <c r="LU16" s="151">
        <f>SUM(data_1!LU17:LU34)</f>
        <v>27398470.82</v>
      </c>
      <c r="LV16" s="151">
        <f>SUM(data_1!LV17:LV34)</f>
        <v>4121900</v>
      </c>
      <c r="LW16" s="151">
        <f>SUM(data_1!LW17:LW34)</f>
        <v>23276570.82</v>
      </c>
      <c r="LX16" s="151">
        <f>SUM(data_1!LX17:LX34)</f>
        <v>4109715.5700000003</v>
      </c>
      <c r="LY16" s="151">
        <f>SUM(data_1!LY17:LY34)</f>
        <v>0</v>
      </c>
      <c r="LZ16" s="151">
        <f>SUM(data_1!LZ17:LZ34)</f>
        <v>0</v>
      </c>
      <c r="MA16" s="151">
        <f>SUM(data_1!MA17:MA34)</f>
        <v>27343971.82</v>
      </c>
      <c r="MB16" s="151">
        <f>SUM(data_1!MB17:MB34)</f>
        <v>4109710.3</v>
      </c>
      <c r="MC16" s="151">
        <f>SUM(data_1!MC17:MC34)</f>
        <v>0</v>
      </c>
      <c r="MD16" s="151">
        <f>SUM(data_1!MD17:MD34)</f>
        <v>23234261.52</v>
      </c>
      <c r="ME16" s="151">
        <f>SUM(data_1!ME17:ME34)</f>
        <v>426.73990000000003</v>
      </c>
      <c r="MF16" s="151">
        <f>SUM(data_1!MF17:MF34)</f>
        <v>0</v>
      </c>
      <c r="MG16" s="151">
        <f>SUM(data_1!MG17:MG34)</f>
        <v>5.27</v>
      </c>
      <c r="MH16" s="151">
        <f>SUM(data_1!MH17:MH34)</f>
        <v>4109710.3</v>
      </c>
      <c r="MI16" s="151">
        <f>SUM(data_1!MI17:MI34)</f>
        <v>0</v>
      </c>
      <c r="MJ16" s="151">
        <f>SUM(data_1!MJ17:MJ34)</f>
        <v>4121900</v>
      </c>
      <c r="MK16" s="151">
        <f>SUM(data_1!MK17:MK34)</f>
        <v>4121900</v>
      </c>
      <c r="ML16" s="151">
        <f>SUM(data_1!ML17:ML34)</f>
        <v>0</v>
      </c>
      <c r="MM16" s="151">
        <f>SUM(data_1!MM17:MM34)</f>
        <v>0</v>
      </c>
      <c r="MN16" s="151">
        <f>SUM(data_1!MN17:MN34)</f>
        <v>0</v>
      </c>
      <c r="MO16" s="151">
        <f>SUM(data_1!MO17:MO34)</f>
        <v>0</v>
      </c>
      <c r="MP16" s="151">
        <f>SUM(data_1!MP17:MP34)</f>
        <v>0</v>
      </c>
      <c r="MQ16" s="151">
        <f>SUM(data_1!MQ17:MQ34)</f>
        <v>0</v>
      </c>
      <c r="MR16" s="151">
        <f>SUM(data_1!MR17:MR34)</f>
        <v>0</v>
      </c>
      <c r="MS16" s="151">
        <f>SUM(data_1!MS17:MS34)</f>
        <v>0</v>
      </c>
      <c r="MT16" s="151">
        <f>SUM(data_1!MT17:MT34)</f>
        <v>0</v>
      </c>
      <c r="MU16" s="151">
        <f>SUM(data_1!MU17:MU34)</f>
        <v>0</v>
      </c>
      <c r="MV16" s="151">
        <f>SUM(data_1!MV17:MV34)</f>
        <v>0</v>
      </c>
      <c r="MW16" s="151">
        <f>SUM(data_1!MW17:MW34)</f>
        <v>0</v>
      </c>
      <c r="MX16" s="151">
        <f>SUM(data_1!MX17:MX34)</f>
        <v>0</v>
      </c>
      <c r="MY16" s="151">
        <f>SUM(data_1!MY17:MY34)</f>
        <v>0</v>
      </c>
      <c r="MZ16" s="151">
        <f>SUM(data_1!MZ17:MZ34)</f>
        <v>0</v>
      </c>
      <c r="NA16" s="151">
        <f>SUM(data_1!NA17:NA34)</f>
        <v>0</v>
      </c>
      <c r="NB16" s="151">
        <f>SUM(data_1!NB17:NB34)</f>
        <v>0</v>
      </c>
      <c r="NC16" s="151">
        <f>SUM(data_1!NC17:NC34)</f>
        <v>0</v>
      </c>
      <c r="ND16" s="151">
        <f>SUM(data_1!ND17:ND34)</f>
        <v>0</v>
      </c>
      <c r="NE16" s="151">
        <f>SUM(data_1!NE17:NE34)</f>
        <v>267528744.57000002</v>
      </c>
      <c r="NF16" s="151">
        <f>SUM(data_1!NF17:NF34)</f>
        <v>120473600</v>
      </c>
      <c r="NG16" s="151">
        <f>SUM(data_1!NG17:NG34)</f>
        <v>147055144.56999999</v>
      </c>
      <c r="NH16" s="151">
        <f>SUM(data_1!NH17:NH34)</f>
        <v>120473600</v>
      </c>
      <c r="NI16" s="151">
        <f>SUM(data_1!NI17:NI34)</f>
        <v>0</v>
      </c>
      <c r="NJ16" s="151">
        <f>SUM(data_1!NJ17:NJ34)</f>
        <v>0</v>
      </c>
      <c r="NK16" s="151">
        <f>SUM(data_1!NK17:NK34)</f>
        <v>267528744.57000002</v>
      </c>
      <c r="NL16" s="151">
        <f>SUM(data_1!NL17:NL34)</f>
        <v>120473600</v>
      </c>
      <c r="NM16" s="151">
        <f>SUM(data_1!NM17:NM34)</f>
        <v>0</v>
      </c>
      <c r="NN16" s="151">
        <f>SUM(data_1!NN17:NN34)</f>
        <v>147055144.56999999</v>
      </c>
      <c r="NO16" s="151">
        <f>SUM(data_1!NO17:NO34)</f>
        <v>249.60469999999998</v>
      </c>
      <c r="NP16" s="151">
        <f>SUM(data_1!NP17:NP34)</f>
        <v>0</v>
      </c>
      <c r="NQ16" s="151">
        <f>SUM(data_1!NQ17:NQ34)</f>
        <v>0</v>
      </c>
      <c r="NR16" s="151">
        <f>SUM(data_1!NR17:NR34)</f>
        <v>120473600</v>
      </c>
      <c r="NS16" s="151">
        <f>SUM(data_1!NS17:NS34)</f>
        <v>0</v>
      </c>
      <c r="NT16" s="151">
        <f>SUM(data_1!NT17:NT34)</f>
        <v>120473600</v>
      </c>
      <c r="NU16" s="151">
        <f>SUM(data_1!NU17:NU34)</f>
        <v>120473600</v>
      </c>
      <c r="NV16" s="151">
        <f>SUM(data_1!NV17:NV34)</f>
        <v>0</v>
      </c>
      <c r="NW16" s="151">
        <f>SUM(data_1!NW17:NW34)</f>
        <v>0</v>
      </c>
      <c r="NX16" s="151">
        <f>SUM(data_1!NX17:NX34)</f>
        <v>0</v>
      </c>
      <c r="NY16" s="151">
        <f>SUM(data_1!NY17:NY34)</f>
        <v>0</v>
      </c>
      <c r="NZ16" s="151">
        <f>SUM(data_1!NZ17:NZ34)</f>
        <v>0</v>
      </c>
      <c r="OA16" s="151">
        <f>SUM(data_1!OA17:OA34)</f>
        <v>0</v>
      </c>
      <c r="OB16" s="151">
        <f>SUM(data_1!OB17:OB34)</f>
        <v>0</v>
      </c>
      <c r="OC16" s="151">
        <f>SUM(data_1!OC17:OC34)</f>
        <v>0</v>
      </c>
      <c r="OD16" s="151">
        <f>SUM(data_1!OD17:OD34)</f>
        <v>0</v>
      </c>
      <c r="OE16" s="151">
        <f>SUM(data_1!OE17:OE34)</f>
        <v>0</v>
      </c>
      <c r="OF16" s="151">
        <f>SUM(data_1!OF17:OF34)</f>
        <v>0</v>
      </c>
      <c r="OG16" s="151">
        <f>SUM(data_1!OG17:OG34)</f>
        <v>0</v>
      </c>
      <c r="OH16" s="151">
        <f>SUM(data_1!OH17:OH34)</f>
        <v>0</v>
      </c>
      <c r="OI16" s="151">
        <f>SUM(data_1!OI17:OI34)</f>
        <v>0</v>
      </c>
      <c r="OJ16" s="151">
        <f>SUM(data_1!OJ17:OJ34)</f>
        <v>0</v>
      </c>
      <c r="OK16" s="151">
        <f>SUM(data_1!OK17:OK34)</f>
        <v>0</v>
      </c>
      <c r="OL16" s="151">
        <f>SUM(data_1!OL17:OL34)</f>
        <v>0</v>
      </c>
      <c r="OM16" s="151">
        <f>SUM(data_1!OM17:OM34)</f>
        <v>0</v>
      </c>
      <c r="ON16" s="151">
        <f>SUM(data_1!ON17:ON34)</f>
        <v>0</v>
      </c>
      <c r="OO16" s="151">
        <f>SUM(data_1!OO17:OO34)</f>
        <v>38360535.859999999</v>
      </c>
      <c r="OP16" s="151">
        <f>SUM(data_1!OP17:OP34)</f>
        <v>14709500</v>
      </c>
      <c r="OQ16" s="151">
        <f>SUM(data_1!OQ17:OQ34)</f>
        <v>23651035.859999999</v>
      </c>
      <c r="OR16" s="151">
        <f>SUM(data_1!OR17:OR34)</f>
        <v>14706214.220000001</v>
      </c>
      <c r="OS16" s="151">
        <f>SUM(data_1!OS17:OS34)</f>
        <v>0</v>
      </c>
      <c r="OT16" s="151">
        <f>SUM(data_1!OT17:OT34)</f>
        <v>0</v>
      </c>
      <c r="OU16" s="151">
        <f>SUM(data_1!OU17:OU34)</f>
        <v>38354418.160000004</v>
      </c>
      <c r="OV16" s="151">
        <f>SUM(data_1!OV17:OV34)</f>
        <v>14706211.85</v>
      </c>
      <c r="OW16" s="151">
        <f>SUM(data_1!OW17:OW34)</f>
        <v>0</v>
      </c>
      <c r="OX16" s="151">
        <f>SUM(data_1!OX17:OX34)</f>
        <v>23648206.309999999</v>
      </c>
      <c r="OY16" s="151">
        <f>SUM(data_1!OY17:OY34)</f>
        <v>625.44250999999997</v>
      </c>
      <c r="OZ16" s="151">
        <f>SUM(data_1!OZ17:OZ34)</f>
        <v>0</v>
      </c>
      <c r="PA16" s="151">
        <f>SUM(data_1!PA17:PA34)</f>
        <v>2.37</v>
      </c>
      <c r="PB16" s="151">
        <f>SUM(data_1!PB17:PB34)</f>
        <v>14706211.85</v>
      </c>
      <c r="PC16" s="151">
        <f>SUM(data_1!PC17:PC34)</f>
        <v>0</v>
      </c>
      <c r="PD16" s="151">
        <f>SUM(data_1!PD17:PD34)</f>
        <v>14709500</v>
      </c>
      <c r="PE16" s="151">
        <f>SUM(data_1!PE17:PE34)</f>
        <v>14709500</v>
      </c>
      <c r="PF16" s="151">
        <f>SUM(data_1!PF17:PF34)</f>
        <v>0</v>
      </c>
      <c r="PG16" s="151">
        <f>SUM(data_1!PG17:PG34)</f>
        <v>0</v>
      </c>
      <c r="PH16" s="151">
        <f>SUM(data_1!PH17:PH34)</f>
        <v>0</v>
      </c>
      <c r="PI16" s="151">
        <f>SUM(data_1!PI17:PI34)</f>
        <v>0</v>
      </c>
      <c r="PJ16" s="151">
        <f>SUM(data_1!PJ17:PJ34)</f>
        <v>0</v>
      </c>
      <c r="PK16" s="151">
        <f>SUM(data_1!PK17:PK34)</f>
        <v>0</v>
      </c>
      <c r="PL16" s="151">
        <f>SUM(data_1!PL17:PL34)</f>
        <v>0</v>
      </c>
      <c r="PM16" s="151">
        <f>SUM(data_1!PM17:PM34)</f>
        <v>0</v>
      </c>
      <c r="PN16" s="151">
        <f>SUM(data_1!PN17:PN34)</f>
        <v>0</v>
      </c>
      <c r="PO16" s="151">
        <f>SUM(data_1!PO17:PO34)</f>
        <v>0</v>
      </c>
      <c r="PP16" s="151">
        <f>SUM(data_1!PP17:PP34)</f>
        <v>0</v>
      </c>
      <c r="PQ16" s="151">
        <f>SUM(data_1!PQ17:PQ34)</f>
        <v>0</v>
      </c>
      <c r="PR16" s="151">
        <f>SUM(data_1!PR17:PR34)</f>
        <v>0</v>
      </c>
      <c r="PS16" s="151">
        <f>SUM(data_1!PS17:PS34)</f>
        <v>0</v>
      </c>
      <c r="PT16" s="151">
        <f>SUM(data_1!PT17:PT34)</f>
        <v>0</v>
      </c>
      <c r="PU16" s="151">
        <f>SUM(data_1!PU17:PU34)</f>
        <v>0</v>
      </c>
      <c r="PV16" s="151">
        <f>SUM(data_1!PV17:PV34)</f>
        <v>0</v>
      </c>
      <c r="PW16" s="151">
        <f>SUM(data_1!PW17:PW34)</f>
        <v>0</v>
      </c>
      <c r="PX16" s="151">
        <f>SUM(data_1!PX17:PX34)</f>
        <v>0</v>
      </c>
      <c r="PY16" s="151">
        <f>SUM(data_1!PY17:PY34)</f>
        <v>0</v>
      </c>
      <c r="PZ16" s="151">
        <f>SUM(data_1!PZ17:PZ34)</f>
        <v>0</v>
      </c>
      <c r="QA16" s="151">
        <f>SUM(data_1!QA17:QA34)</f>
        <v>0</v>
      </c>
      <c r="QB16" s="151">
        <f>SUM(data_1!QB17:QB34)</f>
        <v>0</v>
      </c>
      <c r="QC16" s="151">
        <f>SUM(data_1!QC17:QC34)</f>
        <v>163177350.59999999</v>
      </c>
      <c r="QD16" s="151">
        <f>SUM(data_1!QD17:QD34)</f>
        <v>0</v>
      </c>
      <c r="QE16" s="151">
        <f>SUM(data_1!QE17:QE34)</f>
        <v>0</v>
      </c>
      <c r="QF16" s="151">
        <f>SUM(data_1!QF17:QF34)</f>
        <v>0</v>
      </c>
      <c r="QG16" s="151">
        <f>SUM(data_1!QG17:QG34)</f>
        <v>0</v>
      </c>
      <c r="QH16" s="151">
        <f>SUM(data_1!QH17:QH34)</f>
        <v>0</v>
      </c>
      <c r="QI16" s="151">
        <f>SUM(data_1!QI17:QI34)</f>
        <v>0</v>
      </c>
      <c r="QJ16" s="151">
        <f>SUM(data_1!QJ17:QJ34)</f>
        <v>163014808.69999999</v>
      </c>
      <c r="QK16" s="151">
        <f>SUM(data_1!QK17:QK34)</f>
        <v>162541.9</v>
      </c>
      <c r="QL16" s="151">
        <f>SUM(data_1!QL17:QL34)</f>
        <v>0</v>
      </c>
      <c r="QM16" s="151">
        <f>SUM(data_1!QM17:QM34)</f>
        <v>0</v>
      </c>
      <c r="QN16" s="151">
        <f>SUM(data_1!QN17:QN34)</f>
        <v>0</v>
      </c>
      <c r="QO16" s="151">
        <f>SUM(data_1!QO17:QO34)</f>
        <v>0</v>
      </c>
    </row>
    <row r="17" spans="1:457" x14ac:dyDescent="0.25">
      <c r="A17" s="133" t="s">
        <v>61</v>
      </c>
      <c r="B17" s="134" t="s">
        <v>62</v>
      </c>
      <c r="C17" s="137" t="s">
        <v>63</v>
      </c>
      <c r="F17" s="148">
        <f>SUM(data_1!F36:F46)</f>
        <v>8177491100</v>
      </c>
      <c r="G17" s="148">
        <f>SUM(data_1!G36:G46)</f>
        <v>0</v>
      </c>
      <c r="H17" s="148">
        <f>SUM(data_1!H36:H46)</f>
        <v>0</v>
      </c>
      <c r="I17" s="148">
        <f>SUM(data_1!I36:I46)</f>
        <v>4274121339.5799999</v>
      </c>
      <c r="J17" s="148">
        <f>SUM(data_1!J36:J46)</f>
        <v>3872857000</v>
      </c>
      <c r="K17" s="148">
        <f>SUM(data_1!K36:K46)</f>
        <v>401264339.57999998</v>
      </c>
      <c r="L17" s="148">
        <f>SUM(data_1!L36:L46)</f>
        <v>3858952913.1099997</v>
      </c>
      <c r="M17" s="148">
        <f>SUM(data_1!M36:M46)</f>
        <v>0</v>
      </c>
      <c r="N17" s="148">
        <f>SUM(data_1!N36:N46)</f>
        <v>0</v>
      </c>
      <c r="O17" s="148">
        <f>SUM(data_1!O36:O46)</f>
        <v>4259154526.3000002</v>
      </c>
      <c r="P17" s="148">
        <f>SUM(data_1!P36:P46)</f>
        <v>3858952913.1099997</v>
      </c>
      <c r="Q17" s="148">
        <f>SUM(data_1!Q36:Q46)</f>
        <v>0</v>
      </c>
      <c r="R17" s="148">
        <f>SUM(data_1!R36:R46)</f>
        <v>400201613.19</v>
      </c>
      <c r="S17" s="148">
        <f>SUM(data_1!S36:S46)</f>
        <v>104.34225000000001</v>
      </c>
      <c r="T17" s="148">
        <f>SUM(data_1!T36:T46)</f>
        <v>0</v>
      </c>
      <c r="U17" s="148">
        <f>SUM(data_1!U36:U46)</f>
        <v>0</v>
      </c>
      <c r="V17" s="148">
        <f>SUM(data_1!V36:V46)</f>
        <v>3858952913.1099997</v>
      </c>
      <c r="W17" s="148">
        <f>SUM(data_1!W36:W46)</f>
        <v>0</v>
      </c>
      <c r="X17" s="148">
        <f>SUM(data_1!X36:X46)</f>
        <v>3872857000</v>
      </c>
      <c r="Y17" s="148">
        <f>SUM(data_1!Y36:Y46)</f>
        <v>3872857000</v>
      </c>
      <c r="Z17" s="213">
        <f>SUM(data_1!Z36:Z46)</f>
        <v>0</v>
      </c>
      <c r="AA17" s="213">
        <f>SUM(data_1!AA36:AA46)</f>
        <v>58603337</v>
      </c>
      <c r="AB17" s="213">
        <f>SUM(data_1!AB36:AB46)</f>
        <v>49935900</v>
      </c>
      <c r="AC17" s="213">
        <f>SUM(data_1!AC36:AC46)</f>
        <v>8667437</v>
      </c>
      <c r="AD17" s="213">
        <f>SUM(data_1!AD36:AD46)</f>
        <v>49935900</v>
      </c>
      <c r="AE17" s="213">
        <f>SUM(data_1!AE36:AE46)</f>
        <v>0</v>
      </c>
      <c r="AF17" s="213">
        <f>SUM(data_1!AF36:AF46)</f>
        <v>0</v>
      </c>
      <c r="AG17" s="213">
        <f>SUM(data_1!AG36:AG46)</f>
        <v>58603337</v>
      </c>
      <c r="AH17" s="213">
        <f>SUM(data_1!AH36:AH46)</f>
        <v>49935900</v>
      </c>
      <c r="AI17" s="213">
        <f>SUM(data_1!AI36:AI46)</f>
        <v>0</v>
      </c>
      <c r="AJ17" s="213">
        <f>SUM(data_1!AJ36:AJ46)</f>
        <v>8667437</v>
      </c>
      <c r="AK17" s="213">
        <f>SUM(data_1!AK36:AK46)</f>
        <v>14.790010000000001</v>
      </c>
      <c r="AL17" s="213">
        <f>SUM(data_1!AL36:AL46)</f>
        <v>0</v>
      </c>
      <c r="AM17" s="213">
        <f>SUM(data_1!AM36:AM46)</f>
        <v>0</v>
      </c>
      <c r="AN17" s="213">
        <f>SUM(data_1!AN36:AN46)</f>
        <v>49935900</v>
      </c>
      <c r="AO17" s="213">
        <f>SUM(data_1!AO36:AO46)</f>
        <v>0</v>
      </c>
      <c r="AP17" s="213">
        <f>SUM(data_1!AP36:AP46)</f>
        <v>49935900</v>
      </c>
      <c r="AQ17" s="213">
        <f>SUM(data_1!AQ36:AQ46)</f>
        <v>49935900</v>
      </c>
      <c r="AR17" s="148">
        <f>SUM(data_1!AR36:AR46)</f>
        <v>0</v>
      </c>
      <c r="AS17" s="148">
        <f>SUM(data_1!AS36:AS46)</f>
        <v>1177796156</v>
      </c>
      <c r="AT17" s="148">
        <f>SUM(data_1!AT36:AT46)</f>
        <v>885078200</v>
      </c>
      <c r="AU17" s="148">
        <f>SUM(data_1!AU36:AU46)</f>
        <v>292717956</v>
      </c>
      <c r="AV17" s="148">
        <f>SUM(data_1!AV36:AV46)</f>
        <v>883166741.29000008</v>
      </c>
      <c r="AW17" s="148">
        <f>SUM(data_1!AW36:AW46)</f>
        <v>0</v>
      </c>
      <c r="AX17" s="148">
        <f>SUM(data_1!AX36:AX46)</f>
        <v>0</v>
      </c>
      <c r="AY17" s="148">
        <f>SUM(data_1!AY36:AY46)</f>
        <v>1171626222.4000001</v>
      </c>
      <c r="AZ17" s="148">
        <f>SUM(data_1!AZ36:AZ46)</f>
        <v>883166741.29000008</v>
      </c>
      <c r="BA17" s="148">
        <f>SUM(data_1!BA36:BA46)</f>
        <v>0</v>
      </c>
      <c r="BB17" s="148">
        <f>SUM(data_1!BB36:BB46)</f>
        <v>288459481.11000001</v>
      </c>
      <c r="BC17" s="148">
        <f>SUM(data_1!BC36:BC46)</f>
        <v>345.13487000000003</v>
      </c>
      <c r="BD17" s="148">
        <f>SUM(data_1!BD36:BD46)</f>
        <v>0</v>
      </c>
      <c r="BE17" s="148">
        <f>SUM(data_1!BE36:BE46)</f>
        <v>0</v>
      </c>
      <c r="BF17" s="148">
        <f>SUM(data_1!BF36:BF46)</f>
        <v>883166741.29000008</v>
      </c>
      <c r="BG17" s="148">
        <f>SUM(data_1!BG36:BG46)</f>
        <v>0</v>
      </c>
      <c r="BH17" s="148">
        <f>SUM(data_1!BH36:BH46)</f>
        <v>885078200</v>
      </c>
      <c r="BI17" s="148">
        <f>SUM(data_1!BI36:BI46)</f>
        <v>885078200</v>
      </c>
      <c r="BJ17" s="213">
        <f>SUM(data_1!BJ36:BJ46)</f>
        <v>0</v>
      </c>
      <c r="BK17" s="213">
        <f>SUM(data_1!BK36:BK46)</f>
        <v>0</v>
      </c>
      <c r="BL17" s="213">
        <f>SUM(data_1!BL36:BL46)</f>
        <v>0</v>
      </c>
      <c r="BM17" s="213">
        <f>SUM(data_1!BM36:BM46)</f>
        <v>0</v>
      </c>
      <c r="BN17" s="213">
        <f>SUM(data_1!BN36:BN46)</f>
        <v>0</v>
      </c>
      <c r="BO17" s="213">
        <f>SUM(data_1!BO36:BO46)</f>
        <v>0</v>
      </c>
      <c r="BP17" s="213">
        <f>SUM(data_1!BP36:BP46)</f>
        <v>0</v>
      </c>
      <c r="BQ17" s="213">
        <f>SUM(data_1!BQ36:BQ46)</f>
        <v>0</v>
      </c>
      <c r="BR17" s="213">
        <f>SUM(data_1!BR36:BR46)</f>
        <v>0</v>
      </c>
      <c r="BS17" s="213">
        <f>SUM(data_1!BS36:BS46)</f>
        <v>0</v>
      </c>
      <c r="BT17" s="213">
        <f>SUM(data_1!BT36:BT46)</f>
        <v>0</v>
      </c>
      <c r="BU17" s="213">
        <f>SUM(data_1!BU36:BU46)</f>
        <v>0</v>
      </c>
      <c r="BV17" s="213">
        <f>SUM(data_1!BV36:BV46)</f>
        <v>0</v>
      </c>
      <c r="BW17" s="213">
        <f>SUM(data_1!BW36:BW46)</f>
        <v>0</v>
      </c>
      <c r="BX17" s="213">
        <f>SUM(data_1!BX36:BX46)</f>
        <v>0</v>
      </c>
      <c r="BY17" s="213">
        <f>SUM(data_1!BY36:BY46)</f>
        <v>0</v>
      </c>
      <c r="BZ17" s="213">
        <f>SUM(data_1!BZ36:BZ46)</f>
        <v>0</v>
      </c>
      <c r="CA17" s="213">
        <f>SUM(data_1!CA36:CA46)</f>
        <v>0</v>
      </c>
      <c r="CB17" s="148">
        <f>SUM(data_1!CB36:CB46)</f>
        <v>0</v>
      </c>
      <c r="CC17" s="148">
        <f>SUM(data_1!CC36:CC46)</f>
        <v>537257250</v>
      </c>
      <c r="CD17" s="148">
        <f>SUM(data_1!CD36:CD46)</f>
        <v>380622300</v>
      </c>
      <c r="CE17" s="148">
        <f>SUM(data_1!CE36:CE46)</f>
        <v>156634950</v>
      </c>
      <c r="CF17" s="148">
        <f>SUM(data_1!CF36:CF46)</f>
        <v>380585538.11000001</v>
      </c>
      <c r="CG17" s="148">
        <f>SUM(data_1!CG36:CG46)</f>
        <v>0</v>
      </c>
      <c r="CH17" s="148">
        <f>SUM(data_1!CH36:CH46)</f>
        <v>0</v>
      </c>
      <c r="CI17" s="148">
        <f>SUM(data_1!CI36:CI46)</f>
        <v>537212198.62</v>
      </c>
      <c r="CJ17" s="148">
        <f>SUM(data_1!CJ36:CJ46)</f>
        <v>380582238.94999999</v>
      </c>
      <c r="CK17" s="148">
        <f>SUM(data_1!CK36:CK46)</f>
        <v>0</v>
      </c>
      <c r="CL17" s="148">
        <f>SUM(data_1!CL36:CL46)</f>
        <v>156629959.67000002</v>
      </c>
      <c r="CM17" s="148">
        <f>SUM(data_1!CM36:CM46)</f>
        <v>245.85681999999997</v>
      </c>
      <c r="CN17" s="148">
        <f>SUM(data_1!CN36:CN46)</f>
        <v>0</v>
      </c>
      <c r="CO17" s="148">
        <f>SUM(data_1!CO36:CO46)</f>
        <v>3299.16</v>
      </c>
      <c r="CP17" s="148">
        <f>SUM(data_1!CP36:CP46)</f>
        <v>380582238.94999999</v>
      </c>
      <c r="CQ17" s="148">
        <f>SUM(data_1!CQ36:CQ46)</f>
        <v>0</v>
      </c>
      <c r="CR17" s="148">
        <f>SUM(data_1!CR36:CR46)</f>
        <v>380622300</v>
      </c>
      <c r="CS17" s="148">
        <f>SUM(data_1!CS36:CS46)</f>
        <v>380622300</v>
      </c>
      <c r="CT17" s="148">
        <f>SUM(data_1!CT36:CT46)</f>
        <v>0</v>
      </c>
      <c r="CU17" s="148">
        <f>SUM(data_1!CU36:CU46)</f>
        <v>2232180303.1599998</v>
      </c>
      <c r="CV17" s="148">
        <f>SUM(data_1!CV36:CV46)</f>
        <v>1846225400</v>
      </c>
      <c r="CW17" s="148">
        <f>SUM(data_1!CW36:CW46)</f>
        <v>385954903.15999997</v>
      </c>
      <c r="CX17" s="148">
        <f>SUM(data_1!CX36:CX46)</f>
        <v>1845355268.9000001</v>
      </c>
      <c r="CY17" s="148">
        <f>SUM(data_1!CY36:CY46)</f>
        <v>40868.44</v>
      </c>
      <c r="CZ17" s="148">
        <f>SUM(data_1!CZ36:CZ46)</f>
        <v>0</v>
      </c>
      <c r="DA17" s="148">
        <f>SUM(data_1!DA36:DA46)</f>
        <v>2231107226.8000002</v>
      </c>
      <c r="DB17" s="148">
        <f>SUM(data_1!DB36:DB46)</f>
        <v>1845354691.8700001</v>
      </c>
      <c r="DC17" s="148">
        <f>SUM(data_1!DC36:DC46)</f>
        <v>0</v>
      </c>
      <c r="DD17" s="148">
        <f>SUM(data_1!DD36:DD46)</f>
        <v>385752534.93000001</v>
      </c>
      <c r="DE17" s="148">
        <f>SUM(data_1!DE36:DE46)</f>
        <v>215.97996000000001</v>
      </c>
      <c r="DF17" s="148">
        <f>SUM(data_1!DF36:DF46)</f>
        <v>40868.44</v>
      </c>
      <c r="DG17" s="148">
        <f>SUM(data_1!DG36:DG46)</f>
        <v>577.03</v>
      </c>
      <c r="DH17" s="148">
        <f>SUM(data_1!DH36:DH46)</f>
        <v>1845354691.8700001</v>
      </c>
      <c r="DI17" s="148">
        <f>SUM(data_1!DI36:DI46)</f>
        <v>0</v>
      </c>
      <c r="DJ17" s="148">
        <f>SUM(data_1!DJ36:DJ46)</f>
        <v>1846225400</v>
      </c>
      <c r="DK17" s="148">
        <f>SUM(data_1!DK36:DK46)</f>
        <v>1846225400</v>
      </c>
      <c r="DL17" s="213">
        <f>SUM(data_1!DL36:DL46)</f>
        <v>0</v>
      </c>
      <c r="DM17" s="213">
        <f>SUM(data_1!DM36:DM46)</f>
        <v>0</v>
      </c>
      <c r="DN17" s="213">
        <f>SUM(data_1!DN36:DN46)</f>
        <v>0</v>
      </c>
      <c r="DO17" s="213">
        <f>SUM(data_1!DO36:DO46)</f>
        <v>0</v>
      </c>
      <c r="DP17" s="213">
        <f>SUM(data_1!DP36:DP46)</f>
        <v>0</v>
      </c>
      <c r="DQ17" s="213">
        <f>SUM(data_1!DQ36:DQ46)</f>
        <v>0</v>
      </c>
      <c r="DR17" s="213">
        <f>SUM(data_1!DR36:DR46)</f>
        <v>0</v>
      </c>
      <c r="DS17" s="213">
        <f>SUM(data_1!DS36:DS46)</f>
        <v>0</v>
      </c>
      <c r="DT17" s="213">
        <f>SUM(data_1!DT36:DT46)</f>
        <v>0</v>
      </c>
      <c r="DU17" s="213">
        <f>SUM(data_1!DU36:DU46)</f>
        <v>0</v>
      </c>
      <c r="DV17" s="213">
        <f>SUM(data_1!DV36:DV46)</f>
        <v>0</v>
      </c>
      <c r="DW17" s="213">
        <f>SUM(data_1!DW36:DW46)</f>
        <v>0</v>
      </c>
      <c r="DX17" s="213">
        <f>SUM(data_1!DX36:DX46)</f>
        <v>0</v>
      </c>
      <c r="DY17" s="213">
        <f>SUM(data_1!DY36:DY46)</f>
        <v>0</v>
      </c>
      <c r="DZ17" s="213">
        <f>SUM(data_1!DZ36:DZ46)</f>
        <v>0</v>
      </c>
      <c r="EA17" s="213">
        <f>SUM(data_1!EA36:EA46)</f>
        <v>0</v>
      </c>
      <c r="EB17" s="213">
        <f>SUM(data_1!EB36:EB46)</f>
        <v>0</v>
      </c>
      <c r="EC17" s="213">
        <f>SUM(data_1!EC36:EC46)</f>
        <v>0</v>
      </c>
      <c r="ED17" s="148">
        <f>SUM(data_1!ED36:ED46)</f>
        <v>0</v>
      </c>
      <c r="EE17" s="148">
        <f>SUM(data_1!EE36:EE46)</f>
        <v>460327963.40999997</v>
      </c>
      <c r="EF17" s="148">
        <f>SUM(data_1!EF36:EF46)</f>
        <v>408820000</v>
      </c>
      <c r="EG17" s="148">
        <f>SUM(data_1!EG36:EG46)</f>
        <v>51507963.409999996</v>
      </c>
      <c r="EH17" s="148">
        <f>SUM(data_1!EH36:EH46)</f>
        <v>408818311.93000001</v>
      </c>
      <c r="EI17" s="148">
        <f>SUM(data_1!EI36:EI46)</f>
        <v>0</v>
      </c>
      <c r="EJ17" s="148">
        <f>SUM(data_1!EJ36:EJ46)</f>
        <v>0</v>
      </c>
      <c r="EK17" s="148">
        <f>SUM(data_1!EK36:EK46)</f>
        <v>460326182.21000004</v>
      </c>
      <c r="EL17" s="148">
        <f>SUM(data_1!EL36:EL46)</f>
        <v>408818311.93000001</v>
      </c>
      <c r="EM17" s="148">
        <f>SUM(data_1!EM36:EM46)</f>
        <v>0</v>
      </c>
      <c r="EN17" s="148">
        <f>SUM(data_1!EN36:EN46)</f>
        <v>51507870.280000001</v>
      </c>
      <c r="EO17" s="148">
        <f>SUM(data_1!EO36:EO46)</f>
        <v>71.511129999999994</v>
      </c>
      <c r="EP17" s="148">
        <f>SUM(data_1!EP36:EP46)</f>
        <v>0</v>
      </c>
      <c r="EQ17" s="148">
        <f>SUM(data_1!EQ36:EQ46)</f>
        <v>0</v>
      </c>
      <c r="ER17" s="148">
        <f>SUM(data_1!ER36:ER46)</f>
        <v>408818311.93000001</v>
      </c>
      <c r="ES17" s="148">
        <f>SUM(data_1!ES36:ES46)</f>
        <v>0</v>
      </c>
      <c r="ET17" s="148">
        <f>SUM(data_1!ET36:ET46)</f>
        <v>408820000</v>
      </c>
      <c r="EU17" s="148">
        <f>SUM(data_1!EU36:EU46)</f>
        <v>408820000</v>
      </c>
      <c r="EV17" s="213">
        <f>SUM(data_1!EV36:EV46)</f>
        <v>0</v>
      </c>
      <c r="EW17" s="213">
        <f>SUM(data_1!EW36:EW46)</f>
        <v>134620835.38999999</v>
      </c>
      <c r="EX17" s="213">
        <f>SUM(data_1!EX36:EX46)</f>
        <v>108632600</v>
      </c>
      <c r="EY17" s="213">
        <f>SUM(data_1!EY36:EY46)</f>
        <v>25988235.390000001</v>
      </c>
      <c r="EZ17" s="213">
        <f>SUM(data_1!EZ36:EZ46)</f>
        <v>108632600</v>
      </c>
      <c r="FA17" s="213">
        <f>SUM(data_1!FA36:FA46)</f>
        <v>0</v>
      </c>
      <c r="FB17" s="213">
        <f>SUM(data_1!FB36:FB46)</f>
        <v>0</v>
      </c>
      <c r="FC17" s="213">
        <f>SUM(data_1!FC36:FC46)</f>
        <v>134620782.63</v>
      </c>
      <c r="FD17" s="213">
        <f>SUM(data_1!FD36:FD46)</f>
        <v>108632550</v>
      </c>
      <c r="FE17" s="213">
        <f>SUM(data_1!FE36:FE46)</f>
        <v>0</v>
      </c>
      <c r="FF17" s="213">
        <f>SUM(data_1!FF36:FF46)</f>
        <v>25988232.630000003</v>
      </c>
      <c r="FG17" s="213">
        <f>SUM(data_1!FG36:FG46)</f>
        <v>40.07647</v>
      </c>
      <c r="FH17" s="213">
        <f>SUM(data_1!FH36:FH46)</f>
        <v>0</v>
      </c>
      <c r="FI17" s="213">
        <f>SUM(data_1!FI36:FI46)</f>
        <v>50</v>
      </c>
      <c r="FJ17" s="213">
        <f>SUM(data_1!FJ36:FJ46)</f>
        <v>108632550</v>
      </c>
      <c r="FK17" s="213">
        <f>SUM(data_1!FK36:FK46)</f>
        <v>0</v>
      </c>
      <c r="FL17" s="213">
        <f>SUM(data_1!FL36:FL46)</f>
        <v>108632600</v>
      </c>
      <c r="FM17" s="213">
        <f>SUM(data_1!FM36:FM46)</f>
        <v>108632600</v>
      </c>
      <c r="FN17" s="148">
        <f>SUM(data_1!FN36:FN46)</f>
        <v>0</v>
      </c>
      <c r="FO17" s="148">
        <f>SUM(data_1!FO36:FO46)</f>
        <v>460033460</v>
      </c>
      <c r="FP17" s="148">
        <f>SUM(data_1!FP36:FP46)</f>
        <v>337458800</v>
      </c>
      <c r="FQ17" s="148">
        <f>SUM(data_1!FQ36:FQ46)</f>
        <v>122574660</v>
      </c>
      <c r="FR17" s="148">
        <f>SUM(data_1!FR36:FR46)</f>
        <v>336595584.25</v>
      </c>
      <c r="FS17" s="148">
        <f>SUM(data_1!FS36:FS46)</f>
        <v>302277</v>
      </c>
      <c r="FT17" s="148">
        <f>SUM(data_1!FT36:FT46)</f>
        <v>0</v>
      </c>
      <c r="FU17" s="148">
        <f>SUM(data_1!FU36:FU46)</f>
        <v>458347119.06</v>
      </c>
      <c r="FV17" s="148">
        <f>SUM(data_1!FV36:FV46)</f>
        <v>336595584.25</v>
      </c>
      <c r="FW17" s="148">
        <f>SUM(data_1!FW36:FW46)</f>
        <v>0</v>
      </c>
      <c r="FX17" s="148">
        <f>SUM(data_1!FX36:FX46)</f>
        <v>121751534.81</v>
      </c>
      <c r="FY17" s="148">
        <f>SUM(data_1!FY36:FY46)</f>
        <v>280.91688999999997</v>
      </c>
      <c r="FZ17" s="148">
        <f>SUM(data_1!FZ36:FZ46)</f>
        <v>302277</v>
      </c>
      <c r="GA17" s="148">
        <f>SUM(data_1!GA36:GA46)</f>
        <v>0</v>
      </c>
      <c r="GB17" s="148">
        <f>SUM(data_1!GB36:GB46)</f>
        <v>336595584.25</v>
      </c>
      <c r="GC17" s="148">
        <f>SUM(data_1!GC36:GC46)</f>
        <v>0</v>
      </c>
      <c r="GD17" s="148">
        <f>SUM(data_1!GD36:GD46)</f>
        <v>337458800</v>
      </c>
      <c r="GE17" s="148">
        <f>SUM(data_1!GE36:GE46)</f>
        <v>337458800</v>
      </c>
      <c r="GF17" s="148">
        <f>SUM(data_1!GF36:GF46)</f>
        <v>0</v>
      </c>
      <c r="GG17" s="148">
        <f>SUM(data_1!GG36:GG46)</f>
        <v>456857800</v>
      </c>
      <c r="GH17" s="148">
        <f>SUM(data_1!GH36:GH46)</f>
        <v>120271000</v>
      </c>
      <c r="GI17" s="148">
        <f>SUM(data_1!GI36:GI46)</f>
        <v>336586800</v>
      </c>
      <c r="GJ17" s="148">
        <f>SUM(data_1!GJ36:GJ46)</f>
        <v>120270982.05000001</v>
      </c>
      <c r="GK17" s="148">
        <f>SUM(data_1!GK36:GK46)</f>
        <v>2816182.93</v>
      </c>
      <c r="GL17" s="148">
        <f>SUM(data_1!GL36:GL46)</f>
        <v>0</v>
      </c>
      <c r="GM17" s="148">
        <f>SUM(data_1!GM36:GM46)</f>
        <v>456489456.06</v>
      </c>
      <c r="GN17" s="148">
        <f>SUM(data_1!GN36:GN46)</f>
        <v>120134229.12</v>
      </c>
      <c r="GO17" s="148">
        <f>SUM(data_1!GO36:GO46)</f>
        <v>0</v>
      </c>
      <c r="GP17" s="148">
        <f>SUM(data_1!GP36:GP46)</f>
        <v>336355226.94</v>
      </c>
      <c r="GQ17" s="148">
        <f>SUM(data_1!GQ36:GQ46)</f>
        <v>645.70577000000003</v>
      </c>
      <c r="GR17" s="148">
        <f>SUM(data_1!GR36:GR46)</f>
        <v>2816182.93</v>
      </c>
      <c r="GS17" s="148">
        <f>SUM(data_1!GS36:GS46)</f>
        <v>136752.93</v>
      </c>
      <c r="GT17" s="148">
        <f>SUM(data_1!GT36:GT46)</f>
        <v>120134229.12</v>
      </c>
      <c r="GU17" s="148">
        <f>SUM(data_1!GU36:GU46)</f>
        <v>0</v>
      </c>
      <c r="GV17" s="148">
        <f>SUM(data_1!GV36:GV46)</f>
        <v>120271000</v>
      </c>
      <c r="GW17" s="148">
        <f>SUM(data_1!GW36:GW46)</f>
        <v>120271000</v>
      </c>
      <c r="GX17" s="148">
        <f>SUM(data_1!GX36:GX46)</f>
        <v>0</v>
      </c>
      <c r="GY17" s="148">
        <f>SUM(data_1!GY36:GY46)</f>
        <v>0</v>
      </c>
      <c r="GZ17" s="148">
        <f>SUM(data_1!GZ36:GZ46)</f>
        <v>0</v>
      </c>
      <c r="HA17" s="148">
        <f>SUM(data_1!HA36:HA46)</f>
        <v>0</v>
      </c>
      <c r="HB17" s="148">
        <f>SUM(data_1!HB36:HB46)</f>
        <v>0</v>
      </c>
      <c r="HC17" s="148">
        <f>SUM(data_1!HC36:HC46)</f>
        <v>3074449.1199999996</v>
      </c>
      <c r="HD17" s="148">
        <f>SUM(data_1!HD36:HD46)</f>
        <v>0</v>
      </c>
      <c r="HE17" s="148">
        <f>SUM(data_1!HE36:HE46)</f>
        <v>0</v>
      </c>
      <c r="HF17" s="148">
        <f>SUM(data_1!HF36:HF46)</f>
        <v>0</v>
      </c>
      <c r="HG17" s="148">
        <f>SUM(data_1!HG36:HG46)</f>
        <v>0</v>
      </c>
      <c r="HH17" s="148">
        <f>SUM(data_1!HH36:HH46)</f>
        <v>0</v>
      </c>
      <c r="HI17" s="148">
        <f>SUM(data_1!HI36:HI46)</f>
        <v>0</v>
      </c>
      <c r="HJ17" s="148">
        <f>SUM(data_1!HJ36:HJ46)</f>
        <v>3074449.1199999996</v>
      </c>
      <c r="HK17" s="148">
        <f>SUM(data_1!HK36:HK46)</f>
        <v>0</v>
      </c>
      <c r="HL17" s="148">
        <f>SUM(data_1!HL36:HL46)</f>
        <v>0</v>
      </c>
      <c r="HM17" s="148">
        <f>SUM(data_1!HM36:HM46)</f>
        <v>0</v>
      </c>
      <c r="HN17" s="148">
        <f>SUM(data_1!HN36:HN46)</f>
        <v>0</v>
      </c>
      <c r="HO17" s="148">
        <f>SUM(data_1!HO36:HO46)</f>
        <v>0</v>
      </c>
      <c r="HP17" s="148">
        <f>SUM(data_1!HP36:HP46)</f>
        <v>0</v>
      </c>
      <c r="HQ17" s="148">
        <f>SUM(data_1!HQ36:HQ46)</f>
        <v>144812668.99000001</v>
      </c>
      <c r="HR17" s="148">
        <f>SUM(data_1!HR36:HR46)</f>
        <v>81470000</v>
      </c>
      <c r="HS17" s="148">
        <f>SUM(data_1!HS36:HS46)</f>
        <v>63342668.990000002</v>
      </c>
      <c r="HT17" s="148">
        <f>SUM(data_1!HT36:HT46)</f>
        <v>76450269.370000005</v>
      </c>
      <c r="HU17" s="148">
        <f>SUM(data_1!HU36:HU46)</f>
        <v>0</v>
      </c>
      <c r="HV17" s="148">
        <f>SUM(data_1!HV36:HV46)</f>
        <v>0</v>
      </c>
      <c r="HW17" s="148">
        <f>SUM(data_1!HW36:HW46)</f>
        <v>135801473.52000001</v>
      </c>
      <c r="HX17" s="148">
        <f>SUM(data_1!HX36:HX46)</f>
        <v>76024524.269999996</v>
      </c>
      <c r="HY17" s="148">
        <f>SUM(data_1!HY36:HY46)</f>
        <v>0</v>
      </c>
      <c r="HZ17" s="148">
        <f>SUM(data_1!HZ36:HZ46)</f>
        <v>59776949.25</v>
      </c>
      <c r="IA17" s="148">
        <f>SUM(data_1!IA36:IA46)</f>
        <v>212.82438999999999</v>
      </c>
      <c r="IB17" s="148">
        <f>SUM(data_1!IB36:IB46)</f>
        <v>0</v>
      </c>
      <c r="IC17" s="148">
        <f>SUM(data_1!IC36:IC46)</f>
        <v>425745.1</v>
      </c>
      <c r="ID17" s="148">
        <f>SUM(data_1!ID36:ID46)</f>
        <v>76024524.269999996</v>
      </c>
      <c r="IE17" s="148">
        <f>SUM(data_1!IE36:IE46)</f>
        <v>0</v>
      </c>
      <c r="IF17" s="148">
        <f>SUM(data_1!IF36:IF46)</f>
        <v>81470000</v>
      </c>
      <c r="IG17" s="148">
        <f>SUM(data_1!IG36:IG46)</f>
        <v>81470000</v>
      </c>
      <c r="IH17" s="148">
        <f>SUM(data_1!IH36:IH46)</f>
        <v>0</v>
      </c>
      <c r="II17" s="148">
        <f>SUM(data_1!II36:II46)</f>
        <v>0</v>
      </c>
      <c r="IJ17" s="148">
        <f>SUM(data_1!IJ36:IJ46)</f>
        <v>0</v>
      </c>
      <c r="IK17" s="148">
        <f>SUM(data_1!IK36:IK46)</f>
        <v>0</v>
      </c>
      <c r="IL17" s="148">
        <f>SUM(data_1!IL36:IL46)</f>
        <v>0</v>
      </c>
      <c r="IM17" s="148">
        <f>SUM(data_1!IM36:IM46)</f>
        <v>0</v>
      </c>
      <c r="IN17" s="148">
        <f>SUM(data_1!IN36:IN46)</f>
        <v>0</v>
      </c>
      <c r="IO17" s="148">
        <f>SUM(data_1!IO36:IO46)</f>
        <v>0</v>
      </c>
      <c r="IP17" s="148">
        <f>SUM(data_1!IP36:IP46)</f>
        <v>0</v>
      </c>
      <c r="IQ17" s="148">
        <f>SUM(data_1!IQ36:IQ46)</f>
        <v>0</v>
      </c>
      <c r="IR17" s="148">
        <f>SUM(data_1!IR36:IR46)</f>
        <v>0</v>
      </c>
      <c r="IS17" s="148">
        <f>SUM(data_1!IS36:IS46)</f>
        <v>0</v>
      </c>
      <c r="IT17" s="148">
        <f>SUM(data_1!IT36:IT46)</f>
        <v>0</v>
      </c>
      <c r="IU17" s="148">
        <f>SUM(data_1!IU36:IU46)</f>
        <v>0</v>
      </c>
      <c r="IV17" s="148">
        <f>SUM(data_1!IV36:IV46)</f>
        <v>0</v>
      </c>
      <c r="IW17" s="148">
        <f>SUM(data_1!IW36:IW46)</f>
        <v>0</v>
      </c>
      <c r="IX17" s="148">
        <f>SUM(data_1!IX36:IX46)</f>
        <v>0</v>
      </c>
      <c r="IY17" s="148">
        <f>SUM(data_1!IY36:IY46)</f>
        <v>0</v>
      </c>
      <c r="IZ17" s="148">
        <f>SUM(data_1!IZ36:IZ46)</f>
        <v>0</v>
      </c>
      <c r="JA17" s="148">
        <f>SUM(data_1!JA36:JA46)</f>
        <v>40277900</v>
      </c>
      <c r="JB17" s="148">
        <f>SUM(data_1!JB36:JB46)</f>
        <v>13008000</v>
      </c>
      <c r="JC17" s="148">
        <f>SUM(data_1!JC36:JC46)</f>
        <v>27269900</v>
      </c>
      <c r="JD17" s="148">
        <f>SUM(data_1!JD36:JD46)</f>
        <v>13008000</v>
      </c>
      <c r="JE17" s="148">
        <f>SUM(data_1!JE36:JE46)</f>
        <v>117992.92</v>
      </c>
      <c r="JF17" s="148">
        <f>SUM(data_1!JF36:JF46)</f>
        <v>0</v>
      </c>
      <c r="JG17" s="148">
        <f>SUM(data_1!JG36:JG46)</f>
        <v>40277899.859999999</v>
      </c>
      <c r="JH17" s="148">
        <f>SUM(data_1!JH36:JH46)</f>
        <v>13008000</v>
      </c>
      <c r="JI17" s="148">
        <f>SUM(data_1!JI36:JI46)</f>
        <v>0</v>
      </c>
      <c r="JJ17" s="148">
        <f>SUM(data_1!JJ36:JJ46)</f>
        <v>27269899.859999999</v>
      </c>
      <c r="JK17" s="148">
        <f>SUM(data_1!JK36:JK46)</f>
        <v>125.85810000000001</v>
      </c>
      <c r="JL17" s="148">
        <f>SUM(data_1!JL36:JL46)</f>
        <v>117992.92</v>
      </c>
      <c r="JM17" s="148">
        <f>SUM(data_1!JM36:JM46)</f>
        <v>0</v>
      </c>
      <c r="JN17" s="148">
        <f>SUM(data_1!JN36:JN46)</f>
        <v>13008000</v>
      </c>
      <c r="JO17" s="148">
        <f>SUM(data_1!JO36:JO46)</f>
        <v>0</v>
      </c>
      <c r="JP17" s="148">
        <f>SUM(data_1!JP36:JP46)</f>
        <v>13008000</v>
      </c>
      <c r="JQ17" s="148">
        <f>SUM(data_1!JQ36:JQ46)</f>
        <v>13008000</v>
      </c>
      <c r="JR17" s="148">
        <f>SUM(data_1!JR36:JR46)</f>
        <v>0</v>
      </c>
      <c r="JS17" s="148">
        <f>SUM(data_1!JS36:JS46)</f>
        <v>0</v>
      </c>
      <c r="JT17" s="148">
        <f>SUM(data_1!JT36:JT46)</f>
        <v>0</v>
      </c>
      <c r="JU17" s="148">
        <f>SUM(data_1!JU36:JU46)</f>
        <v>0</v>
      </c>
      <c r="JV17" s="148">
        <f>SUM(data_1!JV36:JV46)</f>
        <v>0</v>
      </c>
      <c r="JW17" s="148">
        <f>SUM(data_1!JW36:JW46)</f>
        <v>402248.84</v>
      </c>
      <c r="JX17" s="148">
        <f>SUM(data_1!JX36:JX46)</f>
        <v>0</v>
      </c>
      <c r="JY17" s="148">
        <f>SUM(data_1!JY36:JY46)</f>
        <v>0</v>
      </c>
      <c r="JZ17" s="148">
        <f>SUM(data_1!JZ36:JZ46)</f>
        <v>0</v>
      </c>
      <c r="KA17" s="148">
        <f>SUM(data_1!KA36:KA46)</f>
        <v>0</v>
      </c>
      <c r="KB17" s="148">
        <f>SUM(data_1!KB36:KB46)</f>
        <v>0</v>
      </c>
      <c r="KC17" s="148">
        <f>SUM(data_1!KC36:KC46)</f>
        <v>0</v>
      </c>
      <c r="KD17" s="148">
        <f>SUM(data_1!KD36:KD46)</f>
        <v>402248.84</v>
      </c>
      <c r="KE17" s="148">
        <f>SUM(data_1!KE36:KE46)</f>
        <v>0</v>
      </c>
      <c r="KF17" s="148">
        <f>SUM(data_1!KF36:KF46)</f>
        <v>0</v>
      </c>
      <c r="KG17" s="148">
        <f>SUM(data_1!KG36:KG46)</f>
        <v>0</v>
      </c>
      <c r="KH17" s="148">
        <f>SUM(data_1!KH36:KH46)</f>
        <v>0</v>
      </c>
      <c r="KI17" s="148">
        <f>SUM(data_1!KI36:KI46)</f>
        <v>0</v>
      </c>
      <c r="KJ17" s="148">
        <f>SUM(data_1!KJ36:KJ46)</f>
        <v>0</v>
      </c>
      <c r="KK17" s="148">
        <f>SUM(data_1!KK36:KK46)</f>
        <v>57882232.399999999</v>
      </c>
      <c r="KL17" s="148">
        <f>SUM(data_1!KL36:KL46)</f>
        <v>7291000</v>
      </c>
      <c r="KM17" s="148">
        <f>SUM(data_1!KM36:KM46)</f>
        <v>50591232.399999999</v>
      </c>
      <c r="KN17" s="148">
        <f>SUM(data_1!KN36:KN46)</f>
        <v>7137072.7699999996</v>
      </c>
      <c r="KO17" s="148">
        <f>SUM(data_1!KO36:KO46)</f>
        <v>0</v>
      </c>
      <c r="KP17" s="148">
        <f>SUM(data_1!KP36:KP46)</f>
        <v>0</v>
      </c>
      <c r="KQ17" s="148">
        <f>SUM(data_1!KQ36:KQ46)</f>
        <v>57206811.990000002</v>
      </c>
      <c r="KR17" s="148">
        <f>SUM(data_1!KR36:KR46)</f>
        <v>7137072.7699999996</v>
      </c>
      <c r="KS17" s="148">
        <f>SUM(data_1!KS36:KS46)</f>
        <v>0</v>
      </c>
      <c r="KT17" s="148">
        <f>SUM(data_1!KT36:KT46)</f>
        <v>50069739.219999999</v>
      </c>
      <c r="KU17" s="148">
        <f>SUM(data_1!KU36:KU46)</f>
        <v>373.72622000000001</v>
      </c>
      <c r="KV17" s="148">
        <f>SUM(data_1!KV36:KV46)</f>
        <v>0</v>
      </c>
      <c r="KW17" s="148">
        <f>SUM(data_1!KW36:KW46)</f>
        <v>0</v>
      </c>
      <c r="KX17" s="148">
        <f>SUM(data_1!KX36:KX46)</f>
        <v>7137072.7699999996</v>
      </c>
      <c r="KY17" s="148">
        <f>SUM(data_1!KY36:KY46)</f>
        <v>0</v>
      </c>
      <c r="KZ17" s="148">
        <f>SUM(data_1!KZ36:KZ46)</f>
        <v>7291000</v>
      </c>
      <c r="LA17" s="148">
        <f>SUM(data_1!LA36:LA46)</f>
        <v>7291000</v>
      </c>
      <c r="LB17" s="148">
        <f>SUM(data_1!LB36:LB46)</f>
        <v>0</v>
      </c>
      <c r="LC17" s="148">
        <f>SUM(data_1!LC36:LC46)</f>
        <v>0</v>
      </c>
      <c r="LD17" s="148">
        <f>SUM(data_1!LD36:LD46)</f>
        <v>0</v>
      </c>
      <c r="LE17" s="148">
        <f>SUM(data_1!LE36:LE46)</f>
        <v>0</v>
      </c>
      <c r="LF17" s="148">
        <f>SUM(data_1!LF36:LF46)</f>
        <v>0</v>
      </c>
      <c r="LG17" s="148">
        <f>SUM(data_1!LG36:LG46)</f>
        <v>0</v>
      </c>
      <c r="LH17" s="148">
        <f>SUM(data_1!LH36:LH46)</f>
        <v>0</v>
      </c>
      <c r="LI17" s="148">
        <f>SUM(data_1!LI36:LI46)</f>
        <v>0</v>
      </c>
      <c r="LJ17" s="148">
        <f>SUM(data_1!LJ36:LJ46)</f>
        <v>0</v>
      </c>
      <c r="LK17" s="148">
        <f>SUM(data_1!LK36:LK46)</f>
        <v>0</v>
      </c>
      <c r="LL17" s="148">
        <f>SUM(data_1!LL36:LL46)</f>
        <v>0</v>
      </c>
      <c r="LM17" s="148">
        <f>SUM(data_1!LM36:LM46)</f>
        <v>0</v>
      </c>
      <c r="LN17" s="148">
        <f>SUM(data_1!LN36:LN46)</f>
        <v>0</v>
      </c>
      <c r="LO17" s="148">
        <f>SUM(data_1!LO36:LO46)</f>
        <v>0</v>
      </c>
      <c r="LP17" s="148">
        <f>SUM(data_1!LP36:LP46)</f>
        <v>0</v>
      </c>
      <c r="LQ17" s="148">
        <f>SUM(data_1!LQ36:LQ46)</f>
        <v>0</v>
      </c>
      <c r="LR17" s="148">
        <f>SUM(data_1!LR36:LR46)</f>
        <v>0</v>
      </c>
      <c r="LS17" s="148">
        <f>SUM(data_1!LS36:LS46)</f>
        <v>0</v>
      </c>
      <c r="LT17" s="148">
        <f>SUM(data_1!LT36:LT46)</f>
        <v>0</v>
      </c>
      <c r="LU17" s="148">
        <f>SUM(data_1!LU36:LU46)</f>
        <v>28736500</v>
      </c>
      <c r="LV17" s="148">
        <f>SUM(data_1!LV36:LV46)</f>
        <v>6284400</v>
      </c>
      <c r="LW17" s="148">
        <f>SUM(data_1!LW36:LW46)</f>
        <v>22452100</v>
      </c>
      <c r="LX17" s="148">
        <f>SUM(data_1!LX36:LX46)</f>
        <v>6280112.1099999994</v>
      </c>
      <c r="LY17" s="148">
        <f>SUM(data_1!LY36:LY46)</f>
        <v>0</v>
      </c>
      <c r="LZ17" s="148">
        <f>SUM(data_1!LZ36:LZ46)</f>
        <v>0</v>
      </c>
      <c r="MA17" s="148">
        <f>SUM(data_1!MA36:MA46)</f>
        <v>28718335</v>
      </c>
      <c r="MB17" s="148">
        <f>SUM(data_1!MB36:MB46)</f>
        <v>6280112.1099999994</v>
      </c>
      <c r="MC17" s="148">
        <f>SUM(data_1!MC36:MC46)</f>
        <v>0</v>
      </c>
      <c r="MD17" s="148">
        <f>SUM(data_1!MD36:MD46)</f>
        <v>22438222.890000001</v>
      </c>
      <c r="ME17" s="148">
        <f>SUM(data_1!ME36:ME46)</f>
        <v>236.15874000000002</v>
      </c>
      <c r="MF17" s="148">
        <f>SUM(data_1!MF36:MF46)</f>
        <v>0</v>
      </c>
      <c r="MG17" s="148">
        <f>SUM(data_1!MG36:MG46)</f>
        <v>0</v>
      </c>
      <c r="MH17" s="148">
        <f>SUM(data_1!MH36:MH46)</f>
        <v>6280112.1099999994</v>
      </c>
      <c r="MI17" s="148">
        <f>SUM(data_1!MI36:MI46)</f>
        <v>0</v>
      </c>
      <c r="MJ17" s="148">
        <f>SUM(data_1!MJ36:MJ46)</f>
        <v>6284400</v>
      </c>
      <c r="MK17" s="148">
        <f>SUM(data_1!MK36:MK46)</f>
        <v>6284400</v>
      </c>
      <c r="ML17" s="148">
        <f>SUM(data_1!ML36:ML46)</f>
        <v>0</v>
      </c>
      <c r="MM17" s="148">
        <f>SUM(data_1!MM36:MM46)</f>
        <v>0</v>
      </c>
      <c r="MN17" s="148">
        <f>SUM(data_1!MN36:MN46)</f>
        <v>0</v>
      </c>
      <c r="MO17" s="148">
        <f>SUM(data_1!MO36:MO46)</f>
        <v>0</v>
      </c>
      <c r="MP17" s="148">
        <f>SUM(data_1!MP36:MP46)</f>
        <v>0</v>
      </c>
      <c r="MQ17" s="148">
        <f>SUM(data_1!MQ36:MQ46)</f>
        <v>0</v>
      </c>
      <c r="MR17" s="148">
        <f>SUM(data_1!MR36:MR46)</f>
        <v>0</v>
      </c>
      <c r="MS17" s="148">
        <f>SUM(data_1!MS36:MS46)</f>
        <v>0</v>
      </c>
      <c r="MT17" s="148">
        <f>SUM(data_1!MT36:MT46)</f>
        <v>0</v>
      </c>
      <c r="MU17" s="148">
        <f>SUM(data_1!MU36:MU46)</f>
        <v>0</v>
      </c>
      <c r="MV17" s="148">
        <f>SUM(data_1!MV36:MV46)</f>
        <v>0</v>
      </c>
      <c r="MW17" s="148">
        <f>SUM(data_1!MW36:MW46)</f>
        <v>0</v>
      </c>
      <c r="MX17" s="148">
        <f>SUM(data_1!MX36:MX46)</f>
        <v>0</v>
      </c>
      <c r="MY17" s="148">
        <f>SUM(data_1!MY36:MY46)</f>
        <v>0</v>
      </c>
      <c r="MZ17" s="148">
        <f>SUM(data_1!MZ36:MZ46)</f>
        <v>0</v>
      </c>
      <c r="NA17" s="148">
        <f>SUM(data_1!NA36:NA46)</f>
        <v>0</v>
      </c>
      <c r="NB17" s="148">
        <f>SUM(data_1!NB36:NB46)</f>
        <v>0</v>
      </c>
      <c r="NC17" s="148">
        <f>SUM(data_1!NC36:NC46)</f>
        <v>0</v>
      </c>
      <c r="ND17" s="148">
        <f>SUM(data_1!ND36:ND46)</f>
        <v>0</v>
      </c>
      <c r="NE17" s="148">
        <f>SUM(data_1!NE36:NE46)</f>
        <v>89217620</v>
      </c>
      <c r="NF17" s="148">
        <f>SUM(data_1!NF36:NF46)</f>
        <v>49820700</v>
      </c>
      <c r="NG17" s="148">
        <f>SUM(data_1!NG36:NG46)</f>
        <v>39396920</v>
      </c>
      <c r="NH17" s="148">
        <f>SUM(data_1!NH36:NH46)</f>
        <v>49820700</v>
      </c>
      <c r="NI17" s="148">
        <f>SUM(data_1!NI36:NI46)</f>
        <v>0</v>
      </c>
      <c r="NJ17" s="148">
        <f>SUM(data_1!NJ36:NJ46)</f>
        <v>0</v>
      </c>
      <c r="NK17" s="148">
        <f>SUM(data_1!NK36:NK46)</f>
        <v>85220440.480000004</v>
      </c>
      <c r="NL17" s="148">
        <f>SUM(data_1!NL36:NL46)</f>
        <v>48384787.480000004</v>
      </c>
      <c r="NM17" s="148">
        <f>SUM(data_1!NM36:NM46)</f>
        <v>0</v>
      </c>
      <c r="NN17" s="148">
        <f>SUM(data_1!NN36:NN46)</f>
        <v>36835653</v>
      </c>
      <c r="NO17" s="148">
        <f>SUM(data_1!NO36:NO46)</f>
        <v>119.85883999999999</v>
      </c>
      <c r="NP17" s="148">
        <f>SUM(data_1!NP36:NP46)</f>
        <v>0</v>
      </c>
      <c r="NQ17" s="148">
        <f>SUM(data_1!NQ36:NQ46)</f>
        <v>1435912.52</v>
      </c>
      <c r="NR17" s="148">
        <f>SUM(data_1!NR36:NR46)</f>
        <v>48384787.480000004</v>
      </c>
      <c r="NS17" s="148">
        <f>SUM(data_1!NS36:NS46)</f>
        <v>0</v>
      </c>
      <c r="NT17" s="148">
        <f>SUM(data_1!NT36:NT46)</f>
        <v>49820700</v>
      </c>
      <c r="NU17" s="148">
        <f>SUM(data_1!NU36:NU46)</f>
        <v>49820700</v>
      </c>
      <c r="NV17" s="148">
        <f>SUM(data_1!NV36:NV46)</f>
        <v>0</v>
      </c>
      <c r="NW17" s="148">
        <f>SUM(data_1!NW36:NW46)</f>
        <v>0</v>
      </c>
      <c r="NX17" s="148">
        <f>SUM(data_1!NX36:NX46)</f>
        <v>0</v>
      </c>
      <c r="NY17" s="148">
        <f>SUM(data_1!NY36:NY46)</f>
        <v>0</v>
      </c>
      <c r="NZ17" s="148">
        <f>SUM(data_1!NZ36:NZ46)</f>
        <v>0</v>
      </c>
      <c r="OA17" s="148">
        <f>SUM(data_1!OA36:OA46)</f>
        <v>0</v>
      </c>
      <c r="OB17" s="148">
        <f>SUM(data_1!OB36:OB46)</f>
        <v>0</v>
      </c>
      <c r="OC17" s="148">
        <f>SUM(data_1!OC36:OC46)</f>
        <v>0</v>
      </c>
      <c r="OD17" s="148">
        <f>SUM(data_1!OD36:OD46)</f>
        <v>0</v>
      </c>
      <c r="OE17" s="148">
        <f>SUM(data_1!OE36:OE46)</f>
        <v>0</v>
      </c>
      <c r="OF17" s="148">
        <f>SUM(data_1!OF36:OF46)</f>
        <v>0</v>
      </c>
      <c r="OG17" s="148">
        <f>SUM(data_1!OG36:OG46)</f>
        <v>0</v>
      </c>
      <c r="OH17" s="148">
        <f>SUM(data_1!OH36:OH46)</f>
        <v>0</v>
      </c>
      <c r="OI17" s="148">
        <f>SUM(data_1!OI36:OI46)</f>
        <v>0</v>
      </c>
      <c r="OJ17" s="148">
        <f>SUM(data_1!OJ36:OJ46)</f>
        <v>0</v>
      </c>
      <c r="OK17" s="148">
        <f>SUM(data_1!OK36:OK46)</f>
        <v>0</v>
      </c>
      <c r="OL17" s="148">
        <f>SUM(data_1!OL36:OL46)</f>
        <v>0</v>
      </c>
      <c r="OM17" s="148">
        <f>SUM(data_1!OM36:OM46)</f>
        <v>0</v>
      </c>
      <c r="ON17" s="148">
        <f>SUM(data_1!ON36:ON46)</f>
        <v>0</v>
      </c>
      <c r="OO17" s="148">
        <f>SUM(data_1!OO36:OO46)</f>
        <v>21395184</v>
      </c>
      <c r="OP17" s="148">
        <f>SUM(data_1!OP36:OP46)</f>
        <v>9715800</v>
      </c>
      <c r="OQ17" s="148">
        <f>SUM(data_1!OQ36:OQ46)</f>
        <v>11679384</v>
      </c>
      <c r="OR17" s="148">
        <f>SUM(data_1!OR36:OR46)</f>
        <v>9715638.5999999996</v>
      </c>
      <c r="OS17" s="148">
        <f>SUM(data_1!OS36:OS46)</f>
        <v>0</v>
      </c>
      <c r="OT17" s="148">
        <f>SUM(data_1!OT36:OT46)</f>
        <v>0</v>
      </c>
      <c r="OU17" s="148">
        <f>SUM(data_1!OU36:OU46)</f>
        <v>21394875.650000002</v>
      </c>
      <c r="OV17" s="148">
        <f>SUM(data_1!OV36:OV46)</f>
        <v>9715638.5999999996</v>
      </c>
      <c r="OW17" s="148">
        <f>SUM(data_1!OW36:OW46)</f>
        <v>0</v>
      </c>
      <c r="OX17" s="148">
        <f>SUM(data_1!OX36:OX46)</f>
        <v>11679237.050000001</v>
      </c>
      <c r="OY17" s="148">
        <f>SUM(data_1!OY36:OY46)</f>
        <v>227.71477000000002</v>
      </c>
      <c r="OZ17" s="148">
        <f>SUM(data_1!OZ36:OZ46)</f>
        <v>0</v>
      </c>
      <c r="PA17" s="148">
        <f>SUM(data_1!PA36:PA46)</f>
        <v>0</v>
      </c>
      <c r="PB17" s="148">
        <f>SUM(data_1!PB36:PB46)</f>
        <v>9715638.5999999996</v>
      </c>
      <c r="PC17" s="148">
        <f>SUM(data_1!PC36:PC46)</f>
        <v>0</v>
      </c>
      <c r="PD17" s="148">
        <f>SUM(data_1!PD36:PD46)</f>
        <v>9715800</v>
      </c>
      <c r="PE17" s="148">
        <f>SUM(data_1!PE36:PE46)</f>
        <v>9715800</v>
      </c>
      <c r="PF17" s="148">
        <f>SUM(data_1!PF36:PF46)</f>
        <v>0</v>
      </c>
      <c r="PG17" s="148">
        <f>SUM(data_1!PG36:PG46)</f>
        <v>0</v>
      </c>
      <c r="PH17" s="148">
        <f>SUM(data_1!PH36:PH46)</f>
        <v>0</v>
      </c>
      <c r="PI17" s="148">
        <f>SUM(data_1!PI36:PI46)</f>
        <v>0</v>
      </c>
      <c r="PJ17" s="148">
        <f>SUM(data_1!PJ36:PJ46)</f>
        <v>0</v>
      </c>
      <c r="PK17" s="148">
        <f>SUM(data_1!PK36:PK46)</f>
        <v>0</v>
      </c>
      <c r="PL17" s="148">
        <f>SUM(data_1!PL36:PL46)</f>
        <v>0</v>
      </c>
      <c r="PM17" s="148">
        <f>SUM(data_1!PM36:PM46)</f>
        <v>0</v>
      </c>
      <c r="PN17" s="148">
        <f>SUM(data_1!PN36:PN46)</f>
        <v>0</v>
      </c>
      <c r="PO17" s="148">
        <f>SUM(data_1!PO36:PO46)</f>
        <v>0</v>
      </c>
      <c r="PP17" s="148">
        <f>SUM(data_1!PP36:PP46)</f>
        <v>0</v>
      </c>
      <c r="PQ17" s="148">
        <f>SUM(data_1!PQ36:PQ46)</f>
        <v>0</v>
      </c>
      <c r="PR17" s="148">
        <f>SUM(data_1!PR36:PR46)</f>
        <v>0</v>
      </c>
      <c r="PS17" s="148">
        <f>SUM(data_1!PS36:PS46)</f>
        <v>0</v>
      </c>
      <c r="PT17" s="148">
        <f>SUM(data_1!PT36:PT46)</f>
        <v>0</v>
      </c>
      <c r="PU17" s="148">
        <f>SUM(data_1!PU36:PU46)</f>
        <v>0</v>
      </c>
      <c r="PV17" s="148">
        <f>SUM(data_1!PV36:PV46)</f>
        <v>0</v>
      </c>
      <c r="PW17" s="148">
        <f>SUM(data_1!PW36:PW46)</f>
        <v>0</v>
      </c>
      <c r="PX17" s="148">
        <f>SUM(data_1!PX36:PX46)</f>
        <v>0</v>
      </c>
      <c r="PY17" s="148">
        <f>SUM(data_1!PY36:PY46)</f>
        <v>0</v>
      </c>
      <c r="PZ17" s="148">
        <f>SUM(data_1!PZ36:PZ46)</f>
        <v>0</v>
      </c>
      <c r="QA17" s="148">
        <f>SUM(data_1!QA36:QA46)</f>
        <v>0</v>
      </c>
      <c r="QB17" s="148">
        <f>SUM(data_1!QB36:QB46)</f>
        <v>0</v>
      </c>
      <c r="QC17" s="148">
        <f>SUM(data_1!QC36:QC46)</f>
        <v>5458528.0899999999</v>
      </c>
      <c r="QD17" s="148">
        <f>SUM(data_1!QD36:QD46)</f>
        <v>0</v>
      </c>
      <c r="QE17" s="148">
        <f>SUM(data_1!QE36:QE46)</f>
        <v>0</v>
      </c>
      <c r="QF17" s="148">
        <f>SUM(data_1!QF36:QF46)</f>
        <v>0</v>
      </c>
      <c r="QG17" s="148">
        <f>SUM(data_1!QG36:QG46)</f>
        <v>0</v>
      </c>
      <c r="QH17" s="148">
        <f>SUM(data_1!QH36:QH46)</f>
        <v>0</v>
      </c>
      <c r="QI17" s="148">
        <f>SUM(data_1!QI36:QI46)</f>
        <v>0</v>
      </c>
      <c r="QJ17" s="148">
        <f>SUM(data_1!QJ36:QJ46)</f>
        <v>5458528.0899999999</v>
      </c>
      <c r="QK17" s="148">
        <f>SUM(data_1!QK36:QK46)</f>
        <v>0</v>
      </c>
      <c r="QL17" s="148">
        <f>SUM(data_1!QL36:QL46)</f>
        <v>0</v>
      </c>
      <c r="QM17" s="148">
        <f>SUM(data_1!QM36:QM46)</f>
        <v>0</v>
      </c>
      <c r="QN17" s="148">
        <f>SUM(data_1!QN36:QN46)</f>
        <v>0</v>
      </c>
      <c r="QO17" s="148">
        <f>SUM(data_1!QO36:QO46)</f>
        <v>0</v>
      </c>
    </row>
    <row r="18" spans="1:457" x14ac:dyDescent="0.25">
      <c r="A18" s="139" t="s">
        <v>94</v>
      </c>
      <c r="B18" s="138">
        <v>33</v>
      </c>
      <c r="C18" s="140" t="s">
        <v>95</v>
      </c>
      <c r="F18" s="148">
        <f>SUM(data_1!F48:F55)</f>
        <v>14594145800</v>
      </c>
      <c r="G18" s="148">
        <f>SUM(data_1!G48:G55)</f>
        <v>0</v>
      </c>
      <c r="H18" s="148">
        <f>SUM(data_1!H48:H55)</f>
        <v>0</v>
      </c>
      <c r="I18" s="148">
        <f>SUM(data_1!I48:I55)</f>
        <v>4016963639.3600001</v>
      </c>
      <c r="J18" s="148">
        <f>SUM(data_1!J48:J55)</f>
        <v>3343533400</v>
      </c>
      <c r="K18" s="148">
        <f>SUM(data_1!K48:K55)</f>
        <v>673430239.36000001</v>
      </c>
      <c r="L18" s="148">
        <f>SUM(data_1!L48:L55)</f>
        <v>3332495847.0299997</v>
      </c>
      <c r="M18" s="148">
        <f>SUM(data_1!M48:M55)</f>
        <v>0</v>
      </c>
      <c r="N18" s="148">
        <f>SUM(data_1!N48:N55)</f>
        <v>0</v>
      </c>
      <c r="O18" s="148">
        <f>SUM(data_1!O48:O55)</f>
        <v>4005879940.3900003</v>
      </c>
      <c r="P18" s="148">
        <f>SUM(data_1!P48:P55)</f>
        <v>3332493696.9300003</v>
      </c>
      <c r="Q18" s="148">
        <f>SUM(data_1!Q48:Q55)</f>
        <v>0</v>
      </c>
      <c r="R18" s="148">
        <f>SUM(data_1!R48:R55)</f>
        <v>673386243.46000004</v>
      </c>
      <c r="S18" s="148">
        <f>SUM(data_1!S48:S55)</f>
        <v>83.705209999999994</v>
      </c>
      <c r="T18" s="148">
        <f>SUM(data_1!T48:T55)</f>
        <v>0</v>
      </c>
      <c r="U18" s="148">
        <f>SUM(data_1!U48:U55)</f>
        <v>2150.1</v>
      </c>
      <c r="V18" s="148">
        <f>SUM(data_1!V48:V55)</f>
        <v>3332493696.9300003</v>
      </c>
      <c r="W18" s="148">
        <f>SUM(data_1!W48:W55)</f>
        <v>0</v>
      </c>
      <c r="X18" s="148">
        <f>SUM(data_1!X48:X55)</f>
        <v>3343533400</v>
      </c>
      <c r="Y18" s="148">
        <f>SUM(data_1!Y48:Y55)</f>
        <v>3343533400</v>
      </c>
      <c r="Z18" s="213">
        <f>SUM(data_1!Z48:Z55)</f>
        <v>0</v>
      </c>
      <c r="AA18" s="213">
        <f>SUM(data_1!AA48:AA55)</f>
        <v>0</v>
      </c>
      <c r="AB18" s="213">
        <f>SUM(data_1!AB48:AB55)</f>
        <v>0</v>
      </c>
      <c r="AC18" s="213">
        <f>SUM(data_1!AC48:AC55)</f>
        <v>0</v>
      </c>
      <c r="AD18" s="213">
        <f>SUM(data_1!AD48:AD55)</f>
        <v>0</v>
      </c>
      <c r="AE18" s="213">
        <f>SUM(data_1!AE48:AE55)</f>
        <v>0</v>
      </c>
      <c r="AF18" s="213">
        <f>SUM(data_1!AF48:AF55)</f>
        <v>0</v>
      </c>
      <c r="AG18" s="213">
        <f>SUM(data_1!AG48:AG55)</f>
        <v>0</v>
      </c>
      <c r="AH18" s="213">
        <f>SUM(data_1!AH48:AH55)</f>
        <v>0</v>
      </c>
      <c r="AI18" s="213">
        <f>SUM(data_1!AI48:AI55)</f>
        <v>0</v>
      </c>
      <c r="AJ18" s="213">
        <f>SUM(data_1!AJ48:AJ55)</f>
        <v>0</v>
      </c>
      <c r="AK18" s="213">
        <f>SUM(data_1!AK48:AK55)</f>
        <v>0</v>
      </c>
      <c r="AL18" s="213">
        <f>SUM(data_1!AL48:AL55)</f>
        <v>0</v>
      </c>
      <c r="AM18" s="213">
        <f>SUM(data_1!AM48:AM55)</f>
        <v>0</v>
      </c>
      <c r="AN18" s="213">
        <f>SUM(data_1!AN48:AN55)</f>
        <v>0</v>
      </c>
      <c r="AO18" s="213">
        <f>SUM(data_1!AO48:AO55)</f>
        <v>0</v>
      </c>
      <c r="AP18" s="213">
        <f>SUM(data_1!AP48:AP55)</f>
        <v>0</v>
      </c>
      <c r="AQ18" s="213">
        <f>SUM(data_1!AQ48:AQ55)</f>
        <v>0</v>
      </c>
      <c r="AR18" s="148">
        <f>SUM(data_1!AR48:AR55)</f>
        <v>0</v>
      </c>
      <c r="AS18" s="148">
        <f>SUM(data_1!AS48:AS55)</f>
        <v>556825868.42000008</v>
      </c>
      <c r="AT18" s="148">
        <f>SUM(data_1!AT48:AT55)</f>
        <v>516200800</v>
      </c>
      <c r="AU18" s="148">
        <f>SUM(data_1!AU48:AU55)</f>
        <v>40625068.420000002</v>
      </c>
      <c r="AV18" s="148">
        <f>SUM(data_1!AV48:AV55)</f>
        <v>516200800</v>
      </c>
      <c r="AW18" s="148">
        <f>SUM(data_1!AW48:AW55)</f>
        <v>0</v>
      </c>
      <c r="AX18" s="148">
        <f>SUM(data_1!AX48:AX55)</f>
        <v>0</v>
      </c>
      <c r="AY18" s="148">
        <f>SUM(data_1!AY48:AY55)</f>
        <v>556825868.25999999</v>
      </c>
      <c r="AZ18" s="148">
        <f>SUM(data_1!AZ48:AZ55)</f>
        <v>516200800</v>
      </c>
      <c r="BA18" s="148">
        <f>SUM(data_1!BA48:BA55)</f>
        <v>0</v>
      </c>
      <c r="BB18" s="148">
        <f>SUM(data_1!BB48:BB55)</f>
        <v>40625068.260000005</v>
      </c>
      <c r="BC18" s="148">
        <f>SUM(data_1!BC48:BC55)</f>
        <v>75.039349999999999</v>
      </c>
      <c r="BD18" s="148">
        <f>SUM(data_1!BD48:BD55)</f>
        <v>0</v>
      </c>
      <c r="BE18" s="148">
        <f>SUM(data_1!BE48:BE55)</f>
        <v>0</v>
      </c>
      <c r="BF18" s="148">
        <f>SUM(data_1!BF48:BF55)</f>
        <v>516200800</v>
      </c>
      <c r="BG18" s="148">
        <f>SUM(data_1!BG48:BG55)</f>
        <v>0</v>
      </c>
      <c r="BH18" s="148">
        <f>SUM(data_1!BH48:BH55)</f>
        <v>516200800</v>
      </c>
      <c r="BI18" s="148">
        <f>SUM(data_1!BI48:BI55)</f>
        <v>516200800</v>
      </c>
      <c r="BJ18" s="213">
        <f>SUM(data_1!BJ48:BJ55)</f>
        <v>0</v>
      </c>
      <c r="BK18" s="213">
        <f>SUM(data_1!BK48:BK55)</f>
        <v>126315790</v>
      </c>
      <c r="BL18" s="213">
        <f>SUM(data_1!BL48:BL55)</f>
        <v>120000000</v>
      </c>
      <c r="BM18" s="213">
        <f>SUM(data_1!BM48:BM55)</f>
        <v>6315790</v>
      </c>
      <c r="BN18" s="213">
        <f>SUM(data_1!BN48:BN55)</f>
        <v>120000000</v>
      </c>
      <c r="BO18" s="213">
        <f>SUM(data_1!BO48:BO55)</f>
        <v>0</v>
      </c>
      <c r="BP18" s="213">
        <f>SUM(data_1!BP48:BP55)</f>
        <v>0</v>
      </c>
      <c r="BQ18" s="213">
        <f>SUM(data_1!BQ48:BQ55)</f>
        <v>126315789.47</v>
      </c>
      <c r="BR18" s="213">
        <f>SUM(data_1!BR48:BR55)</f>
        <v>120000000</v>
      </c>
      <c r="BS18" s="213">
        <f>SUM(data_1!BS48:BS55)</f>
        <v>0</v>
      </c>
      <c r="BT18" s="213">
        <f>SUM(data_1!BT48:BT55)</f>
        <v>6315789.4699999997</v>
      </c>
      <c r="BU18" s="213">
        <f>SUM(data_1!BU48:BU55)</f>
        <v>5</v>
      </c>
      <c r="BV18" s="213">
        <f>SUM(data_1!BV48:BV55)</f>
        <v>0</v>
      </c>
      <c r="BW18" s="213">
        <f>SUM(data_1!BW48:BW55)</f>
        <v>0</v>
      </c>
      <c r="BX18" s="213">
        <f>SUM(data_1!BX48:BX55)</f>
        <v>120000000</v>
      </c>
      <c r="BY18" s="213">
        <f>SUM(data_1!BY48:BY55)</f>
        <v>0</v>
      </c>
      <c r="BZ18" s="213">
        <f>SUM(data_1!BZ48:BZ55)</f>
        <v>120000000</v>
      </c>
      <c r="CA18" s="213">
        <f>SUM(data_1!CA48:CA55)</f>
        <v>120000000</v>
      </c>
      <c r="CB18" s="148">
        <f>SUM(data_1!CB48:CB55)</f>
        <v>0</v>
      </c>
      <c r="CC18" s="148">
        <f>SUM(data_1!CC48:CC55)</f>
        <v>1128456621.79</v>
      </c>
      <c r="CD18" s="148">
        <f>SUM(data_1!CD48:CD55)</f>
        <v>1071982300</v>
      </c>
      <c r="CE18" s="148">
        <f>SUM(data_1!CE48:CE55)</f>
        <v>56474321.789999999</v>
      </c>
      <c r="CF18" s="148">
        <f>SUM(data_1!CF48:CF55)</f>
        <v>1071982231.36</v>
      </c>
      <c r="CG18" s="148">
        <f>SUM(data_1!CG48:CG55)</f>
        <v>0</v>
      </c>
      <c r="CH18" s="148">
        <f>SUM(data_1!CH48:CH55)</f>
        <v>0</v>
      </c>
      <c r="CI18" s="148">
        <f>SUM(data_1!CI48:CI55)</f>
        <v>1128456549.5599999</v>
      </c>
      <c r="CJ18" s="148">
        <f>SUM(data_1!CJ48:CJ55)</f>
        <v>1071982231.36</v>
      </c>
      <c r="CK18" s="148">
        <f>SUM(data_1!CK48:CK55)</f>
        <v>0</v>
      </c>
      <c r="CL18" s="148">
        <f>SUM(data_1!CL48:CL55)</f>
        <v>56474318.200000003</v>
      </c>
      <c r="CM18" s="148">
        <f>SUM(data_1!CM48:CM55)</f>
        <v>61.644170000000003</v>
      </c>
      <c r="CN18" s="148">
        <f>SUM(data_1!CN48:CN55)</f>
        <v>0</v>
      </c>
      <c r="CO18" s="148">
        <f>SUM(data_1!CO48:CO55)</f>
        <v>0</v>
      </c>
      <c r="CP18" s="148">
        <f>SUM(data_1!CP48:CP55)</f>
        <v>1071982231.36</v>
      </c>
      <c r="CQ18" s="148">
        <f>SUM(data_1!CQ48:CQ55)</f>
        <v>0</v>
      </c>
      <c r="CR18" s="148">
        <f>SUM(data_1!CR48:CR55)</f>
        <v>1071982300</v>
      </c>
      <c r="CS18" s="148">
        <f>SUM(data_1!CS48:CS55)</f>
        <v>1071982300</v>
      </c>
      <c r="CT18" s="148">
        <f>SUM(data_1!CT48:CT55)</f>
        <v>0</v>
      </c>
      <c r="CU18" s="148">
        <f>SUM(data_1!CU48:CU55)</f>
        <v>6833252947.0500002</v>
      </c>
      <c r="CV18" s="148">
        <f>SUM(data_1!CV48:CV55)</f>
        <v>6479975300</v>
      </c>
      <c r="CW18" s="148">
        <f>SUM(data_1!CW48:CW55)</f>
        <v>353277647.05000001</v>
      </c>
      <c r="CX18" s="148">
        <f>SUM(data_1!CX48:CX55)</f>
        <v>6478284269.579999</v>
      </c>
      <c r="CY18" s="148">
        <f>SUM(data_1!CY48:CY55)</f>
        <v>151495.37</v>
      </c>
      <c r="CZ18" s="148">
        <f>SUM(data_1!CZ48:CZ55)</f>
        <v>0</v>
      </c>
      <c r="DA18" s="148">
        <f>SUM(data_1!DA48:DA55)</f>
        <v>6831454825.5799999</v>
      </c>
      <c r="DB18" s="148">
        <f>SUM(data_1!DB48:DB55)</f>
        <v>6478264741.579999</v>
      </c>
      <c r="DC18" s="148">
        <f>SUM(data_1!DC48:DC55)</f>
        <v>0</v>
      </c>
      <c r="DD18" s="148">
        <f>SUM(data_1!DD48:DD55)</f>
        <v>353190084.00000006</v>
      </c>
      <c r="DE18" s="148">
        <f>SUM(data_1!DE48:DE55)</f>
        <v>47.221400000000003</v>
      </c>
      <c r="DF18" s="148">
        <f>SUM(data_1!DF48:DF55)</f>
        <v>151495.37</v>
      </c>
      <c r="DG18" s="148">
        <f>SUM(data_1!DG48:DG55)</f>
        <v>19528</v>
      </c>
      <c r="DH18" s="148">
        <f>SUM(data_1!DH48:DH55)</f>
        <v>6478264741.579999</v>
      </c>
      <c r="DI18" s="148">
        <f>SUM(data_1!DI48:DI55)</f>
        <v>0</v>
      </c>
      <c r="DJ18" s="148">
        <f>SUM(data_1!DJ48:DJ55)</f>
        <v>6479975300</v>
      </c>
      <c r="DK18" s="148">
        <f>SUM(data_1!DK48:DK55)</f>
        <v>6479975300</v>
      </c>
      <c r="DL18" s="213">
        <f>SUM(data_1!DL48:DL55)</f>
        <v>0</v>
      </c>
      <c r="DM18" s="213">
        <f>SUM(data_1!DM48:DM55)</f>
        <v>84210527</v>
      </c>
      <c r="DN18" s="213">
        <f>SUM(data_1!DN48:DN55)</f>
        <v>80000000</v>
      </c>
      <c r="DO18" s="213">
        <f>SUM(data_1!DO48:DO55)</f>
        <v>4210527</v>
      </c>
      <c r="DP18" s="213">
        <f>SUM(data_1!DP48:DP55)</f>
        <v>80000000</v>
      </c>
      <c r="DQ18" s="213">
        <f>SUM(data_1!DQ48:DQ55)</f>
        <v>0</v>
      </c>
      <c r="DR18" s="213">
        <f>SUM(data_1!DR48:DR55)</f>
        <v>0</v>
      </c>
      <c r="DS18" s="213">
        <f>SUM(data_1!DS48:DS55)</f>
        <v>84210526.310000002</v>
      </c>
      <c r="DT18" s="213">
        <f>SUM(data_1!DT48:DT55)</f>
        <v>80000000</v>
      </c>
      <c r="DU18" s="213">
        <f>SUM(data_1!DU48:DU55)</f>
        <v>0</v>
      </c>
      <c r="DV18" s="213">
        <f>SUM(data_1!DV48:DV55)</f>
        <v>4210526.3099999996</v>
      </c>
      <c r="DW18" s="213">
        <f>SUM(data_1!DW48:DW55)</f>
        <v>5</v>
      </c>
      <c r="DX18" s="213">
        <f>SUM(data_1!DX48:DX55)</f>
        <v>0</v>
      </c>
      <c r="DY18" s="213">
        <f>SUM(data_1!DY48:DY55)</f>
        <v>0</v>
      </c>
      <c r="DZ18" s="213">
        <f>SUM(data_1!DZ48:DZ55)</f>
        <v>80000000</v>
      </c>
      <c r="EA18" s="213">
        <f>SUM(data_1!EA48:EA55)</f>
        <v>0</v>
      </c>
      <c r="EB18" s="213">
        <f>SUM(data_1!EB48:EB55)</f>
        <v>80000000</v>
      </c>
      <c r="EC18" s="213">
        <f>SUM(data_1!EC48:EC55)</f>
        <v>80000000</v>
      </c>
      <c r="ED18" s="148">
        <f>SUM(data_1!ED48:ED55)</f>
        <v>0</v>
      </c>
      <c r="EE18" s="148">
        <f>SUM(data_1!EE48:EE55)</f>
        <v>1024717812</v>
      </c>
      <c r="EF18" s="148">
        <f>SUM(data_1!EF48:EF55)</f>
        <v>973424600</v>
      </c>
      <c r="EG18" s="148">
        <f>SUM(data_1!EG48:EG55)</f>
        <v>51293212</v>
      </c>
      <c r="EH18" s="148">
        <f>SUM(data_1!EH48:EH55)</f>
        <v>940979195.34000003</v>
      </c>
      <c r="EI18" s="148">
        <f>SUM(data_1!EI48:EI55)</f>
        <v>0</v>
      </c>
      <c r="EJ18" s="148">
        <f>SUM(data_1!EJ48:EJ55)</f>
        <v>0</v>
      </c>
      <c r="EK18" s="148">
        <f>SUM(data_1!EK48:EK55)</f>
        <v>990564753.28999996</v>
      </c>
      <c r="EL18" s="148">
        <f>SUM(data_1!EL48:EL55)</f>
        <v>940967230.21000004</v>
      </c>
      <c r="EM18" s="148">
        <f>SUM(data_1!EM48:EM55)</f>
        <v>0</v>
      </c>
      <c r="EN18" s="148">
        <f>SUM(data_1!EN48:EN55)</f>
        <v>49597523.079999998</v>
      </c>
      <c r="EO18" s="148">
        <f>SUM(data_1!EO48:EO55)</f>
        <v>10.03825</v>
      </c>
      <c r="EP18" s="148">
        <f>SUM(data_1!EP48:EP55)</f>
        <v>0</v>
      </c>
      <c r="EQ18" s="148">
        <f>SUM(data_1!EQ48:EQ55)</f>
        <v>11965.13</v>
      </c>
      <c r="ER18" s="148">
        <f>SUM(data_1!ER48:ER55)</f>
        <v>940967230.21000004</v>
      </c>
      <c r="ES18" s="148">
        <f>SUM(data_1!ES48:ES55)</f>
        <v>0</v>
      </c>
      <c r="ET18" s="148">
        <f>SUM(data_1!ET48:ET55)</f>
        <v>973424600</v>
      </c>
      <c r="EU18" s="148">
        <f>SUM(data_1!EU48:EU55)</f>
        <v>973424600</v>
      </c>
      <c r="EV18" s="213">
        <f>SUM(data_1!EV48:EV55)</f>
        <v>0</v>
      </c>
      <c r="EW18" s="213">
        <f>SUM(data_1!EW48:EW55)</f>
        <v>0</v>
      </c>
      <c r="EX18" s="213">
        <f>SUM(data_1!EX48:EX55)</f>
        <v>0</v>
      </c>
      <c r="EY18" s="213">
        <f>SUM(data_1!EY48:EY55)</f>
        <v>0</v>
      </c>
      <c r="EZ18" s="213">
        <f>SUM(data_1!EZ48:EZ55)</f>
        <v>0</v>
      </c>
      <c r="FA18" s="213">
        <f>SUM(data_1!FA48:FA55)</f>
        <v>0</v>
      </c>
      <c r="FB18" s="213">
        <f>SUM(data_1!FB48:FB55)</f>
        <v>0</v>
      </c>
      <c r="FC18" s="213">
        <f>SUM(data_1!FC48:FC55)</f>
        <v>0</v>
      </c>
      <c r="FD18" s="213">
        <f>SUM(data_1!FD48:FD55)</f>
        <v>0</v>
      </c>
      <c r="FE18" s="213">
        <f>SUM(data_1!FE48:FE55)</f>
        <v>0</v>
      </c>
      <c r="FF18" s="213">
        <f>SUM(data_1!FF48:FF55)</f>
        <v>0</v>
      </c>
      <c r="FG18" s="213">
        <f>SUM(data_1!FG48:FG55)</f>
        <v>0</v>
      </c>
      <c r="FH18" s="213">
        <f>SUM(data_1!FH48:FH55)</f>
        <v>0</v>
      </c>
      <c r="FI18" s="213">
        <f>SUM(data_1!FI48:FI55)</f>
        <v>0</v>
      </c>
      <c r="FJ18" s="213">
        <f>SUM(data_1!FJ48:FJ55)</f>
        <v>0</v>
      </c>
      <c r="FK18" s="213">
        <f>SUM(data_1!FK48:FK55)</f>
        <v>0</v>
      </c>
      <c r="FL18" s="213">
        <f>SUM(data_1!FL48:FL55)</f>
        <v>0</v>
      </c>
      <c r="FM18" s="213">
        <f>SUM(data_1!FM48:FM55)</f>
        <v>0</v>
      </c>
      <c r="FN18" s="148">
        <f>SUM(data_1!FN48:FN55)</f>
        <v>0</v>
      </c>
      <c r="FO18" s="148">
        <f>SUM(data_1!FO48:FO55)</f>
        <v>1845572486</v>
      </c>
      <c r="FP18" s="148">
        <f>SUM(data_1!FP48:FP55)</f>
        <v>1504992800</v>
      </c>
      <c r="FQ18" s="148">
        <f>SUM(data_1!FQ48:FQ55)</f>
        <v>340579686</v>
      </c>
      <c r="FR18" s="148">
        <f>SUM(data_1!FR48:FR55)</f>
        <v>1357906123.2199998</v>
      </c>
      <c r="FS18" s="148">
        <f>SUM(data_1!FS48:FS55)</f>
        <v>5239293.6100000003</v>
      </c>
      <c r="FT18" s="148">
        <f>SUM(data_1!FT48:FT55)</f>
        <v>0</v>
      </c>
      <c r="FU18" s="148">
        <f>SUM(data_1!FU48:FU55)</f>
        <v>1684745566.5799999</v>
      </c>
      <c r="FV18" s="148">
        <f>SUM(data_1!FV48:FV55)</f>
        <v>1357906123.2199998</v>
      </c>
      <c r="FW18" s="148">
        <f>SUM(data_1!FW48:FW55)</f>
        <v>0</v>
      </c>
      <c r="FX18" s="148">
        <f>SUM(data_1!FX48:FX55)</f>
        <v>326839443.35999995</v>
      </c>
      <c r="FY18" s="148">
        <f>SUM(data_1!FY48:FY55)</f>
        <v>143.08975999999998</v>
      </c>
      <c r="FZ18" s="148">
        <f>SUM(data_1!FZ48:FZ55)</f>
        <v>5239293.6100000003</v>
      </c>
      <c r="GA18" s="148">
        <f>SUM(data_1!GA48:GA55)</f>
        <v>0</v>
      </c>
      <c r="GB18" s="148">
        <f>SUM(data_1!GB48:GB55)</f>
        <v>1357906123.2199998</v>
      </c>
      <c r="GC18" s="148">
        <f>SUM(data_1!GC48:GC55)</f>
        <v>0</v>
      </c>
      <c r="GD18" s="148">
        <f>SUM(data_1!GD48:GD55)</f>
        <v>1504992800</v>
      </c>
      <c r="GE18" s="148">
        <f>SUM(data_1!GE48:GE55)</f>
        <v>1504992800</v>
      </c>
      <c r="GF18" s="148">
        <f>SUM(data_1!GF48:GF55)</f>
        <v>0</v>
      </c>
      <c r="GG18" s="148">
        <f>SUM(data_1!GG48:GG55)</f>
        <v>466130601.12</v>
      </c>
      <c r="GH18" s="148">
        <f>SUM(data_1!GH48:GH55)</f>
        <v>187220600</v>
      </c>
      <c r="GI18" s="148">
        <f>SUM(data_1!GI48:GI55)</f>
        <v>278910001.12</v>
      </c>
      <c r="GJ18" s="148">
        <f>SUM(data_1!GJ48:GJ55)</f>
        <v>187167344.86000001</v>
      </c>
      <c r="GK18" s="148">
        <f>SUM(data_1!GK48:GK55)</f>
        <v>16672378.890000001</v>
      </c>
      <c r="GL18" s="148">
        <f>SUM(data_1!GL48:GL55)</f>
        <v>0</v>
      </c>
      <c r="GM18" s="148">
        <f>SUM(data_1!GM48:GM55)</f>
        <v>465928936.70999998</v>
      </c>
      <c r="GN18" s="148">
        <f>SUM(data_1!GN48:GN55)</f>
        <v>187167344.86000001</v>
      </c>
      <c r="GO18" s="148">
        <f>SUM(data_1!GO48:GO55)</f>
        <v>0</v>
      </c>
      <c r="GP18" s="148">
        <f>SUM(data_1!GP48:GP55)</f>
        <v>278761591.85000002</v>
      </c>
      <c r="GQ18" s="148">
        <f>SUM(data_1!GQ48:GQ55)</f>
        <v>242.51950999999997</v>
      </c>
      <c r="GR18" s="148">
        <f>SUM(data_1!GR48:GR55)</f>
        <v>16672378.890000001</v>
      </c>
      <c r="GS18" s="148">
        <f>SUM(data_1!GS48:GS55)</f>
        <v>0</v>
      </c>
      <c r="GT18" s="148">
        <f>SUM(data_1!GT48:GT55)</f>
        <v>187167344.86000001</v>
      </c>
      <c r="GU18" s="148">
        <f>SUM(data_1!GU48:GU55)</f>
        <v>0</v>
      </c>
      <c r="GV18" s="148">
        <f>SUM(data_1!GV48:GV55)</f>
        <v>187220600</v>
      </c>
      <c r="GW18" s="148">
        <f>SUM(data_1!GW48:GW55)</f>
        <v>187220600</v>
      </c>
      <c r="GX18" s="148">
        <f>SUM(data_1!GX48:GX55)</f>
        <v>0</v>
      </c>
      <c r="GY18" s="148">
        <f>SUM(data_1!GY48:GY55)</f>
        <v>0</v>
      </c>
      <c r="GZ18" s="148">
        <f>SUM(data_1!GZ48:GZ55)</f>
        <v>0</v>
      </c>
      <c r="HA18" s="148">
        <f>SUM(data_1!HA48:HA55)</f>
        <v>0</v>
      </c>
      <c r="HB18" s="148">
        <f>SUM(data_1!HB48:HB55)</f>
        <v>0</v>
      </c>
      <c r="HC18" s="148">
        <f>SUM(data_1!HC48:HC55)</f>
        <v>2667245.2199999997</v>
      </c>
      <c r="HD18" s="148">
        <f>SUM(data_1!HD48:HD55)</f>
        <v>0</v>
      </c>
      <c r="HE18" s="148">
        <f>SUM(data_1!HE48:HE55)</f>
        <v>0</v>
      </c>
      <c r="HF18" s="148">
        <f>SUM(data_1!HF48:HF55)</f>
        <v>0</v>
      </c>
      <c r="HG18" s="148">
        <f>SUM(data_1!HG48:HG55)</f>
        <v>0</v>
      </c>
      <c r="HH18" s="148">
        <f>SUM(data_1!HH48:HH55)</f>
        <v>0</v>
      </c>
      <c r="HI18" s="148">
        <f>SUM(data_1!HI48:HI55)</f>
        <v>0</v>
      </c>
      <c r="HJ18" s="148">
        <f>SUM(data_1!HJ48:HJ55)</f>
        <v>2663356.2199999997</v>
      </c>
      <c r="HK18" s="148">
        <f>SUM(data_1!HK48:HK55)</f>
        <v>3889</v>
      </c>
      <c r="HL18" s="148">
        <f>SUM(data_1!HL48:HL55)</f>
        <v>0</v>
      </c>
      <c r="HM18" s="148">
        <f>SUM(data_1!HM48:HM55)</f>
        <v>0</v>
      </c>
      <c r="HN18" s="148">
        <f>SUM(data_1!HN48:HN55)</f>
        <v>0</v>
      </c>
      <c r="HO18" s="148">
        <f>SUM(data_1!HO48:HO55)</f>
        <v>0</v>
      </c>
      <c r="HP18" s="148">
        <f>SUM(data_1!HP48:HP55)</f>
        <v>0</v>
      </c>
      <c r="HQ18" s="148">
        <f>SUM(data_1!HQ48:HQ55)</f>
        <v>422645414.28999996</v>
      </c>
      <c r="HR18" s="148">
        <f>SUM(data_1!HR48:HR55)</f>
        <v>189911500</v>
      </c>
      <c r="HS18" s="148">
        <f>SUM(data_1!HS48:HS55)</f>
        <v>232733914.28999999</v>
      </c>
      <c r="HT18" s="148">
        <f>SUM(data_1!HT48:HT55)</f>
        <v>182802760.81</v>
      </c>
      <c r="HU18" s="148">
        <f>SUM(data_1!HU48:HU55)</f>
        <v>851493.04</v>
      </c>
      <c r="HV18" s="148">
        <f>SUM(data_1!HV48:HV55)</f>
        <v>0</v>
      </c>
      <c r="HW18" s="148">
        <f>SUM(data_1!HW48:HW55)</f>
        <v>411300276.53999996</v>
      </c>
      <c r="HX18" s="148">
        <f>SUM(data_1!HX48:HX55)</f>
        <v>182802760.81</v>
      </c>
      <c r="HY18" s="148">
        <f>SUM(data_1!HY48:HY55)</f>
        <v>0</v>
      </c>
      <c r="HZ18" s="148">
        <f>SUM(data_1!HZ48:HZ55)</f>
        <v>228497515.72999999</v>
      </c>
      <c r="IA18" s="148">
        <f>SUM(data_1!IA48:IA55)</f>
        <v>285.22573999999997</v>
      </c>
      <c r="IB18" s="148">
        <f>SUM(data_1!IB48:IB55)</f>
        <v>851493.04</v>
      </c>
      <c r="IC18" s="148">
        <f>SUM(data_1!IC48:IC55)</f>
        <v>0</v>
      </c>
      <c r="ID18" s="148">
        <f>SUM(data_1!ID48:ID55)</f>
        <v>182802760.81</v>
      </c>
      <c r="IE18" s="148">
        <f>SUM(data_1!IE48:IE55)</f>
        <v>0</v>
      </c>
      <c r="IF18" s="148">
        <f>SUM(data_1!IF48:IF55)</f>
        <v>189911500</v>
      </c>
      <c r="IG18" s="148">
        <f>SUM(data_1!IG48:IG55)</f>
        <v>189911500</v>
      </c>
      <c r="IH18" s="148">
        <f>SUM(data_1!IH48:IH55)</f>
        <v>0</v>
      </c>
      <c r="II18" s="148">
        <f>SUM(data_1!II48:II55)</f>
        <v>0</v>
      </c>
      <c r="IJ18" s="148">
        <f>SUM(data_1!IJ48:IJ55)</f>
        <v>0</v>
      </c>
      <c r="IK18" s="148">
        <f>SUM(data_1!IK48:IK55)</f>
        <v>0</v>
      </c>
      <c r="IL18" s="148">
        <f>SUM(data_1!IL48:IL55)</f>
        <v>0</v>
      </c>
      <c r="IM18" s="148">
        <f>SUM(data_1!IM48:IM55)</f>
        <v>0</v>
      </c>
      <c r="IN18" s="148">
        <f>SUM(data_1!IN48:IN55)</f>
        <v>0</v>
      </c>
      <c r="IO18" s="148">
        <f>SUM(data_1!IO48:IO55)</f>
        <v>0</v>
      </c>
      <c r="IP18" s="148">
        <f>SUM(data_1!IP48:IP55)</f>
        <v>0</v>
      </c>
      <c r="IQ18" s="148">
        <f>SUM(data_1!IQ48:IQ55)</f>
        <v>0</v>
      </c>
      <c r="IR18" s="148">
        <f>SUM(data_1!IR48:IR55)</f>
        <v>0</v>
      </c>
      <c r="IS18" s="148">
        <f>SUM(data_1!IS48:IS55)</f>
        <v>0</v>
      </c>
      <c r="IT18" s="148">
        <f>SUM(data_1!IT48:IT55)</f>
        <v>0</v>
      </c>
      <c r="IU18" s="148">
        <f>SUM(data_1!IU48:IU55)</f>
        <v>0</v>
      </c>
      <c r="IV18" s="148">
        <f>SUM(data_1!IV48:IV55)</f>
        <v>0</v>
      </c>
      <c r="IW18" s="148">
        <f>SUM(data_1!IW48:IW55)</f>
        <v>0</v>
      </c>
      <c r="IX18" s="148">
        <f>SUM(data_1!IX48:IX55)</f>
        <v>0</v>
      </c>
      <c r="IY18" s="148">
        <f>SUM(data_1!IY48:IY55)</f>
        <v>0</v>
      </c>
      <c r="IZ18" s="148">
        <f>SUM(data_1!IZ48:IZ55)</f>
        <v>0</v>
      </c>
      <c r="JA18" s="148">
        <f>SUM(data_1!JA48:JA55)</f>
        <v>88574385.719999999</v>
      </c>
      <c r="JB18" s="148">
        <f>SUM(data_1!JB48:JB55)</f>
        <v>25852000</v>
      </c>
      <c r="JC18" s="148">
        <f>SUM(data_1!JC48:JC55)</f>
        <v>62722385.719999999</v>
      </c>
      <c r="JD18" s="148">
        <f>SUM(data_1!JD48:JD55)</f>
        <v>25852000</v>
      </c>
      <c r="JE18" s="148">
        <f>SUM(data_1!JE48:JE55)</f>
        <v>0</v>
      </c>
      <c r="JF18" s="148">
        <f>SUM(data_1!JF48:JF55)</f>
        <v>0</v>
      </c>
      <c r="JG18" s="148">
        <f>SUM(data_1!JG48:JG55)</f>
        <v>88574385.719999999</v>
      </c>
      <c r="JH18" s="148">
        <f>SUM(data_1!JH48:JH55)</f>
        <v>25852000</v>
      </c>
      <c r="JI18" s="148">
        <f>SUM(data_1!JI48:JI55)</f>
        <v>0</v>
      </c>
      <c r="JJ18" s="148">
        <f>SUM(data_1!JJ48:JJ55)</f>
        <v>62722385.719999999</v>
      </c>
      <c r="JK18" s="148">
        <f>SUM(data_1!JK48:JK55)</f>
        <v>107.72280000000001</v>
      </c>
      <c r="JL18" s="148">
        <f>SUM(data_1!JL48:JL55)</f>
        <v>0</v>
      </c>
      <c r="JM18" s="148">
        <f>SUM(data_1!JM48:JM55)</f>
        <v>0</v>
      </c>
      <c r="JN18" s="148">
        <f>SUM(data_1!JN48:JN55)</f>
        <v>25852000</v>
      </c>
      <c r="JO18" s="148">
        <f>SUM(data_1!JO48:JO55)</f>
        <v>0</v>
      </c>
      <c r="JP18" s="148">
        <f>SUM(data_1!JP48:JP55)</f>
        <v>25852000</v>
      </c>
      <c r="JQ18" s="148">
        <f>SUM(data_1!JQ48:JQ55)</f>
        <v>25852000</v>
      </c>
      <c r="JR18" s="148">
        <f>SUM(data_1!JR48:JR55)</f>
        <v>0</v>
      </c>
      <c r="JS18" s="148">
        <f>SUM(data_1!JS48:JS55)</f>
        <v>0</v>
      </c>
      <c r="JT18" s="148">
        <f>SUM(data_1!JT48:JT55)</f>
        <v>0</v>
      </c>
      <c r="JU18" s="148">
        <f>SUM(data_1!JU48:JU55)</f>
        <v>0</v>
      </c>
      <c r="JV18" s="148">
        <f>SUM(data_1!JV48:JV55)</f>
        <v>0</v>
      </c>
      <c r="JW18" s="148">
        <f>SUM(data_1!JW48:JW55)</f>
        <v>0</v>
      </c>
      <c r="JX18" s="148">
        <f>SUM(data_1!JX48:JX55)</f>
        <v>0</v>
      </c>
      <c r="JY18" s="148">
        <f>SUM(data_1!JY48:JY55)</f>
        <v>0</v>
      </c>
      <c r="JZ18" s="148">
        <f>SUM(data_1!JZ48:JZ55)</f>
        <v>0</v>
      </c>
      <c r="KA18" s="148">
        <f>SUM(data_1!KA48:KA55)</f>
        <v>0</v>
      </c>
      <c r="KB18" s="148">
        <f>SUM(data_1!KB48:KB55)</f>
        <v>0</v>
      </c>
      <c r="KC18" s="148">
        <f>SUM(data_1!KC48:KC55)</f>
        <v>0</v>
      </c>
      <c r="KD18" s="148">
        <f>SUM(data_1!KD48:KD55)</f>
        <v>0</v>
      </c>
      <c r="KE18" s="148">
        <f>SUM(data_1!KE48:KE55)</f>
        <v>0</v>
      </c>
      <c r="KF18" s="148">
        <f>SUM(data_1!KF48:KF55)</f>
        <v>0</v>
      </c>
      <c r="KG18" s="148">
        <f>SUM(data_1!KG48:KG55)</f>
        <v>0</v>
      </c>
      <c r="KH18" s="148">
        <f>SUM(data_1!KH48:KH55)</f>
        <v>0</v>
      </c>
      <c r="KI18" s="148">
        <f>SUM(data_1!KI48:KI55)</f>
        <v>0</v>
      </c>
      <c r="KJ18" s="148">
        <f>SUM(data_1!KJ48:KJ55)</f>
        <v>0</v>
      </c>
      <c r="KK18" s="148">
        <f>SUM(data_1!KK48:KK55)</f>
        <v>54035060.68</v>
      </c>
      <c r="KL18" s="148">
        <f>SUM(data_1!KL48:KL55)</f>
        <v>29665000</v>
      </c>
      <c r="KM18" s="148">
        <f>SUM(data_1!KM48:KM55)</f>
        <v>24370060.68</v>
      </c>
      <c r="KN18" s="148">
        <f>SUM(data_1!KN48:KN55)</f>
        <v>29664988.129999999</v>
      </c>
      <c r="KO18" s="148">
        <f>SUM(data_1!KO48:KO55)</f>
        <v>76059</v>
      </c>
      <c r="KP18" s="148">
        <f>SUM(data_1!KP48:KP55)</f>
        <v>0</v>
      </c>
      <c r="KQ18" s="148">
        <f>SUM(data_1!KQ48:KQ55)</f>
        <v>54035024.999999993</v>
      </c>
      <c r="KR18" s="148">
        <f>SUM(data_1!KR48:KR55)</f>
        <v>29664988.129999999</v>
      </c>
      <c r="KS18" s="148">
        <f>SUM(data_1!KS48:KS55)</f>
        <v>0</v>
      </c>
      <c r="KT18" s="148">
        <f>SUM(data_1!KT48:KT55)</f>
        <v>24370036.870000001</v>
      </c>
      <c r="KU18" s="148">
        <f>SUM(data_1!KU48:KU55)</f>
        <v>205.12187999999998</v>
      </c>
      <c r="KV18" s="148">
        <f>SUM(data_1!KV48:KV55)</f>
        <v>76059</v>
      </c>
      <c r="KW18" s="148">
        <f>SUM(data_1!KW48:KW55)</f>
        <v>0</v>
      </c>
      <c r="KX18" s="148">
        <f>SUM(data_1!KX48:KX55)</f>
        <v>29664988.129999999</v>
      </c>
      <c r="KY18" s="148">
        <f>SUM(data_1!KY48:KY55)</f>
        <v>0</v>
      </c>
      <c r="KZ18" s="148">
        <f>SUM(data_1!KZ48:KZ55)</f>
        <v>29665000</v>
      </c>
      <c r="LA18" s="148">
        <f>SUM(data_1!LA48:LA55)</f>
        <v>29665000</v>
      </c>
      <c r="LB18" s="148">
        <f>SUM(data_1!LB48:LB55)</f>
        <v>0</v>
      </c>
      <c r="LC18" s="148">
        <f>SUM(data_1!LC48:LC55)</f>
        <v>0</v>
      </c>
      <c r="LD18" s="148">
        <f>SUM(data_1!LD48:LD55)</f>
        <v>0</v>
      </c>
      <c r="LE18" s="148">
        <f>SUM(data_1!LE48:LE55)</f>
        <v>0</v>
      </c>
      <c r="LF18" s="148">
        <f>SUM(data_1!LF48:LF55)</f>
        <v>0</v>
      </c>
      <c r="LG18" s="148">
        <f>SUM(data_1!LG48:LG55)</f>
        <v>0</v>
      </c>
      <c r="LH18" s="148">
        <f>SUM(data_1!LH48:LH55)</f>
        <v>0</v>
      </c>
      <c r="LI18" s="148">
        <f>SUM(data_1!LI48:LI55)</f>
        <v>0</v>
      </c>
      <c r="LJ18" s="148">
        <f>SUM(data_1!LJ48:LJ55)</f>
        <v>0</v>
      </c>
      <c r="LK18" s="148">
        <f>SUM(data_1!LK48:LK55)</f>
        <v>0</v>
      </c>
      <c r="LL18" s="148">
        <f>SUM(data_1!LL48:LL55)</f>
        <v>0</v>
      </c>
      <c r="LM18" s="148">
        <f>SUM(data_1!LM48:LM55)</f>
        <v>0</v>
      </c>
      <c r="LN18" s="148">
        <f>SUM(data_1!LN48:LN55)</f>
        <v>0</v>
      </c>
      <c r="LO18" s="148">
        <f>SUM(data_1!LO48:LO55)</f>
        <v>0</v>
      </c>
      <c r="LP18" s="148">
        <f>SUM(data_1!LP48:LP55)</f>
        <v>0</v>
      </c>
      <c r="LQ18" s="148">
        <f>SUM(data_1!LQ48:LQ55)</f>
        <v>0</v>
      </c>
      <c r="LR18" s="148">
        <f>SUM(data_1!LR48:LR55)</f>
        <v>0</v>
      </c>
      <c r="LS18" s="148">
        <f>SUM(data_1!LS48:LS55)</f>
        <v>0</v>
      </c>
      <c r="LT18" s="148">
        <f>SUM(data_1!LT48:LT55)</f>
        <v>0</v>
      </c>
      <c r="LU18" s="148">
        <f>SUM(data_1!LU48:LU55)</f>
        <v>48433414.789999999</v>
      </c>
      <c r="LV18" s="148">
        <f>SUM(data_1!LV48:LV55)</f>
        <v>33411500</v>
      </c>
      <c r="LW18" s="148">
        <f>SUM(data_1!LW48:LW55)</f>
        <v>15021914.790000001</v>
      </c>
      <c r="LX18" s="148">
        <f>SUM(data_1!LX48:LX55)</f>
        <v>31145974.650000002</v>
      </c>
      <c r="LY18" s="148">
        <f>SUM(data_1!LY48:LY55)</f>
        <v>0</v>
      </c>
      <c r="LZ18" s="148">
        <f>SUM(data_1!LZ48:LZ55)</f>
        <v>0</v>
      </c>
      <c r="MA18" s="148">
        <f>SUM(data_1!MA48:MA55)</f>
        <v>45695410.960000001</v>
      </c>
      <c r="MB18" s="148">
        <f>SUM(data_1!MB48:MB55)</f>
        <v>31145974.650000002</v>
      </c>
      <c r="MC18" s="148">
        <f>SUM(data_1!MC48:MC55)</f>
        <v>0</v>
      </c>
      <c r="MD18" s="148">
        <f>SUM(data_1!MD48:MD55)</f>
        <v>14549436.310000001</v>
      </c>
      <c r="ME18" s="148">
        <f>SUM(data_1!ME48:ME55)</f>
        <v>167.62893000000003</v>
      </c>
      <c r="MF18" s="148">
        <f>SUM(data_1!MF48:MF55)</f>
        <v>0</v>
      </c>
      <c r="MG18" s="148">
        <f>SUM(data_1!MG48:MG55)</f>
        <v>0</v>
      </c>
      <c r="MH18" s="148">
        <f>SUM(data_1!MH48:MH55)</f>
        <v>31145974.650000002</v>
      </c>
      <c r="MI18" s="148">
        <f>SUM(data_1!MI48:MI55)</f>
        <v>0</v>
      </c>
      <c r="MJ18" s="148">
        <f>SUM(data_1!MJ48:MJ55)</f>
        <v>33411500</v>
      </c>
      <c r="MK18" s="148">
        <f>SUM(data_1!MK48:MK55)</f>
        <v>33411500</v>
      </c>
      <c r="ML18" s="148">
        <f>SUM(data_1!ML48:ML55)</f>
        <v>0</v>
      </c>
      <c r="MM18" s="148">
        <f>SUM(data_1!MM48:MM55)</f>
        <v>0</v>
      </c>
      <c r="MN18" s="148">
        <f>SUM(data_1!MN48:MN55)</f>
        <v>0</v>
      </c>
      <c r="MO18" s="148">
        <f>SUM(data_1!MO48:MO55)</f>
        <v>0</v>
      </c>
      <c r="MP18" s="148">
        <f>SUM(data_1!MP48:MP55)</f>
        <v>0</v>
      </c>
      <c r="MQ18" s="148">
        <f>SUM(data_1!MQ48:MQ55)</f>
        <v>0</v>
      </c>
      <c r="MR18" s="148">
        <f>SUM(data_1!MR48:MR55)</f>
        <v>0</v>
      </c>
      <c r="MS18" s="148">
        <f>SUM(data_1!MS48:MS55)</f>
        <v>0</v>
      </c>
      <c r="MT18" s="148">
        <f>SUM(data_1!MT48:MT55)</f>
        <v>0</v>
      </c>
      <c r="MU18" s="148">
        <f>SUM(data_1!MU48:MU55)</f>
        <v>0</v>
      </c>
      <c r="MV18" s="148">
        <f>SUM(data_1!MV48:MV55)</f>
        <v>0</v>
      </c>
      <c r="MW18" s="148">
        <f>SUM(data_1!MW48:MW55)</f>
        <v>0</v>
      </c>
      <c r="MX18" s="148">
        <f>SUM(data_1!MX48:MX55)</f>
        <v>0</v>
      </c>
      <c r="MY18" s="148">
        <f>SUM(data_1!MY48:MY55)</f>
        <v>0</v>
      </c>
      <c r="MZ18" s="148">
        <f>SUM(data_1!MZ48:MZ55)</f>
        <v>0</v>
      </c>
      <c r="NA18" s="148">
        <f>SUM(data_1!NA48:NA55)</f>
        <v>0</v>
      </c>
      <c r="NB18" s="148">
        <f>SUM(data_1!NB48:NB55)</f>
        <v>0</v>
      </c>
      <c r="NC18" s="148">
        <f>SUM(data_1!NC48:NC55)</f>
        <v>0</v>
      </c>
      <c r="ND18" s="148">
        <f>SUM(data_1!ND48:ND55)</f>
        <v>0</v>
      </c>
      <c r="NE18" s="148">
        <f>SUM(data_1!NE48:NE55)</f>
        <v>56776400</v>
      </c>
      <c r="NF18" s="148">
        <f>SUM(data_1!NF48:NF55)</f>
        <v>25507100</v>
      </c>
      <c r="NG18" s="148">
        <f>SUM(data_1!NG48:NG55)</f>
        <v>31269300</v>
      </c>
      <c r="NH18" s="148">
        <f>SUM(data_1!NH48:NH55)</f>
        <v>23062383.510000002</v>
      </c>
      <c r="NI18" s="148">
        <f>SUM(data_1!NI48:NI55)</f>
        <v>0</v>
      </c>
      <c r="NJ18" s="148">
        <f>SUM(data_1!NJ48:NJ55)</f>
        <v>0</v>
      </c>
      <c r="NK18" s="148">
        <f>SUM(data_1!NK48:NK55)</f>
        <v>51078654.799999997</v>
      </c>
      <c r="NL18" s="148">
        <f>SUM(data_1!NL48:NL55)</f>
        <v>23062383.510000002</v>
      </c>
      <c r="NM18" s="148">
        <f>SUM(data_1!NM48:NM55)</f>
        <v>0</v>
      </c>
      <c r="NN18" s="148">
        <f>SUM(data_1!NN48:NN55)</f>
        <v>28016271.289999999</v>
      </c>
      <c r="NO18" s="148">
        <f>SUM(data_1!NO48:NO55)</f>
        <v>87.09469</v>
      </c>
      <c r="NP18" s="148">
        <f>SUM(data_1!NP48:NP55)</f>
        <v>0</v>
      </c>
      <c r="NQ18" s="148">
        <f>SUM(data_1!NQ48:NQ55)</f>
        <v>0</v>
      </c>
      <c r="NR18" s="148">
        <f>SUM(data_1!NR48:NR55)</f>
        <v>23062383.510000002</v>
      </c>
      <c r="NS18" s="148">
        <f>SUM(data_1!NS48:NS55)</f>
        <v>0</v>
      </c>
      <c r="NT18" s="148">
        <f>SUM(data_1!NT48:NT55)</f>
        <v>25507100</v>
      </c>
      <c r="NU18" s="148">
        <f>SUM(data_1!NU48:NU55)</f>
        <v>25507100</v>
      </c>
      <c r="NV18" s="148">
        <f>SUM(data_1!NV48:NV55)</f>
        <v>0</v>
      </c>
      <c r="NW18" s="148">
        <f>SUM(data_1!NW48:NW55)</f>
        <v>0</v>
      </c>
      <c r="NX18" s="148">
        <f>SUM(data_1!NX48:NX55)</f>
        <v>0</v>
      </c>
      <c r="NY18" s="148">
        <f>SUM(data_1!NY48:NY55)</f>
        <v>0</v>
      </c>
      <c r="NZ18" s="148">
        <f>SUM(data_1!NZ48:NZ55)</f>
        <v>0</v>
      </c>
      <c r="OA18" s="148">
        <f>SUM(data_1!OA48:OA55)</f>
        <v>0</v>
      </c>
      <c r="OB18" s="148">
        <f>SUM(data_1!OB48:OB55)</f>
        <v>0</v>
      </c>
      <c r="OC18" s="148">
        <f>SUM(data_1!OC48:OC55)</f>
        <v>0</v>
      </c>
      <c r="OD18" s="148">
        <f>SUM(data_1!OD48:OD55)</f>
        <v>0</v>
      </c>
      <c r="OE18" s="148">
        <f>SUM(data_1!OE48:OE55)</f>
        <v>0</v>
      </c>
      <c r="OF18" s="148">
        <f>SUM(data_1!OF48:OF55)</f>
        <v>0</v>
      </c>
      <c r="OG18" s="148">
        <f>SUM(data_1!OG48:OG55)</f>
        <v>0</v>
      </c>
      <c r="OH18" s="148">
        <f>SUM(data_1!OH48:OH55)</f>
        <v>0</v>
      </c>
      <c r="OI18" s="148">
        <f>SUM(data_1!OI48:OI55)</f>
        <v>0</v>
      </c>
      <c r="OJ18" s="148">
        <f>SUM(data_1!OJ48:OJ55)</f>
        <v>0</v>
      </c>
      <c r="OK18" s="148">
        <f>SUM(data_1!OK48:OK55)</f>
        <v>0</v>
      </c>
      <c r="OL18" s="148">
        <f>SUM(data_1!OL48:OL55)</f>
        <v>0</v>
      </c>
      <c r="OM18" s="148">
        <f>SUM(data_1!OM48:OM55)</f>
        <v>0</v>
      </c>
      <c r="ON18" s="148">
        <f>SUM(data_1!ON48:ON55)</f>
        <v>0</v>
      </c>
      <c r="OO18" s="148">
        <f>SUM(data_1!OO48:OO55)</f>
        <v>25394400</v>
      </c>
      <c r="OP18" s="148">
        <f>SUM(data_1!OP48:OP55)</f>
        <v>12468900</v>
      </c>
      <c r="OQ18" s="148">
        <f>SUM(data_1!OQ48:OQ55)</f>
        <v>12925500</v>
      </c>
      <c r="OR18" s="148">
        <f>SUM(data_1!OR48:OR55)</f>
        <v>12468900</v>
      </c>
      <c r="OS18" s="148">
        <f>SUM(data_1!OS48:OS55)</f>
        <v>7280</v>
      </c>
      <c r="OT18" s="148">
        <f>SUM(data_1!OT48:OT55)</f>
        <v>0</v>
      </c>
      <c r="OU18" s="148">
        <f>SUM(data_1!OU48:OU55)</f>
        <v>25393366.949999999</v>
      </c>
      <c r="OV18" s="148">
        <f>SUM(data_1!OV48:OV55)</f>
        <v>12468222.58</v>
      </c>
      <c r="OW18" s="148">
        <f>SUM(data_1!OW48:OW55)</f>
        <v>0</v>
      </c>
      <c r="OX18" s="148">
        <f>SUM(data_1!OX48:OX55)</f>
        <v>12925144.370000001</v>
      </c>
      <c r="OY18" s="148">
        <f>SUM(data_1!OY48:OY55)</f>
        <v>125.92142</v>
      </c>
      <c r="OZ18" s="148">
        <f>SUM(data_1!OZ48:OZ55)</f>
        <v>7280</v>
      </c>
      <c r="PA18" s="148">
        <f>SUM(data_1!PA48:PA55)</f>
        <v>677.42</v>
      </c>
      <c r="PB18" s="148">
        <f>SUM(data_1!PB48:PB55)</f>
        <v>12468222.58</v>
      </c>
      <c r="PC18" s="148">
        <f>SUM(data_1!PC48:PC55)</f>
        <v>0</v>
      </c>
      <c r="PD18" s="148">
        <f>SUM(data_1!PD48:PD55)</f>
        <v>12468900</v>
      </c>
      <c r="PE18" s="148">
        <f>SUM(data_1!PE48:PE55)</f>
        <v>12468900</v>
      </c>
      <c r="PF18" s="148">
        <f>SUM(data_1!PF48:PF55)</f>
        <v>0</v>
      </c>
      <c r="PG18" s="148">
        <f>SUM(data_1!PG48:PG55)</f>
        <v>0</v>
      </c>
      <c r="PH18" s="148">
        <f>SUM(data_1!PH48:PH55)</f>
        <v>0</v>
      </c>
      <c r="PI18" s="148">
        <f>SUM(data_1!PI48:PI55)</f>
        <v>0</v>
      </c>
      <c r="PJ18" s="148">
        <f>SUM(data_1!PJ48:PJ55)</f>
        <v>0</v>
      </c>
      <c r="PK18" s="148">
        <f>SUM(data_1!PK48:PK55)</f>
        <v>0</v>
      </c>
      <c r="PL18" s="148">
        <f>SUM(data_1!PL48:PL55)</f>
        <v>0</v>
      </c>
      <c r="PM18" s="148">
        <f>SUM(data_1!PM48:PM55)</f>
        <v>0</v>
      </c>
      <c r="PN18" s="148">
        <f>SUM(data_1!PN48:PN55)</f>
        <v>0</v>
      </c>
      <c r="PO18" s="148">
        <f>SUM(data_1!PO48:PO55)</f>
        <v>0</v>
      </c>
      <c r="PP18" s="148">
        <f>SUM(data_1!PP48:PP55)</f>
        <v>0</v>
      </c>
      <c r="PQ18" s="148">
        <f>SUM(data_1!PQ48:PQ55)</f>
        <v>0</v>
      </c>
      <c r="PR18" s="148">
        <f>SUM(data_1!PR48:PR55)</f>
        <v>0</v>
      </c>
      <c r="PS18" s="148">
        <f>SUM(data_1!PS48:PS55)</f>
        <v>0</v>
      </c>
      <c r="PT18" s="148">
        <f>SUM(data_1!PT48:PT55)</f>
        <v>0</v>
      </c>
      <c r="PU18" s="148">
        <f>SUM(data_1!PU48:PU55)</f>
        <v>0</v>
      </c>
      <c r="PV18" s="148">
        <f>SUM(data_1!PV48:PV55)</f>
        <v>0</v>
      </c>
      <c r="PW18" s="148">
        <f>SUM(data_1!PW48:PW55)</f>
        <v>0</v>
      </c>
      <c r="PX18" s="148">
        <f>SUM(data_1!PX48:PX55)</f>
        <v>0</v>
      </c>
      <c r="PY18" s="148">
        <f>SUM(data_1!PY48:PY55)</f>
        <v>0</v>
      </c>
      <c r="PZ18" s="148">
        <f>SUM(data_1!PZ48:PZ55)</f>
        <v>0</v>
      </c>
      <c r="QA18" s="148">
        <f>SUM(data_1!QA48:QA55)</f>
        <v>0</v>
      </c>
      <c r="QB18" s="148">
        <f>SUM(data_1!QB48:QB55)</f>
        <v>0</v>
      </c>
      <c r="QC18" s="148">
        <f>SUM(data_1!QC48:QC55)</f>
        <v>115246167.08</v>
      </c>
      <c r="QD18" s="148">
        <f>SUM(data_1!QD48:QD55)</f>
        <v>0</v>
      </c>
      <c r="QE18" s="148">
        <f>SUM(data_1!QE48:QE55)</f>
        <v>0</v>
      </c>
      <c r="QF18" s="148">
        <f>SUM(data_1!QF48:QF55)</f>
        <v>0</v>
      </c>
      <c r="QG18" s="148">
        <f>SUM(data_1!QG48:QG55)</f>
        <v>0</v>
      </c>
      <c r="QH18" s="148">
        <f>SUM(data_1!QH48:QH55)</f>
        <v>0</v>
      </c>
      <c r="QI18" s="148">
        <f>SUM(data_1!QI48:QI55)</f>
        <v>0</v>
      </c>
      <c r="QJ18" s="148">
        <f>SUM(data_1!QJ48:QJ55)</f>
        <v>112939991.40000001</v>
      </c>
      <c r="QK18" s="148">
        <f>SUM(data_1!QK48:QK55)</f>
        <v>2306175.6799999997</v>
      </c>
      <c r="QL18" s="148">
        <f>SUM(data_1!QL48:QL55)</f>
        <v>0</v>
      </c>
      <c r="QM18" s="148">
        <f>SUM(data_1!QM48:QM55)</f>
        <v>0</v>
      </c>
      <c r="QN18" s="148">
        <f>SUM(data_1!QN48:QN55)</f>
        <v>0</v>
      </c>
      <c r="QO18" s="148">
        <f>SUM(data_1!QO48:QO55)</f>
        <v>0</v>
      </c>
    </row>
    <row r="19" spans="1:457" x14ac:dyDescent="0.25">
      <c r="A19" s="139" t="s">
        <v>108</v>
      </c>
      <c r="B19" s="138">
        <v>40</v>
      </c>
      <c r="C19" s="141" t="s">
        <v>109</v>
      </c>
      <c r="F19" s="148">
        <f>SUM(data_1!F57:F63)</f>
        <v>14880275900</v>
      </c>
      <c r="G19" s="148">
        <f>SUM(data_1!G57:G63)</f>
        <v>0</v>
      </c>
      <c r="H19" s="148">
        <f>SUM(data_1!H57:H63)</f>
        <v>0</v>
      </c>
      <c r="I19" s="148">
        <f>SUM(data_1!I57:I63)</f>
        <v>3601546452.8400002</v>
      </c>
      <c r="J19" s="148">
        <f>SUM(data_1!J57:J63)</f>
        <v>2736690000</v>
      </c>
      <c r="K19" s="148">
        <f>SUM(data_1!K57:K63)</f>
        <v>864856452.84000003</v>
      </c>
      <c r="L19" s="148">
        <f>SUM(data_1!L57:L63)</f>
        <v>2667048213.3499999</v>
      </c>
      <c r="M19" s="148">
        <f>SUM(data_1!M57:M63)</f>
        <v>0</v>
      </c>
      <c r="N19" s="148">
        <f>SUM(data_1!N57:N63)</f>
        <v>0</v>
      </c>
      <c r="O19" s="148">
        <f>SUM(data_1!O57:O63)</f>
        <v>3502458354.2999997</v>
      </c>
      <c r="P19" s="148">
        <f>SUM(data_1!P57:P63)</f>
        <v>2666754403.8499999</v>
      </c>
      <c r="Q19" s="148">
        <f>SUM(data_1!Q57:Q63)</f>
        <v>0</v>
      </c>
      <c r="R19" s="148">
        <f>SUM(data_1!R57:R63)</f>
        <v>835703950.44999993</v>
      </c>
      <c r="S19" s="148">
        <f>SUM(data_1!S57:S63)</f>
        <v>115.20068000000001</v>
      </c>
      <c r="T19" s="148">
        <f>SUM(data_1!T57:T63)</f>
        <v>0</v>
      </c>
      <c r="U19" s="148">
        <f>SUM(data_1!U57:U63)</f>
        <v>293809.5</v>
      </c>
      <c r="V19" s="148">
        <f>SUM(data_1!V57:V63)</f>
        <v>2666754403.8499999</v>
      </c>
      <c r="W19" s="148">
        <f>SUM(data_1!W57:W63)</f>
        <v>0</v>
      </c>
      <c r="X19" s="148">
        <f>SUM(data_1!X57:X63)</f>
        <v>2736690000</v>
      </c>
      <c r="Y19" s="148">
        <f>SUM(data_1!Y57:Y63)</f>
        <v>2736690000</v>
      </c>
      <c r="Z19" s="213">
        <f>SUM(data_1!Z57:Z63)</f>
        <v>0</v>
      </c>
      <c r="AA19" s="213">
        <f>SUM(data_1!AA57:AA63)</f>
        <v>0</v>
      </c>
      <c r="AB19" s="213">
        <f>SUM(data_1!AB57:AB63)</f>
        <v>0</v>
      </c>
      <c r="AC19" s="213">
        <f>SUM(data_1!AC57:AC63)</f>
        <v>0</v>
      </c>
      <c r="AD19" s="213">
        <f>SUM(data_1!AD57:AD63)</f>
        <v>0</v>
      </c>
      <c r="AE19" s="213">
        <f>SUM(data_1!AE57:AE63)</f>
        <v>0</v>
      </c>
      <c r="AF19" s="213">
        <f>SUM(data_1!AF57:AF63)</f>
        <v>0</v>
      </c>
      <c r="AG19" s="213">
        <f>SUM(data_1!AG57:AG63)</f>
        <v>0</v>
      </c>
      <c r="AH19" s="213">
        <f>SUM(data_1!AH57:AH63)</f>
        <v>0</v>
      </c>
      <c r="AI19" s="213">
        <f>SUM(data_1!AI57:AI63)</f>
        <v>0</v>
      </c>
      <c r="AJ19" s="213">
        <f>SUM(data_1!AJ57:AJ63)</f>
        <v>0</v>
      </c>
      <c r="AK19" s="213">
        <f>SUM(data_1!AK57:AK63)</f>
        <v>0</v>
      </c>
      <c r="AL19" s="213">
        <f>SUM(data_1!AL57:AL63)</f>
        <v>0</v>
      </c>
      <c r="AM19" s="213">
        <f>SUM(data_1!AM57:AM63)</f>
        <v>0</v>
      </c>
      <c r="AN19" s="213">
        <f>SUM(data_1!AN57:AN63)</f>
        <v>0</v>
      </c>
      <c r="AO19" s="213">
        <f>SUM(data_1!AO57:AO63)</f>
        <v>0</v>
      </c>
      <c r="AP19" s="213">
        <f>SUM(data_1!AP57:AP63)</f>
        <v>0</v>
      </c>
      <c r="AQ19" s="213">
        <f>SUM(data_1!AQ57:AQ63)</f>
        <v>0</v>
      </c>
      <c r="AR19" s="148">
        <f>SUM(data_1!AR57:AR63)</f>
        <v>0</v>
      </c>
      <c r="AS19" s="148">
        <f>SUM(data_1!AS57:AS63)</f>
        <v>363631080</v>
      </c>
      <c r="AT19" s="148">
        <f>SUM(data_1!AT57:AT63)</f>
        <v>323081600</v>
      </c>
      <c r="AU19" s="148">
        <f>SUM(data_1!AU57:AU63)</f>
        <v>40549480</v>
      </c>
      <c r="AV19" s="148">
        <f>SUM(data_1!AV57:AV63)</f>
        <v>319525390.56999999</v>
      </c>
      <c r="AW19" s="148">
        <f>SUM(data_1!AW57:AW63)</f>
        <v>0</v>
      </c>
      <c r="AX19" s="148">
        <f>SUM(data_1!AX57:AX63)</f>
        <v>0</v>
      </c>
      <c r="AY19" s="148">
        <f>SUM(data_1!AY57:AY63)</f>
        <v>358614508.00999999</v>
      </c>
      <c r="AZ19" s="148">
        <f>SUM(data_1!AZ57:AZ63)</f>
        <v>319509517</v>
      </c>
      <c r="BA19" s="148">
        <f>SUM(data_1!BA57:BA63)</f>
        <v>0</v>
      </c>
      <c r="BB19" s="148">
        <f>SUM(data_1!BB57:BB63)</f>
        <v>39104991.010000005</v>
      </c>
      <c r="BC19" s="148">
        <f>SUM(data_1!BC57:BC63)</f>
        <v>58.795409999999997</v>
      </c>
      <c r="BD19" s="148">
        <f>SUM(data_1!BD57:BD63)</f>
        <v>0</v>
      </c>
      <c r="BE19" s="148">
        <f>SUM(data_1!BE57:BE63)</f>
        <v>15873.57</v>
      </c>
      <c r="BF19" s="148">
        <f>SUM(data_1!BF57:BF63)</f>
        <v>319509517</v>
      </c>
      <c r="BG19" s="148">
        <f>SUM(data_1!BG57:BG63)</f>
        <v>0</v>
      </c>
      <c r="BH19" s="148">
        <f>SUM(data_1!BH57:BH63)</f>
        <v>323081600</v>
      </c>
      <c r="BI19" s="148">
        <f>SUM(data_1!BI57:BI63)</f>
        <v>323081600</v>
      </c>
      <c r="BJ19" s="213">
        <f>SUM(data_1!BJ57:BJ63)</f>
        <v>0</v>
      </c>
      <c r="BK19" s="213">
        <f>SUM(data_1!BK57:BK63)</f>
        <v>0</v>
      </c>
      <c r="BL19" s="213">
        <f>SUM(data_1!BL57:BL63)</f>
        <v>0</v>
      </c>
      <c r="BM19" s="213">
        <f>SUM(data_1!BM57:BM63)</f>
        <v>0</v>
      </c>
      <c r="BN19" s="213">
        <f>SUM(data_1!BN57:BN63)</f>
        <v>0</v>
      </c>
      <c r="BO19" s="213">
        <f>SUM(data_1!BO57:BO63)</f>
        <v>0</v>
      </c>
      <c r="BP19" s="213">
        <f>SUM(data_1!BP57:BP63)</f>
        <v>0</v>
      </c>
      <c r="BQ19" s="213">
        <f>SUM(data_1!BQ57:BQ63)</f>
        <v>0</v>
      </c>
      <c r="BR19" s="213">
        <f>SUM(data_1!BR57:BR63)</f>
        <v>0</v>
      </c>
      <c r="BS19" s="213">
        <f>SUM(data_1!BS57:BS63)</f>
        <v>0</v>
      </c>
      <c r="BT19" s="213">
        <f>SUM(data_1!BT57:BT63)</f>
        <v>0</v>
      </c>
      <c r="BU19" s="213">
        <f>SUM(data_1!BU57:BU63)</f>
        <v>0</v>
      </c>
      <c r="BV19" s="213">
        <f>SUM(data_1!BV57:BV63)</f>
        <v>0</v>
      </c>
      <c r="BW19" s="213">
        <f>SUM(data_1!BW57:BW63)</f>
        <v>0</v>
      </c>
      <c r="BX19" s="213">
        <f>SUM(data_1!BX57:BX63)</f>
        <v>0</v>
      </c>
      <c r="BY19" s="213">
        <f>SUM(data_1!BY57:BY63)</f>
        <v>0</v>
      </c>
      <c r="BZ19" s="213">
        <f>SUM(data_1!BZ57:BZ63)</f>
        <v>0</v>
      </c>
      <c r="CA19" s="213">
        <f>SUM(data_1!CA57:CA63)</f>
        <v>0</v>
      </c>
      <c r="CB19" s="148">
        <f>SUM(data_1!CB57:CB63)</f>
        <v>0</v>
      </c>
      <c r="CC19" s="148">
        <f>SUM(data_1!CC57:CC63)</f>
        <v>484649070</v>
      </c>
      <c r="CD19" s="148">
        <f>SUM(data_1!CD57:CD63)</f>
        <v>459778400</v>
      </c>
      <c r="CE19" s="148">
        <f>SUM(data_1!CE57:CE63)</f>
        <v>24870670</v>
      </c>
      <c r="CF19" s="148">
        <f>SUM(data_1!CF57:CF63)</f>
        <v>459405966.24000001</v>
      </c>
      <c r="CG19" s="148">
        <f>SUM(data_1!CG57:CG63)</f>
        <v>0</v>
      </c>
      <c r="CH19" s="148">
        <f>SUM(data_1!CH57:CH63)</f>
        <v>0</v>
      </c>
      <c r="CI19" s="148">
        <f>SUM(data_1!CI57:CI63)</f>
        <v>479307636.63</v>
      </c>
      <c r="CJ19" s="148">
        <f>SUM(data_1!CJ57:CJ63)</f>
        <v>454753542.94999999</v>
      </c>
      <c r="CK19" s="148">
        <f>SUM(data_1!CK57:CK63)</f>
        <v>0</v>
      </c>
      <c r="CL19" s="148">
        <f>SUM(data_1!CL57:CL63)</f>
        <v>24554093.68</v>
      </c>
      <c r="CM19" s="148">
        <f>SUM(data_1!CM57:CM63)</f>
        <v>36.008539999999996</v>
      </c>
      <c r="CN19" s="148">
        <f>SUM(data_1!CN57:CN63)</f>
        <v>0</v>
      </c>
      <c r="CO19" s="148">
        <f>SUM(data_1!CO57:CO63)</f>
        <v>4652423.29</v>
      </c>
      <c r="CP19" s="148">
        <f>SUM(data_1!CP57:CP63)</f>
        <v>454753542.94999999</v>
      </c>
      <c r="CQ19" s="148">
        <f>SUM(data_1!CQ57:CQ63)</f>
        <v>0</v>
      </c>
      <c r="CR19" s="148">
        <f>SUM(data_1!CR57:CR63)</f>
        <v>459778400</v>
      </c>
      <c r="CS19" s="148">
        <f>SUM(data_1!CS57:CS63)</f>
        <v>459778400</v>
      </c>
      <c r="CT19" s="148">
        <f>SUM(data_1!CT57:CT63)</f>
        <v>0</v>
      </c>
      <c r="CU19" s="148">
        <f>SUM(data_1!CU57:CU63)</f>
        <v>5525745565.8800001</v>
      </c>
      <c r="CV19" s="148">
        <f>SUM(data_1!CV57:CV63)</f>
        <v>5248426900</v>
      </c>
      <c r="CW19" s="148">
        <f>SUM(data_1!CW57:CW63)</f>
        <v>277318665.88</v>
      </c>
      <c r="CX19" s="148">
        <f>SUM(data_1!CX57:CX63)</f>
        <v>5224139849.3699999</v>
      </c>
      <c r="CY19" s="148">
        <f>SUM(data_1!CY57:CY63)</f>
        <v>0</v>
      </c>
      <c r="CZ19" s="148">
        <f>SUM(data_1!CZ57:CZ63)</f>
        <v>0</v>
      </c>
      <c r="DA19" s="148">
        <f>SUM(data_1!DA57:DA63)</f>
        <v>5497297863.8499994</v>
      </c>
      <c r="DB19" s="148">
        <f>SUM(data_1!DB57:DB63)</f>
        <v>5221401877.2800007</v>
      </c>
      <c r="DC19" s="148">
        <f>SUM(data_1!DC57:DC63)</f>
        <v>0</v>
      </c>
      <c r="DD19" s="148">
        <f>SUM(data_1!DD57:DD63)</f>
        <v>275895986.56999999</v>
      </c>
      <c r="DE19" s="148">
        <f>SUM(data_1!DE57:DE63)</f>
        <v>35.06879</v>
      </c>
      <c r="DF19" s="148">
        <f>SUM(data_1!DF57:DF63)</f>
        <v>0</v>
      </c>
      <c r="DG19" s="148">
        <f>SUM(data_1!DG57:DG63)</f>
        <v>2737972.09</v>
      </c>
      <c r="DH19" s="148">
        <f>SUM(data_1!DH57:DH63)</f>
        <v>5221401877.2800007</v>
      </c>
      <c r="DI19" s="148">
        <f>SUM(data_1!DI57:DI63)</f>
        <v>0</v>
      </c>
      <c r="DJ19" s="148">
        <f>SUM(data_1!DJ57:DJ63)</f>
        <v>5260999800</v>
      </c>
      <c r="DK19" s="148">
        <f>SUM(data_1!DK57:DK63)</f>
        <v>5248426900</v>
      </c>
      <c r="DL19" s="213">
        <f>SUM(data_1!DL57:DL63)</f>
        <v>0</v>
      </c>
      <c r="DM19" s="213">
        <f>SUM(data_1!DM57:DM63)</f>
        <v>0</v>
      </c>
      <c r="DN19" s="213">
        <f>SUM(data_1!DN57:DN63)</f>
        <v>0</v>
      </c>
      <c r="DO19" s="213">
        <f>SUM(data_1!DO57:DO63)</f>
        <v>0</v>
      </c>
      <c r="DP19" s="213">
        <f>SUM(data_1!DP57:DP63)</f>
        <v>0</v>
      </c>
      <c r="DQ19" s="213">
        <f>SUM(data_1!DQ57:DQ63)</f>
        <v>0</v>
      </c>
      <c r="DR19" s="213">
        <f>SUM(data_1!DR57:DR63)</f>
        <v>0</v>
      </c>
      <c r="DS19" s="213">
        <f>SUM(data_1!DS57:DS63)</f>
        <v>0</v>
      </c>
      <c r="DT19" s="213">
        <f>SUM(data_1!DT57:DT63)</f>
        <v>0</v>
      </c>
      <c r="DU19" s="213">
        <f>SUM(data_1!DU57:DU63)</f>
        <v>0</v>
      </c>
      <c r="DV19" s="213">
        <f>SUM(data_1!DV57:DV63)</f>
        <v>0</v>
      </c>
      <c r="DW19" s="213">
        <f>SUM(data_1!DW57:DW63)</f>
        <v>0</v>
      </c>
      <c r="DX19" s="213">
        <f>SUM(data_1!DX57:DX63)</f>
        <v>0</v>
      </c>
      <c r="DY19" s="213">
        <f>SUM(data_1!DY57:DY63)</f>
        <v>0</v>
      </c>
      <c r="DZ19" s="213">
        <f>SUM(data_1!DZ57:DZ63)</f>
        <v>0</v>
      </c>
      <c r="EA19" s="213">
        <f>SUM(data_1!EA57:EA63)</f>
        <v>0</v>
      </c>
      <c r="EB19" s="213">
        <f>SUM(data_1!EB57:EB63)</f>
        <v>0</v>
      </c>
      <c r="EC19" s="213">
        <f>SUM(data_1!EC57:EC63)</f>
        <v>0</v>
      </c>
      <c r="ED19" s="148">
        <f>SUM(data_1!ED57:ED63)</f>
        <v>0</v>
      </c>
      <c r="EE19" s="148">
        <f>SUM(data_1!EE57:EE63)</f>
        <v>4551188974.96</v>
      </c>
      <c r="EF19" s="148">
        <f>SUM(data_1!EF57:EF63)</f>
        <v>4322104400</v>
      </c>
      <c r="EG19" s="148">
        <f>SUM(data_1!EG57:EG63)</f>
        <v>229084574.96000001</v>
      </c>
      <c r="EH19" s="148">
        <f>SUM(data_1!EH57:EH63)</f>
        <v>4322104370.8999996</v>
      </c>
      <c r="EI19" s="148">
        <f>SUM(data_1!EI57:EI63)</f>
        <v>0</v>
      </c>
      <c r="EJ19" s="148">
        <f>SUM(data_1!EJ57:EJ63)</f>
        <v>0</v>
      </c>
      <c r="EK19" s="148">
        <f>SUM(data_1!EK57:EK63)</f>
        <v>4551188923.5599995</v>
      </c>
      <c r="EL19" s="148">
        <f>SUM(data_1!EL57:EL63)</f>
        <v>4322104370.8999996</v>
      </c>
      <c r="EM19" s="148">
        <f>SUM(data_1!EM57:EM63)</f>
        <v>0</v>
      </c>
      <c r="EN19" s="148">
        <f>SUM(data_1!EN57:EN63)</f>
        <v>229084552.66</v>
      </c>
      <c r="EO19" s="148">
        <f>SUM(data_1!EO57:EO63)</f>
        <v>40.00291</v>
      </c>
      <c r="EP19" s="148">
        <f>SUM(data_1!EP57:EP63)</f>
        <v>0</v>
      </c>
      <c r="EQ19" s="148">
        <f>SUM(data_1!EQ57:EQ63)</f>
        <v>0</v>
      </c>
      <c r="ER19" s="148">
        <f>SUM(data_1!ER57:ER63)</f>
        <v>4322104370.8999996</v>
      </c>
      <c r="ES19" s="148">
        <f>SUM(data_1!ES57:ES63)</f>
        <v>0</v>
      </c>
      <c r="ET19" s="148">
        <f>SUM(data_1!ET57:ET63)</f>
        <v>4322104400</v>
      </c>
      <c r="EU19" s="148">
        <f>SUM(data_1!EU57:EU63)</f>
        <v>4322104400</v>
      </c>
      <c r="EV19" s="213">
        <f>SUM(data_1!EV57:EV63)</f>
        <v>0</v>
      </c>
      <c r="EW19" s="213">
        <f>SUM(data_1!EW57:EW63)</f>
        <v>71819074</v>
      </c>
      <c r="EX19" s="213">
        <f>SUM(data_1!EX57:EX63)</f>
        <v>68228100</v>
      </c>
      <c r="EY19" s="213">
        <f>SUM(data_1!EY57:EY63)</f>
        <v>3590974</v>
      </c>
      <c r="EZ19" s="213">
        <f>SUM(data_1!EZ57:EZ63)</f>
        <v>68228100</v>
      </c>
      <c r="FA19" s="213">
        <f>SUM(data_1!FA57:FA63)</f>
        <v>0</v>
      </c>
      <c r="FB19" s="213">
        <f>SUM(data_1!FB57:FB63)</f>
        <v>0</v>
      </c>
      <c r="FC19" s="213">
        <f>SUM(data_1!FC57:FC63)</f>
        <v>64357473.68</v>
      </c>
      <c r="FD19" s="213">
        <f>SUM(data_1!FD57:FD63)</f>
        <v>61139600</v>
      </c>
      <c r="FE19" s="213">
        <f>SUM(data_1!FE57:FE63)</f>
        <v>0</v>
      </c>
      <c r="FF19" s="213">
        <f>SUM(data_1!FF57:FF63)</f>
        <v>3217873.68</v>
      </c>
      <c r="FG19" s="213">
        <f>SUM(data_1!FG57:FG63)</f>
        <v>5</v>
      </c>
      <c r="FH19" s="213">
        <f>SUM(data_1!FH57:FH63)</f>
        <v>0</v>
      </c>
      <c r="FI19" s="213">
        <f>SUM(data_1!FI57:FI63)</f>
        <v>7088500</v>
      </c>
      <c r="FJ19" s="213">
        <f>SUM(data_1!FJ57:FJ63)</f>
        <v>61139600</v>
      </c>
      <c r="FK19" s="213">
        <f>SUM(data_1!FK57:FK63)</f>
        <v>0</v>
      </c>
      <c r="FL19" s="213">
        <f>SUM(data_1!FL57:FL63)</f>
        <v>68228100</v>
      </c>
      <c r="FM19" s="213">
        <f>SUM(data_1!FM57:FM63)</f>
        <v>68228100</v>
      </c>
      <c r="FN19" s="148">
        <f>SUM(data_1!FN57:FN63)</f>
        <v>0</v>
      </c>
      <c r="FO19" s="148">
        <f>SUM(data_1!FO57:FO63)</f>
        <v>926191148.70000005</v>
      </c>
      <c r="FP19" s="148">
        <f>SUM(data_1!FP57:FP63)</f>
        <v>811988500</v>
      </c>
      <c r="FQ19" s="148">
        <f>SUM(data_1!FQ57:FQ63)</f>
        <v>114202648.7</v>
      </c>
      <c r="FR19" s="148">
        <f>SUM(data_1!FR57:FR63)</f>
        <v>811988498.34000003</v>
      </c>
      <c r="FS19" s="148">
        <f>SUM(data_1!FS57:FS63)</f>
        <v>0</v>
      </c>
      <c r="FT19" s="148">
        <f>SUM(data_1!FT57:FT63)</f>
        <v>0</v>
      </c>
      <c r="FU19" s="148">
        <f>SUM(data_1!FU57:FU63)</f>
        <v>926187494.55999994</v>
      </c>
      <c r="FV19" s="148">
        <f>SUM(data_1!FV57:FV63)</f>
        <v>811988498.34000003</v>
      </c>
      <c r="FW19" s="148">
        <f>SUM(data_1!FW57:FW63)</f>
        <v>0</v>
      </c>
      <c r="FX19" s="148">
        <f>SUM(data_1!FX57:FX63)</f>
        <v>114198996.22</v>
      </c>
      <c r="FY19" s="148">
        <f>SUM(data_1!FY57:FY63)</f>
        <v>89.326990000000009</v>
      </c>
      <c r="FZ19" s="148">
        <f>SUM(data_1!FZ57:FZ63)</f>
        <v>0</v>
      </c>
      <c r="GA19" s="148">
        <f>SUM(data_1!GA57:GA63)</f>
        <v>0</v>
      </c>
      <c r="GB19" s="148">
        <f>SUM(data_1!GB57:GB63)</f>
        <v>811988498.34000003</v>
      </c>
      <c r="GC19" s="148">
        <f>SUM(data_1!GC57:GC63)</f>
        <v>0</v>
      </c>
      <c r="GD19" s="148">
        <f>SUM(data_1!GD57:GD63)</f>
        <v>811988500</v>
      </c>
      <c r="GE19" s="148">
        <f>SUM(data_1!GE57:GE63)</f>
        <v>811988500</v>
      </c>
      <c r="GF19" s="148">
        <f>SUM(data_1!GF57:GF63)</f>
        <v>0</v>
      </c>
      <c r="GG19" s="148">
        <f>SUM(data_1!GG57:GG63)</f>
        <v>494032642.50999999</v>
      </c>
      <c r="GH19" s="148">
        <f>SUM(data_1!GH57:GH63)</f>
        <v>409642800</v>
      </c>
      <c r="GI19" s="148">
        <f>SUM(data_1!GI57:GI63)</f>
        <v>84389842.50999999</v>
      </c>
      <c r="GJ19" s="148">
        <f>SUM(data_1!GJ57:GJ63)</f>
        <v>409642799.27999997</v>
      </c>
      <c r="GK19" s="148">
        <f>SUM(data_1!GK57:GK63)</f>
        <v>520857.19</v>
      </c>
      <c r="GL19" s="148">
        <f>SUM(data_1!GL57:GL63)</f>
        <v>0</v>
      </c>
      <c r="GM19" s="148">
        <f>SUM(data_1!GM57:GM63)</f>
        <v>494032627.28999996</v>
      </c>
      <c r="GN19" s="148">
        <f>SUM(data_1!GN57:GN63)</f>
        <v>409642799.27999997</v>
      </c>
      <c r="GO19" s="148">
        <f>SUM(data_1!GO57:GO63)</f>
        <v>0</v>
      </c>
      <c r="GP19" s="148">
        <f>SUM(data_1!GP57:GP63)</f>
        <v>84389828.00999999</v>
      </c>
      <c r="GQ19" s="148">
        <f>SUM(data_1!GQ57:GQ63)</f>
        <v>166.45035000000001</v>
      </c>
      <c r="GR19" s="148">
        <f>SUM(data_1!GR57:GR63)</f>
        <v>520857.19</v>
      </c>
      <c r="GS19" s="148">
        <f>SUM(data_1!GS57:GS63)</f>
        <v>0</v>
      </c>
      <c r="GT19" s="148">
        <f>SUM(data_1!GT57:GT63)</f>
        <v>409642799.27999997</v>
      </c>
      <c r="GU19" s="148">
        <f>SUM(data_1!GU57:GU63)</f>
        <v>0</v>
      </c>
      <c r="GV19" s="148">
        <f>SUM(data_1!GV57:GV63)</f>
        <v>409642800</v>
      </c>
      <c r="GW19" s="148">
        <f>SUM(data_1!GW57:GW63)</f>
        <v>409642800</v>
      </c>
      <c r="GX19" s="148">
        <f>SUM(data_1!GX57:GX63)</f>
        <v>0</v>
      </c>
      <c r="GY19" s="148">
        <f>SUM(data_1!GY57:GY63)</f>
        <v>0</v>
      </c>
      <c r="GZ19" s="148">
        <f>SUM(data_1!GZ57:GZ63)</f>
        <v>0</v>
      </c>
      <c r="HA19" s="148">
        <f>SUM(data_1!HA57:HA63)</f>
        <v>0</v>
      </c>
      <c r="HB19" s="148">
        <f>SUM(data_1!HB57:HB63)</f>
        <v>0</v>
      </c>
      <c r="HC19" s="148">
        <f>SUM(data_1!HC57:HC63)</f>
        <v>0</v>
      </c>
      <c r="HD19" s="148">
        <f>SUM(data_1!HD57:HD63)</f>
        <v>0</v>
      </c>
      <c r="HE19" s="148">
        <f>SUM(data_1!HE57:HE63)</f>
        <v>0</v>
      </c>
      <c r="HF19" s="148">
        <f>SUM(data_1!HF57:HF63)</f>
        <v>0</v>
      </c>
      <c r="HG19" s="148">
        <f>SUM(data_1!HG57:HG63)</f>
        <v>0</v>
      </c>
      <c r="HH19" s="148">
        <f>SUM(data_1!HH57:HH63)</f>
        <v>0</v>
      </c>
      <c r="HI19" s="148">
        <f>SUM(data_1!HI57:HI63)</f>
        <v>0</v>
      </c>
      <c r="HJ19" s="148">
        <f>SUM(data_1!HJ57:HJ63)</f>
        <v>0</v>
      </c>
      <c r="HK19" s="148">
        <f>SUM(data_1!HK57:HK63)</f>
        <v>0</v>
      </c>
      <c r="HL19" s="148">
        <f>SUM(data_1!HL57:HL63)</f>
        <v>0</v>
      </c>
      <c r="HM19" s="148">
        <f>SUM(data_1!HM57:HM63)</f>
        <v>0</v>
      </c>
      <c r="HN19" s="148">
        <f>SUM(data_1!HN57:HN63)</f>
        <v>0</v>
      </c>
      <c r="HO19" s="148">
        <f>SUM(data_1!HO57:HO63)</f>
        <v>0</v>
      </c>
      <c r="HP19" s="148">
        <f>SUM(data_1!HP57:HP63)</f>
        <v>0</v>
      </c>
      <c r="HQ19" s="148">
        <f>SUM(data_1!HQ57:HQ63)</f>
        <v>483037884.98000002</v>
      </c>
      <c r="HR19" s="148">
        <f>SUM(data_1!HR57:HR63)</f>
        <v>213727400</v>
      </c>
      <c r="HS19" s="148">
        <f>SUM(data_1!HS57:HS63)</f>
        <v>269310484.98000002</v>
      </c>
      <c r="HT19" s="148">
        <f>SUM(data_1!HT57:HT63)</f>
        <v>212839854.93000004</v>
      </c>
      <c r="HU19" s="148">
        <f>SUM(data_1!HU57:HU63)</f>
        <v>21261003.66</v>
      </c>
      <c r="HV19" s="148">
        <f>SUM(data_1!HV57:HV63)</f>
        <v>0</v>
      </c>
      <c r="HW19" s="148">
        <f>SUM(data_1!HW57:HW63)</f>
        <v>481086075.73000002</v>
      </c>
      <c r="HX19" s="148">
        <f>SUM(data_1!HX57:HX63)</f>
        <v>212577398.55000004</v>
      </c>
      <c r="HY19" s="148">
        <f>SUM(data_1!HY57:HY63)</f>
        <v>0</v>
      </c>
      <c r="HZ19" s="148">
        <f>SUM(data_1!HZ57:HZ63)</f>
        <v>268508677.18000001</v>
      </c>
      <c r="IA19" s="148">
        <f>SUM(data_1!IA57:IA63)</f>
        <v>275.13170000000002</v>
      </c>
      <c r="IB19" s="148">
        <f>SUM(data_1!IB57:IB63)</f>
        <v>21261003.66</v>
      </c>
      <c r="IC19" s="148">
        <f>SUM(data_1!IC57:IC63)</f>
        <v>262456.38</v>
      </c>
      <c r="ID19" s="148">
        <f>SUM(data_1!ID57:ID63)</f>
        <v>212577398.55000004</v>
      </c>
      <c r="IE19" s="148">
        <f>SUM(data_1!IE57:IE63)</f>
        <v>0</v>
      </c>
      <c r="IF19" s="148">
        <f>SUM(data_1!IF57:IF63)</f>
        <v>213727400</v>
      </c>
      <c r="IG19" s="148">
        <f>SUM(data_1!IG57:IG63)</f>
        <v>213727400</v>
      </c>
      <c r="IH19" s="148">
        <f>SUM(data_1!IH57:IH63)</f>
        <v>0</v>
      </c>
      <c r="II19" s="148">
        <f>SUM(data_1!II57:II63)</f>
        <v>0</v>
      </c>
      <c r="IJ19" s="148">
        <f>SUM(data_1!IJ57:IJ63)</f>
        <v>0</v>
      </c>
      <c r="IK19" s="148">
        <f>SUM(data_1!IK57:IK63)</f>
        <v>0</v>
      </c>
      <c r="IL19" s="148">
        <f>SUM(data_1!IL57:IL63)</f>
        <v>0</v>
      </c>
      <c r="IM19" s="148">
        <f>SUM(data_1!IM57:IM63)</f>
        <v>0</v>
      </c>
      <c r="IN19" s="148">
        <f>SUM(data_1!IN57:IN63)</f>
        <v>0</v>
      </c>
      <c r="IO19" s="148">
        <f>SUM(data_1!IO57:IO63)</f>
        <v>0</v>
      </c>
      <c r="IP19" s="148">
        <f>SUM(data_1!IP57:IP63)</f>
        <v>0</v>
      </c>
      <c r="IQ19" s="148">
        <f>SUM(data_1!IQ57:IQ63)</f>
        <v>0</v>
      </c>
      <c r="IR19" s="148">
        <f>SUM(data_1!IR57:IR63)</f>
        <v>0</v>
      </c>
      <c r="IS19" s="148">
        <f>SUM(data_1!IS57:IS63)</f>
        <v>0</v>
      </c>
      <c r="IT19" s="148">
        <f>SUM(data_1!IT57:IT63)</f>
        <v>0</v>
      </c>
      <c r="IU19" s="148">
        <f>SUM(data_1!IU57:IU63)</f>
        <v>0</v>
      </c>
      <c r="IV19" s="148">
        <f>SUM(data_1!IV57:IV63)</f>
        <v>0</v>
      </c>
      <c r="IW19" s="148">
        <f>SUM(data_1!IW57:IW63)</f>
        <v>0</v>
      </c>
      <c r="IX19" s="148">
        <f>SUM(data_1!IX57:IX63)</f>
        <v>0</v>
      </c>
      <c r="IY19" s="148">
        <f>SUM(data_1!IY57:IY63)</f>
        <v>0</v>
      </c>
      <c r="IZ19" s="148">
        <f>SUM(data_1!IZ57:IZ63)</f>
        <v>0</v>
      </c>
      <c r="JA19" s="148">
        <f>SUM(data_1!JA57:JA63)</f>
        <v>207769942.86000001</v>
      </c>
      <c r="JB19" s="148">
        <f>SUM(data_1!JB57:JB63)</f>
        <v>157727000</v>
      </c>
      <c r="JC19" s="148">
        <f>SUM(data_1!JC57:JC63)</f>
        <v>50042942.859999999</v>
      </c>
      <c r="JD19" s="148">
        <f>SUM(data_1!JD57:JD63)</f>
        <v>157726075.92000002</v>
      </c>
      <c r="JE19" s="148">
        <f>SUM(data_1!JE57:JE63)</f>
        <v>16221619</v>
      </c>
      <c r="JF19" s="148">
        <f>SUM(data_1!JF57:JF63)</f>
        <v>0</v>
      </c>
      <c r="JG19" s="148">
        <f>SUM(data_1!JG57:JG63)</f>
        <v>207768492.91000003</v>
      </c>
      <c r="JH19" s="148">
        <f>SUM(data_1!JH57:JH63)</f>
        <v>157725575.09</v>
      </c>
      <c r="JI19" s="148">
        <f>SUM(data_1!JI57:JI63)</f>
        <v>0</v>
      </c>
      <c r="JJ19" s="148">
        <f>SUM(data_1!JJ57:JJ63)</f>
        <v>50042917.82</v>
      </c>
      <c r="JK19" s="148">
        <f>SUM(data_1!JK57:JK63)</f>
        <v>103.20554</v>
      </c>
      <c r="JL19" s="148">
        <f>SUM(data_1!JL57:JL63)</f>
        <v>16221619</v>
      </c>
      <c r="JM19" s="148">
        <f>SUM(data_1!JM57:JM63)</f>
        <v>500.83</v>
      </c>
      <c r="JN19" s="148">
        <f>SUM(data_1!JN57:JN63)</f>
        <v>157725575.09</v>
      </c>
      <c r="JO19" s="148">
        <f>SUM(data_1!JO57:JO63)</f>
        <v>0</v>
      </c>
      <c r="JP19" s="148">
        <f>SUM(data_1!JP57:JP63)</f>
        <v>157727000</v>
      </c>
      <c r="JQ19" s="148">
        <f>SUM(data_1!JQ57:JQ63)</f>
        <v>157727000</v>
      </c>
      <c r="JR19" s="148">
        <f>SUM(data_1!JR57:JR63)</f>
        <v>0</v>
      </c>
      <c r="JS19" s="148">
        <f>SUM(data_1!JS57:JS63)</f>
        <v>0</v>
      </c>
      <c r="JT19" s="148">
        <f>SUM(data_1!JT57:JT63)</f>
        <v>0</v>
      </c>
      <c r="JU19" s="148">
        <f>SUM(data_1!JU57:JU63)</f>
        <v>0</v>
      </c>
      <c r="JV19" s="148">
        <f>SUM(data_1!JV57:JV63)</f>
        <v>0</v>
      </c>
      <c r="JW19" s="148">
        <f>SUM(data_1!JW57:JW63)</f>
        <v>0</v>
      </c>
      <c r="JX19" s="148">
        <f>SUM(data_1!JX57:JX63)</f>
        <v>0</v>
      </c>
      <c r="JY19" s="148">
        <f>SUM(data_1!JY57:JY63)</f>
        <v>0</v>
      </c>
      <c r="JZ19" s="148">
        <f>SUM(data_1!JZ57:JZ63)</f>
        <v>0</v>
      </c>
      <c r="KA19" s="148">
        <f>SUM(data_1!KA57:KA63)</f>
        <v>0</v>
      </c>
      <c r="KB19" s="148">
        <f>SUM(data_1!KB57:KB63)</f>
        <v>0</v>
      </c>
      <c r="KC19" s="148">
        <f>SUM(data_1!KC57:KC63)</f>
        <v>0</v>
      </c>
      <c r="KD19" s="148">
        <f>SUM(data_1!KD57:KD63)</f>
        <v>0</v>
      </c>
      <c r="KE19" s="148">
        <f>SUM(data_1!KE57:KE63)</f>
        <v>0</v>
      </c>
      <c r="KF19" s="148">
        <f>SUM(data_1!KF57:KF63)</f>
        <v>0</v>
      </c>
      <c r="KG19" s="148">
        <f>SUM(data_1!KG57:KG63)</f>
        <v>0</v>
      </c>
      <c r="KH19" s="148">
        <f>SUM(data_1!KH57:KH63)</f>
        <v>0</v>
      </c>
      <c r="KI19" s="148">
        <f>SUM(data_1!KI57:KI63)</f>
        <v>0</v>
      </c>
      <c r="KJ19" s="148">
        <f>SUM(data_1!KJ57:KJ63)</f>
        <v>0</v>
      </c>
      <c r="KK19" s="148">
        <f>SUM(data_1!KK57:KK63)</f>
        <v>59834923.380000003</v>
      </c>
      <c r="KL19" s="148">
        <f>SUM(data_1!KL57:KL63)</f>
        <v>39417000</v>
      </c>
      <c r="KM19" s="148">
        <f>SUM(data_1!KM57:KM63)</f>
        <v>20417923.379999999</v>
      </c>
      <c r="KN19" s="148">
        <f>SUM(data_1!KN57:KN63)</f>
        <v>39416977.060000002</v>
      </c>
      <c r="KO19" s="148">
        <f>SUM(data_1!KO57:KO63)</f>
        <v>0</v>
      </c>
      <c r="KP19" s="148">
        <f>SUM(data_1!KP57:KP63)</f>
        <v>0</v>
      </c>
      <c r="KQ19" s="148">
        <f>SUM(data_1!KQ57:KQ63)</f>
        <v>59834900.440000005</v>
      </c>
      <c r="KR19" s="148">
        <f>SUM(data_1!KR57:KR63)</f>
        <v>39416977.060000002</v>
      </c>
      <c r="KS19" s="148">
        <f>SUM(data_1!KS57:KS63)</f>
        <v>0</v>
      </c>
      <c r="KT19" s="148">
        <f>SUM(data_1!KT57:KT63)</f>
        <v>20417923.379999999</v>
      </c>
      <c r="KU19" s="148">
        <f>SUM(data_1!KU57:KU63)</f>
        <v>144.61061999999998</v>
      </c>
      <c r="KV19" s="148">
        <f>SUM(data_1!KV57:KV63)</f>
        <v>0</v>
      </c>
      <c r="KW19" s="148">
        <f>SUM(data_1!KW57:KW63)</f>
        <v>0</v>
      </c>
      <c r="KX19" s="148">
        <f>SUM(data_1!KX57:KX63)</f>
        <v>39416977.060000002</v>
      </c>
      <c r="KY19" s="148">
        <f>SUM(data_1!KY57:KY63)</f>
        <v>0</v>
      </c>
      <c r="KZ19" s="148">
        <f>SUM(data_1!KZ57:KZ63)</f>
        <v>39417000</v>
      </c>
      <c r="LA19" s="148">
        <f>SUM(data_1!LA57:LA63)</f>
        <v>39417000</v>
      </c>
      <c r="LB19" s="148">
        <f>SUM(data_1!LB57:LB63)</f>
        <v>0</v>
      </c>
      <c r="LC19" s="148">
        <f>SUM(data_1!LC57:LC63)</f>
        <v>0</v>
      </c>
      <c r="LD19" s="148">
        <f>SUM(data_1!LD57:LD63)</f>
        <v>0</v>
      </c>
      <c r="LE19" s="148">
        <f>SUM(data_1!LE57:LE63)</f>
        <v>0</v>
      </c>
      <c r="LF19" s="148">
        <f>SUM(data_1!LF57:LF63)</f>
        <v>0</v>
      </c>
      <c r="LG19" s="148">
        <f>SUM(data_1!LG57:LG63)</f>
        <v>0</v>
      </c>
      <c r="LH19" s="148">
        <f>SUM(data_1!LH57:LH63)</f>
        <v>0</v>
      </c>
      <c r="LI19" s="148">
        <f>SUM(data_1!LI57:LI63)</f>
        <v>0</v>
      </c>
      <c r="LJ19" s="148">
        <f>SUM(data_1!LJ57:LJ63)</f>
        <v>0</v>
      </c>
      <c r="LK19" s="148">
        <f>SUM(data_1!LK57:LK63)</f>
        <v>0</v>
      </c>
      <c r="LL19" s="148">
        <f>SUM(data_1!LL57:LL63)</f>
        <v>0</v>
      </c>
      <c r="LM19" s="148">
        <f>SUM(data_1!LM57:LM63)</f>
        <v>0</v>
      </c>
      <c r="LN19" s="148">
        <f>SUM(data_1!LN57:LN63)</f>
        <v>0</v>
      </c>
      <c r="LO19" s="148">
        <f>SUM(data_1!LO57:LO63)</f>
        <v>0</v>
      </c>
      <c r="LP19" s="148">
        <f>SUM(data_1!LP57:LP63)</f>
        <v>0</v>
      </c>
      <c r="LQ19" s="148">
        <f>SUM(data_1!LQ57:LQ63)</f>
        <v>0</v>
      </c>
      <c r="LR19" s="148">
        <f>SUM(data_1!LR57:LR63)</f>
        <v>0</v>
      </c>
      <c r="LS19" s="148">
        <f>SUM(data_1!LS57:LS63)</f>
        <v>0</v>
      </c>
      <c r="LT19" s="148">
        <f>SUM(data_1!LT57:LT63)</f>
        <v>0</v>
      </c>
      <c r="LU19" s="148">
        <f>SUM(data_1!LU57:LU63)</f>
        <v>97641166.409999996</v>
      </c>
      <c r="LV19" s="148">
        <f>SUM(data_1!LV57:LV63)</f>
        <v>37842000</v>
      </c>
      <c r="LW19" s="148">
        <f>SUM(data_1!LW57:LW63)</f>
        <v>59799166.409999996</v>
      </c>
      <c r="LX19" s="148">
        <f>SUM(data_1!LX57:LX63)</f>
        <v>36966501.399999999</v>
      </c>
      <c r="LY19" s="148">
        <f>SUM(data_1!LY57:LY63)</f>
        <v>22767360</v>
      </c>
      <c r="LZ19" s="148">
        <f>SUM(data_1!LZ57:LZ63)</f>
        <v>0</v>
      </c>
      <c r="MA19" s="148">
        <f>SUM(data_1!MA57:MA63)</f>
        <v>95152177.639999986</v>
      </c>
      <c r="MB19" s="148">
        <f>SUM(data_1!MB57:MB63)</f>
        <v>36966501.399999999</v>
      </c>
      <c r="MC19" s="148">
        <f>SUM(data_1!MC57:MC63)</f>
        <v>0</v>
      </c>
      <c r="MD19" s="148">
        <f>SUM(data_1!MD57:MD63)</f>
        <v>58185676.239999995</v>
      </c>
      <c r="ME19" s="148">
        <f>SUM(data_1!ME57:ME63)</f>
        <v>215.43615999999997</v>
      </c>
      <c r="MF19" s="148">
        <f>SUM(data_1!MF57:MF63)</f>
        <v>22767360</v>
      </c>
      <c r="MG19" s="148">
        <f>SUM(data_1!MG57:MG63)</f>
        <v>0</v>
      </c>
      <c r="MH19" s="148">
        <f>SUM(data_1!MH57:MH63)</f>
        <v>36966501.399999999</v>
      </c>
      <c r="MI19" s="148">
        <f>SUM(data_1!MI57:MI63)</f>
        <v>0</v>
      </c>
      <c r="MJ19" s="148">
        <f>SUM(data_1!MJ57:MJ63)</f>
        <v>37842000</v>
      </c>
      <c r="MK19" s="148">
        <f>SUM(data_1!MK57:MK63)</f>
        <v>37842000</v>
      </c>
      <c r="ML19" s="148">
        <f>SUM(data_1!ML57:ML63)</f>
        <v>0</v>
      </c>
      <c r="MM19" s="148">
        <f>SUM(data_1!MM57:MM63)</f>
        <v>0</v>
      </c>
      <c r="MN19" s="148">
        <f>SUM(data_1!MN57:MN63)</f>
        <v>0</v>
      </c>
      <c r="MO19" s="148">
        <f>SUM(data_1!MO57:MO63)</f>
        <v>0</v>
      </c>
      <c r="MP19" s="148">
        <f>SUM(data_1!MP57:MP63)</f>
        <v>0</v>
      </c>
      <c r="MQ19" s="148">
        <f>SUM(data_1!MQ57:MQ63)</f>
        <v>0</v>
      </c>
      <c r="MR19" s="148">
        <f>SUM(data_1!MR57:MR63)</f>
        <v>0</v>
      </c>
      <c r="MS19" s="148">
        <f>SUM(data_1!MS57:MS63)</f>
        <v>0</v>
      </c>
      <c r="MT19" s="148">
        <f>SUM(data_1!MT57:MT63)</f>
        <v>0</v>
      </c>
      <c r="MU19" s="148">
        <f>SUM(data_1!MU57:MU63)</f>
        <v>0</v>
      </c>
      <c r="MV19" s="148">
        <f>SUM(data_1!MV57:MV63)</f>
        <v>0</v>
      </c>
      <c r="MW19" s="148">
        <f>SUM(data_1!MW57:MW63)</f>
        <v>0</v>
      </c>
      <c r="MX19" s="148">
        <f>SUM(data_1!MX57:MX63)</f>
        <v>0</v>
      </c>
      <c r="MY19" s="148">
        <f>SUM(data_1!MY57:MY63)</f>
        <v>0</v>
      </c>
      <c r="MZ19" s="148">
        <f>SUM(data_1!MZ57:MZ63)</f>
        <v>0</v>
      </c>
      <c r="NA19" s="148">
        <f>SUM(data_1!NA57:NA63)</f>
        <v>0</v>
      </c>
      <c r="NB19" s="148">
        <f>SUM(data_1!NB57:NB63)</f>
        <v>0</v>
      </c>
      <c r="NC19" s="148">
        <f>SUM(data_1!NC57:NC63)</f>
        <v>0</v>
      </c>
      <c r="ND19" s="148">
        <f>SUM(data_1!ND57:ND63)</f>
        <v>0</v>
      </c>
      <c r="NE19" s="148">
        <f>SUM(data_1!NE57:NE63)</f>
        <v>60589300</v>
      </c>
      <c r="NF19" s="148">
        <f>SUM(data_1!NF57:NF63)</f>
        <v>50544600</v>
      </c>
      <c r="NG19" s="148">
        <f>SUM(data_1!NG57:NG63)</f>
        <v>10044700</v>
      </c>
      <c r="NH19" s="148">
        <f>SUM(data_1!NH57:NH63)</f>
        <v>50544600</v>
      </c>
      <c r="NI19" s="148">
        <f>SUM(data_1!NI57:NI63)</f>
        <v>10391920</v>
      </c>
      <c r="NJ19" s="148">
        <f>SUM(data_1!NJ57:NJ63)</f>
        <v>0</v>
      </c>
      <c r="NK19" s="148">
        <f>SUM(data_1!NK57:NK63)</f>
        <v>60589300</v>
      </c>
      <c r="NL19" s="148">
        <f>SUM(data_1!NL57:NL63)</f>
        <v>50544600</v>
      </c>
      <c r="NM19" s="148">
        <f>SUM(data_1!NM57:NM63)</f>
        <v>0</v>
      </c>
      <c r="NN19" s="148">
        <f>SUM(data_1!NN57:NN63)</f>
        <v>10044700</v>
      </c>
      <c r="NO19" s="148">
        <f>SUM(data_1!NO57:NO63)</f>
        <v>16.578340000000001</v>
      </c>
      <c r="NP19" s="148">
        <f>SUM(data_1!NP57:NP63)</f>
        <v>10391920</v>
      </c>
      <c r="NQ19" s="148">
        <f>SUM(data_1!NQ57:NQ63)</f>
        <v>0</v>
      </c>
      <c r="NR19" s="148">
        <f>SUM(data_1!NR57:NR63)</f>
        <v>50544600</v>
      </c>
      <c r="NS19" s="148">
        <f>SUM(data_1!NS57:NS63)</f>
        <v>0</v>
      </c>
      <c r="NT19" s="148">
        <f>SUM(data_1!NT57:NT63)</f>
        <v>50544600</v>
      </c>
      <c r="NU19" s="148">
        <f>SUM(data_1!NU57:NU63)</f>
        <v>50544600</v>
      </c>
      <c r="NV19" s="148">
        <f>SUM(data_1!NV57:NV63)</f>
        <v>0</v>
      </c>
      <c r="NW19" s="148">
        <f>SUM(data_1!NW57:NW63)</f>
        <v>0</v>
      </c>
      <c r="NX19" s="148">
        <f>SUM(data_1!NX57:NX63)</f>
        <v>0</v>
      </c>
      <c r="NY19" s="148">
        <f>SUM(data_1!NY57:NY63)</f>
        <v>0</v>
      </c>
      <c r="NZ19" s="148">
        <f>SUM(data_1!NZ57:NZ63)</f>
        <v>0</v>
      </c>
      <c r="OA19" s="148">
        <f>SUM(data_1!OA57:OA63)</f>
        <v>0</v>
      </c>
      <c r="OB19" s="148">
        <f>SUM(data_1!OB57:OB63)</f>
        <v>0</v>
      </c>
      <c r="OC19" s="148">
        <f>SUM(data_1!OC57:OC63)</f>
        <v>0</v>
      </c>
      <c r="OD19" s="148">
        <f>SUM(data_1!OD57:OD63)</f>
        <v>0</v>
      </c>
      <c r="OE19" s="148">
        <f>SUM(data_1!OE57:OE63)</f>
        <v>0</v>
      </c>
      <c r="OF19" s="148">
        <f>SUM(data_1!OF57:OF63)</f>
        <v>0</v>
      </c>
      <c r="OG19" s="148">
        <f>SUM(data_1!OG57:OG63)</f>
        <v>0</v>
      </c>
      <c r="OH19" s="148">
        <f>SUM(data_1!OH57:OH63)</f>
        <v>0</v>
      </c>
      <c r="OI19" s="148">
        <f>SUM(data_1!OI57:OI63)</f>
        <v>0</v>
      </c>
      <c r="OJ19" s="148">
        <f>SUM(data_1!OJ57:OJ63)</f>
        <v>0</v>
      </c>
      <c r="OK19" s="148">
        <f>SUM(data_1!OK57:OK63)</f>
        <v>0</v>
      </c>
      <c r="OL19" s="148">
        <f>SUM(data_1!OL57:OL63)</f>
        <v>0</v>
      </c>
      <c r="OM19" s="148">
        <f>SUM(data_1!OM57:OM63)</f>
        <v>0</v>
      </c>
      <c r="ON19" s="148">
        <f>SUM(data_1!ON57:ON63)</f>
        <v>0</v>
      </c>
      <c r="OO19" s="148">
        <f>SUM(data_1!OO57:OO63)</f>
        <v>1406160.79</v>
      </c>
      <c r="OP19" s="148">
        <f>SUM(data_1!OP57:OP63)</f>
        <v>1077200</v>
      </c>
      <c r="OQ19" s="148">
        <f>SUM(data_1!OQ57:OQ63)</f>
        <v>328960.79000000004</v>
      </c>
      <c r="OR19" s="148">
        <f>SUM(data_1!OR57:OR63)</f>
        <v>1077200</v>
      </c>
      <c r="OS19" s="148">
        <f>SUM(data_1!OS57:OS63)</f>
        <v>0</v>
      </c>
      <c r="OT19" s="148">
        <f>SUM(data_1!OT57:OT63)</f>
        <v>0</v>
      </c>
      <c r="OU19" s="148">
        <f>SUM(data_1!OU57:OU63)</f>
        <v>1406160.79</v>
      </c>
      <c r="OV19" s="148">
        <f>SUM(data_1!OV57:OV63)</f>
        <v>1077200</v>
      </c>
      <c r="OW19" s="148">
        <f>SUM(data_1!OW57:OW63)</f>
        <v>0</v>
      </c>
      <c r="OX19" s="148">
        <f>SUM(data_1!OX57:OX63)</f>
        <v>328960.79000000004</v>
      </c>
      <c r="OY19" s="148">
        <f>SUM(data_1!OY57:OY63)</f>
        <v>47.507220000000004</v>
      </c>
      <c r="OZ19" s="148">
        <f>SUM(data_1!OZ57:OZ63)</f>
        <v>0</v>
      </c>
      <c r="PA19" s="148">
        <f>SUM(data_1!PA57:PA63)</f>
        <v>0</v>
      </c>
      <c r="PB19" s="148">
        <f>SUM(data_1!PB57:PB63)</f>
        <v>1077200</v>
      </c>
      <c r="PC19" s="148">
        <f>SUM(data_1!PC57:PC63)</f>
        <v>0</v>
      </c>
      <c r="PD19" s="148">
        <f>SUM(data_1!PD57:PD63)</f>
        <v>1077200</v>
      </c>
      <c r="PE19" s="148">
        <f>SUM(data_1!PE57:PE63)</f>
        <v>1077200</v>
      </c>
      <c r="PF19" s="148">
        <f>SUM(data_1!PF57:PF63)</f>
        <v>0</v>
      </c>
      <c r="PG19" s="148">
        <f>SUM(data_1!PG57:PG63)</f>
        <v>0</v>
      </c>
      <c r="PH19" s="148">
        <f>SUM(data_1!PH57:PH63)</f>
        <v>0</v>
      </c>
      <c r="PI19" s="148">
        <f>SUM(data_1!PI57:PI63)</f>
        <v>0</v>
      </c>
      <c r="PJ19" s="148">
        <f>SUM(data_1!PJ57:PJ63)</f>
        <v>0</v>
      </c>
      <c r="PK19" s="148">
        <f>SUM(data_1!PK57:PK63)</f>
        <v>0</v>
      </c>
      <c r="PL19" s="148">
        <f>SUM(data_1!PL57:PL63)</f>
        <v>0</v>
      </c>
      <c r="PM19" s="148">
        <f>SUM(data_1!PM57:PM63)</f>
        <v>0</v>
      </c>
      <c r="PN19" s="148">
        <f>SUM(data_1!PN57:PN63)</f>
        <v>0</v>
      </c>
      <c r="PO19" s="148">
        <f>SUM(data_1!PO57:PO63)</f>
        <v>0</v>
      </c>
      <c r="PP19" s="148">
        <f>SUM(data_1!PP57:PP63)</f>
        <v>0</v>
      </c>
      <c r="PQ19" s="148">
        <f>SUM(data_1!PQ57:PQ63)</f>
        <v>0</v>
      </c>
      <c r="PR19" s="148">
        <f>SUM(data_1!PR57:PR63)</f>
        <v>0</v>
      </c>
      <c r="PS19" s="148">
        <f>SUM(data_1!PS57:PS63)</f>
        <v>0</v>
      </c>
      <c r="PT19" s="148">
        <f>SUM(data_1!PT57:PT63)</f>
        <v>0</v>
      </c>
      <c r="PU19" s="148">
        <f>SUM(data_1!PU57:PU63)</f>
        <v>0</v>
      </c>
      <c r="PV19" s="148">
        <f>SUM(data_1!PV57:PV63)</f>
        <v>0</v>
      </c>
      <c r="PW19" s="148">
        <f>SUM(data_1!PW57:PW63)</f>
        <v>0</v>
      </c>
      <c r="PX19" s="148">
        <f>SUM(data_1!PX57:PX63)</f>
        <v>0</v>
      </c>
      <c r="PY19" s="148">
        <f>SUM(data_1!PY57:PY63)</f>
        <v>0</v>
      </c>
      <c r="PZ19" s="148">
        <f>SUM(data_1!PZ57:PZ63)</f>
        <v>0</v>
      </c>
      <c r="QA19" s="148">
        <f>SUM(data_1!QA57:QA63)</f>
        <v>0</v>
      </c>
      <c r="QB19" s="148">
        <f>SUM(data_1!QB57:QB63)</f>
        <v>0</v>
      </c>
      <c r="QC19" s="148">
        <f>SUM(data_1!QC57:QC63)</f>
        <v>51887459.529999994</v>
      </c>
      <c r="QD19" s="148">
        <f>SUM(data_1!QD57:QD63)</f>
        <v>0</v>
      </c>
      <c r="QE19" s="148">
        <f>SUM(data_1!QE57:QE63)</f>
        <v>0</v>
      </c>
      <c r="QF19" s="148">
        <f>SUM(data_1!QF57:QF63)</f>
        <v>0</v>
      </c>
      <c r="QG19" s="148">
        <f>SUM(data_1!QG57:QG63)</f>
        <v>0</v>
      </c>
      <c r="QH19" s="148">
        <f>SUM(data_1!QH57:QH63)</f>
        <v>0</v>
      </c>
      <c r="QI19" s="148">
        <f>SUM(data_1!QI57:QI63)</f>
        <v>0</v>
      </c>
      <c r="QJ19" s="148">
        <f>SUM(data_1!QJ57:QJ63)</f>
        <v>51887459.529999994</v>
      </c>
      <c r="QK19" s="148">
        <f>SUM(data_1!QK57:QK63)</f>
        <v>0</v>
      </c>
      <c r="QL19" s="148">
        <f>SUM(data_1!QL57:QL63)</f>
        <v>0</v>
      </c>
      <c r="QM19" s="148">
        <f>SUM(data_1!QM57:QM63)</f>
        <v>0</v>
      </c>
      <c r="QN19" s="148">
        <f>SUM(data_1!QN57:QN63)</f>
        <v>0</v>
      </c>
      <c r="QO19" s="148">
        <f>SUM(data_1!QO57:QO63)</f>
        <v>0</v>
      </c>
    </row>
    <row r="20" spans="1:457" x14ac:dyDescent="0.25">
      <c r="A20" s="133" t="s">
        <v>126</v>
      </c>
      <c r="B20" s="136" t="s">
        <v>127</v>
      </c>
      <c r="C20" s="137" t="s">
        <v>128</v>
      </c>
      <c r="F20" s="148">
        <f>SUM(data_1!F65:F78)</f>
        <v>29604813300</v>
      </c>
      <c r="G20" s="148">
        <f>SUM(data_1!G65:G78)</f>
        <v>0</v>
      </c>
      <c r="H20" s="148">
        <f>SUM(data_1!H65:H78)</f>
        <v>0</v>
      </c>
      <c r="I20" s="148">
        <f>SUM(data_1!I65:I78)</f>
        <v>11196326947.540001</v>
      </c>
      <c r="J20" s="148">
        <f>SUM(data_1!J65:J78)</f>
        <v>10308952600</v>
      </c>
      <c r="K20" s="148">
        <f>SUM(data_1!K65:K78)</f>
        <v>887374347.54000008</v>
      </c>
      <c r="L20" s="148">
        <f>SUM(data_1!L65:L78)</f>
        <v>10244552366</v>
      </c>
      <c r="M20" s="148">
        <f>SUM(data_1!M65:M78)</f>
        <v>308856025.01999998</v>
      </c>
      <c r="N20" s="148">
        <f>SUM(data_1!N65:N78)</f>
        <v>0</v>
      </c>
      <c r="O20" s="148">
        <f>SUM(data_1!O65:O78)</f>
        <v>11124161322.099998</v>
      </c>
      <c r="P20" s="148">
        <f>SUM(data_1!P65:P78)</f>
        <v>10244552363.789999</v>
      </c>
      <c r="Q20" s="148">
        <f>SUM(data_1!Q65:Q78)</f>
        <v>0</v>
      </c>
      <c r="R20" s="148">
        <f>SUM(data_1!R65:R78)</f>
        <v>879608958.31000006</v>
      </c>
      <c r="S20" s="148">
        <f>SUM(data_1!S65:S78)</f>
        <v>132.36017000000001</v>
      </c>
      <c r="T20" s="148">
        <f>SUM(data_1!T65:T78)</f>
        <v>308856025.01999998</v>
      </c>
      <c r="U20" s="148">
        <f>SUM(data_1!U65:U78)</f>
        <v>2.21</v>
      </c>
      <c r="V20" s="148">
        <f>SUM(data_1!V65:V78)</f>
        <v>10244552363.789999</v>
      </c>
      <c r="W20" s="148">
        <f>SUM(data_1!W65:W78)</f>
        <v>0</v>
      </c>
      <c r="X20" s="148">
        <f>SUM(data_1!X65:X78)</f>
        <v>10308952600</v>
      </c>
      <c r="Y20" s="148">
        <f>SUM(data_1!Y65:Y78)</f>
        <v>10308952600</v>
      </c>
      <c r="Z20" s="213">
        <f>SUM(data_1!Z65:Z78)</f>
        <v>0</v>
      </c>
      <c r="AA20" s="213">
        <f>SUM(data_1!AA65:AA78)</f>
        <v>221206210.61000001</v>
      </c>
      <c r="AB20" s="213">
        <f>SUM(data_1!AB65:AB78)</f>
        <v>210145900</v>
      </c>
      <c r="AC20" s="213">
        <f>SUM(data_1!AC65:AC78)</f>
        <v>11060310.609999999</v>
      </c>
      <c r="AD20" s="213">
        <f>SUM(data_1!AD65:AD78)</f>
        <v>210145900</v>
      </c>
      <c r="AE20" s="213">
        <f>SUM(data_1!AE65:AE78)</f>
        <v>0</v>
      </c>
      <c r="AF20" s="213">
        <f>SUM(data_1!AF65:AF78)</f>
        <v>0</v>
      </c>
      <c r="AG20" s="213">
        <f>SUM(data_1!AG65:AG78)</f>
        <v>178477894.83999997</v>
      </c>
      <c r="AH20" s="213">
        <f>SUM(data_1!AH65:AH78)</f>
        <v>169554000.01999998</v>
      </c>
      <c r="AI20" s="213">
        <f>SUM(data_1!AI65:AI78)</f>
        <v>0</v>
      </c>
      <c r="AJ20" s="213">
        <f>SUM(data_1!AJ65:AJ78)</f>
        <v>8923894.8200000003</v>
      </c>
      <c r="AK20" s="213">
        <f>SUM(data_1!AK65:AK78)</f>
        <v>20</v>
      </c>
      <c r="AL20" s="213">
        <f>SUM(data_1!AL65:AL78)</f>
        <v>0</v>
      </c>
      <c r="AM20" s="213">
        <f>SUM(data_1!AM65:AM78)</f>
        <v>40591899.979999997</v>
      </c>
      <c r="AN20" s="213">
        <f>SUM(data_1!AN65:AN78)</f>
        <v>169554000.01999998</v>
      </c>
      <c r="AO20" s="213">
        <f>SUM(data_1!AO65:AO78)</f>
        <v>0</v>
      </c>
      <c r="AP20" s="213">
        <f>SUM(data_1!AP65:AP78)</f>
        <v>210145900</v>
      </c>
      <c r="AQ20" s="213">
        <f>SUM(data_1!AQ65:AQ78)</f>
        <v>210145900</v>
      </c>
      <c r="AR20" s="148">
        <f>SUM(data_1!AR65:AR78)</f>
        <v>0</v>
      </c>
      <c r="AS20" s="148">
        <f>SUM(data_1!AS65:AS78)</f>
        <v>3766161679.5100002</v>
      </c>
      <c r="AT20" s="148">
        <f>SUM(data_1!AT65:AT78)</f>
        <v>2589571100</v>
      </c>
      <c r="AU20" s="148">
        <f>SUM(data_1!AU65:AU78)</f>
        <v>1176590579.51</v>
      </c>
      <c r="AV20" s="148">
        <f>SUM(data_1!AV65:AV78)</f>
        <v>2589570836.9499998</v>
      </c>
      <c r="AW20" s="148">
        <f>SUM(data_1!AW65:AW78)</f>
        <v>0</v>
      </c>
      <c r="AX20" s="148">
        <f>SUM(data_1!AX65:AX78)</f>
        <v>0</v>
      </c>
      <c r="AY20" s="148">
        <f>SUM(data_1!AY65:AY78)</f>
        <v>3766121654.23</v>
      </c>
      <c r="AZ20" s="148">
        <f>SUM(data_1!AZ65:AZ78)</f>
        <v>2589570143.6700001</v>
      </c>
      <c r="BA20" s="148">
        <f>SUM(data_1!BA65:BA78)</f>
        <v>0</v>
      </c>
      <c r="BB20" s="148">
        <f>SUM(data_1!BB65:BB78)</f>
        <v>1176551510.5599999</v>
      </c>
      <c r="BC20" s="148">
        <f>SUM(data_1!BC65:BC78)</f>
        <v>326.17482999999993</v>
      </c>
      <c r="BD20" s="148">
        <f>SUM(data_1!BD65:BD78)</f>
        <v>0</v>
      </c>
      <c r="BE20" s="148">
        <f>SUM(data_1!BE65:BE78)</f>
        <v>693.28</v>
      </c>
      <c r="BF20" s="148">
        <f>SUM(data_1!BF65:BF78)</f>
        <v>2589570143.6700001</v>
      </c>
      <c r="BG20" s="148">
        <f>SUM(data_1!BG65:BG78)</f>
        <v>0</v>
      </c>
      <c r="BH20" s="148">
        <f>SUM(data_1!BH65:BH78)</f>
        <v>2589571100</v>
      </c>
      <c r="BI20" s="148">
        <f>SUM(data_1!BI65:BI78)</f>
        <v>2589571100</v>
      </c>
      <c r="BJ20" s="213">
        <f>SUM(data_1!BJ65:BJ78)</f>
        <v>0</v>
      </c>
      <c r="BK20" s="213">
        <f>SUM(data_1!BK65:BK78)</f>
        <v>0</v>
      </c>
      <c r="BL20" s="213">
        <f>SUM(data_1!BL65:BL78)</f>
        <v>0</v>
      </c>
      <c r="BM20" s="213">
        <f>SUM(data_1!BM65:BM78)</f>
        <v>0</v>
      </c>
      <c r="BN20" s="213">
        <f>SUM(data_1!BN65:BN78)</f>
        <v>0</v>
      </c>
      <c r="BO20" s="213">
        <f>SUM(data_1!BO65:BO78)</f>
        <v>0</v>
      </c>
      <c r="BP20" s="213">
        <f>SUM(data_1!BP65:BP78)</f>
        <v>0</v>
      </c>
      <c r="BQ20" s="213">
        <f>SUM(data_1!BQ65:BQ78)</f>
        <v>0</v>
      </c>
      <c r="BR20" s="213">
        <f>SUM(data_1!BR65:BR78)</f>
        <v>0</v>
      </c>
      <c r="BS20" s="213">
        <f>SUM(data_1!BS65:BS78)</f>
        <v>0</v>
      </c>
      <c r="BT20" s="213">
        <f>SUM(data_1!BT65:BT78)</f>
        <v>0</v>
      </c>
      <c r="BU20" s="213">
        <f>SUM(data_1!BU65:BU78)</f>
        <v>0</v>
      </c>
      <c r="BV20" s="213">
        <f>SUM(data_1!BV65:BV78)</f>
        <v>0</v>
      </c>
      <c r="BW20" s="213">
        <f>SUM(data_1!BW65:BW78)</f>
        <v>0</v>
      </c>
      <c r="BX20" s="213">
        <f>SUM(data_1!BX65:BX78)</f>
        <v>0</v>
      </c>
      <c r="BY20" s="213">
        <f>SUM(data_1!BY65:BY78)</f>
        <v>0</v>
      </c>
      <c r="BZ20" s="213">
        <f>SUM(data_1!BZ65:BZ78)</f>
        <v>0</v>
      </c>
      <c r="CA20" s="213">
        <f>SUM(data_1!CA65:CA78)</f>
        <v>0</v>
      </c>
      <c r="CB20" s="148">
        <f>SUM(data_1!CB65:CB78)</f>
        <v>0</v>
      </c>
      <c r="CC20" s="148">
        <f>SUM(data_1!CC65:CC78)</f>
        <v>5089577043.6999998</v>
      </c>
      <c r="CD20" s="148">
        <f>SUM(data_1!CD65:CD78)</f>
        <v>3929863600</v>
      </c>
      <c r="CE20" s="148">
        <f>SUM(data_1!CE65:CE78)</f>
        <v>1159713443.7</v>
      </c>
      <c r="CF20" s="148">
        <f>SUM(data_1!CF65:CF78)</f>
        <v>3922349459.1500001</v>
      </c>
      <c r="CG20" s="148">
        <f>SUM(data_1!CG65:CG78)</f>
        <v>1000743</v>
      </c>
      <c r="CH20" s="148">
        <f>SUM(data_1!CH65:CH78)</f>
        <v>0</v>
      </c>
      <c r="CI20" s="148">
        <f>SUM(data_1!CI65:CI78)</f>
        <v>5079391618.6500006</v>
      </c>
      <c r="CJ20" s="148">
        <f>SUM(data_1!CJ65:CJ78)</f>
        <v>3922349459.1500001</v>
      </c>
      <c r="CK20" s="148">
        <f>SUM(data_1!CK65:CK78)</f>
        <v>0</v>
      </c>
      <c r="CL20" s="148">
        <f>SUM(data_1!CL65:CL78)</f>
        <v>1157042159.5</v>
      </c>
      <c r="CM20" s="148">
        <f>SUM(data_1!CM65:CM78)</f>
        <v>253.83942999999999</v>
      </c>
      <c r="CN20" s="148">
        <f>SUM(data_1!CN65:CN78)</f>
        <v>1000743</v>
      </c>
      <c r="CO20" s="148">
        <f>SUM(data_1!CO65:CO78)</f>
        <v>0</v>
      </c>
      <c r="CP20" s="148">
        <f>SUM(data_1!CP65:CP78)</f>
        <v>3922349459.1500001</v>
      </c>
      <c r="CQ20" s="148">
        <f>SUM(data_1!CQ65:CQ78)</f>
        <v>0</v>
      </c>
      <c r="CR20" s="148">
        <f>SUM(data_1!CR65:CR78)</f>
        <v>3929863600</v>
      </c>
      <c r="CS20" s="148">
        <f>SUM(data_1!CS65:CS78)</f>
        <v>3929863600</v>
      </c>
      <c r="CT20" s="148">
        <f>SUM(data_1!CT65:CT78)</f>
        <v>0</v>
      </c>
      <c r="CU20" s="148">
        <f>SUM(data_1!CU65:CU78)</f>
        <v>9121134033.6100006</v>
      </c>
      <c r="CV20" s="148">
        <f>SUM(data_1!CV65:CV78)</f>
        <v>8345055700</v>
      </c>
      <c r="CW20" s="148">
        <f>SUM(data_1!CW65:CW78)</f>
        <v>776078333.6099999</v>
      </c>
      <c r="CX20" s="148">
        <f>SUM(data_1!CX65:CX78)</f>
        <v>8311495355.829999</v>
      </c>
      <c r="CY20" s="148">
        <f>SUM(data_1!CY65:CY78)</f>
        <v>6085417.0599999996</v>
      </c>
      <c r="CZ20" s="148">
        <f>SUM(data_1!CZ65:CZ78)</f>
        <v>0</v>
      </c>
      <c r="DA20" s="148">
        <f>SUM(data_1!DA65:DA78)</f>
        <v>9083637137.5900002</v>
      </c>
      <c r="DB20" s="148">
        <f>SUM(data_1!DB65:DB78)</f>
        <v>8310454267.6099997</v>
      </c>
      <c r="DC20" s="148">
        <f>SUM(data_1!DC65:DC78)</f>
        <v>0</v>
      </c>
      <c r="DD20" s="148">
        <f>SUM(data_1!DD65:DD78)</f>
        <v>773182869.97999978</v>
      </c>
      <c r="DE20" s="148">
        <f>SUM(data_1!DE65:DE78)</f>
        <v>107.12569999999999</v>
      </c>
      <c r="DF20" s="148">
        <f>SUM(data_1!DF65:DF78)</f>
        <v>6085417.0599999996</v>
      </c>
      <c r="DG20" s="148">
        <f>SUM(data_1!DG65:DG78)</f>
        <v>1041088.22</v>
      </c>
      <c r="DH20" s="148">
        <f>SUM(data_1!DH65:DH78)</f>
        <v>8310454267.6099997</v>
      </c>
      <c r="DI20" s="148">
        <f>SUM(data_1!DI65:DI78)</f>
        <v>0</v>
      </c>
      <c r="DJ20" s="148">
        <f>SUM(data_1!DJ65:DJ78)</f>
        <v>8345055700</v>
      </c>
      <c r="DK20" s="148">
        <f>SUM(data_1!DK65:DK78)</f>
        <v>8345055700</v>
      </c>
      <c r="DL20" s="213">
        <f>SUM(data_1!DL65:DL78)</f>
        <v>0</v>
      </c>
      <c r="DM20" s="213">
        <f>SUM(data_1!DM65:DM78)</f>
        <v>0</v>
      </c>
      <c r="DN20" s="213">
        <f>SUM(data_1!DN65:DN78)</f>
        <v>0</v>
      </c>
      <c r="DO20" s="213">
        <f>SUM(data_1!DO65:DO78)</f>
        <v>0</v>
      </c>
      <c r="DP20" s="213">
        <f>SUM(data_1!DP65:DP78)</f>
        <v>0</v>
      </c>
      <c r="DQ20" s="213">
        <f>SUM(data_1!DQ65:DQ78)</f>
        <v>0</v>
      </c>
      <c r="DR20" s="213">
        <f>SUM(data_1!DR65:DR78)</f>
        <v>0</v>
      </c>
      <c r="DS20" s="213">
        <f>SUM(data_1!DS65:DS78)</f>
        <v>0</v>
      </c>
      <c r="DT20" s="213">
        <f>SUM(data_1!DT65:DT78)</f>
        <v>0</v>
      </c>
      <c r="DU20" s="213">
        <f>SUM(data_1!DU65:DU78)</f>
        <v>0</v>
      </c>
      <c r="DV20" s="213">
        <f>SUM(data_1!DV65:DV78)</f>
        <v>0</v>
      </c>
      <c r="DW20" s="213">
        <f>SUM(data_1!DW65:DW78)</f>
        <v>0</v>
      </c>
      <c r="DX20" s="213">
        <f>SUM(data_1!DX65:DX78)</f>
        <v>0</v>
      </c>
      <c r="DY20" s="213">
        <f>SUM(data_1!DY65:DY78)</f>
        <v>0</v>
      </c>
      <c r="DZ20" s="213">
        <f>SUM(data_1!DZ65:DZ78)</f>
        <v>0</v>
      </c>
      <c r="EA20" s="213">
        <f>SUM(data_1!EA65:EA78)</f>
        <v>0</v>
      </c>
      <c r="EB20" s="213">
        <f>SUM(data_1!EB65:EB78)</f>
        <v>0</v>
      </c>
      <c r="EC20" s="213">
        <f>SUM(data_1!EC65:EC78)</f>
        <v>0</v>
      </c>
      <c r="ED20" s="148">
        <f>SUM(data_1!ED65:ED78)</f>
        <v>0</v>
      </c>
      <c r="EE20" s="148">
        <f>SUM(data_1!EE65:EE78)</f>
        <v>1368218765.6399999</v>
      </c>
      <c r="EF20" s="148">
        <f>SUM(data_1!EF65:EF78)</f>
        <v>1301098600</v>
      </c>
      <c r="EG20" s="148">
        <f>SUM(data_1!EG65:EG78)</f>
        <v>67120165.639999986</v>
      </c>
      <c r="EH20" s="148">
        <f>SUM(data_1!EH65:EH78)</f>
        <v>1282867873.7699997</v>
      </c>
      <c r="EI20" s="148">
        <f>SUM(data_1!EI65:EI78)</f>
        <v>0</v>
      </c>
      <c r="EJ20" s="148">
        <f>SUM(data_1!EJ65:EJ78)</f>
        <v>0</v>
      </c>
      <c r="EK20" s="148">
        <f>SUM(data_1!EK65:EK78)</f>
        <v>1349028571.96</v>
      </c>
      <c r="EL20" s="148">
        <f>SUM(data_1!EL65:EL78)</f>
        <v>1282867873.7699997</v>
      </c>
      <c r="EM20" s="148">
        <f>SUM(data_1!EM65:EM78)</f>
        <v>0</v>
      </c>
      <c r="EN20" s="148">
        <f>SUM(data_1!EN65:EN78)</f>
        <v>66160698.190000005</v>
      </c>
      <c r="EO20" s="148">
        <f>SUM(data_1!EO65:EO78)</f>
        <v>35.886060000000001</v>
      </c>
      <c r="EP20" s="148">
        <f>SUM(data_1!EP65:EP78)</f>
        <v>0</v>
      </c>
      <c r="EQ20" s="148">
        <f>SUM(data_1!EQ65:EQ78)</f>
        <v>0</v>
      </c>
      <c r="ER20" s="148">
        <f>SUM(data_1!ER65:ER78)</f>
        <v>1282867873.7699997</v>
      </c>
      <c r="ES20" s="148">
        <f>SUM(data_1!ES65:ES78)</f>
        <v>0</v>
      </c>
      <c r="ET20" s="148">
        <f>SUM(data_1!ET65:ET78)</f>
        <v>1301098600</v>
      </c>
      <c r="EU20" s="148">
        <f>SUM(data_1!EU65:EU78)</f>
        <v>1301098600</v>
      </c>
      <c r="EV20" s="213">
        <f>SUM(data_1!EV65:EV78)</f>
        <v>0</v>
      </c>
      <c r="EW20" s="213">
        <f>SUM(data_1!EW65:EW78)</f>
        <v>1263158</v>
      </c>
      <c r="EX20" s="213">
        <f>SUM(data_1!EX65:EX78)</f>
        <v>1200000</v>
      </c>
      <c r="EY20" s="213">
        <f>SUM(data_1!EY65:EY78)</f>
        <v>63158</v>
      </c>
      <c r="EZ20" s="213">
        <f>SUM(data_1!EZ65:EZ78)</f>
        <v>1200000</v>
      </c>
      <c r="FA20" s="213">
        <f>SUM(data_1!FA65:FA78)</f>
        <v>0</v>
      </c>
      <c r="FB20" s="213">
        <f>SUM(data_1!FB65:FB78)</f>
        <v>0</v>
      </c>
      <c r="FC20" s="213">
        <f>SUM(data_1!FC65:FC78)</f>
        <v>1263158</v>
      </c>
      <c r="FD20" s="213">
        <f>SUM(data_1!FD65:FD78)</f>
        <v>1200000</v>
      </c>
      <c r="FE20" s="213">
        <f>SUM(data_1!FE65:FE78)</f>
        <v>0</v>
      </c>
      <c r="FF20" s="213">
        <f>SUM(data_1!FF65:FF78)</f>
        <v>63158</v>
      </c>
      <c r="FG20" s="213">
        <f>SUM(data_1!FG65:FG78)</f>
        <v>5.0000099999999996</v>
      </c>
      <c r="FH20" s="213">
        <f>SUM(data_1!FH65:FH78)</f>
        <v>0</v>
      </c>
      <c r="FI20" s="213">
        <f>SUM(data_1!FI65:FI78)</f>
        <v>0</v>
      </c>
      <c r="FJ20" s="213">
        <f>SUM(data_1!FJ65:FJ78)</f>
        <v>1200000</v>
      </c>
      <c r="FK20" s="213">
        <f>SUM(data_1!FK65:FK78)</f>
        <v>0</v>
      </c>
      <c r="FL20" s="213">
        <f>SUM(data_1!FL65:FL78)</f>
        <v>1200000</v>
      </c>
      <c r="FM20" s="213">
        <f>SUM(data_1!FM65:FM78)</f>
        <v>1200000</v>
      </c>
      <c r="FN20" s="148">
        <f>SUM(data_1!FN65:FN78)</f>
        <v>0</v>
      </c>
      <c r="FO20" s="148">
        <f>SUM(data_1!FO65:FO78)</f>
        <v>1328869591.04</v>
      </c>
      <c r="FP20" s="148">
        <f>SUM(data_1!FP65:FP78)</f>
        <v>1061214900</v>
      </c>
      <c r="FQ20" s="148">
        <f>SUM(data_1!FQ65:FQ78)</f>
        <v>267654691.03999999</v>
      </c>
      <c r="FR20" s="148">
        <f>SUM(data_1!FR65:FR78)</f>
        <v>1057339886.89</v>
      </c>
      <c r="FS20" s="148">
        <f>SUM(data_1!FS65:FS78)</f>
        <v>845768.33</v>
      </c>
      <c r="FT20" s="148">
        <f>SUM(data_1!FT65:FT78)</f>
        <v>0</v>
      </c>
      <c r="FU20" s="148">
        <f>SUM(data_1!FU65:FU78)</f>
        <v>1319179880.76</v>
      </c>
      <c r="FV20" s="148">
        <f>SUM(data_1!FV65:FV78)</f>
        <v>1057339886.89</v>
      </c>
      <c r="FW20" s="148">
        <f>SUM(data_1!FW65:FW78)</f>
        <v>0</v>
      </c>
      <c r="FX20" s="148">
        <f>SUM(data_1!FX65:FX78)</f>
        <v>261839993.86999997</v>
      </c>
      <c r="FY20" s="148">
        <f>SUM(data_1!FY65:FY78)</f>
        <v>342.90020000000004</v>
      </c>
      <c r="FZ20" s="148">
        <f>SUM(data_1!FZ65:FZ78)</f>
        <v>845768.33</v>
      </c>
      <c r="GA20" s="148">
        <f>SUM(data_1!GA65:GA78)</f>
        <v>0</v>
      </c>
      <c r="GB20" s="148">
        <f>SUM(data_1!GB65:GB78)</f>
        <v>1057339886.89</v>
      </c>
      <c r="GC20" s="148">
        <f>SUM(data_1!GC65:GC78)</f>
        <v>0</v>
      </c>
      <c r="GD20" s="148">
        <f>SUM(data_1!GD65:GD78)</f>
        <v>1061214900</v>
      </c>
      <c r="GE20" s="148">
        <f>SUM(data_1!GE65:GE78)</f>
        <v>1061214900</v>
      </c>
      <c r="GF20" s="148">
        <f>SUM(data_1!GF65:GF78)</f>
        <v>0</v>
      </c>
      <c r="GG20" s="148">
        <f>SUM(data_1!GG65:GG78)</f>
        <v>1819483196.5899999</v>
      </c>
      <c r="GH20" s="148">
        <f>SUM(data_1!GH65:GH78)</f>
        <v>1116415200</v>
      </c>
      <c r="GI20" s="148">
        <f>SUM(data_1!GI65:GI78)</f>
        <v>703067996.59000003</v>
      </c>
      <c r="GJ20" s="148">
        <f>SUM(data_1!GJ65:GJ78)</f>
        <v>1115398185.78</v>
      </c>
      <c r="GK20" s="148">
        <f>SUM(data_1!GK65:GK78)</f>
        <v>7517696.6699999999</v>
      </c>
      <c r="GL20" s="148">
        <f>SUM(data_1!GL65:GL78)</f>
        <v>0</v>
      </c>
      <c r="GM20" s="148">
        <f>SUM(data_1!GM65:GM78)</f>
        <v>1817484012.55</v>
      </c>
      <c r="GN20" s="148">
        <f>SUM(data_1!GN65:GN78)</f>
        <v>1115012181.48</v>
      </c>
      <c r="GO20" s="148">
        <f>SUM(data_1!GO65:GO78)</f>
        <v>0</v>
      </c>
      <c r="GP20" s="148">
        <f>SUM(data_1!GP65:GP78)</f>
        <v>702471831.07000005</v>
      </c>
      <c r="GQ20" s="148">
        <f>SUM(data_1!GQ65:GQ78)</f>
        <v>484.02331000000004</v>
      </c>
      <c r="GR20" s="148">
        <f>SUM(data_1!GR65:GR78)</f>
        <v>7516696.6699999999</v>
      </c>
      <c r="GS20" s="148">
        <f>SUM(data_1!GS65:GS78)</f>
        <v>387004.3</v>
      </c>
      <c r="GT20" s="148">
        <f>SUM(data_1!GT65:GT78)</f>
        <v>1115012181.48</v>
      </c>
      <c r="GU20" s="148">
        <f>SUM(data_1!GU65:GU78)</f>
        <v>0</v>
      </c>
      <c r="GV20" s="148">
        <f>SUM(data_1!GV65:GV78)</f>
        <v>1116415200</v>
      </c>
      <c r="GW20" s="148">
        <f>SUM(data_1!GW65:GW78)</f>
        <v>1116415200</v>
      </c>
      <c r="GX20" s="148">
        <f>SUM(data_1!GX65:GX78)</f>
        <v>0</v>
      </c>
      <c r="GY20" s="148">
        <f>SUM(data_1!GY65:GY78)</f>
        <v>0</v>
      </c>
      <c r="GZ20" s="148">
        <f>SUM(data_1!GZ65:GZ78)</f>
        <v>0</v>
      </c>
      <c r="HA20" s="148">
        <f>SUM(data_1!HA65:HA78)</f>
        <v>0</v>
      </c>
      <c r="HB20" s="148">
        <f>SUM(data_1!HB65:HB78)</f>
        <v>0</v>
      </c>
      <c r="HC20" s="148">
        <f>SUM(data_1!HC65:HC78)</f>
        <v>10215852.57</v>
      </c>
      <c r="HD20" s="148">
        <f>SUM(data_1!HD65:HD78)</f>
        <v>0</v>
      </c>
      <c r="HE20" s="148">
        <f>SUM(data_1!HE65:HE78)</f>
        <v>0</v>
      </c>
      <c r="HF20" s="148">
        <f>SUM(data_1!HF65:HF78)</f>
        <v>0</v>
      </c>
      <c r="HG20" s="148">
        <f>SUM(data_1!HG65:HG78)</f>
        <v>0</v>
      </c>
      <c r="HH20" s="148">
        <f>SUM(data_1!HH65:HH78)</f>
        <v>0</v>
      </c>
      <c r="HI20" s="148">
        <f>SUM(data_1!HI65:HI78)</f>
        <v>0</v>
      </c>
      <c r="HJ20" s="148">
        <f>SUM(data_1!HJ65:HJ78)</f>
        <v>9835322.879999999</v>
      </c>
      <c r="HK20" s="148">
        <f>SUM(data_1!HK65:HK78)</f>
        <v>380529.69</v>
      </c>
      <c r="HL20" s="148">
        <f>SUM(data_1!HL65:HL78)</f>
        <v>0</v>
      </c>
      <c r="HM20" s="148">
        <f>SUM(data_1!HM65:HM78)</f>
        <v>0</v>
      </c>
      <c r="HN20" s="148">
        <f>SUM(data_1!HN65:HN78)</f>
        <v>0</v>
      </c>
      <c r="HO20" s="148">
        <f>SUM(data_1!HO65:HO78)</f>
        <v>0</v>
      </c>
      <c r="HP20" s="148">
        <f>SUM(data_1!HP65:HP78)</f>
        <v>0</v>
      </c>
      <c r="HQ20" s="148">
        <f>SUM(data_1!HQ65:HQ78)</f>
        <v>642652527.63999999</v>
      </c>
      <c r="HR20" s="148">
        <f>SUM(data_1!HR65:HR78)</f>
        <v>281198500</v>
      </c>
      <c r="HS20" s="148">
        <f>SUM(data_1!HS65:HS78)</f>
        <v>361454027.63999999</v>
      </c>
      <c r="HT20" s="148">
        <f>SUM(data_1!HT65:HT78)</f>
        <v>278897159.79999995</v>
      </c>
      <c r="HU20" s="148">
        <f>SUM(data_1!HU65:HU78)</f>
        <v>0</v>
      </c>
      <c r="HV20" s="148">
        <f>SUM(data_1!HV65:HV78)</f>
        <v>0</v>
      </c>
      <c r="HW20" s="148">
        <f>SUM(data_1!HW65:HW78)</f>
        <v>620837301.6099999</v>
      </c>
      <c r="HX20" s="148">
        <f>SUM(data_1!HX65:HX78)</f>
        <v>273627784.75999999</v>
      </c>
      <c r="HY20" s="148">
        <f>SUM(data_1!HY65:HY78)</f>
        <v>0</v>
      </c>
      <c r="HZ20" s="148">
        <f>SUM(data_1!HZ65:HZ78)</f>
        <v>347209516.85000002</v>
      </c>
      <c r="IA20" s="148">
        <f>SUM(data_1!IA65:IA78)</f>
        <v>591.3180799999999</v>
      </c>
      <c r="IB20" s="148">
        <f>SUM(data_1!IB65:IB78)</f>
        <v>0</v>
      </c>
      <c r="IC20" s="148">
        <f>SUM(data_1!IC65:IC78)</f>
        <v>5269375.0399999991</v>
      </c>
      <c r="ID20" s="148">
        <f>SUM(data_1!ID65:ID78)</f>
        <v>273627784.75999999</v>
      </c>
      <c r="IE20" s="148">
        <f>SUM(data_1!IE65:IE78)</f>
        <v>0</v>
      </c>
      <c r="IF20" s="148">
        <f>SUM(data_1!IF65:IF78)</f>
        <v>281198500</v>
      </c>
      <c r="IG20" s="148">
        <f>SUM(data_1!IG65:IG78)</f>
        <v>281198500</v>
      </c>
      <c r="IH20" s="148">
        <f>SUM(data_1!IH65:IH78)</f>
        <v>0</v>
      </c>
      <c r="II20" s="148">
        <f>SUM(data_1!II65:II78)</f>
        <v>0</v>
      </c>
      <c r="IJ20" s="148">
        <f>SUM(data_1!IJ65:IJ78)</f>
        <v>0</v>
      </c>
      <c r="IK20" s="148">
        <f>SUM(data_1!IK65:IK78)</f>
        <v>0</v>
      </c>
      <c r="IL20" s="148">
        <f>SUM(data_1!IL65:IL78)</f>
        <v>0</v>
      </c>
      <c r="IM20" s="148">
        <f>SUM(data_1!IM65:IM78)</f>
        <v>413648.83</v>
      </c>
      <c r="IN20" s="148">
        <f>SUM(data_1!IN65:IN78)</f>
        <v>0</v>
      </c>
      <c r="IO20" s="148">
        <f>SUM(data_1!IO65:IO78)</f>
        <v>0</v>
      </c>
      <c r="IP20" s="148">
        <f>SUM(data_1!IP65:IP78)</f>
        <v>0</v>
      </c>
      <c r="IQ20" s="148">
        <f>SUM(data_1!IQ65:IQ78)</f>
        <v>0</v>
      </c>
      <c r="IR20" s="148">
        <f>SUM(data_1!IR65:IR78)</f>
        <v>0</v>
      </c>
      <c r="IS20" s="148">
        <f>SUM(data_1!IS65:IS78)</f>
        <v>0</v>
      </c>
      <c r="IT20" s="148">
        <f>SUM(data_1!IT65:IT78)</f>
        <v>413648.83</v>
      </c>
      <c r="IU20" s="148">
        <f>SUM(data_1!IU65:IU78)</f>
        <v>0</v>
      </c>
      <c r="IV20" s="148">
        <f>SUM(data_1!IV65:IV78)</f>
        <v>0</v>
      </c>
      <c r="IW20" s="148">
        <f>SUM(data_1!IW65:IW78)</f>
        <v>0</v>
      </c>
      <c r="IX20" s="148">
        <f>SUM(data_1!IX65:IX78)</f>
        <v>0</v>
      </c>
      <c r="IY20" s="148">
        <f>SUM(data_1!IY65:IY78)</f>
        <v>0</v>
      </c>
      <c r="IZ20" s="148">
        <f>SUM(data_1!IZ65:IZ78)</f>
        <v>0</v>
      </c>
      <c r="JA20" s="148">
        <f>SUM(data_1!JA65:JA78)</f>
        <v>172207000</v>
      </c>
      <c r="JB20" s="148">
        <f>SUM(data_1!JB65:JB78)</f>
        <v>62949000</v>
      </c>
      <c r="JC20" s="148">
        <f>SUM(data_1!JC65:JC78)</f>
        <v>109258000</v>
      </c>
      <c r="JD20" s="148">
        <f>SUM(data_1!JD65:JD78)</f>
        <v>62865324.990000002</v>
      </c>
      <c r="JE20" s="148">
        <f>SUM(data_1!JE65:JE78)</f>
        <v>0</v>
      </c>
      <c r="JF20" s="148">
        <f>SUM(data_1!JF65:JF78)</f>
        <v>0</v>
      </c>
      <c r="JG20" s="148">
        <f>SUM(data_1!JG65:JG78)</f>
        <v>172083399.94</v>
      </c>
      <c r="JH20" s="148">
        <f>SUM(data_1!JH65:JH78)</f>
        <v>62865324.990000002</v>
      </c>
      <c r="JI20" s="148">
        <f>SUM(data_1!JI65:JI78)</f>
        <v>0</v>
      </c>
      <c r="JJ20" s="148">
        <f>SUM(data_1!JJ65:JJ78)</f>
        <v>109218074.95</v>
      </c>
      <c r="JK20" s="148">
        <f>SUM(data_1!JK65:JK78)</f>
        <v>203.38681000000003</v>
      </c>
      <c r="JL20" s="148">
        <f>SUM(data_1!JL65:JL78)</f>
        <v>0</v>
      </c>
      <c r="JM20" s="148">
        <f>SUM(data_1!JM65:JM78)</f>
        <v>0</v>
      </c>
      <c r="JN20" s="148">
        <f>SUM(data_1!JN65:JN78)</f>
        <v>62865324.990000002</v>
      </c>
      <c r="JO20" s="148">
        <f>SUM(data_1!JO65:JO78)</f>
        <v>0</v>
      </c>
      <c r="JP20" s="148">
        <f>SUM(data_1!JP65:JP78)</f>
        <v>62949000</v>
      </c>
      <c r="JQ20" s="148">
        <f>SUM(data_1!JQ65:JQ78)</f>
        <v>62949000</v>
      </c>
      <c r="JR20" s="148">
        <f>SUM(data_1!JR65:JR78)</f>
        <v>0</v>
      </c>
      <c r="JS20" s="148">
        <f>SUM(data_1!JS65:JS78)</f>
        <v>0</v>
      </c>
      <c r="JT20" s="148">
        <f>SUM(data_1!JT65:JT78)</f>
        <v>0</v>
      </c>
      <c r="JU20" s="148">
        <f>SUM(data_1!JU65:JU78)</f>
        <v>0</v>
      </c>
      <c r="JV20" s="148">
        <f>SUM(data_1!JV65:JV78)</f>
        <v>0</v>
      </c>
      <c r="JW20" s="148">
        <f>SUM(data_1!JW65:JW78)</f>
        <v>0</v>
      </c>
      <c r="JX20" s="148">
        <f>SUM(data_1!JX65:JX78)</f>
        <v>0</v>
      </c>
      <c r="JY20" s="148">
        <f>SUM(data_1!JY65:JY78)</f>
        <v>0</v>
      </c>
      <c r="JZ20" s="148">
        <f>SUM(data_1!JZ65:JZ78)</f>
        <v>0</v>
      </c>
      <c r="KA20" s="148">
        <f>SUM(data_1!KA65:KA78)</f>
        <v>0</v>
      </c>
      <c r="KB20" s="148">
        <f>SUM(data_1!KB65:KB78)</f>
        <v>0</v>
      </c>
      <c r="KC20" s="148">
        <f>SUM(data_1!KC65:KC78)</f>
        <v>0</v>
      </c>
      <c r="KD20" s="148">
        <f>SUM(data_1!KD65:KD78)</f>
        <v>0</v>
      </c>
      <c r="KE20" s="148">
        <f>SUM(data_1!KE65:KE78)</f>
        <v>0</v>
      </c>
      <c r="KF20" s="148">
        <f>SUM(data_1!KF65:KF78)</f>
        <v>0</v>
      </c>
      <c r="KG20" s="148">
        <f>SUM(data_1!KG65:KG78)</f>
        <v>0</v>
      </c>
      <c r="KH20" s="148">
        <f>SUM(data_1!KH65:KH78)</f>
        <v>0</v>
      </c>
      <c r="KI20" s="148">
        <f>SUM(data_1!KI65:KI78)</f>
        <v>0</v>
      </c>
      <c r="KJ20" s="148">
        <f>SUM(data_1!KJ65:KJ78)</f>
        <v>0</v>
      </c>
      <c r="KK20" s="148">
        <f>SUM(data_1!KK65:KK78)</f>
        <v>171326693.81</v>
      </c>
      <c r="KL20" s="148">
        <f>SUM(data_1!KL65:KL78)</f>
        <v>27382000</v>
      </c>
      <c r="KM20" s="148">
        <f>SUM(data_1!KM65:KM78)</f>
        <v>143944693.81</v>
      </c>
      <c r="KN20" s="148">
        <f>SUM(data_1!KN65:KN78)</f>
        <v>26625194.030000001</v>
      </c>
      <c r="KO20" s="148">
        <f>SUM(data_1!KO65:KO78)</f>
        <v>0</v>
      </c>
      <c r="KP20" s="148">
        <f>SUM(data_1!KP65:KP78)</f>
        <v>0</v>
      </c>
      <c r="KQ20" s="148">
        <f>SUM(data_1!KQ65:KQ78)</f>
        <v>169492519.85999998</v>
      </c>
      <c r="KR20" s="148">
        <f>SUM(data_1!KR65:KR78)</f>
        <v>26625194.030000001</v>
      </c>
      <c r="KS20" s="148">
        <f>SUM(data_1!KS65:KS78)</f>
        <v>0</v>
      </c>
      <c r="KT20" s="148">
        <f>SUM(data_1!KT65:KT78)</f>
        <v>142867325.82999998</v>
      </c>
      <c r="KU20" s="148">
        <f>SUM(data_1!KU65:KU78)</f>
        <v>602.42052999999999</v>
      </c>
      <c r="KV20" s="148">
        <f>SUM(data_1!KV65:KV78)</f>
        <v>0</v>
      </c>
      <c r="KW20" s="148">
        <f>SUM(data_1!KW65:KW78)</f>
        <v>0</v>
      </c>
      <c r="KX20" s="148">
        <f>SUM(data_1!KX65:KX78)</f>
        <v>26625194.030000001</v>
      </c>
      <c r="KY20" s="148">
        <f>SUM(data_1!KY65:KY78)</f>
        <v>0</v>
      </c>
      <c r="KZ20" s="148">
        <f>SUM(data_1!KZ65:KZ78)</f>
        <v>27382000</v>
      </c>
      <c r="LA20" s="148">
        <f>SUM(data_1!LA65:LA78)</f>
        <v>27382000</v>
      </c>
      <c r="LB20" s="148">
        <f>SUM(data_1!LB65:LB78)</f>
        <v>0</v>
      </c>
      <c r="LC20" s="148">
        <f>SUM(data_1!LC65:LC78)</f>
        <v>0</v>
      </c>
      <c r="LD20" s="148">
        <f>SUM(data_1!LD65:LD78)</f>
        <v>0</v>
      </c>
      <c r="LE20" s="148">
        <f>SUM(data_1!LE65:LE78)</f>
        <v>0</v>
      </c>
      <c r="LF20" s="148">
        <f>SUM(data_1!LF65:LF78)</f>
        <v>0</v>
      </c>
      <c r="LG20" s="148">
        <f>SUM(data_1!LG65:LG78)</f>
        <v>0</v>
      </c>
      <c r="LH20" s="148">
        <f>SUM(data_1!LH65:LH78)</f>
        <v>0</v>
      </c>
      <c r="LI20" s="148">
        <f>SUM(data_1!LI65:LI78)</f>
        <v>0</v>
      </c>
      <c r="LJ20" s="148">
        <f>SUM(data_1!LJ65:LJ78)</f>
        <v>0</v>
      </c>
      <c r="LK20" s="148">
        <f>SUM(data_1!LK65:LK78)</f>
        <v>0</v>
      </c>
      <c r="LL20" s="148">
        <f>SUM(data_1!LL65:LL78)</f>
        <v>0</v>
      </c>
      <c r="LM20" s="148">
        <f>SUM(data_1!LM65:LM78)</f>
        <v>0</v>
      </c>
      <c r="LN20" s="148">
        <f>SUM(data_1!LN65:LN78)</f>
        <v>0</v>
      </c>
      <c r="LO20" s="148">
        <f>SUM(data_1!LO65:LO78)</f>
        <v>0</v>
      </c>
      <c r="LP20" s="148">
        <f>SUM(data_1!LP65:LP78)</f>
        <v>0</v>
      </c>
      <c r="LQ20" s="148">
        <f>SUM(data_1!LQ65:LQ78)</f>
        <v>0</v>
      </c>
      <c r="LR20" s="148">
        <f>SUM(data_1!LR65:LR78)</f>
        <v>0</v>
      </c>
      <c r="LS20" s="148">
        <f>SUM(data_1!LS65:LS78)</f>
        <v>0</v>
      </c>
      <c r="LT20" s="148">
        <f>SUM(data_1!LT65:LT78)</f>
        <v>0</v>
      </c>
      <c r="LU20" s="148">
        <f>SUM(data_1!LU65:LU78)</f>
        <v>41970132.240000002</v>
      </c>
      <c r="LV20" s="148">
        <f>SUM(data_1!LV65:LV78)</f>
        <v>19310000</v>
      </c>
      <c r="LW20" s="148">
        <f>SUM(data_1!LW65:LW78)</f>
        <v>22660132.239999998</v>
      </c>
      <c r="LX20" s="148">
        <f>SUM(data_1!LX65:LX78)</f>
        <v>18847776.950000003</v>
      </c>
      <c r="LY20" s="148">
        <f>SUM(data_1!LY65:LY78)</f>
        <v>0</v>
      </c>
      <c r="LZ20" s="148">
        <f>SUM(data_1!LZ65:LZ78)</f>
        <v>0</v>
      </c>
      <c r="MA20" s="148">
        <f>SUM(data_1!MA65:MA78)</f>
        <v>41249841.710000001</v>
      </c>
      <c r="MB20" s="148">
        <f>SUM(data_1!MB65:MB78)</f>
        <v>18847776.950000003</v>
      </c>
      <c r="MC20" s="148">
        <f>SUM(data_1!MC65:MC78)</f>
        <v>0</v>
      </c>
      <c r="MD20" s="148">
        <f>SUM(data_1!MD65:MD78)</f>
        <v>22402064.759999998</v>
      </c>
      <c r="ME20" s="148">
        <f>SUM(data_1!ME65:ME78)</f>
        <v>325.62487999999996</v>
      </c>
      <c r="MF20" s="148">
        <f>SUM(data_1!MF65:MF78)</f>
        <v>0</v>
      </c>
      <c r="MG20" s="148">
        <f>SUM(data_1!MG65:MG78)</f>
        <v>0</v>
      </c>
      <c r="MH20" s="148">
        <f>SUM(data_1!MH65:MH78)</f>
        <v>18847776.950000003</v>
      </c>
      <c r="MI20" s="148">
        <f>SUM(data_1!MI65:MI78)</f>
        <v>0</v>
      </c>
      <c r="MJ20" s="148">
        <f>SUM(data_1!MJ65:MJ78)</f>
        <v>19310000</v>
      </c>
      <c r="MK20" s="148">
        <f>SUM(data_1!MK65:MK78)</f>
        <v>19310000</v>
      </c>
      <c r="ML20" s="148">
        <f>SUM(data_1!ML65:ML78)</f>
        <v>0</v>
      </c>
      <c r="MM20" s="148">
        <f>SUM(data_1!MM65:MM78)</f>
        <v>0</v>
      </c>
      <c r="MN20" s="148">
        <f>SUM(data_1!MN65:MN78)</f>
        <v>0</v>
      </c>
      <c r="MO20" s="148">
        <f>SUM(data_1!MO65:MO78)</f>
        <v>0</v>
      </c>
      <c r="MP20" s="148">
        <f>SUM(data_1!MP65:MP78)</f>
        <v>0</v>
      </c>
      <c r="MQ20" s="148">
        <f>SUM(data_1!MQ65:MQ78)</f>
        <v>0</v>
      </c>
      <c r="MR20" s="148">
        <f>SUM(data_1!MR65:MR78)</f>
        <v>0</v>
      </c>
      <c r="MS20" s="148">
        <f>SUM(data_1!MS65:MS78)</f>
        <v>0</v>
      </c>
      <c r="MT20" s="148">
        <f>SUM(data_1!MT65:MT78)</f>
        <v>0</v>
      </c>
      <c r="MU20" s="148">
        <f>SUM(data_1!MU65:MU78)</f>
        <v>0</v>
      </c>
      <c r="MV20" s="148">
        <f>SUM(data_1!MV65:MV78)</f>
        <v>0</v>
      </c>
      <c r="MW20" s="148">
        <f>SUM(data_1!MW65:MW78)</f>
        <v>0</v>
      </c>
      <c r="MX20" s="148">
        <f>SUM(data_1!MX65:MX78)</f>
        <v>0</v>
      </c>
      <c r="MY20" s="148">
        <f>SUM(data_1!MY65:MY78)</f>
        <v>0</v>
      </c>
      <c r="MZ20" s="148">
        <f>SUM(data_1!MZ65:MZ78)</f>
        <v>0</v>
      </c>
      <c r="NA20" s="148">
        <f>SUM(data_1!NA65:NA78)</f>
        <v>0</v>
      </c>
      <c r="NB20" s="148">
        <f>SUM(data_1!NB65:NB78)</f>
        <v>0</v>
      </c>
      <c r="NC20" s="148">
        <f>SUM(data_1!NC65:NC78)</f>
        <v>0</v>
      </c>
      <c r="ND20" s="148">
        <f>SUM(data_1!ND65:ND78)</f>
        <v>0</v>
      </c>
      <c r="NE20" s="148">
        <f>SUM(data_1!NE65:NE78)</f>
        <v>576883337.16000009</v>
      </c>
      <c r="NF20" s="148">
        <f>SUM(data_1!NF65:NF78)</f>
        <v>337158600</v>
      </c>
      <c r="NG20" s="148">
        <f>SUM(data_1!NG65:NG78)</f>
        <v>239724737.16</v>
      </c>
      <c r="NH20" s="148">
        <f>SUM(data_1!NH65:NH78)</f>
        <v>337042118.69</v>
      </c>
      <c r="NI20" s="148">
        <f>SUM(data_1!NI65:NI78)</f>
        <v>0</v>
      </c>
      <c r="NJ20" s="148">
        <f>SUM(data_1!NJ65:NJ78)</f>
        <v>0</v>
      </c>
      <c r="NK20" s="148">
        <f>SUM(data_1!NK65:NK78)</f>
        <v>576714277.16000009</v>
      </c>
      <c r="NL20" s="148">
        <f>SUM(data_1!NL65:NL78)</f>
        <v>337041636.42000002</v>
      </c>
      <c r="NM20" s="148">
        <f>SUM(data_1!NM65:NM78)</f>
        <v>0</v>
      </c>
      <c r="NN20" s="148">
        <f>SUM(data_1!NN65:NN78)</f>
        <v>239672640.73999998</v>
      </c>
      <c r="NO20" s="148">
        <f>SUM(data_1!NO65:NO78)</f>
        <v>202.91677999999999</v>
      </c>
      <c r="NP20" s="148">
        <f>SUM(data_1!NP65:NP78)</f>
        <v>0</v>
      </c>
      <c r="NQ20" s="148">
        <f>SUM(data_1!NQ65:NQ78)</f>
        <v>482.27</v>
      </c>
      <c r="NR20" s="148">
        <f>SUM(data_1!NR65:NR78)</f>
        <v>337041636.42000002</v>
      </c>
      <c r="NS20" s="148">
        <f>SUM(data_1!NS65:NS78)</f>
        <v>0</v>
      </c>
      <c r="NT20" s="148">
        <f>SUM(data_1!NT65:NT78)</f>
        <v>337158600</v>
      </c>
      <c r="NU20" s="148">
        <f>SUM(data_1!NU65:NU78)</f>
        <v>337158600</v>
      </c>
      <c r="NV20" s="148">
        <f>SUM(data_1!NV65:NV78)</f>
        <v>0</v>
      </c>
      <c r="NW20" s="148">
        <f>SUM(data_1!NW65:NW78)</f>
        <v>0</v>
      </c>
      <c r="NX20" s="148">
        <f>SUM(data_1!NX65:NX78)</f>
        <v>0</v>
      </c>
      <c r="NY20" s="148">
        <f>SUM(data_1!NY65:NY78)</f>
        <v>0</v>
      </c>
      <c r="NZ20" s="148">
        <f>SUM(data_1!NZ65:NZ78)</f>
        <v>0</v>
      </c>
      <c r="OA20" s="148">
        <f>SUM(data_1!OA65:OA78)</f>
        <v>0</v>
      </c>
      <c r="OB20" s="148">
        <f>SUM(data_1!OB65:OB78)</f>
        <v>0</v>
      </c>
      <c r="OC20" s="148">
        <f>SUM(data_1!OC65:OC78)</f>
        <v>0</v>
      </c>
      <c r="OD20" s="148">
        <f>SUM(data_1!OD65:OD78)</f>
        <v>0</v>
      </c>
      <c r="OE20" s="148">
        <f>SUM(data_1!OE65:OE78)</f>
        <v>0</v>
      </c>
      <c r="OF20" s="148">
        <f>SUM(data_1!OF65:OF78)</f>
        <v>0</v>
      </c>
      <c r="OG20" s="148">
        <f>SUM(data_1!OG65:OG78)</f>
        <v>0</v>
      </c>
      <c r="OH20" s="148">
        <f>SUM(data_1!OH65:OH78)</f>
        <v>0</v>
      </c>
      <c r="OI20" s="148">
        <f>SUM(data_1!OI65:OI78)</f>
        <v>0</v>
      </c>
      <c r="OJ20" s="148">
        <f>SUM(data_1!OJ65:OJ78)</f>
        <v>0</v>
      </c>
      <c r="OK20" s="148">
        <f>SUM(data_1!OK65:OK78)</f>
        <v>0</v>
      </c>
      <c r="OL20" s="148">
        <f>SUM(data_1!OL65:OL78)</f>
        <v>0</v>
      </c>
      <c r="OM20" s="148">
        <f>SUM(data_1!OM65:OM78)</f>
        <v>0</v>
      </c>
      <c r="ON20" s="148">
        <f>SUM(data_1!ON65:ON78)</f>
        <v>0</v>
      </c>
      <c r="OO20" s="148">
        <f>SUM(data_1!OO65:OO78)</f>
        <v>33746208.090000004</v>
      </c>
      <c r="OP20" s="148">
        <f>SUM(data_1!OP65:OP78)</f>
        <v>13297600</v>
      </c>
      <c r="OQ20" s="148">
        <f>SUM(data_1!OQ65:OQ78)</f>
        <v>20448608.09</v>
      </c>
      <c r="OR20" s="148">
        <f>SUM(data_1!OR65:OR78)</f>
        <v>13238916.879999999</v>
      </c>
      <c r="OS20" s="148">
        <f>SUM(data_1!OS65:OS78)</f>
        <v>0</v>
      </c>
      <c r="OT20" s="148">
        <f>SUM(data_1!OT65:OT78)</f>
        <v>0</v>
      </c>
      <c r="OU20" s="148">
        <f>SUM(data_1!OU65:OU78)</f>
        <v>33563938.210000001</v>
      </c>
      <c r="OV20" s="148">
        <f>SUM(data_1!OV65:OV78)</f>
        <v>13238914.149999999</v>
      </c>
      <c r="OW20" s="148">
        <f>SUM(data_1!OW65:OW78)</f>
        <v>0</v>
      </c>
      <c r="OX20" s="148">
        <f>SUM(data_1!OX65:OX78)</f>
        <v>20325024.060000002</v>
      </c>
      <c r="OY20" s="148">
        <f>SUM(data_1!OY65:OY78)</f>
        <v>461.93822</v>
      </c>
      <c r="OZ20" s="148">
        <f>SUM(data_1!OZ65:OZ78)</f>
        <v>0</v>
      </c>
      <c r="PA20" s="148">
        <f>SUM(data_1!PA65:PA78)</f>
        <v>2.73</v>
      </c>
      <c r="PB20" s="148">
        <f>SUM(data_1!PB65:PB78)</f>
        <v>13238914.149999999</v>
      </c>
      <c r="PC20" s="148">
        <f>SUM(data_1!PC65:PC78)</f>
        <v>0</v>
      </c>
      <c r="PD20" s="148">
        <f>SUM(data_1!PD65:PD78)</f>
        <v>13297600</v>
      </c>
      <c r="PE20" s="148">
        <f>SUM(data_1!PE65:PE78)</f>
        <v>13297600</v>
      </c>
      <c r="PF20" s="148">
        <f>SUM(data_1!PF65:PF78)</f>
        <v>0</v>
      </c>
      <c r="PG20" s="148">
        <f>SUM(data_1!PG65:PG78)</f>
        <v>0</v>
      </c>
      <c r="PH20" s="148">
        <f>SUM(data_1!PH65:PH78)</f>
        <v>0</v>
      </c>
      <c r="PI20" s="148">
        <f>SUM(data_1!PI65:PI78)</f>
        <v>0</v>
      </c>
      <c r="PJ20" s="148">
        <f>SUM(data_1!PJ65:PJ78)</f>
        <v>0</v>
      </c>
      <c r="PK20" s="148">
        <f>SUM(data_1!PK65:PK78)</f>
        <v>0</v>
      </c>
      <c r="PL20" s="148">
        <f>SUM(data_1!PL65:PL78)</f>
        <v>0</v>
      </c>
      <c r="PM20" s="148">
        <f>SUM(data_1!PM65:PM78)</f>
        <v>0</v>
      </c>
      <c r="PN20" s="148">
        <f>SUM(data_1!PN65:PN78)</f>
        <v>0</v>
      </c>
      <c r="PO20" s="148">
        <f>SUM(data_1!PO65:PO78)</f>
        <v>0</v>
      </c>
      <c r="PP20" s="148">
        <f>SUM(data_1!PP65:PP78)</f>
        <v>0</v>
      </c>
      <c r="PQ20" s="148">
        <f>SUM(data_1!PQ65:PQ78)</f>
        <v>0</v>
      </c>
      <c r="PR20" s="148">
        <f>SUM(data_1!PR65:PR78)</f>
        <v>0</v>
      </c>
      <c r="PS20" s="148">
        <f>SUM(data_1!PS65:PS78)</f>
        <v>0</v>
      </c>
      <c r="PT20" s="148">
        <f>SUM(data_1!PT65:PT78)</f>
        <v>0</v>
      </c>
      <c r="PU20" s="148">
        <f>SUM(data_1!PU65:PU78)</f>
        <v>0</v>
      </c>
      <c r="PV20" s="148">
        <f>SUM(data_1!PV65:PV78)</f>
        <v>0</v>
      </c>
      <c r="PW20" s="148">
        <f>SUM(data_1!PW65:PW78)</f>
        <v>0</v>
      </c>
      <c r="PX20" s="148">
        <f>SUM(data_1!PX65:PX78)</f>
        <v>0</v>
      </c>
      <c r="PY20" s="148">
        <f>SUM(data_1!PY65:PY78)</f>
        <v>0</v>
      </c>
      <c r="PZ20" s="148">
        <f>SUM(data_1!PZ65:PZ78)</f>
        <v>0</v>
      </c>
      <c r="QA20" s="148">
        <f>SUM(data_1!QA65:QA78)</f>
        <v>0</v>
      </c>
      <c r="QB20" s="148">
        <f>SUM(data_1!QB65:QB78)</f>
        <v>0</v>
      </c>
      <c r="QC20" s="148">
        <f>SUM(data_1!QC65:QC78)</f>
        <v>67996121.350000009</v>
      </c>
      <c r="QD20" s="148">
        <f>SUM(data_1!QD65:QD78)</f>
        <v>0</v>
      </c>
      <c r="QE20" s="148">
        <f>SUM(data_1!QE65:QE78)</f>
        <v>0</v>
      </c>
      <c r="QF20" s="148">
        <f>SUM(data_1!QF65:QF78)</f>
        <v>0</v>
      </c>
      <c r="QG20" s="148">
        <f>SUM(data_1!QG65:QG78)</f>
        <v>0</v>
      </c>
      <c r="QH20" s="148">
        <f>SUM(data_1!QH65:QH78)</f>
        <v>0</v>
      </c>
      <c r="QI20" s="148">
        <f>SUM(data_1!QI65:QI78)</f>
        <v>0</v>
      </c>
      <c r="QJ20" s="148">
        <f>SUM(data_1!QJ65:QJ78)</f>
        <v>67881907.290000007</v>
      </c>
      <c r="QK20" s="148">
        <f>SUM(data_1!QK65:QK78)</f>
        <v>114214.06</v>
      </c>
      <c r="QL20" s="148">
        <f>SUM(data_1!QL65:QL78)</f>
        <v>0</v>
      </c>
      <c r="QM20" s="148">
        <f>SUM(data_1!QM65:QM78)</f>
        <v>0</v>
      </c>
      <c r="QN20" s="148">
        <f>SUM(data_1!QN65:QN78)</f>
        <v>0</v>
      </c>
      <c r="QO20" s="148">
        <f>SUM(data_1!QO65:QO78)</f>
        <v>0</v>
      </c>
    </row>
    <row r="21" spans="1:457" x14ac:dyDescent="0.25">
      <c r="A21" s="133" t="s">
        <v>171</v>
      </c>
      <c r="B21" s="134" t="s">
        <v>172</v>
      </c>
      <c r="C21" s="137" t="s">
        <v>173</v>
      </c>
      <c r="F21" s="148">
        <f>SUM(data_1!F80:F85)</f>
        <v>5938783000</v>
      </c>
      <c r="G21" s="148">
        <f>SUM(data_1!G80:G85)</f>
        <v>0</v>
      </c>
      <c r="H21" s="148">
        <f>SUM(data_1!H80:H85)</f>
        <v>0</v>
      </c>
      <c r="I21" s="148">
        <f>SUM(data_1!I80:I85)</f>
        <v>3096454103.79</v>
      </c>
      <c r="J21" s="148">
        <f>SUM(data_1!J80:J85)</f>
        <v>2507459000</v>
      </c>
      <c r="K21" s="148">
        <f>SUM(data_1!K80:K85)</f>
        <v>588995103.78999996</v>
      </c>
      <c r="L21" s="148">
        <f>SUM(data_1!L80:L85)</f>
        <v>2410218873.6900001</v>
      </c>
      <c r="M21" s="148">
        <f>SUM(data_1!M80:M85)</f>
        <v>0</v>
      </c>
      <c r="N21" s="148">
        <f>SUM(data_1!N80:N85)</f>
        <v>0</v>
      </c>
      <c r="O21" s="148">
        <f>SUM(data_1!O80:O85)</f>
        <v>2968340711.4899998</v>
      </c>
      <c r="P21" s="148">
        <f>SUM(data_1!P80:P85)</f>
        <v>2410218869.4499998</v>
      </c>
      <c r="Q21" s="148">
        <f>SUM(data_1!Q80:Q85)</f>
        <v>0</v>
      </c>
      <c r="R21" s="148">
        <f>SUM(data_1!R80:R85)</f>
        <v>558121842.03999996</v>
      </c>
      <c r="S21" s="148">
        <f>SUM(data_1!S80:S85)</f>
        <v>114.44513000000001</v>
      </c>
      <c r="T21" s="148">
        <f>SUM(data_1!T80:T85)</f>
        <v>0</v>
      </c>
      <c r="U21" s="148">
        <f>SUM(data_1!U80:U85)</f>
        <v>4.24</v>
      </c>
      <c r="V21" s="148">
        <f>SUM(data_1!V80:V85)</f>
        <v>2410218869.4499998</v>
      </c>
      <c r="W21" s="148">
        <f>SUM(data_1!W80:W85)</f>
        <v>0</v>
      </c>
      <c r="X21" s="148">
        <f>SUM(data_1!X80:X85)</f>
        <v>2507459000</v>
      </c>
      <c r="Y21" s="148">
        <f>SUM(data_1!Y80:Y85)</f>
        <v>2507459000</v>
      </c>
      <c r="Z21" s="213">
        <f>SUM(data_1!Z80:Z85)</f>
        <v>0</v>
      </c>
      <c r="AA21" s="213">
        <f>SUM(data_1!AA80:AA85)</f>
        <v>0</v>
      </c>
      <c r="AB21" s="213">
        <f>SUM(data_1!AB80:AB85)</f>
        <v>0</v>
      </c>
      <c r="AC21" s="213">
        <f>SUM(data_1!AC80:AC85)</f>
        <v>0</v>
      </c>
      <c r="AD21" s="213">
        <f>SUM(data_1!AD80:AD85)</f>
        <v>0</v>
      </c>
      <c r="AE21" s="213">
        <f>SUM(data_1!AE80:AE85)</f>
        <v>0</v>
      </c>
      <c r="AF21" s="213">
        <f>SUM(data_1!AF80:AF85)</f>
        <v>0</v>
      </c>
      <c r="AG21" s="213">
        <f>SUM(data_1!AG80:AG85)</f>
        <v>0</v>
      </c>
      <c r="AH21" s="213">
        <f>SUM(data_1!AH80:AH85)</f>
        <v>0</v>
      </c>
      <c r="AI21" s="213">
        <f>SUM(data_1!AI80:AI85)</f>
        <v>0</v>
      </c>
      <c r="AJ21" s="213">
        <f>SUM(data_1!AJ80:AJ85)</f>
        <v>0</v>
      </c>
      <c r="AK21" s="213">
        <f>SUM(data_1!AK80:AK85)</f>
        <v>0</v>
      </c>
      <c r="AL21" s="213">
        <f>SUM(data_1!AL80:AL85)</f>
        <v>0</v>
      </c>
      <c r="AM21" s="213">
        <f>SUM(data_1!AM80:AM85)</f>
        <v>0</v>
      </c>
      <c r="AN21" s="213">
        <f>SUM(data_1!AN80:AN85)</f>
        <v>0</v>
      </c>
      <c r="AO21" s="213">
        <f>SUM(data_1!AO80:AO85)</f>
        <v>0</v>
      </c>
      <c r="AP21" s="213">
        <f>SUM(data_1!AP80:AP85)</f>
        <v>0</v>
      </c>
      <c r="AQ21" s="213">
        <f>SUM(data_1!AQ80:AQ85)</f>
        <v>0</v>
      </c>
      <c r="AR21" s="148">
        <f>SUM(data_1!AR80:AR85)</f>
        <v>0</v>
      </c>
      <c r="AS21" s="148">
        <f>SUM(data_1!AS80:AS85)</f>
        <v>2471342850</v>
      </c>
      <c r="AT21" s="148">
        <f>SUM(data_1!AT80:AT85)</f>
        <v>402377300</v>
      </c>
      <c r="AU21" s="148">
        <f>SUM(data_1!AU80:AU85)</f>
        <v>2068965550</v>
      </c>
      <c r="AV21" s="148">
        <f>SUM(data_1!AV80:AV85)</f>
        <v>402377300</v>
      </c>
      <c r="AW21" s="148">
        <f>SUM(data_1!AW80:AW85)</f>
        <v>0</v>
      </c>
      <c r="AX21" s="148">
        <f>SUM(data_1!AX80:AX85)</f>
        <v>0</v>
      </c>
      <c r="AY21" s="148">
        <f>SUM(data_1!AY80:AY85)</f>
        <v>2471342850</v>
      </c>
      <c r="AZ21" s="148">
        <f>SUM(data_1!AZ80:AZ85)</f>
        <v>402377300</v>
      </c>
      <c r="BA21" s="148">
        <f>SUM(data_1!BA80:BA85)</f>
        <v>0</v>
      </c>
      <c r="BB21" s="148">
        <f>SUM(data_1!BB80:BB85)</f>
        <v>2068965550</v>
      </c>
      <c r="BC21" s="148">
        <f>SUM(data_1!BC80:BC85)</f>
        <v>343.29973000000001</v>
      </c>
      <c r="BD21" s="148">
        <f>SUM(data_1!BD80:BD85)</f>
        <v>0</v>
      </c>
      <c r="BE21" s="148">
        <f>SUM(data_1!BE80:BE85)</f>
        <v>0</v>
      </c>
      <c r="BF21" s="148">
        <f>SUM(data_1!BF80:BF85)</f>
        <v>402377300</v>
      </c>
      <c r="BG21" s="148">
        <f>SUM(data_1!BG80:BG85)</f>
        <v>0</v>
      </c>
      <c r="BH21" s="148">
        <f>SUM(data_1!BH80:BH85)</f>
        <v>402377300</v>
      </c>
      <c r="BI21" s="148">
        <f>SUM(data_1!BI80:BI85)</f>
        <v>402377300</v>
      </c>
      <c r="BJ21" s="213">
        <f>SUM(data_1!BJ80:BJ85)</f>
        <v>0</v>
      </c>
      <c r="BK21" s="213">
        <f>SUM(data_1!BK80:BK85)</f>
        <v>0</v>
      </c>
      <c r="BL21" s="213">
        <f>SUM(data_1!BL80:BL85)</f>
        <v>0</v>
      </c>
      <c r="BM21" s="213">
        <f>SUM(data_1!BM80:BM85)</f>
        <v>0</v>
      </c>
      <c r="BN21" s="213">
        <f>SUM(data_1!BN80:BN85)</f>
        <v>0</v>
      </c>
      <c r="BO21" s="213">
        <f>SUM(data_1!BO80:BO85)</f>
        <v>0</v>
      </c>
      <c r="BP21" s="213">
        <f>SUM(data_1!BP80:BP85)</f>
        <v>0</v>
      </c>
      <c r="BQ21" s="213">
        <f>SUM(data_1!BQ80:BQ85)</f>
        <v>0</v>
      </c>
      <c r="BR21" s="213">
        <f>SUM(data_1!BR80:BR85)</f>
        <v>0</v>
      </c>
      <c r="BS21" s="213">
        <f>SUM(data_1!BS80:BS85)</f>
        <v>0</v>
      </c>
      <c r="BT21" s="213">
        <f>SUM(data_1!BT80:BT85)</f>
        <v>0</v>
      </c>
      <c r="BU21" s="213">
        <f>SUM(data_1!BU80:BU85)</f>
        <v>0</v>
      </c>
      <c r="BV21" s="213">
        <f>SUM(data_1!BV80:BV85)</f>
        <v>0</v>
      </c>
      <c r="BW21" s="213">
        <f>SUM(data_1!BW80:BW85)</f>
        <v>0</v>
      </c>
      <c r="BX21" s="213">
        <f>SUM(data_1!BX80:BX85)</f>
        <v>0</v>
      </c>
      <c r="BY21" s="213">
        <f>SUM(data_1!BY80:BY85)</f>
        <v>0</v>
      </c>
      <c r="BZ21" s="213">
        <f>SUM(data_1!BZ80:BZ85)</f>
        <v>0</v>
      </c>
      <c r="CA21" s="213">
        <f>SUM(data_1!CA80:CA85)</f>
        <v>0</v>
      </c>
      <c r="CB21" s="148">
        <f>SUM(data_1!CB80:CB85)</f>
        <v>0</v>
      </c>
      <c r="CC21" s="148">
        <f>SUM(data_1!CC80:CC85)</f>
        <v>1674890006</v>
      </c>
      <c r="CD21" s="148">
        <f>SUM(data_1!CD80:CD85)</f>
        <v>899993300</v>
      </c>
      <c r="CE21" s="148">
        <f>SUM(data_1!CE80:CE85)</f>
        <v>774896706</v>
      </c>
      <c r="CF21" s="148">
        <f>SUM(data_1!CF80:CF85)</f>
        <v>899993300</v>
      </c>
      <c r="CG21" s="148">
        <f>SUM(data_1!CG80:CG85)</f>
        <v>2341279.4500000002</v>
      </c>
      <c r="CH21" s="148">
        <f>SUM(data_1!CH80:CH85)</f>
        <v>0</v>
      </c>
      <c r="CI21" s="148">
        <f>SUM(data_1!CI80:CI85)</f>
        <v>1674890006</v>
      </c>
      <c r="CJ21" s="148">
        <f>SUM(data_1!CJ80:CJ85)</f>
        <v>899993300</v>
      </c>
      <c r="CK21" s="148">
        <f>SUM(data_1!CK80:CK85)</f>
        <v>0</v>
      </c>
      <c r="CL21" s="148">
        <f>SUM(data_1!CL80:CL85)</f>
        <v>774896706</v>
      </c>
      <c r="CM21" s="148">
        <f>SUM(data_1!CM80:CM85)</f>
        <v>167.44573000000003</v>
      </c>
      <c r="CN21" s="148">
        <f>SUM(data_1!CN80:CN85)</f>
        <v>2341279.4500000002</v>
      </c>
      <c r="CO21" s="148">
        <f>SUM(data_1!CO80:CO85)</f>
        <v>0</v>
      </c>
      <c r="CP21" s="148">
        <f>SUM(data_1!CP80:CP85)</f>
        <v>899993300</v>
      </c>
      <c r="CQ21" s="148">
        <f>SUM(data_1!CQ80:CQ85)</f>
        <v>0</v>
      </c>
      <c r="CR21" s="148">
        <f>SUM(data_1!CR80:CR85)</f>
        <v>900348100</v>
      </c>
      <c r="CS21" s="148">
        <f>SUM(data_1!CS80:CS85)</f>
        <v>899993300</v>
      </c>
      <c r="CT21" s="148">
        <f>SUM(data_1!CT80:CT85)</f>
        <v>0</v>
      </c>
      <c r="CU21" s="148">
        <f>SUM(data_1!CU80:CU85)</f>
        <v>1863646553.1100001</v>
      </c>
      <c r="CV21" s="148">
        <f>SUM(data_1!CV80:CV85)</f>
        <v>1412294000</v>
      </c>
      <c r="CW21" s="148">
        <f>SUM(data_1!CW80:CW85)</f>
        <v>451352553.11000001</v>
      </c>
      <c r="CX21" s="148">
        <f>SUM(data_1!CX80:CX85)</f>
        <v>1411878897.3499999</v>
      </c>
      <c r="CY21" s="148">
        <f>SUM(data_1!CY80:CY85)</f>
        <v>0</v>
      </c>
      <c r="CZ21" s="148">
        <f>SUM(data_1!CZ80:CZ85)</f>
        <v>0</v>
      </c>
      <c r="DA21" s="148">
        <f>SUM(data_1!DA80:DA85)</f>
        <v>1861941769.5899999</v>
      </c>
      <c r="DB21" s="148">
        <f>SUM(data_1!DB80:DB85)</f>
        <v>1411619991.0699999</v>
      </c>
      <c r="DC21" s="148">
        <f>SUM(data_1!DC80:DC85)</f>
        <v>0</v>
      </c>
      <c r="DD21" s="148">
        <f>SUM(data_1!DD80:DD85)</f>
        <v>450321778.52000004</v>
      </c>
      <c r="DE21" s="148">
        <f>SUM(data_1!DE80:DE85)</f>
        <v>224.43977000000001</v>
      </c>
      <c r="DF21" s="148">
        <f>SUM(data_1!DF80:DF85)</f>
        <v>0</v>
      </c>
      <c r="DG21" s="148">
        <f>SUM(data_1!DG80:DG85)</f>
        <v>258906.28</v>
      </c>
      <c r="DH21" s="148">
        <f>SUM(data_1!DH80:DH85)</f>
        <v>1411619991.0699999</v>
      </c>
      <c r="DI21" s="148">
        <f>SUM(data_1!DI80:DI85)</f>
        <v>0</v>
      </c>
      <c r="DJ21" s="148">
        <f>SUM(data_1!DJ80:DJ85)</f>
        <v>1413670200</v>
      </c>
      <c r="DK21" s="148">
        <f>SUM(data_1!DK80:DK85)</f>
        <v>1412294000</v>
      </c>
      <c r="DL21" s="213">
        <f>SUM(data_1!DL80:DL85)</f>
        <v>0</v>
      </c>
      <c r="DM21" s="213">
        <f>SUM(data_1!DM80:DM85)</f>
        <v>0</v>
      </c>
      <c r="DN21" s="213">
        <f>SUM(data_1!DN80:DN85)</f>
        <v>0</v>
      </c>
      <c r="DO21" s="213">
        <f>SUM(data_1!DO80:DO85)</f>
        <v>0</v>
      </c>
      <c r="DP21" s="213">
        <f>SUM(data_1!DP80:DP85)</f>
        <v>0</v>
      </c>
      <c r="DQ21" s="213">
        <f>SUM(data_1!DQ80:DQ85)</f>
        <v>0</v>
      </c>
      <c r="DR21" s="213">
        <f>SUM(data_1!DR80:DR85)</f>
        <v>0</v>
      </c>
      <c r="DS21" s="213">
        <f>SUM(data_1!DS80:DS85)</f>
        <v>0</v>
      </c>
      <c r="DT21" s="213">
        <f>SUM(data_1!DT80:DT85)</f>
        <v>0</v>
      </c>
      <c r="DU21" s="213">
        <f>SUM(data_1!DU80:DU85)</f>
        <v>0</v>
      </c>
      <c r="DV21" s="213">
        <f>SUM(data_1!DV80:DV85)</f>
        <v>0</v>
      </c>
      <c r="DW21" s="213">
        <f>SUM(data_1!DW80:DW85)</f>
        <v>0</v>
      </c>
      <c r="DX21" s="213">
        <f>SUM(data_1!DX80:DX85)</f>
        <v>0</v>
      </c>
      <c r="DY21" s="213">
        <f>SUM(data_1!DY80:DY85)</f>
        <v>0</v>
      </c>
      <c r="DZ21" s="213">
        <f>SUM(data_1!DZ80:DZ85)</f>
        <v>0</v>
      </c>
      <c r="EA21" s="213">
        <f>SUM(data_1!EA80:EA85)</f>
        <v>0</v>
      </c>
      <c r="EB21" s="213">
        <f>SUM(data_1!EB80:EB85)</f>
        <v>0</v>
      </c>
      <c r="EC21" s="213">
        <f>SUM(data_1!EC80:EC85)</f>
        <v>0</v>
      </c>
      <c r="ED21" s="148">
        <f>SUM(data_1!ED80:ED85)</f>
        <v>0</v>
      </c>
      <c r="EE21" s="148">
        <f>SUM(data_1!EE80:EE85)</f>
        <v>305161200</v>
      </c>
      <c r="EF21" s="148">
        <f>SUM(data_1!EF80:EF85)</f>
        <v>289710000</v>
      </c>
      <c r="EG21" s="148">
        <f>SUM(data_1!EG80:EG85)</f>
        <v>15451200</v>
      </c>
      <c r="EH21" s="148">
        <f>SUM(data_1!EH80:EH85)</f>
        <v>289710000</v>
      </c>
      <c r="EI21" s="148">
        <f>SUM(data_1!EI80:EI85)</f>
        <v>0</v>
      </c>
      <c r="EJ21" s="148">
        <f>SUM(data_1!EJ80:EJ85)</f>
        <v>0</v>
      </c>
      <c r="EK21" s="148">
        <f>SUM(data_1!EK80:EK85)</f>
        <v>305161200</v>
      </c>
      <c r="EL21" s="148">
        <f>SUM(data_1!EL80:EL85)</f>
        <v>289710000</v>
      </c>
      <c r="EM21" s="148">
        <f>SUM(data_1!EM80:EM85)</f>
        <v>0</v>
      </c>
      <c r="EN21" s="148">
        <f>SUM(data_1!EN80:EN85)</f>
        <v>15451200</v>
      </c>
      <c r="EO21" s="148">
        <f>SUM(data_1!EO80:EO85)</f>
        <v>5.0632900000000003</v>
      </c>
      <c r="EP21" s="148">
        <f>SUM(data_1!EP80:EP85)</f>
        <v>0</v>
      </c>
      <c r="EQ21" s="148">
        <f>SUM(data_1!EQ80:EQ85)</f>
        <v>0</v>
      </c>
      <c r="ER21" s="148">
        <f>SUM(data_1!ER80:ER85)</f>
        <v>289710000</v>
      </c>
      <c r="ES21" s="148">
        <f>SUM(data_1!ES80:ES85)</f>
        <v>0</v>
      </c>
      <c r="ET21" s="148">
        <f>SUM(data_1!ET80:ET85)</f>
        <v>289710000</v>
      </c>
      <c r="EU21" s="148">
        <f>SUM(data_1!EU80:EU85)</f>
        <v>289710000</v>
      </c>
      <c r="EV21" s="213">
        <f>SUM(data_1!EV80:EV85)</f>
        <v>0</v>
      </c>
      <c r="EW21" s="213">
        <f>SUM(data_1!EW80:EW85)</f>
        <v>37457200</v>
      </c>
      <c r="EX21" s="213">
        <f>SUM(data_1!EX80:EX85)</f>
        <v>14000000</v>
      </c>
      <c r="EY21" s="213">
        <f>SUM(data_1!EY80:EY85)</f>
        <v>23457200</v>
      </c>
      <c r="EZ21" s="213">
        <f>SUM(data_1!EZ80:EZ85)</f>
        <v>14000000</v>
      </c>
      <c r="FA21" s="213">
        <f>SUM(data_1!FA80:FA85)</f>
        <v>0</v>
      </c>
      <c r="FB21" s="213">
        <f>SUM(data_1!FB80:FB85)</f>
        <v>0</v>
      </c>
      <c r="FC21" s="213">
        <f>SUM(data_1!FC80:FC85)</f>
        <v>37457200</v>
      </c>
      <c r="FD21" s="213">
        <f>SUM(data_1!FD80:FD85)</f>
        <v>14000000</v>
      </c>
      <c r="FE21" s="213">
        <f>SUM(data_1!FE80:FE85)</f>
        <v>0</v>
      </c>
      <c r="FF21" s="213">
        <f>SUM(data_1!FF80:FF85)</f>
        <v>23457200</v>
      </c>
      <c r="FG21" s="213">
        <f>SUM(data_1!FG80:FG85)</f>
        <v>62.624009999999998</v>
      </c>
      <c r="FH21" s="213">
        <f>SUM(data_1!FH80:FH85)</f>
        <v>0</v>
      </c>
      <c r="FI21" s="213">
        <f>SUM(data_1!FI80:FI85)</f>
        <v>0</v>
      </c>
      <c r="FJ21" s="213">
        <f>SUM(data_1!FJ80:FJ85)</f>
        <v>14000000</v>
      </c>
      <c r="FK21" s="213">
        <f>SUM(data_1!FK80:FK85)</f>
        <v>0</v>
      </c>
      <c r="FL21" s="213">
        <f>SUM(data_1!FL80:FL85)</f>
        <v>14000000</v>
      </c>
      <c r="FM21" s="213">
        <f>SUM(data_1!FM80:FM85)</f>
        <v>14000000</v>
      </c>
      <c r="FN21" s="148">
        <f>SUM(data_1!FN80:FN85)</f>
        <v>0</v>
      </c>
      <c r="FO21" s="148">
        <f>SUM(data_1!FO80:FO85)</f>
        <v>20004900</v>
      </c>
      <c r="FP21" s="148">
        <f>SUM(data_1!FP80:FP85)</f>
        <v>12186100</v>
      </c>
      <c r="FQ21" s="148">
        <f>SUM(data_1!FQ80:FQ85)</f>
        <v>7818800</v>
      </c>
      <c r="FR21" s="148">
        <f>SUM(data_1!FR80:FR85)</f>
        <v>12186100</v>
      </c>
      <c r="FS21" s="148">
        <f>SUM(data_1!FS80:FS85)</f>
        <v>0</v>
      </c>
      <c r="FT21" s="148">
        <f>SUM(data_1!FT80:FT85)</f>
        <v>0</v>
      </c>
      <c r="FU21" s="148">
        <f>SUM(data_1!FU80:FU85)</f>
        <v>20004900</v>
      </c>
      <c r="FV21" s="148">
        <f>SUM(data_1!FV80:FV85)</f>
        <v>12186100</v>
      </c>
      <c r="FW21" s="148">
        <f>SUM(data_1!FW80:FW85)</f>
        <v>0</v>
      </c>
      <c r="FX21" s="148">
        <f>SUM(data_1!FX80:FX85)</f>
        <v>7818800</v>
      </c>
      <c r="FY21" s="148">
        <f>SUM(data_1!FY80:FY85)</f>
        <v>71.411720000000003</v>
      </c>
      <c r="FZ21" s="148">
        <f>SUM(data_1!FZ80:FZ85)</f>
        <v>0</v>
      </c>
      <c r="GA21" s="148">
        <f>SUM(data_1!GA80:GA85)</f>
        <v>0</v>
      </c>
      <c r="GB21" s="148">
        <f>SUM(data_1!GB80:GB85)</f>
        <v>12186100</v>
      </c>
      <c r="GC21" s="148">
        <f>SUM(data_1!GC80:GC85)</f>
        <v>0</v>
      </c>
      <c r="GD21" s="148">
        <f>SUM(data_1!GD80:GD85)</f>
        <v>12186100</v>
      </c>
      <c r="GE21" s="148">
        <f>SUM(data_1!GE80:GE85)</f>
        <v>12186100</v>
      </c>
      <c r="GF21" s="148">
        <f>SUM(data_1!GF80:GF85)</f>
        <v>0</v>
      </c>
      <c r="GG21" s="148">
        <f>SUM(data_1!GG80:GG85)</f>
        <v>794501393.20000005</v>
      </c>
      <c r="GH21" s="148">
        <f>SUM(data_1!GH80:GH85)</f>
        <v>249552900</v>
      </c>
      <c r="GI21" s="148">
        <f>SUM(data_1!GI80:GI85)</f>
        <v>544948493.20000005</v>
      </c>
      <c r="GJ21" s="148">
        <f>SUM(data_1!GJ80:GJ85)</f>
        <v>249476551.34999999</v>
      </c>
      <c r="GK21" s="148">
        <f>SUM(data_1!GK80:GK85)</f>
        <v>6248242.9500000002</v>
      </c>
      <c r="GL21" s="148">
        <f>SUM(data_1!GL80:GL85)</f>
        <v>0</v>
      </c>
      <c r="GM21" s="148">
        <f>SUM(data_1!GM80:GM85)</f>
        <v>794140010.5</v>
      </c>
      <c r="GN21" s="148">
        <f>SUM(data_1!GN80:GN85)</f>
        <v>249465780</v>
      </c>
      <c r="GO21" s="148">
        <f>SUM(data_1!GO80:GO85)</f>
        <v>0</v>
      </c>
      <c r="GP21" s="148">
        <f>SUM(data_1!GP80:GP85)</f>
        <v>544674230.5</v>
      </c>
      <c r="GQ21" s="148">
        <f>SUM(data_1!GQ80:GQ85)</f>
        <v>400.51690000000002</v>
      </c>
      <c r="GR21" s="148">
        <f>SUM(data_1!GR80:GR85)</f>
        <v>5952104.1500000004</v>
      </c>
      <c r="GS21" s="148">
        <f>SUM(data_1!GS80:GS85)</f>
        <v>306910.15000000002</v>
      </c>
      <c r="GT21" s="148">
        <f>SUM(data_1!GT80:GT85)</f>
        <v>249465780</v>
      </c>
      <c r="GU21" s="148">
        <f>SUM(data_1!GU80:GU85)</f>
        <v>0</v>
      </c>
      <c r="GV21" s="148">
        <f>SUM(data_1!GV80:GV85)</f>
        <v>249552900</v>
      </c>
      <c r="GW21" s="148">
        <f>SUM(data_1!GW80:GW85)</f>
        <v>249552900</v>
      </c>
      <c r="GX21" s="148">
        <f>SUM(data_1!GX80:GX85)</f>
        <v>0</v>
      </c>
      <c r="GY21" s="148">
        <f>SUM(data_1!GY80:GY85)</f>
        <v>0</v>
      </c>
      <c r="GZ21" s="148">
        <f>SUM(data_1!GZ80:GZ85)</f>
        <v>0</v>
      </c>
      <c r="HA21" s="148">
        <f>SUM(data_1!HA80:HA85)</f>
        <v>0</v>
      </c>
      <c r="HB21" s="148">
        <f>SUM(data_1!HB80:HB85)</f>
        <v>0</v>
      </c>
      <c r="HC21" s="148">
        <f>SUM(data_1!HC80:HC85)</f>
        <v>499241.08999999997</v>
      </c>
      <c r="HD21" s="148">
        <f>SUM(data_1!HD80:HD85)</f>
        <v>0</v>
      </c>
      <c r="HE21" s="148">
        <f>SUM(data_1!HE80:HE85)</f>
        <v>0</v>
      </c>
      <c r="HF21" s="148">
        <f>SUM(data_1!HF80:HF85)</f>
        <v>0</v>
      </c>
      <c r="HG21" s="148">
        <f>SUM(data_1!HG80:HG85)</f>
        <v>0</v>
      </c>
      <c r="HH21" s="148">
        <f>SUM(data_1!HH80:HH85)</f>
        <v>0</v>
      </c>
      <c r="HI21" s="148">
        <f>SUM(data_1!HI80:HI85)</f>
        <v>0</v>
      </c>
      <c r="HJ21" s="148">
        <f>SUM(data_1!HJ80:HJ85)</f>
        <v>496692.80999999994</v>
      </c>
      <c r="HK21" s="148">
        <f>SUM(data_1!HK80:HK85)</f>
        <v>2548.2800000000002</v>
      </c>
      <c r="HL21" s="148">
        <f>SUM(data_1!HL80:HL85)</f>
        <v>0</v>
      </c>
      <c r="HM21" s="148">
        <f>SUM(data_1!HM80:HM85)</f>
        <v>0</v>
      </c>
      <c r="HN21" s="148">
        <f>SUM(data_1!HN80:HN85)</f>
        <v>0</v>
      </c>
      <c r="HO21" s="148">
        <f>SUM(data_1!HO80:HO85)</f>
        <v>0</v>
      </c>
      <c r="HP21" s="148">
        <f>SUM(data_1!HP80:HP85)</f>
        <v>0</v>
      </c>
      <c r="HQ21" s="148">
        <f>SUM(data_1!HQ80:HQ85)</f>
        <v>258041555.13999999</v>
      </c>
      <c r="HR21" s="148">
        <f>SUM(data_1!HR80:HR85)</f>
        <v>94489000</v>
      </c>
      <c r="HS21" s="148">
        <f>SUM(data_1!HS80:HS85)</f>
        <v>163552555.13999999</v>
      </c>
      <c r="HT21" s="148">
        <f>SUM(data_1!HT80:HT85)</f>
        <v>93403302.200000003</v>
      </c>
      <c r="HU21" s="148">
        <f>SUM(data_1!HU80:HU85)</f>
        <v>0</v>
      </c>
      <c r="HV21" s="148">
        <f>SUM(data_1!HV80:HV85)</f>
        <v>0</v>
      </c>
      <c r="HW21" s="148">
        <f>SUM(data_1!HW80:HW85)</f>
        <v>253474645.47</v>
      </c>
      <c r="HX21" s="148">
        <f>SUM(data_1!HX80:HX85)</f>
        <v>93403296.400000006</v>
      </c>
      <c r="HY21" s="148">
        <f>SUM(data_1!HY80:HY85)</f>
        <v>0</v>
      </c>
      <c r="HZ21" s="148">
        <f>SUM(data_1!HZ80:HZ85)</f>
        <v>160071349.06999999</v>
      </c>
      <c r="IA21" s="148">
        <f>SUM(data_1!IA80:IA85)</f>
        <v>196.88191999999998</v>
      </c>
      <c r="IB21" s="148">
        <f>SUM(data_1!IB80:IB85)</f>
        <v>0</v>
      </c>
      <c r="IC21" s="148">
        <f>SUM(data_1!IC80:IC85)</f>
        <v>5.8</v>
      </c>
      <c r="ID21" s="148">
        <f>SUM(data_1!ID80:ID85)</f>
        <v>93403296.400000006</v>
      </c>
      <c r="IE21" s="148">
        <f>SUM(data_1!IE80:IE85)</f>
        <v>0</v>
      </c>
      <c r="IF21" s="148">
        <f>SUM(data_1!IF80:IF85)</f>
        <v>94489000</v>
      </c>
      <c r="IG21" s="148">
        <f>SUM(data_1!IG80:IG85)</f>
        <v>94489000</v>
      </c>
      <c r="IH21" s="148">
        <f>SUM(data_1!IH80:IH85)</f>
        <v>0</v>
      </c>
      <c r="II21" s="148">
        <f>SUM(data_1!II80:II85)</f>
        <v>0</v>
      </c>
      <c r="IJ21" s="148">
        <f>SUM(data_1!IJ80:IJ85)</f>
        <v>0</v>
      </c>
      <c r="IK21" s="148">
        <f>SUM(data_1!IK80:IK85)</f>
        <v>0</v>
      </c>
      <c r="IL21" s="148">
        <f>SUM(data_1!IL80:IL85)</f>
        <v>0</v>
      </c>
      <c r="IM21" s="148">
        <f>SUM(data_1!IM80:IM85)</f>
        <v>0</v>
      </c>
      <c r="IN21" s="148">
        <f>SUM(data_1!IN80:IN85)</f>
        <v>0</v>
      </c>
      <c r="IO21" s="148">
        <f>SUM(data_1!IO80:IO85)</f>
        <v>0</v>
      </c>
      <c r="IP21" s="148">
        <f>SUM(data_1!IP80:IP85)</f>
        <v>0</v>
      </c>
      <c r="IQ21" s="148">
        <f>SUM(data_1!IQ80:IQ85)</f>
        <v>0</v>
      </c>
      <c r="IR21" s="148">
        <f>SUM(data_1!IR80:IR85)</f>
        <v>0</v>
      </c>
      <c r="IS21" s="148">
        <f>SUM(data_1!IS80:IS85)</f>
        <v>0</v>
      </c>
      <c r="IT21" s="148">
        <f>SUM(data_1!IT80:IT85)</f>
        <v>0</v>
      </c>
      <c r="IU21" s="148">
        <f>SUM(data_1!IU80:IU85)</f>
        <v>0</v>
      </c>
      <c r="IV21" s="148">
        <f>SUM(data_1!IV80:IV85)</f>
        <v>0</v>
      </c>
      <c r="IW21" s="148">
        <f>SUM(data_1!IW80:IW85)</f>
        <v>0</v>
      </c>
      <c r="IX21" s="148">
        <f>SUM(data_1!IX80:IX85)</f>
        <v>0</v>
      </c>
      <c r="IY21" s="148">
        <f>SUM(data_1!IY80:IY85)</f>
        <v>0</v>
      </c>
      <c r="IZ21" s="148">
        <f>SUM(data_1!IZ80:IZ85)</f>
        <v>0</v>
      </c>
      <c r="JA21" s="148">
        <f>SUM(data_1!JA80:JA85)</f>
        <v>16928000</v>
      </c>
      <c r="JB21" s="148">
        <f>SUM(data_1!JB80:JB85)</f>
        <v>1928000</v>
      </c>
      <c r="JC21" s="148">
        <f>SUM(data_1!JC80:JC85)</f>
        <v>15000000</v>
      </c>
      <c r="JD21" s="148">
        <f>SUM(data_1!JD80:JD85)</f>
        <v>1928000</v>
      </c>
      <c r="JE21" s="148">
        <f>SUM(data_1!JE80:JE85)</f>
        <v>0</v>
      </c>
      <c r="JF21" s="148">
        <f>SUM(data_1!JF80:JF85)</f>
        <v>0</v>
      </c>
      <c r="JG21" s="148">
        <f>SUM(data_1!JG80:JG85)</f>
        <v>16928000</v>
      </c>
      <c r="JH21" s="148">
        <f>SUM(data_1!JH80:JH85)</f>
        <v>1928000</v>
      </c>
      <c r="JI21" s="148">
        <f>SUM(data_1!JI80:JI85)</f>
        <v>0</v>
      </c>
      <c r="JJ21" s="148">
        <f>SUM(data_1!JJ80:JJ85)</f>
        <v>15000000</v>
      </c>
      <c r="JK21" s="148">
        <f>SUM(data_1!JK80:JK85)</f>
        <v>88.610590000000002</v>
      </c>
      <c r="JL21" s="148">
        <f>SUM(data_1!JL80:JL85)</f>
        <v>0</v>
      </c>
      <c r="JM21" s="148">
        <f>SUM(data_1!JM80:JM85)</f>
        <v>0</v>
      </c>
      <c r="JN21" s="148">
        <f>SUM(data_1!JN80:JN85)</f>
        <v>1928000</v>
      </c>
      <c r="JO21" s="148">
        <f>SUM(data_1!JO80:JO85)</f>
        <v>0</v>
      </c>
      <c r="JP21" s="148">
        <f>SUM(data_1!JP80:JP85)</f>
        <v>1928000</v>
      </c>
      <c r="JQ21" s="148">
        <f>SUM(data_1!JQ80:JQ85)</f>
        <v>1928000</v>
      </c>
      <c r="JR21" s="148">
        <f>SUM(data_1!JR80:JR85)</f>
        <v>0</v>
      </c>
      <c r="JS21" s="148">
        <f>SUM(data_1!JS80:JS85)</f>
        <v>0</v>
      </c>
      <c r="JT21" s="148">
        <f>SUM(data_1!JT80:JT85)</f>
        <v>0</v>
      </c>
      <c r="JU21" s="148">
        <f>SUM(data_1!JU80:JU85)</f>
        <v>0</v>
      </c>
      <c r="JV21" s="148">
        <f>SUM(data_1!JV80:JV85)</f>
        <v>0</v>
      </c>
      <c r="JW21" s="148">
        <f>SUM(data_1!JW80:JW85)</f>
        <v>0</v>
      </c>
      <c r="JX21" s="148">
        <f>SUM(data_1!JX80:JX85)</f>
        <v>0</v>
      </c>
      <c r="JY21" s="148">
        <f>SUM(data_1!JY80:JY85)</f>
        <v>0</v>
      </c>
      <c r="JZ21" s="148">
        <f>SUM(data_1!JZ80:JZ85)</f>
        <v>0</v>
      </c>
      <c r="KA21" s="148">
        <f>SUM(data_1!KA80:KA85)</f>
        <v>0</v>
      </c>
      <c r="KB21" s="148">
        <f>SUM(data_1!KB80:KB85)</f>
        <v>0</v>
      </c>
      <c r="KC21" s="148">
        <f>SUM(data_1!KC80:KC85)</f>
        <v>0</v>
      </c>
      <c r="KD21" s="148">
        <f>SUM(data_1!KD80:KD85)</f>
        <v>0</v>
      </c>
      <c r="KE21" s="148">
        <f>SUM(data_1!KE80:KE85)</f>
        <v>0</v>
      </c>
      <c r="KF21" s="148">
        <f>SUM(data_1!KF80:KF85)</f>
        <v>0</v>
      </c>
      <c r="KG21" s="148">
        <f>SUM(data_1!KG80:KG85)</f>
        <v>0</v>
      </c>
      <c r="KH21" s="148">
        <f>SUM(data_1!KH80:KH85)</f>
        <v>0</v>
      </c>
      <c r="KI21" s="148">
        <f>SUM(data_1!KI80:KI85)</f>
        <v>0</v>
      </c>
      <c r="KJ21" s="148">
        <f>SUM(data_1!KJ80:KJ85)</f>
        <v>0</v>
      </c>
      <c r="KK21" s="148">
        <f>SUM(data_1!KK80:KK85)</f>
        <v>3307240.71</v>
      </c>
      <c r="KL21" s="148">
        <f>SUM(data_1!KL80:KL85)</f>
        <v>507000</v>
      </c>
      <c r="KM21" s="148">
        <f>SUM(data_1!KM80:KM85)</f>
        <v>2800240.71</v>
      </c>
      <c r="KN21" s="148">
        <f>SUM(data_1!KN80:KN85)</f>
        <v>507000</v>
      </c>
      <c r="KO21" s="148">
        <f>SUM(data_1!KO80:KO85)</f>
        <v>0</v>
      </c>
      <c r="KP21" s="148">
        <f>SUM(data_1!KP80:KP85)</f>
        <v>0</v>
      </c>
      <c r="KQ21" s="148">
        <f>SUM(data_1!KQ80:KQ85)</f>
        <v>3307240.71</v>
      </c>
      <c r="KR21" s="148">
        <f>SUM(data_1!KR80:KR85)</f>
        <v>507000</v>
      </c>
      <c r="KS21" s="148">
        <f>SUM(data_1!KS80:KS85)</f>
        <v>0</v>
      </c>
      <c r="KT21" s="148">
        <f>SUM(data_1!KT80:KT85)</f>
        <v>2800240.71</v>
      </c>
      <c r="KU21" s="148">
        <f>SUM(data_1!KU80:KU85)</f>
        <v>84.67</v>
      </c>
      <c r="KV21" s="148">
        <f>SUM(data_1!KV80:KV85)</f>
        <v>0</v>
      </c>
      <c r="KW21" s="148">
        <f>SUM(data_1!KW80:KW85)</f>
        <v>0</v>
      </c>
      <c r="KX21" s="148">
        <f>SUM(data_1!KX80:KX85)</f>
        <v>507000</v>
      </c>
      <c r="KY21" s="148">
        <f>SUM(data_1!KY80:KY85)</f>
        <v>0</v>
      </c>
      <c r="KZ21" s="148">
        <f>SUM(data_1!KZ80:KZ85)</f>
        <v>507000</v>
      </c>
      <c r="LA21" s="148">
        <f>SUM(data_1!LA80:LA85)</f>
        <v>507000</v>
      </c>
      <c r="LB21" s="148">
        <f>SUM(data_1!LB80:LB85)</f>
        <v>0</v>
      </c>
      <c r="LC21" s="148">
        <f>SUM(data_1!LC80:LC85)</f>
        <v>0</v>
      </c>
      <c r="LD21" s="148">
        <f>SUM(data_1!LD80:LD85)</f>
        <v>0</v>
      </c>
      <c r="LE21" s="148">
        <f>SUM(data_1!LE80:LE85)</f>
        <v>0</v>
      </c>
      <c r="LF21" s="148">
        <f>SUM(data_1!LF80:LF85)</f>
        <v>0</v>
      </c>
      <c r="LG21" s="148">
        <f>SUM(data_1!LG80:LG85)</f>
        <v>0</v>
      </c>
      <c r="LH21" s="148">
        <f>SUM(data_1!LH80:LH85)</f>
        <v>0</v>
      </c>
      <c r="LI21" s="148">
        <f>SUM(data_1!LI80:LI85)</f>
        <v>0</v>
      </c>
      <c r="LJ21" s="148">
        <f>SUM(data_1!LJ80:LJ85)</f>
        <v>0</v>
      </c>
      <c r="LK21" s="148">
        <f>SUM(data_1!LK80:LK85)</f>
        <v>0</v>
      </c>
      <c r="LL21" s="148">
        <f>SUM(data_1!LL80:LL85)</f>
        <v>0</v>
      </c>
      <c r="LM21" s="148">
        <f>SUM(data_1!LM80:LM85)</f>
        <v>0</v>
      </c>
      <c r="LN21" s="148">
        <f>SUM(data_1!LN80:LN85)</f>
        <v>0</v>
      </c>
      <c r="LO21" s="148">
        <f>SUM(data_1!LO80:LO85)</f>
        <v>0</v>
      </c>
      <c r="LP21" s="148">
        <f>SUM(data_1!LP80:LP85)</f>
        <v>0</v>
      </c>
      <c r="LQ21" s="148">
        <f>SUM(data_1!LQ80:LQ85)</f>
        <v>0</v>
      </c>
      <c r="LR21" s="148">
        <f>SUM(data_1!LR80:LR85)</f>
        <v>0</v>
      </c>
      <c r="LS21" s="148">
        <f>SUM(data_1!LS80:LS85)</f>
        <v>0</v>
      </c>
      <c r="LT21" s="148">
        <f>SUM(data_1!LT80:LT85)</f>
        <v>0</v>
      </c>
      <c r="LU21" s="148">
        <f>SUM(data_1!LU80:LU85)</f>
        <v>3497800</v>
      </c>
      <c r="LV21" s="148">
        <f>SUM(data_1!LV80:LV85)</f>
        <v>1184000</v>
      </c>
      <c r="LW21" s="148">
        <f>SUM(data_1!LW80:LW85)</f>
        <v>2313800</v>
      </c>
      <c r="LX21" s="148">
        <f>SUM(data_1!LX80:LX85)</f>
        <v>1184000</v>
      </c>
      <c r="LY21" s="148">
        <f>SUM(data_1!LY80:LY85)</f>
        <v>0</v>
      </c>
      <c r="LZ21" s="148">
        <f>SUM(data_1!LZ80:LZ85)</f>
        <v>0</v>
      </c>
      <c r="MA21" s="148">
        <f>SUM(data_1!MA80:MA85)</f>
        <v>3497800</v>
      </c>
      <c r="MB21" s="148">
        <f>SUM(data_1!MB80:MB85)</f>
        <v>1184000</v>
      </c>
      <c r="MC21" s="148">
        <f>SUM(data_1!MC80:MC85)</f>
        <v>0</v>
      </c>
      <c r="MD21" s="148">
        <f>SUM(data_1!MD80:MD85)</f>
        <v>2313800</v>
      </c>
      <c r="ME21" s="148">
        <f>SUM(data_1!ME80:ME85)</f>
        <v>66.150149999999996</v>
      </c>
      <c r="MF21" s="148">
        <f>SUM(data_1!MF80:MF85)</f>
        <v>0</v>
      </c>
      <c r="MG21" s="148">
        <f>SUM(data_1!MG80:MG85)</f>
        <v>0</v>
      </c>
      <c r="MH21" s="148">
        <f>SUM(data_1!MH80:MH85)</f>
        <v>1184000</v>
      </c>
      <c r="MI21" s="148">
        <f>SUM(data_1!MI80:MI85)</f>
        <v>0</v>
      </c>
      <c r="MJ21" s="148">
        <f>SUM(data_1!MJ80:MJ85)</f>
        <v>1184000</v>
      </c>
      <c r="MK21" s="148">
        <f>SUM(data_1!MK80:MK85)</f>
        <v>1184000</v>
      </c>
      <c r="ML21" s="148">
        <f>SUM(data_1!ML80:ML85)</f>
        <v>0</v>
      </c>
      <c r="MM21" s="148">
        <f>SUM(data_1!MM80:MM85)</f>
        <v>0</v>
      </c>
      <c r="MN21" s="148">
        <f>SUM(data_1!MN80:MN85)</f>
        <v>0</v>
      </c>
      <c r="MO21" s="148">
        <f>SUM(data_1!MO80:MO85)</f>
        <v>0</v>
      </c>
      <c r="MP21" s="148">
        <f>SUM(data_1!MP80:MP85)</f>
        <v>0</v>
      </c>
      <c r="MQ21" s="148">
        <f>SUM(data_1!MQ80:MQ85)</f>
        <v>0</v>
      </c>
      <c r="MR21" s="148">
        <f>SUM(data_1!MR80:MR85)</f>
        <v>0</v>
      </c>
      <c r="MS21" s="148">
        <f>SUM(data_1!MS80:MS85)</f>
        <v>0</v>
      </c>
      <c r="MT21" s="148">
        <f>SUM(data_1!MT80:MT85)</f>
        <v>0</v>
      </c>
      <c r="MU21" s="148">
        <f>SUM(data_1!MU80:MU85)</f>
        <v>0</v>
      </c>
      <c r="MV21" s="148">
        <f>SUM(data_1!MV80:MV85)</f>
        <v>0</v>
      </c>
      <c r="MW21" s="148">
        <f>SUM(data_1!MW80:MW85)</f>
        <v>0</v>
      </c>
      <c r="MX21" s="148">
        <f>SUM(data_1!MX80:MX85)</f>
        <v>0</v>
      </c>
      <c r="MY21" s="148">
        <f>SUM(data_1!MY80:MY85)</f>
        <v>0</v>
      </c>
      <c r="MZ21" s="148">
        <f>SUM(data_1!MZ80:MZ85)</f>
        <v>0</v>
      </c>
      <c r="NA21" s="148">
        <f>SUM(data_1!NA80:NA85)</f>
        <v>0</v>
      </c>
      <c r="NB21" s="148">
        <f>SUM(data_1!NB80:NB85)</f>
        <v>0</v>
      </c>
      <c r="NC21" s="148">
        <f>SUM(data_1!NC80:NC85)</f>
        <v>0</v>
      </c>
      <c r="ND21" s="148">
        <f>SUM(data_1!ND80:ND85)</f>
        <v>0</v>
      </c>
      <c r="NE21" s="148">
        <f>SUM(data_1!NE80:NE85)</f>
        <v>95064363.010000005</v>
      </c>
      <c r="NF21" s="148">
        <f>SUM(data_1!NF80:NF85)</f>
        <v>50070400</v>
      </c>
      <c r="NG21" s="148">
        <f>SUM(data_1!NG80:NG85)</f>
        <v>44993963.009999998</v>
      </c>
      <c r="NH21" s="148">
        <f>SUM(data_1!NH80:NH85)</f>
        <v>50070400</v>
      </c>
      <c r="NI21" s="148">
        <f>SUM(data_1!NI80:NI85)</f>
        <v>0</v>
      </c>
      <c r="NJ21" s="148">
        <f>SUM(data_1!NJ80:NJ85)</f>
        <v>0</v>
      </c>
      <c r="NK21" s="148">
        <f>SUM(data_1!NK80:NK85)</f>
        <v>95064363.010000005</v>
      </c>
      <c r="NL21" s="148">
        <f>SUM(data_1!NL80:NL85)</f>
        <v>50070400</v>
      </c>
      <c r="NM21" s="148">
        <f>SUM(data_1!NM80:NM85)</f>
        <v>0</v>
      </c>
      <c r="NN21" s="148">
        <f>SUM(data_1!NN80:NN85)</f>
        <v>44993963.009999998</v>
      </c>
      <c r="NO21" s="148">
        <f>SUM(data_1!NO80:NO85)</f>
        <v>47.33</v>
      </c>
      <c r="NP21" s="148">
        <f>SUM(data_1!NP80:NP85)</f>
        <v>0</v>
      </c>
      <c r="NQ21" s="148">
        <f>SUM(data_1!NQ80:NQ85)</f>
        <v>0</v>
      </c>
      <c r="NR21" s="148">
        <f>SUM(data_1!NR80:NR85)</f>
        <v>50070400</v>
      </c>
      <c r="NS21" s="148">
        <f>SUM(data_1!NS80:NS85)</f>
        <v>0</v>
      </c>
      <c r="NT21" s="148">
        <f>SUM(data_1!NT80:NT85)</f>
        <v>50070400</v>
      </c>
      <c r="NU21" s="148">
        <f>SUM(data_1!NU80:NU85)</f>
        <v>50070400</v>
      </c>
      <c r="NV21" s="148">
        <f>SUM(data_1!NV80:NV85)</f>
        <v>0</v>
      </c>
      <c r="NW21" s="148">
        <f>SUM(data_1!NW80:NW85)</f>
        <v>0</v>
      </c>
      <c r="NX21" s="148">
        <f>SUM(data_1!NX80:NX85)</f>
        <v>0</v>
      </c>
      <c r="NY21" s="148">
        <f>SUM(data_1!NY80:NY85)</f>
        <v>0</v>
      </c>
      <c r="NZ21" s="148">
        <f>SUM(data_1!NZ80:NZ85)</f>
        <v>0</v>
      </c>
      <c r="OA21" s="148">
        <f>SUM(data_1!OA80:OA85)</f>
        <v>0</v>
      </c>
      <c r="OB21" s="148">
        <f>SUM(data_1!OB80:OB85)</f>
        <v>0</v>
      </c>
      <c r="OC21" s="148">
        <f>SUM(data_1!OC80:OC85)</f>
        <v>0</v>
      </c>
      <c r="OD21" s="148">
        <f>SUM(data_1!OD80:OD85)</f>
        <v>0</v>
      </c>
      <c r="OE21" s="148">
        <f>SUM(data_1!OE80:OE85)</f>
        <v>0</v>
      </c>
      <c r="OF21" s="148">
        <f>SUM(data_1!OF80:OF85)</f>
        <v>0</v>
      </c>
      <c r="OG21" s="148">
        <f>SUM(data_1!OG80:OG85)</f>
        <v>0</v>
      </c>
      <c r="OH21" s="148">
        <f>SUM(data_1!OH80:OH85)</f>
        <v>0</v>
      </c>
      <c r="OI21" s="148">
        <f>SUM(data_1!OI80:OI85)</f>
        <v>0</v>
      </c>
      <c r="OJ21" s="148">
        <f>SUM(data_1!OJ80:OJ85)</f>
        <v>0</v>
      </c>
      <c r="OK21" s="148">
        <f>SUM(data_1!OK80:OK85)</f>
        <v>0</v>
      </c>
      <c r="OL21" s="148">
        <f>SUM(data_1!OL80:OL85)</f>
        <v>0</v>
      </c>
      <c r="OM21" s="148">
        <f>SUM(data_1!OM80:OM85)</f>
        <v>0</v>
      </c>
      <c r="ON21" s="148">
        <f>SUM(data_1!ON80:ON85)</f>
        <v>0</v>
      </c>
      <c r="OO21" s="148">
        <f>SUM(data_1!OO80:OO85)</f>
        <v>7532000</v>
      </c>
      <c r="OP21" s="148">
        <f>SUM(data_1!OP80:OP85)</f>
        <v>3032000</v>
      </c>
      <c r="OQ21" s="148">
        <f>SUM(data_1!OQ80:OQ85)</f>
        <v>4500000</v>
      </c>
      <c r="OR21" s="148">
        <f>SUM(data_1!OR80:OR85)</f>
        <v>3032000</v>
      </c>
      <c r="OS21" s="148">
        <f>SUM(data_1!OS80:OS85)</f>
        <v>0</v>
      </c>
      <c r="OT21" s="148">
        <f>SUM(data_1!OT80:OT85)</f>
        <v>0</v>
      </c>
      <c r="OU21" s="148">
        <f>SUM(data_1!OU80:OU85)</f>
        <v>7531999</v>
      </c>
      <c r="OV21" s="148">
        <f>SUM(data_1!OV80:OV85)</f>
        <v>3031999.37</v>
      </c>
      <c r="OW21" s="148">
        <f>SUM(data_1!OW80:OW85)</f>
        <v>0</v>
      </c>
      <c r="OX21" s="148">
        <f>SUM(data_1!OX80:OX85)</f>
        <v>4499999.63</v>
      </c>
      <c r="OY21" s="148">
        <f>SUM(data_1!OY80:OY85)</f>
        <v>240.1901</v>
      </c>
      <c r="OZ21" s="148">
        <f>SUM(data_1!OZ80:OZ85)</f>
        <v>0</v>
      </c>
      <c r="PA21" s="148">
        <f>SUM(data_1!PA80:PA85)</f>
        <v>0.63</v>
      </c>
      <c r="PB21" s="148">
        <f>SUM(data_1!PB80:PB85)</f>
        <v>3031999.37</v>
      </c>
      <c r="PC21" s="148">
        <f>SUM(data_1!PC80:PC85)</f>
        <v>0</v>
      </c>
      <c r="PD21" s="148">
        <f>SUM(data_1!PD80:PD85)</f>
        <v>3032000</v>
      </c>
      <c r="PE21" s="148">
        <f>SUM(data_1!PE80:PE85)</f>
        <v>3032000</v>
      </c>
      <c r="PF21" s="148">
        <f>SUM(data_1!PF80:PF85)</f>
        <v>0</v>
      </c>
      <c r="PG21" s="148">
        <f>SUM(data_1!PG80:PG85)</f>
        <v>0</v>
      </c>
      <c r="PH21" s="148">
        <f>SUM(data_1!PH80:PH85)</f>
        <v>0</v>
      </c>
      <c r="PI21" s="148">
        <f>SUM(data_1!PI80:PI85)</f>
        <v>0</v>
      </c>
      <c r="PJ21" s="148">
        <f>SUM(data_1!PJ80:PJ85)</f>
        <v>0</v>
      </c>
      <c r="PK21" s="148">
        <f>SUM(data_1!PK80:PK85)</f>
        <v>0</v>
      </c>
      <c r="PL21" s="148">
        <f>SUM(data_1!PL80:PL85)</f>
        <v>0</v>
      </c>
      <c r="PM21" s="148">
        <f>SUM(data_1!PM80:PM85)</f>
        <v>0</v>
      </c>
      <c r="PN21" s="148">
        <f>SUM(data_1!PN80:PN85)</f>
        <v>0</v>
      </c>
      <c r="PO21" s="148">
        <f>SUM(data_1!PO80:PO85)</f>
        <v>0</v>
      </c>
      <c r="PP21" s="148">
        <f>SUM(data_1!PP80:PP85)</f>
        <v>0</v>
      </c>
      <c r="PQ21" s="148">
        <f>SUM(data_1!PQ80:PQ85)</f>
        <v>0</v>
      </c>
      <c r="PR21" s="148">
        <f>SUM(data_1!PR80:PR85)</f>
        <v>0</v>
      </c>
      <c r="PS21" s="148">
        <f>SUM(data_1!PS80:PS85)</f>
        <v>0</v>
      </c>
      <c r="PT21" s="148">
        <f>SUM(data_1!PT80:PT85)</f>
        <v>0</v>
      </c>
      <c r="PU21" s="148">
        <f>SUM(data_1!PU80:PU85)</f>
        <v>0</v>
      </c>
      <c r="PV21" s="148">
        <f>SUM(data_1!PV80:PV85)</f>
        <v>0</v>
      </c>
      <c r="PW21" s="148">
        <f>SUM(data_1!PW80:PW85)</f>
        <v>0</v>
      </c>
      <c r="PX21" s="148">
        <f>SUM(data_1!PX80:PX85)</f>
        <v>0</v>
      </c>
      <c r="PY21" s="148">
        <f>SUM(data_1!PY80:PY85)</f>
        <v>0</v>
      </c>
      <c r="PZ21" s="148">
        <f>SUM(data_1!PZ80:PZ85)</f>
        <v>0</v>
      </c>
      <c r="QA21" s="148">
        <f>SUM(data_1!QA80:QA85)</f>
        <v>0</v>
      </c>
      <c r="QB21" s="148">
        <f>SUM(data_1!QB80:QB85)</f>
        <v>0</v>
      </c>
      <c r="QC21" s="148">
        <f>SUM(data_1!QC80:QC85)</f>
        <v>94576434.070000008</v>
      </c>
      <c r="QD21" s="148">
        <f>SUM(data_1!QD80:QD85)</f>
        <v>0</v>
      </c>
      <c r="QE21" s="148">
        <f>SUM(data_1!QE80:QE85)</f>
        <v>0</v>
      </c>
      <c r="QF21" s="148">
        <f>SUM(data_1!QF80:QF85)</f>
        <v>0</v>
      </c>
      <c r="QG21" s="148">
        <f>SUM(data_1!QG80:QG85)</f>
        <v>0</v>
      </c>
      <c r="QH21" s="148">
        <f>SUM(data_1!QH80:QH85)</f>
        <v>0</v>
      </c>
      <c r="QI21" s="148">
        <f>SUM(data_1!QI80:QI85)</f>
        <v>0</v>
      </c>
      <c r="QJ21" s="148">
        <f>SUM(data_1!QJ80:QJ85)</f>
        <v>94181938.070000008</v>
      </c>
      <c r="QK21" s="148">
        <f>SUM(data_1!QK80:QK85)</f>
        <v>394496</v>
      </c>
      <c r="QL21" s="148">
        <f>SUM(data_1!QL80:QL85)</f>
        <v>0</v>
      </c>
      <c r="QM21" s="148">
        <f>SUM(data_1!QM80:QM85)</f>
        <v>0</v>
      </c>
      <c r="QN21" s="148">
        <f>SUM(data_1!QN80:QN85)</f>
        <v>0</v>
      </c>
      <c r="QO21" s="148">
        <f>SUM(data_1!QO80:QO85)</f>
        <v>0</v>
      </c>
    </row>
    <row r="22" spans="1:457" x14ac:dyDescent="0.25">
      <c r="A22" s="133" t="s">
        <v>190</v>
      </c>
      <c r="B22" s="136" t="s">
        <v>191</v>
      </c>
      <c r="C22" s="137" t="s">
        <v>192</v>
      </c>
      <c r="F22" s="148">
        <f>SUM(data_1!F87:F98)</f>
        <v>13378561300</v>
      </c>
      <c r="G22" s="148">
        <f>SUM(data_1!G87:G98)</f>
        <v>0</v>
      </c>
      <c r="H22" s="148">
        <f>SUM(data_1!H87:H98)</f>
        <v>0</v>
      </c>
      <c r="I22" s="148">
        <f>SUM(data_1!I87:I98)</f>
        <v>2627005655.7600002</v>
      </c>
      <c r="J22" s="148">
        <f>SUM(data_1!J87:J98)</f>
        <v>2317914000</v>
      </c>
      <c r="K22" s="148">
        <f>SUM(data_1!K87:K98)</f>
        <v>309091655.75999999</v>
      </c>
      <c r="L22" s="148">
        <f>SUM(data_1!L87:L98)</f>
        <v>2312055360.9400001</v>
      </c>
      <c r="M22" s="148">
        <f>SUM(data_1!M87:M98)</f>
        <v>5922310.5800000001</v>
      </c>
      <c r="N22" s="148">
        <f>SUM(data_1!N87:N98)</f>
        <v>0</v>
      </c>
      <c r="O22" s="148">
        <f>SUM(data_1!O87:O98)</f>
        <v>2618928255.1000004</v>
      </c>
      <c r="P22" s="148">
        <f>SUM(data_1!P87:P98)</f>
        <v>2312043461.3600001</v>
      </c>
      <c r="Q22" s="148">
        <f>SUM(data_1!Q87:Q98)</f>
        <v>0</v>
      </c>
      <c r="R22" s="148">
        <f>SUM(data_1!R87:R98)</f>
        <v>306884793.73999995</v>
      </c>
      <c r="S22" s="148">
        <f>SUM(data_1!S87:S98)</f>
        <v>182.27544</v>
      </c>
      <c r="T22" s="148">
        <f>SUM(data_1!T87:T98)</f>
        <v>5922310.5800000001</v>
      </c>
      <c r="U22" s="148">
        <f>SUM(data_1!U87:U98)</f>
        <v>11899.58</v>
      </c>
      <c r="V22" s="148">
        <f>SUM(data_1!V87:V98)</f>
        <v>2312043461.3600001</v>
      </c>
      <c r="W22" s="148">
        <f>SUM(data_1!W87:W98)</f>
        <v>0</v>
      </c>
      <c r="X22" s="148">
        <f>SUM(data_1!X87:X98)</f>
        <v>2317914000</v>
      </c>
      <c r="Y22" s="148">
        <f>SUM(data_1!Y87:Y98)</f>
        <v>2317914000</v>
      </c>
      <c r="Z22" s="213">
        <f>SUM(data_1!Z87:Z98)</f>
        <v>0</v>
      </c>
      <c r="AA22" s="213">
        <f>SUM(data_1!AA87:AA98)</f>
        <v>457944842.57999998</v>
      </c>
      <c r="AB22" s="213">
        <f>SUM(data_1!AB87:AB98)</f>
        <v>435047600</v>
      </c>
      <c r="AC22" s="213">
        <f>SUM(data_1!AC87:AC98)</f>
        <v>22897242.579999998</v>
      </c>
      <c r="AD22" s="213">
        <f>SUM(data_1!AD87:AD98)</f>
        <v>435047600</v>
      </c>
      <c r="AE22" s="213">
        <f>SUM(data_1!AE87:AE98)</f>
        <v>0</v>
      </c>
      <c r="AF22" s="213">
        <f>SUM(data_1!AF87:AF98)</f>
        <v>0</v>
      </c>
      <c r="AG22" s="213">
        <f>SUM(data_1!AG87:AG98)</f>
        <v>457944842.57999998</v>
      </c>
      <c r="AH22" s="213">
        <f>SUM(data_1!AH87:AH98)</f>
        <v>435047600</v>
      </c>
      <c r="AI22" s="213">
        <f>SUM(data_1!AI87:AI98)</f>
        <v>0</v>
      </c>
      <c r="AJ22" s="213">
        <f>SUM(data_1!AJ87:AJ98)</f>
        <v>22897242.579999998</v>
      </c>
      <c r="AK22" s="213">
        <f>SUM(data_1!AK87:AK98)</f>
        <v>15</v>
      </c>
      <c r="AL22" s="213">
        <f>SUM(data_1!AL87:AL98)</f>
        <v>0</v>
      </c>
      <c r="AM22" s="213">
        <f>SUM(data_1!AM87:AM98)</f>
        <v>0</v>
      </c>
      <c r="AN22" s="213">
        <f>SUM(data_1!AN87:AN98)</f>
        <v>435047600</v>
      </c>
      <c r="AO22" s="213">
        <f>SUM(data_1!AO87:AO98)</f>
        <v>0</v>
      </c>
      <c r="AP22" s="213">
        <f>SUM(data_1!AP87:AP98)</f>
        <v>435047600</v>
      </c>
      <c r="AQ22" s="213">
        <f>SUM(data_1!AQ87:AQ98)</f>
        <v>435047600</v>
      </c>
      <c r="AR22" s="148">
        <f>SUM(data_1!AR87:AR98)</f>
        <v>0</v>
      </c>
      <c r="AS22" s="148">
        <f>SUM(data_1!AS87:AS98)</f>
        <v>1648928600</v>
      </c>
      <c r="AT22" s="148">
        <f>SUM(data_1!AT87:AT98)</f>
        <v>999690500</v>
      </c>
      <c r="AU22" s="148">
        <f>SUM(data_1!AU87:AU98)</f>
        <v>649238100</v>
      </c>
      <c r="AV22" s="148">
        <f>SUM(data_1!AV87:AV98)</f>
        <v>997991753.82999992</v>
      </c>
      <c r="AW22" s="148">
        <f>SUM(data_1!AW87:AW98)</f>
        <v>0</v>
      </c>
      <c r="AX22" s="148">
        <f>SUM(data_1!AX87:AX98)</f>
        <v>0</v>
      </c>
      <c r="AY22" s="148">
        <f>SUM(data_1!AY87:AY98)</f>
        <v>1646312857.9100001</v>
      </c>
      <c r="AZ22" s="148">
        <f>SUM(data_1!AZ87:AZ98)</f>
        <v>997990940.96000004</v>
      </c>
      <c r="BA22" s="148">
        <f>SUM(data_1!BA87:BA98)</f>
        <v>0</v>
      </c>
      <c r="BB22" s="148">
        <f>SUM(data_1!BB87:BB98)</f>
        <v>648321916.95000005</v>
      </c>
      <c r="BC22" s="148">
        <f>SUM(data_1!BC87:BC98)</f>
        <v>594.42128000000002</v>
      </c>
      <c r="BD22" s="148">
        <f>SUM(data_1!BD87:BD98)</f>
        <v>0</v>
      </c>
      <c r="BE22" s="148">
        <f>SUM(data_1!BE87:BE98)</f>
        <v>812.87</v>
      </c>
      <c r="BF22" s="148">
        <f>SUM(data_1!BF87:BF98)</f>
        <v>997990940.96000004</v>
      </c>
      <c r="BG22" s="148">
        <f>SUM(data_1!BG87:BG98)</f>
        <v>0</v>
      </c>
      <c r="BH22" s="148">
        <f>SUM(data_1!BH87:BH98)</f>
        <v>999690500</v>
      </c>
      <c r="BI22" s="148">
        <f>SUM(data_1!BI87:BI98)</f>
        <v>999690500</v>
      </c>
      <c r="BJ22" s="213">
        <f>SUM(data_1!BJ87:BJ98)</f>
        <v>0</v>
      </c>
      <c r="BK22" s="213">
        <f>SUM(data_1!BK87:BK98)</f>
        <v>0</v>
      </c>
      <c r="BL22" s="213">
        <f>SUM(data_1!BL87:BL98)</f>
        <v>0</v>
      </c>
      <c r="BM22" s="213">
        <f>SUM(data_1!BM87:BM98)</f>
        <v>0</v>
      </c>
      <c r="BN22" s="213">
        <f>SUM(data_1!BN87:BN98)</f>
        <v>0</v>
      </c>
      <c r="BO22" s="213">
        <f>SUM(data_1!BO87:BO98)</f>
        <v>0</v>
      </c>
      <c r="BP22" s="213">
        <f>SUM(data_1!BP87:BP98)</f>
        <v>0</v>
      </c>
      <c r="BQ22" s="213">
        <f>SUM(data_1!BQ87:BQ98)</f>
        <v>0</v>
      </c>
      <c r="BR22" s="213">
        <f>SUM(data_1!BR87:BR98)</f>
        <v>0</v>
      </c>
      <c r="BS22" s="213">
        <f>SUM(data_1!BS87:BS98)</f>
        <v>0</v>
      </c>
      <c r="BT22" s="213">
        <f>SUM(data_1!BT87:BT98)</f>
        <v>0</v>
      </c>
      <c r="BU22" s="213">
        <f>SUM(data_1!BU87:BU98)</f>
        <v>0</v>
      </c>
      <c r="BV22" s="213">
        <f>SUM(data_1!BV87:BV98)</f>
        <v>0</v>
      </c>
      <c r="BW22" s="213">
        <f>SUM(data_1!BW87:BW98)</f>
        <v>0</v>
      </c>
      <c r="BX22" s="213">
        <f>SUM(data_1!BX87:BX98)</f>
        <v>0</v>
      </c>
      <c r="BY22" s="213">
        <f>SUM(data_1!BY87:BY98)</f>
        <v>0</v>
      </c>
      <c r="BZ22" s="213">
        <f>SUM(data_1!BZ87:BZ98)</f>
        <v>0</v>
      </c>
      <c r="CA22" s="213">
        <f>SUM(data_1!CA87:CA98)</f>
        <v>0</v>
      </c>
      <c r="CB22" s="148">
        <f>SUM(data_1!CB87:CB98)</f>
        <v>0</v>
      </c>
      <c r="CC22" s="148">
        <f>SUM(data_1!CC87:CC98)</f>
        <v>3414191191.3199997</v>
      </c>
      <c r="CD22" s="148">
        <f>SUM(data_1!CD87:CD98)</f>
        <v>2738659100</v>
      </c>
      <c r="CE22" s="148">
        <f>SUM(data_1!CE87:CE98)</f>
        <v>675532091.31999993</v>
      </c>
      <c r="CF22" s="148">
        <f>SUM(data_1!CF87:CF98)</f>
        <v>2738545008.3600001</v>
      </c>
      <c r="CG22" s="148">
        <f>SUM(data_1!CG87:CG98)</f>
        <v>3487138.11</v>
      </c>
      <c r="CH22" s="148">
        <f>SUM(data_1!CH87:CH98)</f>
        <v>0</v>
      </c>
      <c r="CI22" s="148">
        <f>SUM(data_1!CI87:CI98)</f>
        <v>3414074567.8900003</v>
      </c>
      <c r="CJ22" s="148">
        <f>SUM(data_1!CJ87:CJ98)</f>
        <v>2738543849.7200003</v>
      </c>
      <c r="CK22" s="148">
        <f>SUM(data_1!CK87:CK98)</f>
        <v>0</v>
      </c>
      <c r="CL22" s="148">
        <f>SUM(data_1!CL87:CL98)</f>
        <v>675530718.17000008</v>
      </c>
      <c r="CM22" s="148">
        <f>SUM(data_1!CM87:CM98)</f>
        <v>364.71001999999999</v>
      </c>
      <c r="CN22" s="148">
        <f>SUM(data_1!CN87:CN98)</f>
        <v>3487138.11</v>
      </c>
      <c r="CO22" s="148">
        <f>SUM(data_1!CO87:CO98)</f>
        <v>1158.6400000000001</v>
      </c>
      <c r="CP22" s="148">
        <f>SUM(data_1!CP87:CP98)</f>
        <v>2738543849.7200003</v>
      </c>
      <c r="CQ22" s="148">
        <f>SUM(data_1!CQ87:CQ98)</f>
        <v>0</v>
      </c>
      <c r="CR22" s="148">
        <f>SUM(data_1!CR87:CR98)</f>
        <v>2738659100</v>
      </c>
      <c r="CS22" s="148">
        <f>SUM(data_1!CS87:CS98)</f>
        <v>2738659100</v>
      </c>
      <c r="CT22" s="148">
        <f>SUM(data_1!CT87:CT98)</f>
        <v>0</v>
      </c>
      <c r="CU22" s="148">
        <f>SUM(data_1!CU87:CU98)</f>
        <v>5113356549.8899994</v>
      </c>
      <c r="CV22" s="148">
        <f>SUM(data_1!CV87:CV98)</f>
        <v>4626788100</v>
      </c>
      <c r="CW22" s="148">
        <f>SUM(data_1!CW87:CW98)</f>
        <v>486568449.88999999</v>
      </c>
      <c r="CX22" s="148">
        <f>SUM(data_1!CX87:CX98)</f>
        <v>4613738677.9899998</v>
      </c>
      <c r="CY22" s="148">
        <f>SUM(data_1!CY87:CY98)</f>
        <v>1026258.4600000001</v>
      </c>
      <c r="CZ22" s="148">
        <f>SUM(data_1!CZ87:CZ98)</f>
        <v>0</v>
      </c>
      <c r="DA22" s="148">
        <f>SUM(data_1!DA87:DA98)</f>
        <v>5096685795.7999992</v>
      </c>
      <c r="DB22" s="148">
        <f>SUM(data_1!DB87:DB98)</f>
        <v>4613123683.6100006</v>
      </c>
      <c r="DC22" s="148">
        <f>SUM(data_1!DC87:DC98)</f>
        <v>0</v>
      </c>
      <c r="DD22" s="148">
        <f>SUM(data_1!DD87:DD98)</f>
        <v>483562112.19</v>
      </c>
      <c r="DE22" s="148">
        <f>SUM(data_1!DE87:DE98)</f>
        <v>116.25960000000001</v>
      </c>
      <c r="DF22" s="148">
        <f>SUM(data_1!DF87:DF98)</f>
        <v>1026258.4600000001</v>
      </c>
      <c r="DG22" s="148">
        <f>SUM(data_1!DG87:DG98)</f>
        <v>614994.38</v>
      </c>
      <c r="DH22" s="148">
        <f>SUM(data_1!DH87:DH98)</f>
        <v>4613123683.6100006</v>
      </c>
      <c r="DI22" s="148">
        <f>SUM(data_1!DI87:DI98)</f>
        <v>0</v>
      </c>
      <c r="DJ22" s="148">
        <f>SUM(data_1!DJ87:DJ98)</f>
        <v>4626788100</v>
      </c>
      <c r="DK22" s="148">
        <f>SUM(data_1!DK87:DK98)</f>
        <v>4626788100</v>
      </c>
      <c r="DL22" s="213">
        <f>SUM(data_1!DL87:DL98)</f>
        <v>0</v>
      </c>
      <c r="DM22" s="213">
        <f>SUM(data_1!DM87:DM98)</f>
        <v>0</v>
      </c>
      <c r="DN22" s="213">
        <f>SUM(data_1!DN87:DN98)</f>
        <v>0</v>
      </c>
      <c r="DO22" s="213">
        <f>SUM(data_1!DO87:DO98)</f>
        <v>0</v>
      </c>
      <c r="DP22" s="213">
        <f>SUM(data_1!DP87:DP98)</f>
        <v>0</v>
      </c>
      <c r="DQ22" s="213">
        <f>SUM(data_1!DQ87:DQ98)</f>
        <v>0</v>
      </c>
      <c r="DR22" s="213">
        <f>SUM(data_1!DR87:DR98)</f>
        <v>0</v>
      </c>
      <c r="DS22" s="213">
        <f>SUM(data_1!DS87:DS98)</f>
        <v>0</v>
      </c>
      <c r="DT22" s="213">
        <f>SUM(data_1!DT87:DT98)</f>
        <v>0</v>
      </c>
      <c r="DU22" s="213">
        <f>SUM(data_1!DU87:DU98)</f>
        <v>0</v>
      </c>
      <c r="DV22" s="213">
        <f>SUM(data_1!DV87:DV98)</f>
        <v>0</v>
      </c>
      <c r="DW22" s="213">
        <f>SUM(data_1!DW87:DW98)</f>
        <v>0</v>
      </c>
      <c r="DX22" s="213">
        <f>SUM(data_1!DX87:DX98)</f>
        <v>0</v>
      </c>
      <c r="DY22" s="213">
        <f>SUM(data_1!DY87:DY98)</f>
        <v>0</v>
      </c>
      <c r="DZ22" s="213">
        <f>SUM(data_1!DZ87:DZ98)</f>
        <v>0</v>
      </c>
      <c r="EA22" s="213">
        <f>SUM(data_1!EA87:EA98)</f>
        <v>0</v>
      </c>
      <c r="EB22" s="213">
        <f>SUM(data_1!EB87:EB98)</f>
        <v>0</v>
      </c>
      <c r="EC22" s="213">
        <f>SUM(data_1!EC87:EC98)</f>
        <v>0</v>
      </c>
      <c r="ED22" s="148">
        <f>SUM(data_1!ED87:ED98)</f>
        <v>0</v>
      </c>
      <c r="EE22" s="148">
        <f>SUM(data_1!EE87:EE98)</f>
        <v>995992972.5</v>
      </c>
      <c r="EF22" s="148">
        <f>SUM(data_1!EF87:EF98)</f>
        <v>934930800</v>
      </c>
      <c r="EG22" s="148">
        <f>SUM(data_1!EG87:EG98)</f>
        <v>61062172.5</v>
      </c>
      <c r="EH22" s="148">
        <f>SUM(data_1!EH87:EH98)</f>
        <v>934930780.69000006</v>
      </c>
      <c r="EI22" s="148">
        <f>SUM(data_1!EI87:EI98)</f>
        <v>0</v>
      </c>
      <c r="EJ22" s="148">
        <f>SUM(data_1!EJ87:EJ98)</f>
        <v>0</v>
      </c>
      <c r="EK22" s="148">
        <f>SUM(data_1!EK87:EK98)</f>
        <v>995992953.19000006</v>
      </c>
      <c r="EL22" s="148">
        <f>SUM(data_1!EL87:EL98)</f>
        <v>934930780.69000006</v>
      </c>
      <c r="EM22" s="148">
        <f>SUM(data_1!EM87:EM98)</f>
        <v>0</v>
      </c>
      <c r="EN22" s="148">
        <f>SUM(data_1!EN87:EN98)</f>
        <v>61062172.5</v>
      </c>
      <c r="EO22" s="148">
        <f>SUM(data_1!EO87:EO98)</f>
        <v>40.001149999999996</v>
      </c>
      <c r="EP22" s="148">
        <f>SUM(data_1!EP87:EP98)</f>
        <v>0</v>
      </c>
      <c r="EQ22" s="148">
        <f>SUM(data_1!EQ87:EQ98)</f>
        <v>0</v>
      </c>
      <c r="ER22" s="148">
        <f>SUM(data_1!ER87:ER98)</f>
        <v>934930780.69000006</v>
      </c>
      <c r="ES22" s="148">
        <f>SUM(data_1!ES87:ES98)</f>
        <v>0</v>
      </c>
      <c r="ET22" s="148">
        <f>SUM(data_1!ET87:ET98)</f>
        <v>934930800</v>
      </c>
      <c r="EU22" s="148">
        <f>SUM(data_1!EU87:EU98)</f>
        <v>934930800</v>
      </c>
      <c r="EV22" s="213">
        <f>SUM(data_1!EV87:EV98)</f>
        <v>0</v>
      </c>
      <c r="EW22" s="213">
        <f>SUM(data_1!EW87:EW98)</f>
        <v>60958842.100000001</v>
      </c>
      <c r="EX22" s="213">
        <f>SUM(data_1!EX87:EX98)</f>
        <v>57910900</v>
      </c>
      <c r="EY22" s="213">
        <f>SUM(data_1!EY87:EY98)</f>
        <v>3047942.1</v>
      </c>
      <c r="EZ22" s="213">
        <f>SUM(data_1!EZ87:EZ98)</f>
        <v>57910900</v>
      </c>
      <c r="FA22" s="213">
        <f>SUM(data_1!FA87:FA98)</f>
        <v>0</v>
      </c>
      <c r="FB22" s="213">
        <f>SUM(data_1!FB87:FB98)</f>
        <v>0</v>
      </c>
      <c r="FC22" s="213">
        <f>SUM(data_1!FC87:FC98)</f>
        <v>56758115.939999998</v>
      </c>
      <c r="FD22" s="213">
        <f>SUM(data_1!FD87:FD98)</f>
        <v>53920210.140000001</v>
      </c>
      <c r="FE22" s="213">
        <f>SUM(data_1!FE87:FE98)</f>
        <v>0</v>
      </c>
      <c r="FF22" s="213">
        <f>SUM(data_1!FF87:FF98)</f>
        <v>2837905.8</v>
      </c>
      <c r="FG22" s="213">
        <f>SUM(data_1!FG87:FG98)</f>
        <v>5</v>
      </c>
      <c r="FH22" s="213">
        <f>SUM(data_1!FH87:FH98)</f>
        <v>0</v>
      </c>
      <c r="FI22" s="213">
        <f>SUM(data_1!FI87:FI98)</f>
        <v>3990689.86</v>
      </c>
      <c r="FJ22" s="213">
        <f>SUM(data_1!FJ87:FJ98)</f>
        <v>53920210.140000001</v>
      </c>
      <c r="FK22" s="213">
        <f>SUM(data_1!FK87:FK98)</f>
        <v>0</v>
      </c>
      <c r="FL22" s="213">
        <f>SUM(data_1!FL87:FL98)</f>
        <v>57910900</v>
      </c>
      <c r="FM22" s="213">
        <f>SUM(data_1!FM87:FM98)</f>
        <v>57910900</v>
      </c>
      <c r="FN22" s="148">
        <f>SUM(data_1!FN87:FN98)</f>
        <v>0</v>
      </c>
      <c r="FO22" s="148">
        <f>SUM(data_1!FO87:FO98)</f>
        <v>265590033.71000001</v>
      </c>
      <c r="FP22" s="148">
        <f>SUM(data_1!FP87:FP98)</f>
        <v>176530800</v>
      </c>
      <c r="FQ22" s="148">
        <f>SUM(data_1!FQ87:FQ98)</f>
        <v>89059233.710000008</v>
      </c>
      <c r="FR22" s="148">
        <f>SUM(data_1!FR87:FR98)</f>
        <v>148030156.13</v>
      </c>
      <c r="FS22" s="148">
        <f>SUM(data_1!FS87:FS98)</f>
        <v>280831.25</v>
      </c>
      <c r="FT22" s="148">
        <f>SUM(data_1!FT87:FT98)</f>
        <v>0</v>
      </c>
      <c r="FU22" s="148">
        <f>SUM(data_1!FU87:FU98)</f>
        <v>222069802.57999998</v>
      </c>
      <c r="FV22" s="148">
        <f>SUM(data_1!FV87:FV98)</f>
        <v>148029912.13999999</v>
      </c>
      <c r="FW22" s="148">
        <f>SUM(data_1!FW87:FW98)</f>
        <v>0</v>
      </c>
      <c r="FX22" s="148">
        <f>SUM(data_1!FX87:FX98)</f>
        <v>74039890.439999998</v>
      </c>
      <c r="FY22" s="148">
        <f>SUM(data_1!FY87:FY98)</f>
        <v>293.83255000000003</v>
      </c>
      <c r="FZ22" s="148">
        <f>SUM(data_1!FZ87:FZ98)</f>
        <v>280831.25</v>
      </c>
      <c r="GA22" s="148">
        <f>SUM(data_1!GA87:GA98)</f>
        <v>243.99</v>
      </c>
      <c r="GB22" s="148">
        <f>SUM(data_1!GB87:GB98)</f>
        <v>148029912.13999999</v>
      </c>
      <c r="GC22" s="148">
        <f>SUM(data_1!GC87:GC98)</f>
        <v>0</v>
      </c>
      <c r="GD22" s="148">
        <f>SUM(data_1!GD87:GD98)</f>
        <v>176530800</v>
      </c>
      <c r="GE22" s="148">
        <f>SUM(data_1!GE87:GE98)</f>
        <v>176530800</v>
      </c>
      <c r="GF22" s="148">
        <f>SUM(data_1!GF87:GF98)</f>
        <v>0</v>
      </c>
      <c r="GG22" s="148">
        <f>SUM(data_1!GG87:GG98)</f>
        <v>1055945560</v>
      </c>
      <c r="GH22" s="148">
        <f>SUM(data_1!GH87:GH98)</f>
        <v>571110800</v>
      </c>
      <c r="GI22" s="148">
        <f>SUM(data_1!GI87:GI98)</f>
        <v>484834760</v>
      </c>
      <c r="GJ22" s="148">
        <f>SUM(data_1!GJ87:GJ98)</f>
        <v>567666427.77999997</v>
      </c>
      <c r="GK22" s="148">
        <f>SUM(data_1!GK87:GK98)</f>
        <v>5937622.9300000006</v>
      </c>
      <c r="GL22" s="148">
        <f>SUM(data_1!GL87:GL98)</f>
        <v>0</v>
      </c>
      <c r="GM22" s="148">
        <f>SUM(data_1!GM87:GM98)</f>
        <v>1049544943.3</v>
      </c>
      <c r="GN22" s="148">
        <f>SUM(data_1!GN87:GN98)</f>
        <v>567337061.57999992</v>
      </c>
      <c r="GO22" s="148">
        <f>SUM(data_1!GO87:GO98)</f>
        <v>0</v>
      </c>
      <c r="GP22" s="148">
        <f>SUM(data_1!GP87:GP98)</f>
        <v>482207881.72000003</v>
      </c>
      <c r="GQ22" s="148">
        <f>SUM(data_1!GQ87:GQ98)</f>
        <v>485.17446999999999</v>
      </c>
      <c r="GR22" s="148">
        <f>SUM(data_1!GR87:GR98)</f>
        <v>5839739.4900000002</v>
      </c>
      <c r="GS22" s="148">
        <f>SUM(data_1!GS87:GS98)</f>
        <v>427249.64</v>
      </c>
      <c r="GT22" s="148">
        <f>SUM(data_1!GT87:GT98)</f>
        <v>567337061.57999992</v>
      </c>
      <c r="GU22" s="148">
        <f>SUM(data_1!GU87:GU98)</f>
        <v>0</v>
      </c>
      <c r="GV22" s="148">
        <f>SUM(data_1!GV87:GV98)</f>
        <v>571110800</v>
      </c>
      <c r="GW22" s="148">
        <f>SUM(data_1!GW87:GW98)</f>
        <v>571110800</v>
      </c>
      <c r="GX22" s="148">
        <f>SUM(data_1!GX87:GX98)</f>
        <v>0</v>
      </c>
      <c r="GY22" s="148">
        <f>SUM(data_1!GY87:GY98)</f>
        <v>0</v>
      </c>
      <c r="GZ22" s="148">
        <f>SUM(data_1!GZ87:GZ98)</f>
        <v>0</v>
      </c>
      <c r="HA22" s="148">
        <f>SUM(data_1!HA87:HA98)</f>
        <v>0</v>
      </c>
      <c r="HB22" s="148">
        <f>SUM(data_1!HB87:HB98)</f>
        <v>0</v>
      </c>
      <c r="HC22" s="148">
        <f>SUM(data_1!HC87:HC98)</f>
        <v>1757851.0699999998</v>
      </c>
      <c r="HD22" s="148">
        <f>SUM(data_1!HD87:HD98)</f>
        <v>0</v>
      </c>
      <c r="HE22" s="148">
        <f>SUM(data_1!HE87:HE98)</f>
        <v>0</v>
      </c>
      <c r="HF22" s="148">
        <f>SUM(data_1!HF87:HF98)</f>
        <v>0</v>
      </c>
      <c r="HG22" s="148">
        <f>SUM(data_1!HG87:HG98)</f>
        <v>0</v>
      </c>
      <c r="HH22" s="148">
        <f>SUM(data_1!HH87:HH98)</f>
        <v>0</v>
      </c>
      <c r="HI22" s="148">
        <f>SUM(data_1!HI87:HI98)</f>
        <v>0</v>
      </c>
      <c r="HJ22" s="148">
        <f>SUM(data_1!HJ87:HJ98)</f>
        <v>1574273.44</v>
      </c>
      <c r="HK22" s="148">
        <f>SUM(data_1!HK87:HK98)</f>
        <v>183577.63</v>
      </c>
      <c r="HL22" s="148">
        <f>SUM(data_1!HL87:HL98)</f>
        <v>0</v>
      </c>
      <c r="HM22" s="148">
        <f>SUM(data_1!HM87:HM98)</f>
        <v>0</v>
      </c>
      <c r="HN22" s="148">
        <f>SUM(data_1!HN87:HN98)</f>
        <v>0</v>
      </c>
      <c r="HO22" s="148">
        <f>SUM(data_1!HO87:HO98)</f>
        <v>0</v>
      </c>
      <c r="HP22" s="148">
        <f>SUM(data_1!HP87:HP98)</f>
        <v>0</v>
      </c>
      <c r="HQ22" s="148">
        <f>SUM(data_1!HQ87:HQ98)</f>
        <v>681141305.53999996</v>
      </c>
      <c r="HR22" s="148">
        <f>SUM(data_1!HR87:HR98)</f>
        <v>357260200</v>
      </c>
      <c r="HS22" s="148">
        <f>SUM(data_1!HS87:HS98)</f>
        <v>323881105.54000002</v>
      </c>
      <c r="HT22" s="148">
        <f>SUM(data_1!HT87:HT98)</f>
        <v>351592342.95999998</v>
      </c>
      <c r="HU22" s="148">
        <f>SUM(data_1!HU87:HU98)</f>
        <v>0</v>
      </c>
      <c r="HV22" s="148">
        <f>SUM(data_1!HV87:HV98)</f>
        <v>0</v>
      </c>
      <c r="HW22" s="148">
        <f>SUM(data_1!HW87:HW98)</f>
        <v>671145826.40999997</v>
      </c>
      <c r="HX22" s="148">
        <f>SUM(data_1!HX87:HX98)</f>
        <v>351592319.52999997</v>
      </c>
      <c r="HY22" s="148">
        <f>SUM(data_1!HY87:HY98)</f>
        <v>0</v>
      </c>
      <c r="HZ22" s="148">
        <f>SUM(data_1!HZ87:HZ98)</f>
        <v>319553506.88000005</v>
      </c>
      <c r="IA22" s="148">
        <f>SUM(data_1!IA87:IA98)</f>
        <v>310.53384999999997</v>
      </c>
      <c r="IB22" s="148">
        <f>SUM(data_1!IB87:IB98)</f>
        <v>0</v>
      </c>
      <c r="IC22" s="148">
        <f>SUM(data_1!IC87:IC98)</f>
        <v>23.43</v>
      </c>
      <c r="ID22" s="148">
        <f>SUM(data_1!ID87:ID98)</f>
        <v>351592319.52999997</v>
      </c>
      <c r="IE22" s="148">
        <f>SUM(data_1!IE87:IE98)</f>
        <v>0</v>
      </c>
      <c r="IF22" s="148">
        <f>SUM(data_1!IF87:IF98)</f>
        <v>357260200</v>
      </c>
      <c r="IG22" s="148">
        <f>SUM(data_1!IG87:IG98)</f>
        <v>357260200</v>
      </c>
      <c r="IH22" s="148">
        <f>SUM(data_1!IH87:IH98)</f>
        <v>0</v>
      </c>
      <c r="II22" s="148">
        <f>SUM(data_1!II87:II98)</f>
        <v>0</v>
      </c>
      <c r="IJ22" s="148">
        <f>SUM(data_1!IJ87:IJ98)</f>
        <v>0</v>
      </c>
      <c r="IK22" s="148">
        <f>SUM(data_1!IK87:IK98)</f>
        <v>0</v>
      </c>
      <c r="IL22" s="148">
        <f>SUM(data_1!IL87:IL98)</f>
        <v>0</v>
      </c>
      <c r="IM22" s="148">
        <f>SUM(data_1!IM87:IM98)</f>
        <v>0</v>
      </c>
      <c r="IN22" s="148">
        <f>SUM(data_1!IN87:IN98)</f>
        <v>0</v>
      </c>
      <c r="IO22" s="148">
        <f>SUM(data_1!IO87:IO98)</f>
        <v>0</v>
      </c>
      <c r="IP22" s="148">
        <f>SUM(data_1!IP87:IP98)</f>
        <v>0</v>
      </c>
      <c r="IQ22" s="148">
        <f>SUM(data_1!IQ87:IQ98)</f>
        <v>0</v>
      </c>
      <c r="IR22" s="148">
        <f>SUM(data_1!IR87:IR98)</f>
        <v>0</v>
      </c>
      <c r="IS22" s="148">
        <f>SUM(data_1!IS87:IS98)</f>
        <v>0</v>
      </c>
      <c r="IT22" s="148">
        <f>SUM(data_1!IT87:IT98)</f>
        <v>0</v>
      </c>
      <c r="IU22" s="148">
        <f>SUM(data_1!IU87:IU98)</f>
        <v>0</v>
      </c>
      <c r="IV22" s="148">
        <f>SUM(data_1!IV87:IV98)</f>
        <v>0</v>
      </c>
      <c r="IW22" s="148">
        <f>SUM(data_1!IW87:IW98)</f>
        <v>0</v>
      </c>
      <c r="IX22" s="148">
        <f>SUM(data_1!IX87:IX98)</f>
        <v>0</v>
      </c>
      <c r="IY22" s="148">
        <f>SUM(data_1!IY87:IY98)</f>
        <v>0</v>
      </c>
      <c r="IZ22" s="148">
        <f>SUM(data_1!IZ87:IZ98)</f>
        <v>0</v>
      </c>
      <c r="JA22" s="148">
        <f>SUM(data_1!JA87:JA98)</f>
        <v>364697000</v>
      </c>
      <c r="JB22" s="148">
        <f>SUM(data_1!JB87:JB98)</f>
        <v>99491100</v>
      </c>
      <c r="JC22" s="148">
        <f>SUM(data_1!JC87:JC98)</f>
        <v>265205900</v>
      </c>
      <c r="JD22" s="148">
        <f>SUM(data_1!JD87:JD98)</f>
        <v>81401694.599999994</v>
      </c>
      <c r="JE22" s="148">
        <f>SUM(data_1!JE87:JE98)</f>
        <v>0</v>
      </c>
      <c r="JF22" s="148">
        <f>SUM(data_1!JF87:JF98)</f>
        <v>0</v>
      </c>
      <c r="JG22" s="148">
        <f>SUM(data_1!JG87:JG98)</f>
        <v>213295457.50999999</v>
      </c>
      <c r="JH22" s="148">
        <f>SUM(data_1!JH87:JH98)</f>
        <v>81401694.599999994</v>
      </c>
      <c r="JI22" s="148">
        <f>SUM(data_1!JI87:JI98)</f>
        <v>0</v>
      </c>
      <c r="JJ22" s="148">
        <f>SUM(data_1!JJ87:JJ98)</f>
        <v>131893762.91</v>
      </c>
      <c r="JK22" s="148">
        <f>SUM(data_1!JK87:JK98)</f>
        <v>187.06318999999999</v>
      </c>
      <c r="JL22" s="148">
        <f>SUM(data_1!JL87:JL98)</f>
        <v>0</v>
      </c>
      <c r="JM22" s="148">
        <f>SUM(data_1!JM87:JM98)</f>
        <v>0</v>
      </c>
      <c r="JN22" s="148">
        <f>SUM(data_1!JN87:JN98)</f>
        <v>81401694.599999994</v>
      </c>
      <c r="JO22" s="148">
        <f>SUM(data_1!JO87:JO98)</f>
        <v>0</v>
      </c>
      <c r="JP22" s="148">
        <f>SUM(data_1!JP87:JP98)</f>
        <v>99491100</v>
      </c>
      <c r="JQ22" s="148">
        <f>SUM(data_1!JQ87:JQ98)</f>
        <v>99491100</v>
      </c>
      <c r="JR22" s="148">
        <f>SUM(data_1!JR87:JR98)</f>
        <v>0</v>
      </c>
      <c r="JS22" s="148">
        <f>SUM(data_1!JS87:JS98)</f>
        <v>0</v>
      </c>
      <c r="JT22" s="148">
        <f>SUM(data_1!JT87:JT98)</f>
        <v>0</v>
      </c>
      <c r="JU22" s="148">
        <f>SUM(data_1!JU87:JU98)</f>
        <v>0</v>
      </c>
      <c r="JV22" s="148">
        <f>SUM(data_1!JV87:JV98)</f>
        <v>0</v>
      </c>
      <c r="JW22" s="148">
        <f>SUM(data_1!JW87:JW98)</f>
        <v>0</v>
      </c>
      <c r="JX22" s="148">
        <f>SUM(data_1!JX87:JX98)</f>
        <v>0</v>
      </c>
      <c r="JY22" s="148">
        <f>SUM(data_1!JY87:JY98)</f>
        <v>0</v>
      </c>
      <c r="JZ22" s="148">
        <f>SUM(data_1!JZ87:JZ98)</f>
        <v>0</v>
      </c>
      <c r="KA22" s="148">
        <f>SUM(data_1!KA87:KA98)</f>
        <v>0</v>
      </c>
      <c r="KB22" s="148">
        <f>SUM(data_1!KB87:KB98)</f>
        <v>0</v>
      </c>
      <c r="KC22" s="148">
        <f>SUM(data_1!KC87:KC98)</f>
        <v>0</v>
      </c>
      <c r="KD22" s="148">
        <f>SUM(data_1!KD87:KD98)</f>
        <v>0</v>
      </c>
      <c r="KE22" s="148">
        <f>SUM(data_1!KE87:KE98)</f>
        <v>0</v>
      </c>
      <c r="KF22" s="148">
        <f>SUM(data_1!KF87:KF98)</f>
        <v>0</v>
      </c>
      <c r="KG22" s="148">
        <f>SUM(data_1!KG87:KG98)</f>
        <v>0</v>
      </c>
      <c r="KH22" s="148">
        <f>SUM(data_1!KH87:KH98)</f>
        <v>0</v>
      </c>
      <c r="KI22" s="148">
        <f>SUM(data_1!KI87:KI98)</f>
        <v>0</v>
      </c>
      <c r="KJ22" s="148">
        <f>SUM(data_1!KJ87:KJ98)</f>
        <v>0</v>
      </c>
      <c r="KK22" s="148">
        <f>SUM(data_1!KK87:KK98)</f>
        <v>50165730</v>
      </c>
      <c r="KL22" s="148">
        <f>SUM(data_1!KL87:KL98)</f>
        <v>23578800</v>
      </c>
      <c r="KM22" s="148">
        <f>SUM(data_1!KM87:KM98)</f>
        <v>26586930</v>
      </c>
      <c r="KN22" s="148">
        <f>SUM(data_1!KN87:KN98)</f>
        <v>23332933.100000001</v>
      </c>
      <c r="KO22" s="148">
        <f>SUM(data_1!KO87:KO98)</f>
        <v>0</v>
      </c>
      <c r="KP22" s="148">
        <f>SUM(data_1!KP87:KP98)</f>
        <v>0</v>
      </c>
      <c r="KQ22" s="148">
        <f>SUM(data_1!KQ87:KQ98)</f>
        <v>49919863.100000001</v>
      </c>
      <c r="KR22" s="148">
        <f>SUM(data_1!KR87:KR98)</f>
        <v>23332933.100000001</v>
      </c>
      <c r="KS22" s="148">
        <f>SUM(data_1!KS87:KS98)</f>
        <v>0</v>
      </c>
      <c r="KT22" s="148">
        <f>SUM(data_1!KT87:KT98)</f>
        <v>26586930</v>
      </c>
      <c r="KU22" s="148">
        <f>SUM(data_1!KU87:KU98)</f>
        <v>366.96395999999999</v>
      </c>
      <c r="KV22" s="148">
        <f>SUM(data_1!KV87:KV98)</f>
        <v>0</v>
      </c>
      <c r="KW22" s="148">
        <f>SUM(data_1!KW87:KW98)</f>
        <v>0</v>
      </c>
      <c r="KX22" s="148">
        <f>SUM(data_1!KX87:KX98)</f>
        <v>23332933.100000001</v>
      </c>
      <c r="KY22" s="148">
        <f>SUM(data_1!KY87:KY98)</f>
        <v>0</v>
      </c>
      <c r="KZ22" s="148">
        <f>SUM(data_1!KZ87:KZ98)</f>
        <v>23578800</v>
      </c>
      <c r="LA22" s="148">
        <f>SUM(data_1!LA87:LA98)</f>
        <v>23578800</v>
      </c>
      <c r="LB22" s="148">
        <f>SUM(data_1!LB87:LB98)</f>
        <v>0</v>
      </c>
      <c r="LC22" s="148">
        <f>SUM(data_1!LC87:LC98)</f>
        <v>0</v>
      </c>
      <c r="LD22" s="148">
        <f>SUM(data_1!LD87:LD98)</f>
        <v>0</v>
      </c>
      <c r="LE22" s="148">
        <f>SUM(data_1!LE87:LE98)</f>
        <v>0</v>
      </c>
      <c r="LF22" s="148">
        <f>SUM(data_1!LF87:LF98)</f>
        <v>0</v>
      </c>
      <c r="LG22" s="148">
        <f>SUM(data_1!LG87:LG98)</f>
        <v>0</v>
      </c>
      <c r="LH22" s="148">
        <f>SUM(data_1!LH87:LH98)</f>
        <v>0</v>
      </c>
      <c r="LI22" s="148">
        <f>SUM(data_1!LI87:LI98)</f>
        <v>0</v>
      </c>
      <c r="LJ22" s="148">
        <f>SUM(data_1!LJ87:LJ98)</f>
        <v>0</v>
      </c>
      <c r="LK22" s="148">
        <f>SUM(data_1!LK87:LK98)</f>
        <v>0</v>
      </c>
      <c r="LL22" s="148">
        <f>SUM(data_1!LL87:LL98)</f>
        <v>0</v>
      </c>
      <c r="LM22" s="148">
        <f>SUM(data_1!LM87:LM98)</f>
        <v>0</v>
      </c>
      <c r="LN22" s="148">
        <f>SUM(data_1!LN87:LN98)</f>
        <v>0</v>
      </c>
      <c r="LO22" s="148">
        <f>SUM(data_1!LO87:LO98)</f>
        <v>0</v>
      </c>
      <c r="LP22" s="148">
        <f>SUM(data_1!LP87:LP98)</f>
        <v>0</v>
      </c>
      <c r="LQ22" s="148">
        <f>SUM(data_1!LQ87:LQ98)</f>
        <v>0</v>
      </c>
      <c r="LR22" s="148">
        <f>SUM(data_1!LR87:LR98)</f>
        <v>0</v>
      </c>
      <c r="LS22" s="148">
        <f>SUM(data_1!LS87:LS98)</f>
        <v>0</v>
      </c>
      <c r="LT22" s="148">
        <f>SUM(data_1!LT87:LT98)</f>
        <v>0</v>
      </c>
      <c r="LU22" s="148">
        <f>SUM(data_1!LU87:LU98)</f>
        <v>30083760</v>
      </c>
      <c r="LV22" s="148">
        <f>SUM(data_1!LV87:LV98)</f>
        <v>14425000</v>
      </c>
      <c r="LW22" s="148">
        <f>SUM(data_1!LW87:LW98)</f>
        <v>15658760</v>
      </c>
      <c r="LX22" s="148">
        <f>SUM(data_1!LX87:LX98)</f>
        <v>12557622.060000001</v>
      </c>
      <c r="LY22" s="148">
        <f>SUM(data_1!LY87:LY98)</f>
        <v>0</v>
      </c>
      <c r="LZ22" s="148">
        <f>SUM(data_1!LZ87:LZ98)</f>
        <v>0</v>
      </c>
      <c r="MA22" s="148">
        <f>SUM(data_1!MA87:MA98)</f>
        <v>25402459</v>
      </c>
      <c r="MB22" s="148">
        <f>SUM(data_1!MB87:MB98)</f>
        <v>12557622.060000001</v>
      </c>
      <c r="MC22" s="148">
        <f>SUM(data_1!MC87:MC98)</f>
        <v>0</v>
      </c>
      <c r="MD22" s="148">
        <f>SUM(data_1!MD87:MD98)</f>
        <v>12844836.939999999</v>
      </c>
      <c r="ME22" s="148">
        <f>SUM(data_1!ME87:ME98)</f>
        <v>233.12918000000002</v>
      </c>
      <c r="MF22" s="148">
        <f>SUM(data_1!MF87:MF98)</f>
        <v>0</v>
      </c>
      <c r="MG22" s="148">
        <f>SUM(data_1!MG87:MG98)</f>
        <v>0</v>
      </c>
      <c r="MH22" s="148">
        <f>SUM(data_1!MH87:MH98)</f>
        <v>12557622.060000001</v>
      </c>
      <c r="MI22" s="148">
        <f>SUM(data_1!MI87:MI98)</f>
        <v>0</v>
      </c>
      <c r="MJ22" s="148">
        <f>SUM(data_1!MJ87:MJ98)</f>
        <v>14425000</v>
      </c>
      <c r="MK22" s="148">
        <f>SUM(data_1!MK87:MK98)</f>
        <v>14425000</v>
      </c>
      <c r="ML22" s="148">
        <f>SUM(data_1!ML87:ML98)</f>
        <v>0</v>
      </c>
      <c r="MM22" s="148">
        <f>SUM(data_1!MM87:MM98)</f>
        <v>0</v>
      </c>
      <c r="MN22" s="148">
        <f>SUM(data_1!MN87:MN98)</f>
        <v>0</v>
      </c>
      <c r="MO22" s="148">
        <f>SUM(data_1!MO87:MO98)</f>
        <v>0</v>
      </c>
      <c r="MP22" s="148">
        <f>SUM(data_1!MP87:MP98)</f>
        <v>0</v>
      </c>
      <c r="MQ22" s="148">
        <f>SUM(data_1!MQ87:MQ98)</f>
        <v>0</v>
      </c>
      <c r="MR22" s="148">
        <f>SUM(data_1!MR87:MR98)</f>
        <v>0</v>
      </c>
      <c r="MS22" s="148">
        <f>SUM(data_1!MS87:MS98)</f>
        <v>0</v>
      </c>
      <c r="MT22" s="148">
        <f>SUM(data_1!MT87:MT98)</f>
        <v>0</v>
      </c>
      <c r="MU22" s="148">
        <f>SUM(data_1!MU87:MU98)</f>
        <v>0</v>
      </c>
      <c r="MV22" s="148">
        <f>SUM(data_1!MV87:MV98)</f>
        <v>0</v>
      </c>
      <c r="MW22" s="148">
        <f>SUM(data_1!MW87:MW98)</f>
        <v>0</v>
      </c>
      <c r="MX22" s="148">
        <f>SUM(data_1!MX87:MX98)</f>
        <v>0</v>
      </c>
      <c r="MY22" s="148">
        <f>SUM(data_1!MY87:MY98)</f>
        <v>0</v>
      </c>
      <c r="MZ22" s="148">
        <f>SUM(data_1!MZ87:MZ98)</f>
        <v>0</v>
      </c>
      <c r="NA22" s="148">
        <f>SUM(data_1!NA87:NA98)</f>
        <v>0</v>
      </c>
      <c r="NB22" s="148">
        <f>SUM(data_1!NB87:NB98)</f>
        <v>0</v>
      </c>
      <c r="NC22" s="148">
        <f>SUM(data_1!NC87:NC98)</f>
        <v>0</v>
      </c>
      <c r="ND22" s="148">
        <f>SUM(data_1!ND87:ND98)</f>
        <v>0</v>
      </c>
      <c r="NE22" s="148">
        <f>SUM(data_1!NE87:NE98)</f>
        <v>18960600</v>
      </c>
      <c r="NF22" s="148">
        <f>SUM(data_1!NF87:NF98)</f>
        <v>9789300</v>
      </c>
      <c r="NG22" s="148">
        <f>SUM(data_1!NG87:NG98)</f>
        <v>9171300</v>
      </c>
      <c r="NH22" s="148">
        <f>SUM(data_1!NH87:NH98)</f>
        <v>9789300</v>
      </c>
      <c r="NI22" s="148">
        <f>SUM(data_1!NI87:NI98)</f>
        <v>0</v>
      </c>
      <c r="NJ22" s="148">
        <f>SUM(data_1!NJ87:NJ98)</f>
        <v>0</v>
      </c>
      <c r="NK22" s="148">
        <f>SUM(data_1!NK87:NK98)</f>
        <v>18960600</v>
      </c>
      <c r="NL22" s="148">
        <f>SUM(data_1!NL87:NL98)</f>
        <v>9789300</v>
      </c>
      <c r="NM22" s="148">
        <f>SUM(data_1!NM87:NM98)</f>
        <v>0</v>
      </c>
      <c r="NN22" s="148">
        <f>SUM(data_1!NN87:NN98)</f>
        <v>9171300</v>
      </c>
      <c r="NO22" s="148">
        <f>SUM(data_1!NO87:NO98)</f>
        <v>48.3703</v>
      </c>
      <c r="NP22" s="148">
        <f>SUM(data_1!NP87:NP98)</f>
        <v>0</v>
      </c>
      <c r="NQ22" s="148">
        <f>SUM(data_1!NQ87:NQ98)</f>
        <v>0</v>
      </c>
      <c r="NR22" s="148">
        <f>SUM(data_1!NR87:NR98)</f>
        <v>9789300</v>
      </c>
      <c r="NS22" s="148">
        <f>SUM(data_1!NS87:NS98)</f>
        <v>0</v>
      </c>
      <c r="NT22" s="148">
        <f>SUM(data_1!NT87:NT98)</f>
        <v>9789300</v>
      </c>
      <c r="NU22" s="148">
        <f>SUM(data_1!NU87:NU98)</f>
        <v>9789300</v>
      </c>
      <c r="NV22" s="148">
        <f>SUM(data_1!NV87:NV98)</f>
        <v>0</v>
      </c>
      <c r="NW22" s="148">
        <f>SUM(data_1!NW87:NW98)</f>
        <v>0</v>
      </c>
      <c r="NX22" s="148">
        <f>SUM(data_1!NX87:NX98)</f>
        <v>0</v>
      </c>
      <c r="NY22" s="148">
        <f>SUM(data_1!NY87:NY98)</f>
        <v>0</v>
      </c>
      <c r="NZ22" s="148">
        <f>SUM(data_1!NZ87:NZ98)</f>
        <v>0</v>
      </c>
      <c r="OA22" s="148">
        <f>SUM(data_1!OA87:OA98)</f>
        <v>0</v>
      </c>
      <c r="OB22" s="148">
        <f>SUM(data_1!OB87:OB98)</f>
        <v>0</v>
      </c>
      <c r="OC22" s="148">
        <f>SUM(data_1!OC87:OC98)</f>
        <v>0</v>
      </c>
      <c r="OD22" s="148">
        <f>SUM(data_1!OD87:OD98)</f>
        <v>0</v>
      </c>
      <c r="OE22" s="148">
        <f>SUM(data_1!OE87:OE98)</f>
        <v>0</v>
      </c>
      <c r="OF22" s="148">
        <f>SUM(data_1!OF87:OF98)</f>
        <v>0</v>
      </c>
      <c r="OG22" s="148">
        <f>SUM(data_1!OG87:OG98)</f>
        <v>0</v>
      </c>
      <c r="OH22" s="148">
        <f>SUM(data_1!OH87:OH98)</f>
        <v>0</v>
      </c>
      <c r="OI22" s="148">
        <f>SUM(data_1!OI87:OI98)</f>
        <v>0</v>
      </c>
      <c r="OJ22" s="148">
        <f>SUM(data_1!OJ87:OJ98)</f>
        <v>0</v>
      </c>
      <c r="OK22" s="148">
        <f>SUM(data_1!OK87:OK98)</f>
        <v>0</v>
      </c>
      <c r="OL22" s="148">
        <f>SUM(data_1!OL87:OL98)</f>
        <v>0</v>
      </c>
      <c r="OM22" s="148">
        <f>SUM(data_1!OM87:OM98)</f>
        <v>0</v>
      </c>
      <c r="ON22" s="148">
        <f>SUM(data_1!ON87:ON98)</f>
        <v>0</v>
      </c>
      <c r="OO22" s="148">
        <f>SUM(data_1!OO87:OO98)</f>
        <v>38559000</v>
      </c>
      <c r="OP22" s="148">
        <f>SUM(data_1!OP87:OP98)</f>
        <v>15434300</v>
      </c>
      <c r="OQ22" s="148">
        <f>SUM(data_1!OQ87:OQ98)</f>
        <v>23124700</v>
      </c>
      <c r="OR22" s="148">
        <f>SUM(data_1!OR87:OR98)</f>
        <v>15434300</v>
      </c>
      <c r="OS22" s="148">
        <f>SUM(data_1!OS87:OS98)</f>
        <v>0</v>
      </c>
      <c r="OT22" s="148">
        <f>SUM(data_1!OT87:OT98)</f>
        <v>0</v>
      </c>
      <c r="OU22" s="148">
        <f>SUM(data_1!OU87:OU98)</f>
        <v>38559000</v>
      </c>
      <c r="OV22" s="148">
        <f>SUM(data_1!OV87:OV98)</f>
        <v>15434300</v>
      </c>
      <c r="OW22" s="148">
        <f>SUM(data_1!OW87:OW98)</f>
        <v>0</v>
      </c>
      <c r="OX22" s="148">
        <f>SUM(data_1!OX87:OX98)</f>
        <v>23124700</v>
      </c>
      <c r="OY22" s="148">
        <f>SUM(data_1!OY87:OY98)</f>
        <v>320.77893</v>
      </c>
      <c r="OZ22" s="148">
        <f>SUM(data_1!OZ87:OZ98)</f>
        <v>0</v>
      </c>
      <c r="PA22" s="148">
        <f>SUM(data_1!PA87:PA98)</f>
        <v>0</v>
      </c>
      <c r="PB22" s="148">
        <f>SUM(data_1!PB87:PB98)</f>
        <v>15434300</v>
      </c>
      <c r="PC22" s="148">
        <f>SUM(data_1!PC87:PC98)</f>
        <v>0</v>
      </c>
      <c r="PD22" s="148">
        <f>SUM(data_1!PD87:PD98)</f>
        <v>15434300</v>
      </c>
      <c r="PE22" s="148">
        <f>SUM(data_1!PE87:PE98)</f>
        <v>15434300</v>
      </c>
      <c r="PF22" s="148">
        <f>SUM(data_1!PF87:PF98)</f>
        <v>0</v>
      </c>
      <c r="PG22" s="148">
        <f>SUM(data_1!PG87:PG98)</f>
        <v>0</v>
      </c>
      <c r="PH22" s="148">
        <f>SUM(data_1!PH87:PH98)</f>
        <v>0</v>
      </c>
      <c r="PI22" s="148">
        <f>SUM(data_1!PI87:PI98)</f>
        <v>0</v>
      </c>
      <c r="PJ22" s="148">
        <f>SUM(data_1!PJ87:PJ98)</f>
        <v>0</v>
      </c>
      <c r="PK22" s="148">
        <f>SUM(data_1!PK87:PK98)</f>
        <v>0</v>
      </c>
      <c r="PL22" s="148">
        <f>SUM(data_1!PL87:PL98)</f>
        <v>0</v>
      </c>
      <c r="PM22" s="148">
        <f>SUM(data_1!PM87:PM98)</f>
        <v>0</v>
      </c>
      <c r="PN22" s="148">
        <f>SUM(data_1!PN87:PN98)</f>
        <v>0</v>
      </c>
      <c r="PO22" s="148">
        <f>SUM(data_1!PO87:PO98)</f>
        <v>0</v>
      </c>
      <c r="PP22" s="148">
        <f>SUM(data_1!PP87:PP98)</f>
        <v>0</v>
      </c>
      <c r="PQ22" s="148">
        <f>SUM(data_1!PQ87:PQ98)</f>
        <v>0</v>
      </c>
      <c r="PR22" s="148">
        <f>SUM(data_1!PR87:PR98)</f>
        <v>0</v>
      </c>
      <c r="PS22" s="148">
        <f>SUM(data_1!PS87:PS98)</f>
        <v>0</v>
      </c>
      <c r="PT22" s="148">
        <f>SUM(data_1!PT87:PT98)</f>
        <v>0</v>
      </c>
      <c r="PU22" s="148">
        <f>SUM(data_1!PU87:PU98)</f>
        <v>0</v>
      </c>
      <c r="PV22" s="148">
        <f>SUM(data_1!PV87:PV98)</f>
        <v>0</v>
      </c>
      <c r="PW22" s="148">
        <f>SUM(data_1!PW87:PW98)</f>
        <v>0</v>
      </c>
      <c r="PX22" s="148">
        <f>SUM(data_1!PX87:PX98)</f>
        <v>0</v>
      </c>
      <c r="PY22" s="148">
        <f>SUM(data_1!PY87:PY98)</f>
        <v>0</v>
      </c>
      <c r="PZ22" s="148">
        <f>SUM(data_1!PZ87:PZ98)</f>
        <v>0</v>
      </c>
      <c r="QA22" s="148">
        <f>SUM(data_1!QA87:QA98)</f>
        <v>0</v>
      </c>
      <c r="QB22" s="148">
        <f>SUM(data_1!QB87:QB98)</f>
        <v>0</v>
      </c>
      <c r="QC22" s="148">
        <f>SUM(data_1!QC87:QC98)</f>
        <v>100771302.30000001</v>
      </c>
      <c r="QD22" s="148">
        <f>SUM(data_1!QD87:QD98)</f>
        <v>0</v>
      </c>
      <c r="QE22" s="148">
        <f>SUM(data_1!QE87:QE98)</f>
        <v>0</v>
      </c>
      <c r="QF22" s="148">
        <f>SUM(data_1!QF87:QF98)</f>
        <v>0</v>
      </c>
      <c r="QG22" s="148">
        <f>SUM(data_1!QG87:QG98)</f>
        <v>0</v>
      </c>
      <c r="QH22" s="148">
        <f>SUM(data_1!QH87:QH98)</f>
        <v>0</v>
      </c>
      <c r="QI22" s="148">
        <f>SUM(data_1!QI87:QI98)</f>
        <v>0</v>
      </c>
      <c r="QJ22" s="148">
        <f>SUM(data_1!QJ87:QJ98)</f>
        <v>99810535.760000005</v>
      </c>
      <c r="QK22" s="148">
        <f>SUM(data_1!QK87:QK98)</f>
        <v>960766.54</v>
      </c>
      <c r="QL22" s="148">
        <f>SUM(data_1!QL87:QL98)</f>
        <v>0</v>
      </c>
      <c r="QM22" s="148">
        <f>SUM(data_1!QM87:QM98)</f>
        <v>0</v>
      </c>
      <c r="QN22" s="148">
        <f>SUM(data_1!QN87:QN98)</f>
        <v>0</v>
      </c>
      <c r="QO22" s="148">
        <f>SUM(data_1!QO87:QO98)</f>
        <v>0</v>
      </c>
    </row>
    <row r="23" spans="1:457" x14ac:dyDescent="0.25">
      <c r="A23" s="133" t="s">
        <v>229</v>
      </c>
      <c r="B23" s="134" t="s">
        <v>230</v>
      </c>
      <c r="C23" s="137" t="s">
        <v>231</v>
      </c>
      <c r="F23" s="148">
        <f>SUM(data_1!F100:F108)</f>
        <v>3719317400</v>
      </c>
      <c r="G23" s="148">
        <f>SUM(data_1!G100:G108)</f>
        <v>0</v>
      </c>
      <c r="H23" s="148">
        <f>SUM(data_1!H100:H108)</f>
        <v>0</v>
      </c>
      <c r="I23" s="148">
        <f>SUM(data_1!I100:I108)</f>
        <v>1420615817.0700002</v>
      </c>
      <c r="J23" s="148">
        <f>SUM(data_1!J100:J108)</f>
        <v>980675500</v>
      </c>
      <c r="K23" s="148">
        <f>SUM(data_1!K100:K108)</f>
        <v>439940317.06999999</v>
      </c>
      <c r="L23" s="148">
        <f>SUM(data_1!L100:L108)</f>
        <v>969692440.15999997</v>
      </c>
      <c r="M23" s="148">
        <f>SUM(data_1!M100:M108)</f>
        <v>0</v>
      </c>
      <c r="N23" s="148">
        <f>SUM(data_1!N100:N108)</f>
        <v>0</v>
      </c>
      <c r="O23" s="148">
        <f>SUM(data_1!O100:O108)</f>
        <v>1405064428.7700002</v>
      </c>
      <c r="P23" s="148">
        <f>SUM(data_1!P100:P108)</f>
        <v>969692440.0999999</v>
      </c>
      <c r="Q23" s="148">
        <f>SUM(data_1!Q100:Q108)</f>
        <v>0</v>
      </c>
      <c r="R23" s="148">
        <f>SUM(data_1!R100:R108)</f>
        <v>435371988.66999996</v>
      </c>
      <c r="S23" s="148">
        <f>SUM(data_1!S100:S108)</f>
        <v>180.19118</v>
      </c>
      <c r="T23" s="148">
        <f>SUM(data_1!T100:T108)</f>
        <v>0</v>
      </c>
      <c r="U23" s="148">
        <f>SUM(data_1!U100:U108)</f>
        <v>0.06</v>
      </c>
      <c r="V23" s="148">
        <f>SUM(data_1!V100:V108)</f>
        <v>969692440.0999999</v>
      </c>
      <c r="W23" s="148">
        <f>SUM(data_1!W100:W108)</f>
        <v>0</v>
      </c>
      <c r="X23" s="148">
        <f>SUM(data_1!X100:X108)</f>
        <v>980675500</v>
      </c>
      <c r="Y23" s="148">
        <f>SUM(data_1!Y100:Y108)</f>
        <v>980675500</v>
      </c>
      <c r="Z23" s="213">
        <f>SUM(data_1!Z100:Z108)</f>
        <v>0</v>
      </c>
      <c r="AA23" s="213">
        <f>SUM(data_1!AA100:AA108)</f>
        <v>0</v>
      </c>
      <c r="AB23" s="213">
        <f>SUM(data_1!AB100:AB108)</f>
        <v>0</v>
      </c>
      <c r="AC23" s="213">
        <f>SUM(data_1!AC100:AC108)</f>
        <v>0</v>
      </c>
      <c r="AD23" s="213">
        <f>SUM(data_1!AD100:AD108)</f>
        <v>0</v>
      </c>
      <c r="AE23" s="213">
        <f>SUM(data_1!AE100:AE108)</f>
        <v>0</v>
      </c>
      <c r="AF23" s="213">
        <f>SUM(data_1!AF100:AF108)</f>
        <v>0</v>
      </c>
      <c r="AG23" s="213">
        <f>SUM(data_1!AG100:AG108)</f>
        <v>0</v>
      </c>
      <c r="AH23" s="213">
        <f>SUM(data_1!AH100:AH108)</f>
        <v>0</v>
      </c>
      <c r="AI23" s="213">
        <f>SUM(data_1!AI100:AI108)</f>
        <v>0</v>
      </c>
      <c r="AJ23" s="213">
        <f>SUM(data_1!AJ100:AJ108)</f>
        <v>0</v>
      </c>
      <c r="AK23" s="213">
        <f>SUM(data_1!AK100:AK108)</f>
        <v>0</v>
      </c>
      <c r="AL23" s="213">
        <f>SUM(data_1!AL100:AL108)</f>
        <v>0</v>
      </c>
      <c r="AM23" s="213">
        <f>SUM(data_1!AM100:AM108)</f>
        <v>0</v>
      </c>
      <c r="AN23" s="213">
        <f>SUM(data_1!AN100:AN108)</f>
        <v>0</v>
      </c>
      <c r="AO23" s="213">
        <f>SUM(data_1!AO100:AO108)</f>
        <v>0</v>
      </c>
      <c r="AP23" s="213">
        <f>SUM(data_1!AP100:AP108)</f>
        <v>0</v>
      </c>
      <c r="AQ23" s="213">
        <f>SUM(data_1!AQ100:AQ108)</f>
        <v>0</v>
      </c>
      <c r="AR23" s="148">
        <f>SUM(data_1!AR100:AR108)</f>
        <v>0</v>
      </c>
      <c r="AS23" s="148">
        <f>SUM(data_1!AS100:AS108)</f>
        <v>233847830</v>
      </c>
      <c r="AT23" s="148">
        <f>SUM(data_1!AT100:AT108)</f>
        <v>101904400</v>
      </c>
      <c r="AU23" s="148">
        <f>SUM(data_1!AU100:AU108)</f>
        <v>131943430</v>
      </c>
      <c r="AV23" s="148">
        <f>SUM(data_1!AV100:AV108)</f>
        <v>98317462.680000007</v>
      </c>
      <c r="AW23" s="148">
        <f>SUM(data_1!AW100:AW108)</f>
        <v>6138145</v>
      </c>
      <c r="AX23" s="148">
        <f>SUM(data_1!AX100:AX108)</f>
        <v>0</v>
      </c>
      <c r="AY23" s="148">
        <f>SUM(data_1!AY100:AY108)</f>
        <v>219100822.12</v>
      </c>
      <c r="AZ23" s="148">
        <f>SUM(data_1!AZ100:AZ108)</f>
        <v>98317462.680000007</v>
      </c>
      <c r="BA23" s="148">
        <f>SUM(data_1!BA100:BA108)</f>
        <v>0</v>
      </c>
      <c r="BB23" s="148">
        <f>SUM(data_1!BB100:BB108)</f>
        <v>120783359.44</v>
      </c>
      <c r="BC23" s="148">
        <f>SUM(data_1!BC100:BC108)</f>
        <v>339.82061999999996</v>
      </c>
      <c r="BD23" s="148">
        <f>SUM(data_1!BD100:BD108)</f>
        <v>6138145</v>
      </c>
      <c r="BE23" s="148">
        <f>SUM(data_1!BE100:BE108)</f>
        <v>0</v>
      </c>
      <c r="BF23" s="148">
        <f>SUM(data_1!BF100:BF108)</f>
        <v>98317462.680000007</v>
      </c>
      <c r="BG23" s="148">
        <f>SUM(data_1!BG100:BG108)</f>
        <v>0</v>
      </c>
      <c r="BH23" s="148">
        <f>SUM(data_1!BH100:BH108)</f>
        <v>101913200</v>
      </c>
      <c r="BI23" s="148">
        <f>SUM(data_1!BI100:BI108)</f>
        <v>101904400</v>
      </c>
      <c r="BJ23" s="213">
        <f>SUM(data_1!BJ100:BJ108)</f>
        <v>0</v>
      </c>
      <c r="BK23" s="213">
        <f>SUM(data_1!BK100:BK108)</f>
        <v>0</v>
      </c>
      <c r="BL23" s="213">
        <f>SUM(data_1!BL100:BL108)</f>
        <v>0</v>
      </c>
      <c r="BM23" s="213">
        <f>SUM(data_1!BM100:BM108)</f>
        <v>0</v>
      </c>
      <c r="BN23" s="213">
        <f>SUM(data_1!BN100:BN108)</f>
        <v>0</v>
      </c>
      <c r="BO23" s="213">
        <f>SUM(data_1!BO100:BO108)</f>
        <v>0</v>
      </c>
      <c r="BP23" s="213">
        <f>SUM(data_1!BP100:BP108)</f>
        <v>0</v>
      </c>
      <c r="BQ23" s="213">
        <f>SUM(data_1!BQ100:BQ108)</f>
        <v>0</v>
      </c>
      <c r="BR23" s="213">
        <f>SUM(data_1!BR100:BR108)</f>
        <v>0</v>
      </c>
      <c r="BS23" s="213">
        <f>SUM(data_1!BS100:BS108)</f>
        <v>0</v>
      </c>
      <c r="BT23" s="213">
        <f>SUM(data_1!BT100:BT108)</f>
        <v>0</v>
      </c>
      <c r="BU23" s="213">
        <f>SUM(data_1!BU100:BU108)</f>
        <v>0</v>
      </c>
      <c r="BV23" s="213">
        <f>SUM(data_1!BV100:BV108)</f>
        <v>0</v>
      </c>
      <c r="BW23" s="213">
        <f>SUM(data_1!BW100:BW108)</f>
        <v>0</v>
      </c>
      <c r="BX23" s="213">
        <f>SUM(data_1!BX100:BX108)</f>
        <v>0</v>
      </c>
      <c r="BY23" s="213">
        <f>SUM(data_1!BY100:BY108)</f>
        <v>0</v>
      </c>
      <c r="BZ23" s="213">
        <f>SUM(data_1!BZ100:BZ108)</f>
        <v>0</v>
      </c>
      <c r="CA23" s="213">
        <f>SUM(data_1!CA100:CA108)</f>
        <v>0</v>
      </c>
      <c r="CB23" s="148">
        <f>SUM(data_1!CB100:CB108)</f>
        <v>0</v>
      </c>
      <c r="CC23" s="148">
        <f>SUM(data_1!CC100:CC108)</f>
        <v>320853976.69</v>
      </c>
      <c r="CD23" s="148">
        <f>SUM(data_1!CD100:CD108)</f>
        <v>158223100</v>
      </c>
      <c r="CE23" s="148">
        <f>SUM(data_1!CE100:CE108)</f>
        <v>162630876.69</v>
      </c>
      <c r="CF23" s="148">
        <f>SUM(data_1!CF100:CF108)</f>
        <v>157316519.31000003</v>
      </c>
      <c r="CG23" s="148">
        <f>SUM(data_1!CG100:CG108)</f>
        <v>1180672.05</v>
      </c>
      <c r="CH23" s="148">
        <f>SUM(data_1!CH100:CH108)</f>
        <v>0</v>
      </c>
      <c r="CI23" s="148">
        <f>SUM(data_1!CI100:CI108)</f>
        <v>318305023.18000001</v>
      </c>
      <c r="CJ23" s="148">
        <f>SUM(data_1!CJ100:CJ108)</f>
        <v>157269096.63000003</v>
      </c>
      <c r="CK23" s="148">
        <f>SUM(data_1!CK100:CK108)</f>
        <v>0</v>
      </c>
      <c r="CL23" s="148">
        <f>SUM(data_1!CL100:CL108)</f>
        <v>161035926.55000001</v>
      </c>
      <c r="CM23" s="148">
        <f>SUM(data_1!CM100:CM108)</f>
        <v>366.01963000000006</v>
      </c>
      <c r="CN23" s="148">
        <f>SUM(data_1!CN100:CN108)</f>
        <v>1180672.05</v>
      </c>
      <c r="CO23" s="148">
        <f>SUM(data_1!CO100:CO108)</f>
        <v>47422.68</v>
      </c>
      <c r="CP23" s="148">
        <f>SUM(data_1!CP100:CP108)</f>
        <v>157269096.63000003</v>
      </c>
      <c r="CQ23" s="148">
        <f>SUM(data_1!CQ100:CQ108)</f>
        <v>0</v>
      </c>
      <c r="CR23" s="148">
        <f>SUM(data_1!CR100:CR108)</f>
        <v>158223100</v>
      </c>
      <c r="CS23" s="148">
        <f>SUM(data_1!CS100:CS108)</f>
        <v>158223100</v>
      </c>
      <c r="CT23" s="148">
        <f>SUM(data_1!CT100:CT108)</f>
        <v>0</v>
      </c>
      <c r="CU23" s="148">
        <f>SUM(data_1!CU100:CU108)</f>
        <v>2523881452.29</v>
      </c>
      <c r="CV23" s="148">
        <f>SUM(data_1!CV100:CV108)</f>
        <v>1280091800</v>
      </c>
      <c r="CW23" s="148">
        <f>SUM(data_1!CW100:CW108)</f>
        <v>1243789652.29</v>
      </c>
      <c r="CX23" s="148">
        <f>SUM(data_1!CX100:CX108)</f>
        <v>1252123609.53</v>
      </c>
      <c r="CY23" s="148">
        <f>SUM(data_1!CY100:CY108)</f>
        <v>1672229.64</v>
      </c>
      <c r="CZ23" s="148">
        <f>SUM(data_1!CZ100:CZ108)</f>
        <v>0</v>
      </c>
      <c r="DA23" s="148">
        <f>SUM(data_1!DA100:DA108)</f>
        <v>2477231004.3199992</v>
      </c>
      <c r="DB23" s="148">
        <f>SUM(data_1!DB100:DB108)</f>
        <v>1251687934.3500001</v>
      </c>
      <c r="DC23" s="148">
        <f>SUM(data_1!DC100:DC108)</f>
        <v>0</v>
      </c>
      <c r="DD23" s="148">
        <f>SUM(data_1!DD100:DD108)</f>
        <v>1225543069.97</v>
      </c>
      <c r="DE23" s="148">
        <f>SUM(data_1!DE100:DE108)</f>
        <v>306.56437000000005</v>
      </c>
      <c r="DF23" s="148">
        <f>SUM(data_1!DF100:DF108)</f>
        <v>1672229.64</v>
      </c>
      <c r="DG23" s="148">
        <f>SUM(data_1!DG100:DG108)</f>
        <v>435675.18</v>
      </c>
      <c r="DH23" s="148">
        <f>SUM(data_1!DH100:DH108)</f>
        <v>1251687934.3500001</v>
      </c>
      <c r="DI23" s="148">
        <f>SUM(data_1!DI100:DI108)</f>
        <v>0</v>
      </c>
      <c r="DJ23" s="148">
        <f>SUM(data_1!DJ100:DJ108)</f>
        <v>1280091800</v>
      </c>
      <c r="DK23" s="148">
        <f>SUM(data_1!DK100:DK108)</f>
        <v>1280091800</v>
      </c>
      <c r="DL23" s="213">
        <f>SUM(data_1!DL100:DL108)</f>
        <v>0</v>
      </c>
      <c r="DM23" s="213">
        <f>SUM(data_1!DM100:DM108)</f>
        <v>0</v>
      </c>
      <c r="DN23" s="213">
        <f>SUM(data_1!DN100:DN108)</f>
        <v>0</v>
      </c>
      <c r="DO23" s="213">
        <f>SUM(data_1!DO100:DO108)</f>
        <v>0</v>
      </c>
      <c r="DP23" s="213">
        <f>SUM(data_1!DP100:DP108)</f>
        <v>0</v>
      </c>
      <c r="DQ23" s="213">
        <f>SUM(data_1!DQ100:DQ108)</f>
        <v>0</v>
      </c>
      <c r="DR23" s="213">
        <f>SUM(data_1!DR100:DR108)</f>
        <v>0</v>
      </c>
      <c r="DS23" s="213">
        <f>SUM(data_1!DS100:DS108)</f>
        <v>0</v>
      </c>
      <c r="DT23" s="213">
        <f>SUM(data_1!DT100:DT108)</f>
        <v>0</v>
      </c>
      <c r="DU23" s="213">
        <f>SUM(data_1!DU100:DU108)</f>
        <v>0</v>
      </c>
      <c r="DV23" s="213">
        <f>SUM(data_1!DV100:DV108)</f>
        <v>0</v>
      </c>
      <c r="DW23" s="213">
        <f>SUM(data_1!DW100:DW108)</f>
        <v>0</v>
      </c>
      <c r="DX23" s="213">
        <f>SUM(data_1!DX100:DX108)</f>
        <v>0</v>
      </c>
      <c r="DY23" s="213">
        <f>SUM(data_1!DY100:DY108)</f>
        <v>0</v>
      </c>
      <c r="DZ23" s="213">
        <f>SUM(data_1!DZ100:DZ108)</f>
        <v>0</v>
      </c>
      <c r="EA23" s="213">
        <f>SUM(data_1!EA100:EA108)</f>
        <v>0</v>
      </c>
      <c r="EB23" s="213">
        <f>SUM(data_1!EB100:EB108)</f>
        <v>0</v>
      </c>
      <c r="EC23" s="213">
        <f>SUM(data_1!EC100:EC108)</f>
        <v>0</v>
      </c>
      <c r="ED23" s="148">
        <f>SUM(data_1!ED100:ED108)</f>
        <v>0</v>
      </c>
      <c r="EE23" s="148">
        <f>SUM(data_1!EE100:EE108)</f>
        <v>578338003.14999998</v>
      </c>
      <c r="EF23" s="148">
        <f>SUM(data_1!EF100:EF108)</f>
        <v>497323400</v>
      </c>
      <c r="EG23" s="148">
        <f>SUM(data_1!EG100:EG108)</f>
        <v>81014603.150000006</v>
      </c>
      <c r="EH23" s="148">
        <f>SUM(data_1!EH100:EH108)</f>
        <v>489583396.95999998</v>
      </c>
      <c r="EI23" s="148">
        <f>SUM(data_1!EI100:EI108)</f>
        <v>0</v>
      </c>
      <c r="EJ23" s="148">
        <f>SUM(data_1!EJ100:EJ108)</f>
        <v>0</v>
      </c>
      <c r="EK23" s="148">
        <f>SUM(data_1!EK100:EK108)</f>
        <v>567192885.72000003</v>
      </c>
      <c r="EL23" s="148">
        <f>SUM(data_1!EL100:EL108)</f>
        <v>489581996.31999999</v>
      </c>
      <c r="EM23" s="148">
        <f>SUM(data_1!EM100:EM108)</f>
        <v>0</v>
      </c>
      <c r="EN23" s="148">
        <f>SUM(data_1!EN100:EN108)</f>
        <v>77610889.400000006</v>
      </c>
      <c r="EO23" s="148">
        <f>SUM(data_1!EO100:EO108)</f>
        <v>42.367150000000002</v>
      </c>
      <c r="EP23" s="148">
        <f>SUM(data_1!EP100:EP108)</f>
        <v>0</v>
      </c>
      <c r="EQ23" s="148">
        <f>SUM(data_1!EQ100:EQ108)</f>
        <v>1400.64</v>
      </c>
      <c r="ER23" s="148">
        <f>SUM(data_1!ER100:ER108)</f>
        <v>489581996.31999999</v>
      </c>
      <c r="ES23" s="148">
        <f>SUM(data_1!ES100:ES108)</f>
        <v>0</v>
      </c>
      <c r="ET23" s="148">
        <f>SUM(data_1!ET100:ET108)</f>
        <v>497323400</v>
      </c>
      <c r="EU23" s="148">
        <f>SUM(data_1!EU100:EU108)</f>
        <v>497323400</v>
      </c>
      <c r="EV23" s="213">
        <f>SUM(data_1!EV100:EV108)</f>
        <v>0</v>
      </c>
      <c r="EW23" s="213">
        <f>SUM(data_1!EW100:EW108)</f>
        <v>0</v>
      </c>
      <c r="EX23" s="213">
        <f>SUM(data_1!EX100:EX108)</f>
        <v>0</v>
      </c>
      <c r="EY23" s="213">
        <f>SUM(data_1!EY100:EY108)</f>
        <v>0</v>
      </c>
      <c r="EZ23" s="213">
        <f>SUM(data_1!EZ100:EZ108)</f>
        <v>0</v>
      </c>
      <c r="FA23" s="213">
        <f>SUM(data_1!FA100:FA108)</f>
        <v>0</v>
      </c>
      <c r="FB23" s="213">
        <f>SUM(data_1!FB100:FB108)</f>
        <v>0</v>
      </c>
      <c r="FC23" s="213">
        <f>SUM(data_1!FC100:FC108)</f>
        <v>0</v>
      </c>
      <c r="FD23" s="213">
        <f>SUM(data_1!FD100:FD108)</f>
        <v>0</v>
      </c>
      <c r="FE23" s="213">
        <f>SUM(data_1!FE100:FE108)</f>
        <v>0</v>
      </c>
      <c r="FF23" s="213">
        <f>SUM(data_1!FF100:FF108)</f>
        <v>0</v>
      </c>
      <c r="FG23" s="213">
        <f>SUM(data_1!FG100:FG108)</f>
        <v>0</v>
      </c>
      <c r="FH23" s="213">
        <f>SUM(data_1!FH100:FH108)</f>
        <v>0</v>
      </c>
      <c r="FI23" s="213">
        <f>SUM(data_1!FI100:FI108)</f>
        <v>0</v>
      </c>
      <c r="FJ23" s="213">
        <f>SUM(data_1!FJ100:FJ108)</f>
        <v>0</v>
      </c>
      <c r="FK23" s="213">
        <f>SUM(data_1!FK100:FK108)</f>
        <v>0</v>
      </c>
      <c r="FL23" s="213">
        <f>SUM(data_1!FL100:FL108)</f>
        <v>0</v>
      </c>
      <c r="FM23" s="213">
        <f>SUM(data_1!FM100:FM108)</f>
        <v>0</v>
      </c>
      <c r="FN23" s="148">
        <f>SUM(data_1!FN100:FN108)</f>
        <v>0</v>
      </c>
      <c r="FO23" s="148">
        <f>SUM(data_1!FO100:FO108)</f>
        <v>181549400</v>
      </c>
      <c r="FP23" s="148">
        <f>SUM(data_1!FP100:FP108)</f>
        <v>58565400</v>
      </c>
      <c r="FQ23" s="148">
        <f>SUM(data_1!FQ100:FQ108)</f>
        <v>122984000</v>
      </c>
      <c r="FR23" s="148">
        <f>SUM(data_1!FR100:FR108)</f>
        <v>58565400</v>
      </c>
      <c r="FS23" s="148">
        <f>SUM(data_1!FS100:FS108)</f>
        <v>0</v>
      </c>
      <c r="FT23" s="148">
        <f>SUM(data_1!FT100:FT108)</f>
        <v>0</v>
      </c>
      <c r="FU23" s="148">
        <f>SUM(data_1!FU100:FU108)</f>
        <v>181549400</v>
      </c>
      <c r="FV23" s="148">
        <f>SUM(data_1!FV100:FV108)</f>
        <v>58565400</v>
      </c>
      <c r="FW23" s="148">
        <f>SUM(data_1!FW100:FW108)</f>
        <v>0</v>
      </c>
      <c r="FX23" s="148">
        <f>SUM(data_1!FX100:FX108)</f>
        <v>122984000</v>
      </c>
      <c r="FY23" s="148">
        <f>SUM(data_1!FY100:FY108)</f>
        <v>146.29915</v>
      </c>
      <c r="FZ23" s="148">
        <f>SUM(data_1!FZ100:FZ108)</f>
        <v>0</v>
      </c>
      <c r="GA23" s="148">
        <f>SUM(data_1!GA100:GA108)</f>
        <v>0</v>
      </c>
      <c r="GB23" s="148">
        <f>SUM(data_1!GB100:GB108)</f>
        <v>58565400</v>
      </c>
      <c r="GC23" s="148">
        <f>SUM(data_1!GC100:GC108)</f>
        <v>0</v>
      </c>
      <c r="GD23" s="148">
        <f>SUM(data_1!GD100:GD108)</f>
        <v>58565400</v>
      </c>
      <c r="GE23" s="148">
        <f>SUM(data_1!GE100:GE108)</f>
        <v>58565400</v>
      </c>
      <c r="GF23" s="148">
        <f>SUM(data_1!GF100:GF108)</f>
        <v>0</v>
      </c>
      <c r="GG23" s="148">
        <f>SUM(data_1!GG100:GG108)</f>
        <v>587947365.41999996</v>
      </c>
      <c r="GH23" s="148">
        <f>SUM(data_1!GH100:GH108)</f>
        <v>296039400</v>
      </c>
      <c r="GI23" s="148">
        <f>SUM(data_1!GI100:GI108)</f>
        <v>291907965.42000002</v>
      </c>
      <c r="GJ23" s="148">
        <f>SUM(data_1!GJ100:GJ108)</f>
        <v>295999312.51999998</v>
      </c>
      <c r="GK23" s="148">
        <f>SUM(data_1!GK100:GK108)</f>
        <v>2342427.56</v>
      </c>
      <c r="GL23" s="148">
        <f>SUM(data_1!GL100:GL108)</f>
        <v>0</v>
      </c>
      <c r="GM23" s="148">
        <f>SUM(data_1!GM100:GM108)</f>
        <v>587742152.8599999</v>
      </c>
      <c r="GN23" s="148">
        <f>SUM(data_1!GN100:GN108)</f>
        <v>295999312.51999998</v>
      </c>
      <c r="GO23" s="148">
        <f>SUM(data_1!GO100:GO108)</f>
        <v>0</v>
      </c>
      <c r="GP23" s="148">
        <f>SUM(data_1!GP100:GP108)</f>
        <v>291742840.34000003</v>
      </c>
      <c r="GQ23" s="148">
        <f>SUM(data_1!GQ100:GQ108)</f>
        <v>429.90947</v>
      </c>
      <c r="GR23" s="148">
        <f>SUM(data_1!GR100:GR108)</f>
        <v>2342427.56</v>
      </c>
      <c r="GS23" s="148">
        <f>SUM(data_1!GS100:GS108)</f>
        <v>0</v>
      </c>
      <c r="GT23" s="148">
        <f>SUM(data_1!GT100:GT108)</f>
        <v>295999312.51999998</v>
      </c>
      <c r="GU23" s="148">
        <f>SUM(data_1!GU100:GU108)</f>
        <v>0</v>
      </c>
      <c r="GV23" s="148">
        <f>SUM(data_1!GV100:GV108)</f>
        <v>296039400</v>
      </c>
      <c r="GW23" s="148">
        <f>SUM(data_1!GW100:GW108)</f>
        <v>296039400</v>
      </c>
      <c r="GX23" s="148">
        <f>SUM(data_1!GX100:GX108)</f>
        <v>0</v>
      </c>
      <c r="GY23" s="148">
        <f>SUM(data_1!GY100:GY108)</f>
        <v>0</v>
      </c>
      <c r="GZ23" s="148">
        <f>SUM(data_1!GZ100:GZ108)</f>
        <v>0</v>
      </c>
      <c r="HA23" s="148">
        <f>SUM(data_1!HA100:HA108)</f>
        <v>0</v>
      </c>
      <c r="HB23" s="148">
        <f>SUM(data_1!HB100:HB108)</f>
        <v>0</v>
      </c>
      <c r="HC23" s="148">
        <f>SUM(data_1!HC100:HC108)</f>
        <v>195424.82</v>
      </c>
      <c r="HD23" s="148">
        <f>SUM(data_1!HD100:HD108)</f>
        <v>0</v>
      </c>
      <c r="HE23" s="148">
        <f>SUM(data_1!HE100:HE108)</f>
        <v>0</v>
      </c>
      <c r="HF23" s="148">
        <f>SUM(data_1!HF100:HF108)</f>
        <v>0</v>
      </c>
      <c r="HG23" s="148">
        <f>SUM(data_1!HG100:HG108)</f>
        <v>0</v>
      </c>
      <c r="HH23" s="148">
        <f>SUM(data_1!HH100:HH108)</f>
        <v>0</v>
      </c>
      <c r="HI23" s="148">
        <f>SUM(data_1!HI100:HI108)</f>
        <v>0</v>
      </c>
      <c r="HJ23" s="148">
        <f>SUM(data_1!HJ100:HJ108)</f>
        <v>195424.82</v>
      </c>
      <c r="HK23" s="148">
        <f>SUM(data_1!HK100:HK108)</f>
        <v>0</v>
      </c>
      <c r="HL23" s="148">
        <f>SUM(data_1!HL100:HL108)</f>
        <v>0</v>
      </c>
      <c r="HM23" s="148">
        <f>SUM(data_1!HM100:HM108)</f>
        <v>0</v>
      </c>
      <c r="HN23" s="148">
        <f>SUM(data_1!HN100:HN108)</f>
        <v>0</v>
      </c>
      <c r="HO23" s="148">
        <f>SUM(data_1!HO100:HO108)</f>
        <v>0</v>
      </c>
      <c r="HP23" s="148">
        <f>SUM(data_1!HP100:HP108)</f>
        <v>0</v>
      </c>
      <c r="HQ23" s="148">
        <f>SUM(data_1!HQ100:HQ108)</f>
        <v>297506860</v>
      </c>
      <c r="HR23" s="148">
        <f>SUM(data_1!HR100:HR108)</f>
        <v>193900000</v>
      </c>
      <c r="HS23" s="148">
        <f>SUM(data_1!HS100:HS108)</f>
        <v>103606860</v>
      </c>
      <c r="HT23" s="148">
        <f>SUM(data_1!HT100:HT108)</f>
        <v>193900000</v>
      </c>
      <c r="HU23" s="148">
        <f>SUM(data_1!HU100:HU108)</f>
        <v>0</v>
      </c>
      <c r="HV23" s="148">
        <f>SUM(data_1!HV100:HV108)</f>
        <v>0</v>
      </c>
      <c r="HW23" s="148">
        <f>SUM(data_1!HW100:HW108)</f>
        <v>297506860</v>
      </c>
      <c r="HX23" s="148">
        <f>SUM(data_1!HX100:HX108)</f>
        <v>193900000</v>
      </c>
      <c r="HY23" s="148">
        <f>SUM(data_1!HY100:HY108)</f>
        <v>0</v>
      </c>
      <c r="HZ23" s="148">
        <f>SUM(data_1!HZ100:HZ108)</f>
        <v>103606860</v>
      </c>
      <c r="IA23" s="148">
        <f>SUM(data_1!IA100:IA108)</f>
        <v>34.825029999999998</v>
      </c>
      <c r="IB23" s="148">
        <f>SUM(data_1!IB100:IB108)</f>
        <v>0</v>
      </c>
      <c r="IC23" s="148">
        <f>SUM(data_1!IC100:IC108)</f>
        <v>0</v>
      </c>
      <c r="ID23" s="148">
        <f>SUM(data_1!ID100:ID108)</f>
        <v>193900000</v>
      </c>
      <c r="IE23" s="148">
        <f>SUM(data_1!IE100:IE108)</f>
        <v>0</v>
      </c>
      <c r="IF23" s="148">
        <f>SUM(data_1!IF100:IF108)</f>
        <v>193900000</v>
      </c>
      <c r="IG23" s="148">
        <f>SUM(data_1!IG100:IG108)</f>
        <v>193900000</v>
      </c>
      <c r="IH23" s="148">
        <f>SUM(data_1!IH100:IH108)</f>
        <v>0</v>
      </c>
      <c r="II23" s="148">
        <f>SUM(data_1!II100:II108)</f>
        <v>0</v>
      </c>
      <c r="IJ23" s="148">
        <f>SUM(data_1!IJ100:IJ108)</f>
        <v>0</v>
      </c>
      <c r="IK23" s="148">
        <f>SUM(data_1!IK100:IK108)</f>
        <v>0</v>
      </c>
      <c r="IL23" s="148">
        <f>SUM(data_1!IL100:IL108)</f>
        <v>0</v>
      </c>
      <c r="IM23" s="148">
        <f>SUM(data_1!IM100:IM108)</f>
        <v>0</v>
      </c>
      <c r="IN23" s="148">
        <f>SUM(data_1!IN100:IN108)</f>
        <v>0</v>
      </c>
      <c r="IO23" s="148">
        <f>SUM(data_1!IO100:IO108)</f>
        <v>0</v>
      </c>
      <c r="IP23" s="148">
        <f>SUM(data_1!IP100:IP108)</f>
        <v>0</v>
      </c>
      <c r="IQ23" s="148">
        <f>SUM(data_1!IQ100:IQ108)</f>
        <v>0</v>
      </c>
      <c r="IR23" s="148">
        <f>SUM(data_1!IR100:IR108)</f>
        <v>0</v>
      </c>
      <c r="IS23" s="148">
        <f>SUM(data_1!IS100:IS108)</f>
        <v>0</v>
      </c>
      <c r="IT23" s="148">
        <f>SUM(data_1!IT100:IT108)</f>
        <v>0</v>
      </c>
      <c r="IU23" s="148">
        <f>SUM(data_1!IU100:IU108)</f>
        <v>0</v>
      </c>
      <c r="IV23" s="148">
        <f>SUM(data_1!IV100:IV108)</f>
        <v>0</v>
      </c>
      <c r="IW23" s="148">
        <f>SUM(data_1!IW100:IW108)</f>
        <v>0</v>
      </c>
      <c r="IX23" s="148">
        <f>SUM(data_1!IX100:IX108)</f>
        <v>0</v>
      </c>
      <c r="IY23" s="148">
        <f>SUM(data_1!IY100:IY108)</f>
        <v>0</v>
      </c>
      <c r="IZ23" s="148">
        <f>SUM(data_1!IZ100:IZ108)</f>
        <v>0</v>
      </c>
      <c r="JA23" s="148">
        <f>SUM(data_1!JA100:JA108)</f>
        <v>0</v>
      </c>
      <c r="JB23" s="148">
        <f>SUM(data_1!JB100:JB108)</f>
        <v>0</v>
      </c>
      <c r="JC23" s="148">
        <f>SUM(data_1!JC100:JC108)</f>
        <v>0</v>
      </c>
      <c r="JD23" s="148">
        <f>SUM(data_1!JD100:JD108)</f>
        <v>0</v>
      </c>
      <c r="JE23" s="148">
        <f>SUM(data_1!JE100:JE108)</f>
        <v>0</v>
      </c>
      <c r="JF23" s="148">
        <f>SUM(data_1!JF100:JF108)</f>
        <v>0</v>
      </c>
      <c r="JG23" s="148">
        <f>SUM(data_1!JG100:JG108)</f>
        <v>0</v>
      </c>
      <c r="JH23" s="148">
        <f>SUM(data_1!JH100:JH108)</f>
        <v>0</v>
      </c>
      <c r="JI23" s="148">
        <f>SUM(data_1!JI100:JI108)</f>
        <v>0</v>
      </c>
      <c r="JJ23" s="148">
        <f>SUM(data_1!JJ100:JJ108)</f>
        <v>0</v>
      </c>
      <c r="JK23" s="148">
        <f>SUM(data_1!JK100:JK108)</f>
        <v>0</v>
      </c>
      <c r="JL23" s="148">
        <f>SUM(data_1!JL100:JL108)</f>
        <v>0</v>
      </c>
      <c r="JM23" s="148">
        <f>SUM(data_1!JM100:JM108)</f>
        <v>0</v>
      </c>
      <c r="JN23" s="148">
        <f>SUM(data_1!JN100:JN108)</f>
        <v>0</v>
      </c>
      <c r="JO23" s="148">
        <f>SUM(data_1!JO100:JO108)</f>
        <v>0</v>
      </c>
      <c r="JP23" s="148">
        <f>SUM(data_1!JP100:JP108)</f>
        <v>0</v>
      </c>
      <c r="JQ23" s="148">
        <f>SUM(data_1!JQ100:JQ108)</f>
        <v>0</v>
      </c>
      <c r="JR23" s="148">
        <f>SUM(data_1!JR100:JR108)</f>
        <v>0</v>
      </c>
      <c r="JS23" s="148">
        <f>SUM(data_1!JS100:JS108)</f>
        <v>0</v>
      </c>
      <c r="JT23" s="148">
        <f>SUM(data_1!JT100:JT108)</f>
        <v>0</v>
      </c>
      <c r="JU23" s="148">
        <f>SUM(data_1!JU100:JU108)</f>
        <v>0</v>
      </c>
      <c r="JV23" s="148">
        <f>SUM(data_1!JV100:JV108)</f>
        <v>0</v>
      </c>
      <c r="JW23" s="148">
        <f>SUM(data_1!JW100:JW108)</f>
        <v>0</v>
      </c>
      <c r="JX23" s="148">
        <f>SUM(data_1!JX100:JX108)</f>
        <v>0</v>
      </c>
      <c r="JY23" s="148">
        <f>SUM(data_1!JY100:JY108)</f>
        <v>0</v>
      </c>
      <c r="JZ23" s="148">
        <f>SUM(data_1!JZ100:JZ108)</f>
        <v>0</v>
      </c>
      <c r="KA23" s="148">
        <f>SUM(data_1!KA100:KA108)</f>
        <v>0</v>
      </c>
      <c r="KB23" s="148">
        <f>SUM(data_1!KB100:KB108)</f>
        <v>0</v>
      </c>
      <c r="KC23" s="148">
        <f>SUM(data_1!KC100:KC108)</f>
        <v>0</v>
      </c>
      <c r="KD23" s="148">
        <f>SUM(data_1!KD100:KD108)</f>
        <v>0</v>
      </c>
      <c r="KE23" s="148">
        <f>SUM(data_1!KE100:KE108)</f>
        <v>0</v>
      </c>
      <c r="KF23" s="148">
        <f>SUM(data_1!KF100:KF108)</f>
        <v>0</v>
      </c>
      <c r="KG23" s="148">
        <f>SUM(data_1!KG100:KG108)</f>
        <v>0</v>
      </c>
      <c r="KH23" s="148">
        <f>SUM(data_1!KH100:KH108)</f>
        <v>0</v>
      </c>
      <c r="KI23" s="148">
        <f>SUM(data_1!KI100:KI108)</f>
        <v>0</v>
      </c>
      <c r="KJ23" s="148">
        <f>SUM(data_1!KJ100:KJ108)</f>
        <v>0</v>
      </c>
      <c r="KK23" s="148">
        <f>SUM(data_1!KK100:KK108)</f>
        <v>9748000</v>
      </c>
      <c r="KL23" s="148">
        <f>SUM(data_1!KL100:KL108)</f>
        <v>4748000</v>
      </c>
      <c r="KM23" s="148">
        <f>SUM(data_1!KM100:KM108)</f>
        <v>5000000</v>
      </c>
      <c r="KN23" s="148">
        <f>SUM(data_1!KN100:KN108)</f>
        <v>4748000</v>
      </c>
      <c r="KO23" s="148">
        <f>SUM(data_1!KO100:KO108)</f>
        <v>0</v>
      </c>
      <c r="KP23" s="148">
        <f>SUM(data_1!KP100:KP108)</f>
        <v>0</v>
      </c>
      <c r="KQ23" s="148">
        <f>SUM(data_1!KQ100:KQ108)</f>
        <v>9748000</v>
      </c>
      <c r="KR23" s="148">
        <f>SUM(data_1!KR100:KR108)</f>
        <v>4748000</v>
      </c>
      <c r="KS23" s="148">
        <f>SUM(data_1!KS100:KS108)</f>
        <v>0</v>
      </c>
      <c r="KT23" s="148">
        <f>SUM(data_1!KT100:KT108)</f>
        <v>5000000</v>
      </c>
      <c r="KU23" s="148">
        <f>SUM(data_1!KU100:KU108)</f>
        <v>51.292569999999998</v>
      </c>
      <c r="KV23" s="148">
        <f>SUM(data_1!KV100:KV108)</f>
        <v>0</v>
      </c>
      <c r="KW23" s="148">
        <f>SUM(data_1!KW100:KW108)</f>
        <v>0</v>
      </c>
      <c r="KX23" s="148">
        <f>SUM(data_1!KX100:KX108)</f>
        <v>4748000</v>
      </c>
      <c r="KY23" s="148">
        <f>SUM(data_1!KY100:KY108)</f>
        <v>0</v>
      </c>
      <c r="KZ23" s="148">
        <f>SUM(data_1!KZ100:KZ108)</f>
        <v>4748000</v>
      </c>
      <c r="LA23" s="148">
        <f>SUM(data_1!LA100:LA108)</f>
        <v>4748000</v>
      </c>
      <c r="LB23" s="148">
        <f>SUM(data_1!LB100:LB108)</f>
        <v>0</v>
      </c>
      <c r="LC23" s="148">
        <f>SUM(data_1!LC100:LC108)</f>
        <v>0</v>
      </c>
      <c r="LD23" s="148">
        <f>SUM(data_1!LD100:LD108)</f>
        <v>0</v>
      </c>
      <c r="LE23" s="148">
        <f>SUM(data_1!LE100:LE108)</f>
        <v>0</v>
      </c>
      <c r="LF23" s="148">
        <f>SUM(data_1!LF100:LF108)</f>
        <v>0</v>
      </c>
      <c r="LG23" s="148">
        <f>SUM(data_1!LG100:LG108)</f>
        <v>0</v>
      </c>
      <c r="LH23" s="148">
        <f>SUM(data_1!LH100:LH108)</f>
        <v>0</v>
      </c>
      <c r="LI23" s="148">
        <f>SUM(data_1!LI100:LI108)</f>
        <v>0</v>
      </c>
      <c r="LJ23" s="148">
        <f>SUM(data_1!LJ100:LJ108)</f>
        <v>0</v>
      </c>
      <c r="LK23" s="148">
        <f>SUM(data_1!LK100:LK108)</f>
        <v>0</v>
      </c>
      <c r="LL23" s="148">
        <f>SUM(data_1!LL100:LL108)</f>
        <v>0</v>
      </c>
      <c r="LM23" s="148">
        <f>SUM(data_1!LM100:LM108)</f>
        <v>0</v>
      </c>
      <c r="LN23" s="148">
        <f>SUM(data_1!LN100:LN108)</f>
        <v>0</v>
      </c>
      <c r="LO23" s="148">
        <f>SUM(data_1!LO100:LO108)</f>
        <v>0</v>
      </c>
      <c r="LP23" s="148">
        <f>SUM(data_1!LP100:LP108)</f>
        <v>0</v>
      </c>
      <c r="LQ23" s="148">
        <f>SUM(data_1!LQ100:LQ108)</f>
        <v>0</v>
      </c>
      <c r="LR23" s="148">
        <f>SUM(data_1!LR100:LR108)</f>
        <v>0</v>
      </c>
      <c r="LS23" s="148">
        <f>SUM(data_1!LS100:LS108)</f>
        <v>0</v>
      </c>
      <c r="LT23" s="148">
        <f>SUM(data_1!LT100:LT108)</f>
        <v>0</v>
      </c>
      <c r="LU23" s="148">
        <f>SUM(data_1!LU100:LU108)</f>
        <v>2949000</v>
      </c>
      <c r="LV23" s="148">
        <f>SUM(data_1!LV100:LV108)</f>
        <v>949000</v>
      </c>
      <c r="LW23" s="148">
        <f>SUM(data_1!LW100:LW108)</f>
        <v>2000000</v>
      </c>
      <c r="LX23" s="148">
        <f>SUM(data_1!LX100:LX108)</f>
        <v>949000</v>
      </c>
      <c r="LY23" s="148">
        <f>SUM(data_1!LY100:LY108)</f>
        <v>0</v>
      </c>
      <c r="LZ23" s="148">
        <f>SUM(data_1!LZ100:LZ108)</f>
        <v>0</v>
      </c>
      <c r="MA23" s="148">
        <f>SUM(data_1!MA100:MA108)</f>
        <v>2949000</v>
      </c>
      <c r="MB23" s="148">
        <f>SUM(data_1!MB100:MB108)</f>
        <v>949000</v>
      </c>
      <c r="MC23" s="148">
        <f>SUM(data_1!MC100:MC108)</f>
        <v>0</v>
      </c>
      <c r="MD23" s="148">
        <f>SUM(data_1!MD100:MD108)</f>
        <v>2000000</v>
      </c>
      <c r="ME23" s="148">
        <f>SUM(data_1!ME100:ME108)</f>
        <v>67.819599999999994</v>
      </c>
      <c r="MF23" s="148">
        <f>SUM(data_1!MF100:MF108)</f>
        <v>0</v>
      </c>
      <c r="MG23" s="148">
        <f>SUM(data_1!MG100:MG108)</f>
        <v>0</v>
      </c>
      <c r="MH23" s="148">
        <f>SUM(data_1!MH100:MH108)</f>
        <v>949000</v>
      </c>
      <c r="MI23" s="148">
        <f>SUM(data_1!MI100:MI108)</f>
        <v>0</v>
      </c>
      <c r="MJ23" s="148">
        <f>SUM(data_1!MJ100:MJ108)</f>
        <v>949000</v>
      </c>
      <c r="MK23" s="148">
        <f>SUM(data_1!MK100:MK108)</f>
        <v>949000</v>
      </c>
      <c r="ML23" s="148">
        <f>SUM(data_1!ML100:ML108)</f>
        <v>0</v>
      </c>
      <c r="MM23" s="148">
        <f>SUM(data_1!MM100:MM108)</f>
        <v>0</v>
      </c>
      <c r="MN23" s="148">
        <f>SUM(data_1!MN100:MN108)</f>
        <v>0</v>
      </c>
      <c r="MO23" s="148">
        <f>SUM(data_1!MO100:MO108)</f>
        <v>0</v>
      </c>
      <c r="MP23" s="148">
        <f>SUM(data_1!MP100:MP108)</f>
        <v>0</v>
      </c>
      <c r="MQ23" s="148">
        <f>SUM(data_1!MQ100:MQ108)</f>
        <v>0</v>
      </c>
      <c r="MR23" s="148">
        <f>SUM(data_1!MR100:MR108)</f>
        <v>0</v>
      </c>
      <c r="MS23" s="148">
        <f>SUM(data_1!MS100:MS108)</f>
        <v>0</v>
      </c>
      <c r="MT23" s="148">
        <f>SUM(data_1!MT100:MT108)</f>
        <v>0</v>
      </c>
      <c r="MU23" s="148">
        <f>SUM(data_1!MU100:MU108)</f>
        <v>0</v>
      </c>
      <c r="MV23" s="148">
        <f>SUM(data_1!MV100:MV108)</f>
        <v>0</v>
      </c>
      <c r="MW23" s="148">
        <f>SUM(data_1!MW100:MW108)</f>
        <v>0</v>
      </c>
      <c r="MX23" s="148">
        <f>SUM(data_1!MX100:MX108)</f>
        <v>0</v>
      </c>
      <c r="MY23" s="148">
        <f>SUM(data_1!MY100:MY108)</f>
        <v>0</v>
      </c>
      <c r="MZ23" s="148">
        <f>SUM(data_1!MZ100:MZ108)</f>
        <v>0</v>
      </c>
      <c r="NA23" s="148">
        <f>SUM(data_1!NA100:NA108)</f>
        <v>0</v>
      </c>
      <c r="NB23" s="148">
        <f>SUM(data_1!NB100:NB108)</f>
        <v>0</v>
      </c>
      <c r="NC23" s="148">
        <f>SUM(data_1!NC100:NC108)</f>
        <v>0</v>
      </c>
      <c r="ND23" s="148">
        <f>SUM(data_1!ND100:ND108)</f>
        <v>0</v>
      </c>
      <c r="NE23" s="148">
        <f>SUM(data_1!NE100:NE108)</f>
        <v>282567400</v>
      </c>
      <c r="NF23" s="148">
        <f>SUM(data_1!NF100:NF108)</f>
        <v>140177500</v>
      </c>
      <c r="NG23" s="148">
        <f>SUM(data_1!NG100:NG108)</f>
        <v>142389900</v>
      </c>
      <c r="NH23" s="148">
        <f>SUM(data_1!NH100:NH108)</f>
        <v>107307470.31999999</v>
      </c>
      <c r="NI23" s="148">
        <f>SUM(data_1!NI100:NI108)</f>
        <v>0</v>
      </c>
      <c r="NJ23" s="148">
        <f>SUM(data_1!NJ100:NJ108)</f>
        <v>0</v>
      </c>
      <c r="NK23" s="148">
        <f>SUM(data_1!NK100:NK108)</f>
        <v>199378971.88</v>
      </c>
      <c r="NL23" s="148">
        <f>SUM(data_1!NL100:NL108)</f>
        <v>107307470.31999999</v>
      </c>
      <c r="NM23" s="148">
        <f>SUM(data_1!NM100:NM108)</f>
        <v>0</v>
      </c>
      <c r="NN23" s="148">
        <f>SUM(data_1!NN100:NN108)</f>
        <v>92071501.560000002</v>
      </c>
      <c r="NO23" s="148">
        <f>SUM(data_1!NO100:NO108)</f>
        <v>77.37867</v>
      </c>
      <c r="NP23" s="148">
        <f>SUM(data_1!NP100:NP108)</f>
        <v>0</v>
      </c>
      <c r="NQ23" s="148">
        <f>SUM(data_1!NQ100:NQ108)</f>
        <v>0</v>
      </c>
      <c r="NR23" s="148">
        <f>SUM(data_1!NR100:NR108)</f>
        <v>107307470.31999999</v>
      </c>
      <c r="NS23" s="148">
        <f>SUM(data_1!NS100:NS108)</f>
        <v>0</v>
      </c>
      <c r="NT23" s="148">
        <f>SUM(data_1!NT100:NT108)</f>
        <v>140177500</v>
      </c>
      <c r="NU23" s="148">
        <f>SUM(data_1!NU100:NU108)</f>
        <v>140177500</v>
      </c>
      <c r="NV23" s="148">
        <f>SUM(data_1!NV100:NV108)</f>
        <v>0</v>
      </c>
      <c r="NW23" s="148">
        <f>SUM(data_1!NW100:NW108)</f>
        <v>0</v>
      </c>
      <c r="NX23" s="148">
        <f>SUM(data_1!NX100:NX108)</f>
        <v>0</v>
      </c>
      <c r="NY23" s="148">
        <f>SUM(data_1!NY100:NY108)</f>
        <v>0</v>
      </c>
      <c r="NZ23" s="148">
        <f>SUM(data_1!NZ100:NZ108)</f>
        <v>0</v>
      </c>
      <c r="OA23" s="148">
        <f>SUM(data_1!OA100:OA108)</f>
        <v>0</v>
      </c>
      <c r="OB23" s="148">
        <f>SUM(data_1!OB100:OB108)</f>
        <v>0</v>
      </c>
      <c r="OC23" s="148">
        <f>SUM(data_1!OC100:OC108)</f>
        <v>0</v>
      </c>
      <c r="OD23" s="148">
        <f>SUM(data_1!OD100:OD108)</f>
        <v>0</v>
      </c>
      <c r="OE23" s="148">
        <f>SUM(data_1!OE100:OE108)</f>
        <v>0</v>
      </c>
      <c r="OF23" s="148">
        <f>SUM(data_1!OF100:OF108)</f>
        <v>0</v>
      </c>
      <c r="OG23" s="148">
        <f>SUM(data_1!OG100:OG108)</f>
        <v>0</v>
      </c>
      <c r="OH23" s="148">
        <f>SUM(data_1!OH100:OH108)</f>
        <v>0</v>
      </c>
      <c r="OI23" s="148">
        <f>SUM(data_1!OI100:OI108)</f>
        <v>0</v>
      </c>
      <c r="OJ23" s="148">
        <f>SUM(data_1!OJ100:OJ108)</f>
        <v>0</v>
      </c>
      <c r="OK23" s="148">
        <f>SUM(data_1!OK100:OK108)</f>
        <v>0</v>
      </c>
      <c r="OL23" s="148">
        <f>SUM(data_1!OL100:OL108)</f>
        <v>0</v>
      </c>
      <c r="OM23" s="148">
        <f>SUM(data_1!OM100:OM108)</f>
        <v>0</v>
      </c>
      <c r="ON23" s="148">
        <f>SUM(data_1!ON100:ON108)</f>
        <v>0</v>
      </c>
      <c r="OO23" s="148">
        <f>SUM(data_1!OO100:OO108)</f>
        <v>17310900</v>
      </c>
      <c r="OP23" s="148">
        <f>SUM(data_1!OP100:OP108)</f>
        <v>6719900</v>
      </c>
      <c r="OQ23" s="148">
        <f>SUM(data_1!OQ100:OQ108)</f>
        <v>10591000</v>
      </c>
      <c r="OR23" s="148">
        <f>SUM(data_1!OR100:OR108)</f>
        <v>6719893.3300000001</v>
      </c>
      <c r="OS23" s="148">
        <f>SUM(data_1!OS100:OS108)</f>
        <v>0</v>
      </c>
      <c r="OT23" s="148">
        <f>SUM(data_1!OT100:OT108)</f>
        <v>0</v>
      </c>
      <c r="OU23" s="148">
        <f>SUM(data_1!OU100:OU108)</f>
        <v>17310884.41</v>
      </c>
      <c r="OV23" s="148">
        <f>SUM(data_1!OV100:OV108)</f>
        <v>6719893.3300000001</v>
      </c>
      <c r="OW23" s="148">
        <f>SUM(data_1!OW100:OW108)</f>
        <v>0</v>
      </c>
      <c r="OX23" s="148">
        <f>SUM(data_1!OX100:OX108)</f>
        <v>10590991.08</v>
      </c>
      <c r="OY23" s="148">
        <f>SUM(data_1!OY100:OY108)</f>
        <v>271.68726000000004</v>
      </c>
      <c r="OZ23" s="148">
        <f>SUM(data_1!OZ100:OZ108)</f>
        <v>0</v>
      </c>
      <c r="PA23" s="148">
        <f>SUM(data_1!PA100:PA108)</f>
        <v>0</v>
      </c>
      <c r="PB23" s="148">
        <f>SUM(data_1!PB100:PB108)</f>
        <v>6719893.3300000001</v>
      </c>
      <c r="PC23" s="148">
        <f>SUM(data_1!PC100:PC108)</f>
        <v>0</v>
      </c>
      <c r="PD23" s="148">
        <f>SUM(data_1!PD100:PD108)</f>
        <v>6719900</v>
      </c>
      <c r="PE23" s="148">
        <f>SUM(data_1!PE100:PE108)</f>
        <v>6719900</v>
      </c>
      <c r="PF23" s="148">
        <f>SUM(data_1!PF100:PF108)</f>
        <v>0</v>
      </c>
      <c r="PG23" s="148">
        <f>SUM(data_1!PG100:PG108)</f>
        <v>0</v>
      </c>
      <c r="PH23" s="148">
        <f>SUM(data_1!PH100:PH108)</f>
        <v>0</v>
      </c>
      <c r="PI23" s="148">
        <f>SUM(data_1!PI100:PI108)</f>
        <v>0</v>
      </c>
      <c r="PJ23" s="148">
        <f>SUM(data_1!PJ100:PJ108)</f>
        <v>0</v>
      </c>
      <c r="PK23" s="148">
        <f>SUM(data_1!PK100:PK108)</f>
        <v>0</v>
      </c>
      <c r="PL23" s="148">
        <f>SUM(data_1!PL100:PL108)</f>
        <v>0</v>
      </c>
      <c r="PM23" s="148">
        <f>SUM(data_1!PM100:PM108)</f>
        <v>0</v>
      </c>
      <c r="PN23" s="148">
        <f>SUM(data_1!PN100:PN108)</f>
        <v>0</v>
      </c>
      <c r="PO23" s="148">
        <f>SUM(data_1!PO100:PO108)</f>
        <v>0</v>
      </c>
      <c r="PP23" s="148">
        <f>SUM(data_1!PP100:PP108)</f>
        <v>0</v>
      </c>
      <c r="PQ23" s="148">
        <f>SUM(data_1!PQ100:PQ108)</f>
        <v>0</v>
      </c>
      <c r="PR23" s="148">
        <f>SUM(data_1!PR100:PR108)</f>
        <v>0</v>
      </c>
      <c r="PS23" s="148">
        <f>SUM(data_1!PS100:PS108)</f>
        <v>0</v>
      </c>
      <c r="PT23" s="148">
        <f>SUM(data_1!PT100:PT108)</f>
        <v>0</v>
      </c>
      <c r="PU23" s="148">
        <f>SUM(data_1!PU100:PU108)</f>
        <v>0</v>
      </c>
      <c r="PV23" s="148">
        <f>SUM(data_1!PV100:PV108)</f>
        <v>0</v>
      </c>
      <c r="PW23" s="148">
        <f>SUM(data_1!PW100:PW108)</f>
        <v>0</v>
      </c>
      <c r="PX23" s="148">
        <f>SUM(data_1!PX100:PX108)</f>
        <v>0</v>
      </c>
      <c r="PY23" s="148">
        <f>SUM(data_1!PY100:PY108)</f>
        <v>0</v>
      </c>
      <c r="PZ23" s="148">
        <f>SUM(data_1!PZ100:PZ108)</f>
        <v>0</v>
      </c>
      <c r="QA23" s="148">
        <f>SUM(data_1!QA100:QA108)</f>
        <v>0</v>
      </c>
      <c r="QB23" s="148">
        <f>SUM(data_1!QB100:QB108)</f>
        <v>0</v>
      </c>
      <c r="QC23" s="148">
        <f>SUM(data_1!QC100:QC108)</f>
        <v>26103311.120000005</v>
      </c>
      <c r="QD23" s="148">
        <f>SUM(data_1!QD100:QD108)</f>
        <v>0</v>
      </c>
      <c r="QE23" s="148">
        <f>SUM(data_1!QE100:QE108)</f>
        <v>0</v>
      </c>
      <c r="QF23" s="148">
        <f>SUM(data_1!QF100:QF108)</f>
        <v>0</v>
      </c>
      <c r="QG23" s="148">
        <f>SUM(data_1!QG100:QG108)</f>
        <v>0</v>
      </c>
      <c r="QH23" s="148">
        <f>SUM(data_1!QH100:QH108)</f>
        <v>0</v>
      </c>
      <c r="QI23" s="148">
        <f>SUM(data_1!QI100:QI108)</f>
        <v>0</v>
      </c>
      <c r="QJ23" s="148">
        <f>SUM(data_1!QJ100:QJ108)</f>
        <v>22768937.120000005</v>
      </c>
      <c r="QK23" s="148">
        <f>SUM(data_1!QK100:QK108)</f>
        <v>3334374</v>
      </c>
      <c r="QL23" s="148">
        <f>SUM(data_1!QL100:QL108)</f>
        <v>0</v>
      </c>
      <c r="QM23" s="148">
        <f>SUM(data_1!QM100:QM108)</f>
        <v>0</v>
      </c>
      <c r="QN23" s="148">
        <f>SUM(data_1!QN100:QN108)</f>
        <v>0</v>
      </c>
      <c r="QO23" s="148">
        <f>SUM(data_1!QO100:QO108)</f>
        <v>0</v>
      </c>
    </row>
  </sheetData>
  <mergeCells count="479">
    <mergeCell ref="B6:B12"/>
    <mergeCell ref="C6:C12"/>
    <mergeCell ref="H6:Y6"/>
    <mergeCell ref="N7:N12"/>
    <mergeCell ref="O7:O12"/>
    <mergeCell ref="P7:P12"/>
    <mergeCell ref="Q7:Q12"/>
    <mergeCell ref="R7:R12"/>
    <mergeCell ref="S7:S12"/>
    <mergeCell ref="T7:T12"/>
    <mergeCell ref="U7:U12"/>
    <mergeCell ref="F7:F12"/>
    <mergeCell ref="G7:G12"/>
    <mergeCell ref="JR6:KI6"/>
    <mergeCell ref="KJ6:LA6"/>
    <mergeCell ref="LB6:LS6"/>
    <mergeCell ref="LT6:MK6"/>
    <mergeCell ref="ML6:NC6"/>
    <mergeCell ref="ND6:NU6"/>
    <mergeCell ref="NV6:OM6"/>
    <mergeCell ref="ED6:EU6"/>
    <mergeCell ref="FN6:GE6"/>
    <mergeCell ref="GF6:GW6"/>
    <mergeCell ref="GX6:HO6"/>
    <mergeCell ref="HP6:IG6"/>
    <mergeCell ref="IH6:IY6"/>
    <mergeCell ref="IZ6:JQ6"/>
    <mergeCell ref="EV6:FM6"/>
    <mergeCell ref="CB6:CS6"/>
    <mergeCell ref="CT6:DK6"/>
    <mergeCell ref="AR6:BI6"/>
    <mergeCell ref="V7:V12"/>
    <mergeCell ref="H7:H12"/>
    <mergeCell ref="I7:I12"/>
    <mergeCell ref="J7:J12"/>
    <mergeCell ref="K7:K12"/>
    <mergeCell ref="L7:L12"/>
    <mergeCell ref="M7:M12"/>
    <mergeCell ref="W7:W12"/>
    <mergeCell ref="X7:X12"/>
    <mergeCell ref="Y7:Y12"/>
    <mergeCell ref="BD7:BD12"/>
    <mergeCell ref="BE7:BE12"/>
    <mergeCell ref="BF7:BF12"/>
    <mergeCell ref="CH7:CH12"/>
    <mergeCell ref="CI7:CI12"/>
    <mergeCell ref="CJ7:CJ12"/>
    <mergeCell ref="CK7:CK12"/>
    <mergeCell ref="CL7:CL12"/>
    <mergeCell ref="CM7:CM12"/>
    <mergeCell ref="CN7:CN12"/>
    <mergeCell ref="CO7:CO12"/>
    <mergeCell ref="PX6:QO6"/>
    <mergeCell ref="ON6:PE6"/>
    <mergeCell ref="PF6:PW6"/>
    <mergeCell ref="AR7:AR12"/>
    <mergeCell ref="AS7:AS12"/>
    <mergeCell ref="AT7:AT12"/>
    <mergeCell ref="AU7:AU12"/>
    <mergeCell ref="AV7:AV12"/>
    <mergeCell ref="AW7:AW12"/>
    <mergeCell ref="BG7:BG12"/>
    <mergeCell ref="CB7:CB12"/>
    <mergeCell ref="CC7:CC12"/>
    <mergeCell ref="CD7:CD12"/>
    <mergeCell ref="CE7:CE12"/>
    <mergeCell ref="CF7:CF12"/>
    <mergeCell ref="CG7:CG12"/>
    <mergeCell ref="BH7:BH12"/>
    <mergeCell ref="BI7:BI12"/>
    <mergeCell ref="AX7:AX12"/>
    <mergeCell ref="AY7:AY12"/>
    <mergeCell ref="AZ7:AZ12"/>
    <mergeCell ref="BA7:BA12"/>
    <mergeCell ref="BB7:BB12"/>
    <mergeCell ref="BC7:BC12"/>
    <mergeCell ref="CP7:CP12"/>
    <mergeCell ref="CT7:CT12"/>
    <mergeCell ref="CU7:CU12"/>
    <mergeCell ref="CV7:CV12"/>
    <mergeCell ref="CW7:CW12"/>
    <mergeCell ref="CX7:CX12"/>
    <mergeCell ref="CY7:CY12"/>
    <mergeCell ref="CQ7:CQ12"/>
    <mergeCell ref="CR7:CR12"/>
    <mergeCell ref="CS7:CS12"/>
    <mergeCell ref="DI7:DI12"/>
    <mergeCell ref="DJ7:DJ12"/>
    <mergeCell ref="DK7:DK12"/>
    <mergeCell ref="CZ7:CZ12"/>
    <mergeCell ref="DA7:DA12"/>
    <mergeCell ref="DB7:DB12"/>
    <mergeCell ref="DC7:DC12"/>
    <mergeCell ref="DD7:DD12"/>
    <mergeCell ref="DE7:DE12"/>
    <mergeCell ref="DF7:DF12"/>
    <mergeCell ref="DG7:DG12"/>
    <mergeCell ref="DH7:DH12"/>
    <mergeCell ref="EL7:EL12"/>
    <mergeCell ref="EM7:EM12"/>
    <mergeCell ref="EN7:EN12"/>
    <mergeCell ref="EO7:EO12"/>
    <mergeCell ref="EP7:EP12"/>
    <mergeCell ref="EQ7:EQ12"/>
    <mergeCell ref="ER7:ER12"/>
    <mergeCell ref="ED7:ED12"/>
    <mergeCell ref="EE7:EE12"/>
    <mergeCell ref="EF7:EF12"/>
    <mergeCell ref="EG7:EG12"/>
    <mergeCell ref="EH7:EH12"/>
    <mergeCell ref="EI7:EI12"/>
    <mergeCell ref="FN7:FN12"/>
    <mergeCell ref="FO7:FO12"/>
    <mergeCell ref="FP7:FP12"/>
    <mergeCell ref="FQ7:FQ12"/>
    <mergeCell ref="FR7:FR12"/>
    <mergeCell ref="FS7:FS12"/>
    <mergeCell ref="ES7:ES12"/>
    <mergeCell ref="ET7:ET12"/>
    <mergeCell ref="EU7:EU12"/>
    <mergeCell ref="EV7:EV12"/>
    <mergeCell ref="EW7:EW12"/>
    <mergeCell ref="EX7:EX12"/>
    <mergeCell ref="EY7:EY12"/>
    <mergeCell ref="EZ7:EZ12"/>
    <mergeCell ref="FA7:FA12"/>
    <mergeCell ref="FB7:FB12"/>
    <mergeCell ref="FC7:FC12"/>
    <mergeCell ref="FD7:FD12"/>
    <mergeCell ref="FE7:FE12"/>
    <mergeCell ref="FF7:FF12"/>
    <mergeCell ref="FG7:FG12"/>
    <mergeCell ref="FH7:FH12"/>
    <mergeCell ref="FI7:FI12"/>
    <mergeCell ref="FJ7:FJ12"/>
    <mergeCell ref="FT7:FT12"/>
    <mergeCell ref="FU7:FU12"/>
    <mergeCell ref="FV7:FV12"/>
    <mergeCell ref="FW7:FW12"/>
    <mergeCell ref="FX7:FX12"/>
    <mergeCell ref="FY7:FY12"/>
    <mergeCell ref="FZ7:FZ12"/>
    <mergeCell ref="GA7:GA12"/>
    <mergeCell ref="GB7:GB12"/>
    <mergeCell ref="GC7:GC12"/>
    <mergeCell ref="GD7:GD12"/>
    <mergeCell ref="GE7:GE12"/>
    <mergeCell ref="GF7:GF12"/>
    <mergeCell ref="GG7:GG12"/>
    <mergeCell ref="GH7:GH12"/>
    <mergeCell ref="GI7:GI12"/>
    <mergeCell ref="GJ7:GJ12"/>
    <mergeCell ref="GK7:GK12"/>
    <mergeCell ref="GL7:GL12"/>
    <mergeCell ref="GM7:GM12"/>
    <mergeCell ref="GN7:GN12"/>
    <mergeCell ref="GO7:GO12"/>
    <mergeCell ref="GP7:GP12"/>
    <mergeCell ref="GQ7:GQ12"/>
    <mergeCell ref="GR7:GR12"/>
    <mergeCell ref="GS7:GS12"/>
    <mergeCell ref="GT7:GT12"/>
    <mergeCell ref="GU7:GU12"/>
    <mergeCell ref="GV7:GV12"/>
    <mergeCell ref="GW7:GW12"/>
    <mergeCell ref="GX7:GX12"/>
    <mergeCell ref="GY7:GY12"/>
    <mergeCell ref="GZ7:GZ12"/>
    <mergeCell ref="HA7:HA12"/>
    <mergeCell ref="HB7:HB12"/>
    <mergeCell ref="HC7:HC12"/>
    <mergeCell ref="HD7:HD12"/>
    <mergeCell ref="HE7:HE12"/>
    <mergeCell ref="HF7:HF12"/>
    <mergeCell ref="HG7:HG12"/>
    <mergeCell ref="HH7:HH12"/>
    <mergeCell ref="HI7:HI12"/>
    <mergeCell ref="HJ7:HJ12"/>
    <mergeCell ref="HK7:HK12"/>
    <mergeCell ref="HL7:HL12"/>
    <mergeCell ref="HM7:HM12"/>
    <mergeCell ref="HN7:HN12"/>
    <mergeCell ref="HO7:HO12"/>
    <mergeCell ref="HP7:HP12"/>
    <mergeCell ref="HQ7:HQ12"/>
    <mergeCell ref="HR7:HR12"/>
    <mergeCell ref="HS7:HS12"/>
    <mergeCell ref="HT7:HT12"/>
    <mergeCell ref="HU7:HU12"/>
    <mergeCell ref="HV7:HV12"/>
    <mergeCell ref="HW7:HW12"/>
    <mergeCell ref="HX7:HX12"/>
    <mergeCell ref="HY7:HY12"/>
    <mergeCell ref="HZ7:HZ12"/>
    <mergeCell ref="IA7:IA12"/>
    <mergeCell ref="IB7:IB12"/>
    <mergeCell ref="IC7:IC12"/>
    <mergeCell ref="ID7:ID12"/>
    <mergeCell ref="IE7:IE12"/>
    <mergeCell ref="IF7:IF12"/>
    <mergeCell ref="IG7:IG12"/>
    <mergeCell ref="IH7:IH12"/>
    <mergeCell ref="II7:II12"/>
    <mergeCell ref="IJ7:IJ12"/>
    <mergeCell ref="IK7:IK12"/>
    <mergeCell ref="IL7:IL12"/>
    <mergeCell ref="IM7:IM12"/>
    <mergeCell ref="IN7:IN12"/>
    <mergeCell ref="IO7:IO12"/>
    <mergeCell ref="IP7:IP12"/>
    <mergeCell ref="IQ7:IQ12"/>
    <mergeCell ref="IR7:IR12"/>
    <mergeCell ref="IS7:IS12"/>
    <mergeCell ref="IT7:IT12"/>
    <mergeCell ref="IU7:IU12"/>
    <mergeCell ref="IV7:IV12"/>
    <mergeCell ref="IW7:IW12"/>
    <mergeCell ref="IX7:IX12"/>
    <mergeCell ref="IY7:IY12"/>
    <mergeCell ref="IZ7:IZ12"/>
    <mergeCell ref="JA7:JA12"/>
    <mergeCell ref="JB7:JB12"/>
    <mergeCell ref="JC7:JC12"/>
    <mergeCell ref="JD7:JD12"/>
    <mergeCell ref="JE7:JE12"/>
    <mergeCell ref="JF7:JF12"/>
    <mergeCell ref="JG7:JG12"/>
    <mergeCell ref="JH7:JH12"/>
    <mergeCell ref="JI7:JI12"/>
    <mergeCell ref="JJ7:JJ12"/>
    <mergeCell ref="JK7:JK12"/>
    <mergeCell ref="JL7:JL12"/>
    <mergeCell ref="JM7:JM12"/>
    <mergeCell ref="JN7:JN12"/>
    <mergeCell ref="JO7:JO12"/>
    <mergeCell ref="JP7:JP12"/>
    <mergeCell ref="JQ7:JQ12"/>
    <mergeCell ref="JR7:JR12"/>
    <mergeCell ref="JS7:JS12"/>
    <mergeCell ref="JT7:JT12"/>
    <mergeCell ref="JU7:JU12"/>
    <mergeCell ref="JV7:JV12"/>
    <mergeCell ref="JW7:JW12"/>
    <mergeCell ref="JX7:JX12"/>
    <mergeCell ref="JY7:JY12"/>
    <mergeCell ref="JZ7:JZ12"/>
    <mergeCell ref="KA7:KA12"/>
    <mergeCell ref="KB7:KB12"/>
    <mergeCell ref="KC7:KC12"/>
    <mergeCell ref="KD7:KD12"/>
    <mergeCell ref="KE7:KE12"/>
    <mergeCell ref="KF7:KF12"/>
    <mergeCell ref="KG7:KG12"/>
    <mergeCell ref="KH7:KH12"/>
    <mergeCell ref="KI7:KI12"/>
    <mergeCell ref="KJ7:KJ12"/>
    <mergeCell ref="KK7:KK12"/>
    <mergeCell ref="KL7:KL12"/>
    <mergeCell ref="KM7:KM12"/>
    <mergeCell ref="KN7:KN12"/>
    <mergeCell ref="KO7:KO12"/>
    <mergeCell ref="KP7:KP12"/>
    <mergeCell ref="KQ7:KQ12"/>
    <mergeCell ref="KR7:KR12"/>
    <mergeCell ref="KS7:KS12"/>
    <mergeCell ref="KT7:KT12"/>
    <mergeCell ref="KU7:KU12"/>
    <mergeCell ref="KV7:KV12"/>
    <mergeCell ref="KW7:KW12"/>
    <mergeCell ref="KX7:KX12"/>
    <mergeCell ref="KY7:KY12"/>
    <mergeCell ref="KZ7:KZ12"/>
    <mergeCell ref="LA7:LA12"/>
    <mergeCell ref="LB7:LB12"/>
    <mergeCell ref="LC7:LC12"/>
    <mergeCell ref="LD7:LD12"/>
    <mergeCell ref="LE7:LE12"/>
    <mergeCell ref="LF7:LF12"/>
    <mergeCell ref="LG7:LG12"/>
    <mergeCell ref="LH7:LH12"/>
    <mergeCell ref="LI7:LI12"/>
    <mergeCell ref="LJ7:LJ12"/>
    <mergeCell ref="LK7:LK12"/>
    <mergeCell ref="LL7:LL12"/>
    <mergeCell ref="LM7:LM12"/>
    <mergeCell ref="LN7:LN12"/>
    <mergeCell ref="LO7:LO12"/>
    <mergeCell ref="LP7:LP12"/>
    <mergeCell ref="LQ7:LQ12"/>
    <mergeCell ref="LR7:LR12"/>
    <mergeCell ref="LS7:LS12"/>
    <mergeCell ref="LT7:LT12"/>
    <mergeCell ref="LU7:LU12"/>
    <mergeCell ref="LV7:LV12"/>
    <mergeCell ref="LW7:LW12"/>
    <mergeCell ref="LX7:LX12"/>
    <mergeCell ref="LY7:LY12"/>
    <mergeCell ref="LZ7:LZ12"/>
    <mergeCell ref="MA7:MA12"/>
    <mergeCell ref="MB7:MB12"/>
    <mergeCell ref="MC7:MC12"/>
    <mergeCell ref="MD7:MD12"/>
    <mergeCell ref="ME7:ME12"/>
    <mergeCell ref="MF7:MF12"/>
    <mergeCell ref="MG7:MG12"/>
    <mergeCell ref="MH7:MH12"/>
    <mergeCell ref="MI7:MI12"/>
    <mergeCell ref="MJ7:MJ12"/>
    <mergeCell ref="MK7:MK12"/>
    <mergeCell ref="ML7:ML12"/>
    <mergeCell ref="MM7:MM12"/>
    <mergeCell ref="MN7:MN12"/>
    <mergeCell ref="MO7:MO12"/>
    <mergeCell ref="MP7:MP12"/>
    <mergeCell ref="MQ7:MQ12"/>
    <mergeCell ref="MR7:MR12"/>
    <mergeCell ref="MS7:MS12"/>
    <mergeCell ref="MT7:MT12"/>
    <mergeCell ref="MU7:MU12"/>
    <mergeCell ref="MV7:MV12"/>
    <mergeCell ref="MW7:MW12"/>
    <mergeCell ref="MX7:MX12"/>
    <mergeCell ref="MY7:MY12"/>
    <mergeCell ref="MZ7:MZ12"/>
    <mergeCell ref="NA7:NA12"/>
    <mergeCell ref="NB7:NB12"/>
    <mergeCell ref="NC7:NC12"/>
    <mergeCell ref="ND7:ND12"/>
    <mergeCell ref="NE7:NE12"/>
    <mergeCell ref="NF7:NF12"/>
    <mergeCell ref="NG7:NG12"/>
    <mergeCell ref="NH7:NH12"/>
    <mergeCell ref="NI7:NI12"/>
    <mergeCell ref="NJ7:NJ12"/>
    <mergeCell ref="NK7:NK12"/>
    <mergeCell ref="NL7:NL12"/>
    <mergeCell ref="NM7:NM12"/>
    <mergeCell ref="NN7:NN12"/>
    <mergeCell ref="NO7:NO12"/>
    <mergeCell ref="NP7:NP12"/>
    <mergeCell ref="NQ7:NQ12"/>
    <mergeCell ref="NR7:NR12"/>
    <mergeCell ref="NS7:NS12"/>
    <mergeCell ref="NT7:NT12"/>
    <mergeCell ref="NU7:NU12"/>
    <mergeCell ref="NV7:NV12"/>
    <mergeCell ref="NW7:NW12"/>
    <mergeCell ref="NX7:NX12"/>
    <mergeCell ref="NY7:NY12"/>
    <mergeCell ref="NZ7:NZ12"/>
    <mergeCell ref="OA7:OA12"/>
    <mergeCell ref="OB7:OB12"/>
    <mergeCell ref="OC7:OC12"/>
    <mergeCell ref="OD7:OD12"/>
    <mergeCell ref="OE7:OE12"/>
    <mergeCell ref="OF7:OF12"/>
    <mergeCell ref="OG7:OG12"/>
    <mergeCell ref="OH7:OH12"/>
    <mergeCell ref="OI7:OI12"/>
    <mergeCell ref="OJ7:OJ12"/>
    <mergeCell ref="OK7:OK12"/>
    <mergeCell ref="OL7:OL12"/>
    <mergeCell ref="OM7:OM12"/>
    <mergeCell ref="ON7:ON12"/>
    <mergeCell ref="OO7:OO12"/>
    <mergeCell ref="OP7:OP12"/>
    <mergeCell ref="OQ7:OQ12"/>
    <mergeCell ref="OR7:OR12"/>
    <mergeCell ref="OS7:OS12"/>
    <mergeCell ref="OT7:OT12"/>
    <mergeCell ref="OU7:OU12"/>
    <mergeCell ref="OV7:OV12"/>
    <mergeCell ref="OW7:OW12"/>
    <mergeCell ref="OX7:OX12"/>
    <mergeCell ref="OY7:OY12"/>
    <mergeCell ref="OZ7:OZ12"/>
    <mergeCell ref="PA7:PA12"/>
    <mergeCell ref="PB7:PB12"/>
    <mergeCell ref="PC7:PC12"/>
    <mergeCell ref="PD7:PD12"/>
    <mergeCell ref="PE7:PE12"/>
    <mergeCell ref="PF7:PF12"/>
    <mergeCell ref="PG7:PG12"/>
    <mergeCell ref="PH7:PH12"/>
    <mergeCell ref="PI7:PI12"/>
    <mergeCell ref="PJ7:PJ12"/>
    <mergeCell ref="PK7:PK12"/>
    <mergeCell ref="PL7:PL12"/>
    <mergeCell ref="PM7:PM12"/>
    <mergeCell ref="PN7:PN12"/>
    <mergeCell ref="PO7:PO12"/>
    <mergeCell ref="PP7:PP12"/>
    <mergeCell ref="PQ7:PQ12"/>
    <mergeCell ref="PR7:PR12"/>
    <mergeCell ref="PS7:PS12"/>
    <mergeCell ref="PT7:PT12"/>
    <mergeCell ref="PU7:PU12"/>
    <mergeCell ref="PV7:PV12"/>
    <mergeCell ref="PW7:PW12"/>
    <mergeCell ref="PX7:PX12"/>
    <mergeCell ref="PY7:PY12"/>
    <mergeCell ref="PZ7:PZ12"/>
    <mergeCell ref="QA7:QA12"/>
    <mergeCell ref="QB7:QB12"/>
    <mergeCell ref="QC7:QC12"/>
    <mergeCell ref="QM7:QM12"/>
    <mergeCell ref="QN7:QN12"/>
    <mergeCell ref="QO7:QO12"/>
    <mergeCell ref="QD7:QD12"/>
    <mergeCell ref="QE7:QE12"/>
    <mergeCell ref="QF7:QF12"/>
    <mergeCell ref="QG7:QG12"/>
    <mergeCell ref="QH7:QH12"/>
    <mergeCell ref="QI7:QI12"/>
    <mergeCell ref="QJ7:QJ12"/>
    <mergeCell ref="QK7:QK12"/>
    <mergeCell ref="QL7:QL12"/>
    <mergeCell ref="BJ6:CA6"/>
    <mergeCell ref="BJ7:BJ12"/>
    <mergeCell ref="BK7:BK12"/>
    <mergeCell ref="BL7:BL12"/>
    <mergeCell ref="BM7:BM12"/>
    <mergeCell ref="BN7:BN12"/>
    <mergeCell ref="BO7:BO12"/>
    <mergeCell ref="BP7:BP12"/>
    <mergeCell ref="BQ7:BQ12"/>
    <mergeCell ref="BR7:BR12"/>
    <mergeCell ref="BS7:BS12"/>
    <mergeCell ref="BT7:BT12"/>
    <mergeCell ref="BU7:BU12"/>
    <mergeCell ref="BV7:BV12"/>
    <mergeCell ref="BW7:BW12"/>
    <mergeCell ref="BX7:BX12"/>
    <mergeCell ref="BY7:BY12"/>
    <mergeCell ref="BZ7:BZ12"/>
    <mergeCell ref="CA7:CA12"/>
    <mergeCell ref="Z6:AQ6"/>
    <mergeCell ref="Z7:Z12"/>
    <mergeCell ref="AA7:AA12"/>
    <mergeCell ref="AB7:AB12"/>
    <mergeCell ref="AC7:AC12"/>
    <mergeCell ref="AD7:AD12"/>
    <mergeCell ref="AE7:AE12"/>
    <mergeCell ref="AF7:AF12"/>
    <mergeCell ref="AG7:AG12"/>
    <mergeCell ref="AH7:AH12"/>
    <mergeCell ref="AI7:AI12"/>
    <mergeCell ref="AJ7:AJ12"/>
    <mergeCell ref="AK7:AK12"/>
    <mergeCell ref="AL7:AL12"/>
    <mergeCell ref="AM7:AM12"/>
    <mergeCell ref="AN7:AN12"/>
    <mergeCell ref="AO7:AO12"/>
    <mergeCell ref="AP7:AP12"/>
    <mergeCell ref="AQ7:AQ12"/>
    <mergeCell ref="FK7:FK12"/>
    <mergeCell ref="FL7:FL12"/>
    <mergeCell ref="FM7:FM12"/>
    <mergeCell ref="DL6:EC6"/>
    <mergeCell ref="DL7:DL12"/>
    <mergeCell ref="DM7:DM12"/>
    <mergeCell ref="DN7:DN12"/>
    <mergeCell ref="DO7:DO12"/>
    <mergeCell ref="DP7:DP12"/>
    <mergeCell ref="DQ7:DQ12"/>
    <mergeCell ref="DR7:DR12"/>
    <mergeCell ref="DS7:DS12"/>
    <mergeCell ref="DT7:DT12"/>
    <mergeCell ref="DU7:DU12"/>
    <mergeCell ref="DV7:DV12"/>
    <mergeCell ref="DW7:DW12"/>
    <mergeCell ref="DX7:DX12"/>
    <mergeCell ref="DY7:DY12"/>
    <mergeCell ref="DZ7:DZ12"/>
    <mergeCell ref="EA7:EA12"/>
    <mergeCell ref="EB7:EB12"/>
    <mergeCell ref="EC7:EC12"/>
    <mergeCell ref="EJ7:EJ12"/>
    <mergeCell ref="EK7:EK1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B1:S1049"/>
  <sheetViews>
    <sheetView topLeftCell="A409" zoomScaleNormal="100" workbookViewId="0">
      <selection activeCell="Q3" sqref="Q3:R454"/>
    </sheetView>
  </sheetViews>
  <sheetFormatPr defaultRowHeight="15" x14ac:dyDescent="0.25"/>
  <cols>
    <col min="2" max="2" width="25" customWidth="1"/>
    <col min="8" max="8" width="14.42578125" customWidth="1"/>
    <col min="9" max="9" width="11.140625" customWidth="1"/>
  </cols>
  <sheetData>
    <row r="1" spans="2:19" x14ac:dyDescent="0.25">
      <c r="K1" t="s">
        <v>969</v>
      </c>
      <c r="L1" t="s">
        <v>970</v>
      </c>
    </row>
    <row r="2" spans="2:19" x14ac:dyDescent="0.25">
      <c r="C2" t="s">
        <v>756</v>
      </c>
      <c r="I2" t="s">
        <v>755</v>
      </c>
      <c r="M2" t="s">
        <v>757</v>
      </c>
    </row>
    <row r="3" spans="2:19" x14ac:dyDescent="0.25">
      <c r="B3" s="182" t="s">
        <v>207</v>
      </c>
      <c r="C3" s="184">
        <v>77</v>
      </c>
      <c r="D3" s="181" t="s">
        <v>192</v>
      </c>
      <c r="H3" t="s">
        <v>231</v>
      </c>
      <c r="I3">
        <v>11</v>
      </c>
      <c r="K3" s="133" t="s">
        <v>229</v>
      </c>
      <c r="L3" s="177">
        <v>85</v>
      </c>
      <c r="M3">
        <v>23</v>
      </c>
      <c r="Q3" s="126" t="s">
        <v>323</v>
      </c>
      <c r="R3" s="126">
        <v>1</v>
      </c>
    </row>
    <row r="4" spans="2:19" x14ac:dyDescent="0.25">
      <c r="B4" s="13" t="s">
        <v>246</v>
      </c>
      <c r="C4" s="172">
        <v>90</v>
      </c>
      <c r="D4" s="137" t="s">
        <v>231</v>
      </c>
      <c r="H4" s="156" t="s">
        <v>573</v>
      </c>
      <c r="I4">
        <v>12</v>
      </c>
      <c r="K4" s="133"/>
      <c r="L4" s="134">
        <v>93</v>
      </c>
      <c r="M4">
        <v>24</v>
      </c>
      <c r="Q4" s="126" t="s">
        <v>324</v>
      </c>
      <c r="R4" s="126">
        <v>2</v>
      </c>
    </row>
    <row r="5" spans="2:19" x14ac:dyDescent="0.25">
      <c r="B5" s="13" t="s">
        <v>72</v>
      </c>
      <c r="C5" s="173" t="s">
        <v>71</v>
      </c>
      <c r="D5" s="137" t="s">
        <v>63</v>
      </c>
      <c r="H5" t="s">
        <v>128</v>
      </c>
      <c r="I5" s="126">
        <v>8</v>
      </c>
      <c r="K5" s="133" t="s">
        <v>126</v>
      </c>
      <c r="L5" s="180">
        <v>50</v>
      </c>
      <c r="M5" s="126">
        <v>20</v>
      </c>
      <c r="Q5" s="126" t="s">
        <v>574</v>
      </c>
      <c r="R5" s="126">
        <v>3</v>
      </c>
      <c r="S5" s="126"/>
    </row>
    <row r="6" spans="2:19" ht="25.5" x14ac:dyDescent="0.25">
      <c r="B6" s="183" t="s">
        <v>103</v>
      </c>
      <c r="C6" s="186">
        <v>38</v>
      </c>
      <c r="D6" s="125" t="s">
        <v>95</v>
      </c>
      <c r="H6" t="s">
        <v>4</v>
      </c>
      <c r="I6" s="126">
        <v>3</v>
      </c>
      <c r="K6" s="133" t="s">
        <v>1</v>
      </c>
      <c r="L6" s="134" t="s">
        <v>2</v>
      </c>
      <c r="M6" s="126">
        <v>15</v>
      </c>
      <c r="Q6" s="126" t="s">
        <v>575</v>
      </c>
      <c r="R6" s="126">
        <v>4</v>
      </c>
      <c r="S6" s="126"/>
    </row>
    <row r="7" spans="2:19" x14ac:dyDescent="0.25">
      <c r="B7" s="13" t="s">
        <v>10</v>
      </c>
      <c r="C7" s="173" t="s">
        <v>9</v>
      </c>
      <c r="D7" s="137" t="s">
        <v>7</v>
      </c>
      <c r="H7" t="s">
        <v>3</v>
      </c>
      <c r="I7" s="126">
        <v>2</v>
      </c>
      <c r="K7" s="133" t="s">
        <v>1</v>
      </c>
      <c r="L7" s="158" t="s">
        <v>2</v>
      </c>
      <c r="M7" s="126">
        <v>14</v>
      </c>
      <c r="Q7" s="126" t="s">
        <v>576</v>
      </c>
      <c r="R7" s="126">
        <v>5</v>
      </c>
      <c r="S7" s="126"/>
    </row>
    <row r="8" spans="2:19" x14ac:dyDescent="0.25">
      <c r="B8" s="13" t="s">
        <v>13</v>
      </c>
      <c r="C8" s="172" t="s">
        <v>12</v>
      </c>
      <c r="D8" s="137" t="s">
        <v>7</v>
      </c>
      <c r="H8" t="s">
        <v>63</v>
      </c>
      <c r="I8" s="126">
        <v>5</v>
      </c>
      <c r="K8" s="133" t="s">
        <v>61</v>
      </c>
      <c r="L8" s="176" t="s">
        <v>62</v>
      </c>
      <c r="M8" s="126">
        <v>17</v>
      </c>
      <c r="Q8" s="126" t="s">
        <v>577</v>
      </c>
      <c r="R8" s="126">
        <v>6</v>
      </c>
      <c r="S8" s="126"/>
    </row>
    <row r="9" spans="2:19" x14ac:dyDescent="0.25">
      <c r="B9" s="13" t="s">
        <v>16</v>
      </c>
      <c r="C9" s="173" t="s">
        <v>15</v>
      </c>
      <c r="D9" s="137" t="s">
        <v>7</v>
      </c>
      <c r="H9" t="s">
        <v>109</v>
      </c>
      <c r="I9" s="126">
        <v>7</v>
      </c>
      <c r="K9" s="139" t="s">
        <v>108</v>
      </c>
      <c r="L9" s="179">
        <v>42</v>
      </c>
      <c r="M9" s="126">
        <v>19</v>
      </c>
      <c r="Q9" s="126" t="s">
        <v>578</v>
      </c>
      <c r="R9" s="126">
        <v>7</v>
      </c>
      <c r="S9" s="126"/>
    </row>
    <row r="10" spans="2:19" ht="25.5" x14ac:dyDescent="0.25">
      <c r="B10" s="183" t="s">
        <v>105</v>
      </c>
      <c r="C10" s="172">
        <v>39</v>
      </c>
      <c r="D10" s="125" t="s">
        <v>95</v>
      </c>
      <c r="H10" t="s">
        <v>192</v>
      </c>
      <c r="I10" s="126">
        <v>10</v>
      </c>
      <c r="K10" s="133" t="s">
        <v>190</v>
      </c>
      <c r="L10" s="177">
        <v>72</v>
      </c>
      <c r="M10" s="126">
        <v>22</v>
      </c>
      <c r="Q10" s="126" t="s">
        <v>579</v>
      </c>
      <c r="R10" s="126">
        <v>8</v>
      </c>
      <c r="S10" s="126"/>
    </row>
    <row r="11" spans="2:19" x14ac:dyDescent="0.25">
      <c r="B11" s="13" t="s">
        <v>77</v>
      </c>
      <c r="C11" s="173" t="s">
        <v>76</v>
      </c>
      <c r="D11" s="137" t="s">
        <v>63</v>
      </c>
      <c r="H11" t="s">
        <v>173</v>
      </c>
      <c r="I11" s="126">
        <v>9</v>
      </c>
      <c r="K11" s="133" t="s">
        <v>171</v>
      </c>
      <c r="L11" s="180">
        <v>65</v>
      </c>
      <c r="M11" s="126">
        <v>21</v>
      </c>
      <c r="Q11" s="126" t="s">
        <v>580</v>
      </c>
      <c r="R11" s="126">
        <v>9</v>
      </c>
      <c r="S11" s="126"/>
    </row>
    <row r="12" spans="2:19" x14ac:dyDescent="0.25">
      <c r="B12" s="13" t="s">
        <v>19</v>
      </c>
      <c r="C12" s="172" t="s">
        <v>18</v>
      </c>
      <c r="D12" s="137" t="s">
        <v>7</v>
      </c>
      <c r="H12" t="s">
        <v>7</v>
      </c>
      <c r="I12" s="126">
        <v>4</v>
      </c>
      <c r="K12" s="133" t="s">
        <v>5</v>
      </c>
      <c r="L12" s="177" t="s">
        <v>6</v>
      </c>
      <c r="M12" s="126">
        <v>16</v>
      </c>
      <c r="Q12" s="126" t="s">
        <v>581</v>
      </c>
      <c r="R12" s="126">
        <v>10</v>
      </c>
      <c r="S12" s="126"/>
    </row>
    <row r="13" spans="2:19" x14ac:dyDescent="0.25">
      <c r="B13" s="13" t="s">
        <v>273</v>
      </c>
      <c r="C13" s="173" t="s">
        <v>39</v>
      </c>
      <c r="D13" s="137" t="s">
        <v>7</v>
      </c>
      <c r="H13" s="157" t="s">
        <v>95</v>
      </c>
      <c r="I13" s="126">
        <v>6</v>
      </c>
      <c r="K13" s="139" t="s">
        <v>94</v>
      </c>
      <c r="L13" s="178">
        <v>33</v>
      </c>
      <c r="M13" s="126">
        <v>18</v>
      </c>
      <c r="Q13" s="126" t="s">
        <v>582</v>
      </c>
      <c r="R13" s="126">
        <v>11</v>
      </c>
      <c r="S13" s="126"/>
    </row>
    <row r="14" spans="2:19" x14ac:dyDescent="0.25">
      <c r="B14" s="13" t="s">
        <v>275</v>
      </c>
      <c r="C14" s="172" t="s">
        <v>85</v>
      </c>
      <c r="D14" s="137" t="s">
        <v>63</v>
      </c>
      <c r="Q14" s="126" t="s">
        <v>583</v>
      </c>
      <c r="R14" s="126">
        <v>12</v>
      </c>
      <c r="S14" s="126"/>
    </row>
    <row r="15" spans="2:19" ht="25.5" x14ac:dyDescent="0.25">
      <c r="B15" s="13" t="s">
        <v>319</v>
      </c>
      <c r="C15" s="175">
        <v>41</v>
      </c>
      <c r="D15" s="125" t="s">
        <v>95</v>
      </c>
      <c r="Q15" s="126" t="s">
        <v>584</v>
      </c>
      <c r="R15" s="126">
        <v>13</v>
      </c>
      <c r="S15" s="126"/>
    </row>
    <row r="16" spans="2:19" x14ac:dyDescent="0.25">
      <c r="B16" s="13" t="s">
        <v>254</v>
      </c>
      <c r="C16" s="172">
        <v>93</v>
      </c>
      <c r="D16" s="137" t="s">
        <v>231</v>
      </c>
      <c r="Q16" s="126" t="s">
        <v>585</v>
      </c>
      <c r="R16" s="126">
        <v>14</v>
      </c>
      <c r="S16" s="126"/>
    </row>
    <row r="17" spans="2:19" x14ac:dyDescent="0.25">
      <c r="B17" s="13" t="s">
        <v>210</v>
      </c>
      <c r="C17" s="173">
        <v>78</v>
      </c>
      <c r="D17" s="137" t="s">
        <v>192</v>
      </c>
      <c r="H17" t="s">
        <v>572</v>
      </c>
      <c r="I17" s="122">
        <v>1000000</v>
      </c>
      <c r="K17" s="137" t="s">
        <v>7</v>
      </c>
      <c r="Q17" s="126" t="s">
        <v>586</v>
      </c>
      <c r="R17" s="126">
        <v>15</v>
      </c>
      <c r="S17" s="126"/>
    </row>
    <row r="18" spans="2:19" x14ac:dyDescent="0.25">
      <c r="B18" s="13" t="s">
        <v>22</v>
      </c>
      <c r="C18" s="172" t="s">
        <v>21</v>
      </c>
      <c r="D18" s="137" t="s">
        <v>7</v>
      </c>
      <c r="H18" s="126" t="s">
        <v>758</v>
      </c>
      <c r="I18" s="122">
        <v>1</v>
      </c>
      <c r="K18" s="137" t="s">
        <v>63</v>
      </c>
      <c r="Q18" s="126" t="s">
        <v>587</v>
      </c>
      <c r="R18" s="126">
        <v>16</v>
      </c>
      <c r="S18" s="126"/>
    </row>
    <row r="19" spans="2:19" ht="25.5" x14ac:dyDescent="0.25">
      <c r="B19" s="13" t="s">
        <v>216</v>
      </c>
      <c r="C19" s="175">
        <v>80</v>
      </c>
      <c r="D19" s="137" t="s">
        <v>192</v>
      </c>
      <c r="H19" s="126" t="s">
        <v>759</v>
      </c>
      <c r="I19" s="122">
        <v>1000</v>
      </c>
      <c r="K19" s="140" t="s">
        <v>95</v>
      </c>
      <c r="Q19" s="126" t="s">
        <v>588</v>
      </c>
      <c r="R19" s="126">
        <v>17</v>
      </c>
      <c r="S19" s="126"/>
    </row>
    <row r="20" spans="2:19" ht="51" x14ac:dyDescent="0.25">
      <c r="B20" s="183" t="s">
        <v>115</v>
      </c>
      <c r="C20" s="172">
        <v>45</v>
      </c>
      <c r="D20" s="123" t="s">
        <v>109</v>
      </c>
      <c r="K20" s="141" t="s">
        <v>109</v>
      </c>
      <c r="Q20" s="126" t="s">
        <v>589</v>
      </c>
      <c r="R20" s="126">
        <v>18</v>
      </c>
      <c r="S20" s="126"/>
    </row>
    <row r="21" spans="2:19" x14ac:dyDescent="0.25">
      <c r="B21" s="13" t="s">
        <v>80</v>
      </c>
      <c r="C21" s="173" t="s">
        <v>79</v>
      </c>
      <c r="D21" s="137" t="s">
        <v>63</v>
      </c>
      <c r="K21" s="137" t="s">
        <v>128</v>
      </c>
      <c r="Q21" s="126" t="s">
        <v>590</v>
      </c>
      <c r="R21" s="126">
        <v>19</v>
      </c>
      <c r="S21" s="126"/>
    </row>
    <row r="22" spans="2:19" x14ac:dyDescent="0.25">
      <c r="B22" s="13" t="s">
        <v>25</v>
      </c>
      <c r="C22" s="173" t="s">
        <v>24</v>
      </c>
      <c r="D22" s="137" t="s">
        <v>7</v>
      </c>
      <c r="K22" s="137" t="s">
        <v>173</v>
      </c>
      <c r="Q22" s="126" t="s">
        <v>591</v>
      </c>
      <c r="R22" s="126">
        <v>20</v>
      </c>
      <c r="S22" s="126"/>
    </row>
    <row r="23" spans="2:19" x14ac:dyDescent="0.25">
      <c r="B23" s="13" t="s">
        <v>237</v>
      </c>
      <c r="C23" s="172">
        <v>87</v>
      </c>
      <c r="D23" s="137" t="s">
        <v>231</v>
      </c>
      <c r="K23" s="137" t="s">
        <v>192</v>
      </c>
      <c r="Q23" s="126" t="s">
        <v>1020</v>
      </c>
      <c r="R23" s="126">
        <v>21</v>
      </c>
      <c r="S23" s="126"/>
    </row>
    <row r="24" spans="2:19" ht="51" x14ac:dyDescent="0.25">
      <c r="B24" s="183" t="s">
        <v>117</v>
      </c>
      <c r="C24" s="175">
        <v>46</v>
      </c>
      <c r="D24" s="123" t="s">
        <v>109</v>
      </c>
      <c r="K24" s="137" t="s">
        <v>231</v>
      </c>
      <c r="Q24" s="126" t="s">
        <v>1021</v>
      </c>
      <c r="R24" s="126">
        <v>22</v>
      </c>
      <c r="S24" s="126"/>
    </row>
    <row r="25" spans="2:19" x14ac:dyDescent="0.25">
      <c r="B25" s="13" t="s">
        <v>219</v>
      </c>
      <c r="C25" s="172">
        <v>81</v>
      </c>
      <c r="D25" s="137" t="s">
        <v>192</v>
      </c>
      <c r="K25" s="137"/>
      <c r="Q25" s="126" t="s">
        <v>1022</v>
      </c>
      <c r="R25" s="126">
        <v>23</v>
      </c>
      <c r="S25" s="126"/>
    </row>
    <row r="26" spans="2:19" x14ac:dyDescent="0.25">
      <c r="B26" s="13" t="s">
        <v>152</v>
      </c>
      <c r="C26" s="175">
        <v>58</v>
      </c>
      <c r="D26" s="137" t="s">
        <v>128</v>
      </c>
      <c r="Q26" s="126" t="s">
        <v>1023</v>
      </c>
      <c r="R26" s="126">
        <v>24</v>
      </c>
      <c r="S26" s="126"/>
    </row>
    <row r="27" spans="2:19" x14ac:dyDescent="0.25">
      <c r="B27" s="13" t="s">
        <v>28</v>
      </c>
      <c r="C27" s="172" t="s">
        <v>27</v>
      </c>
      <c r="D27" s="137" t="s">
        <v>7</v>
      </c>
      <c r="Q27" s="126" t="s">
        <v>1024</v>
      </c>
      <c r="R27" s="126">
        <v>25</v>
      </c>
      <c r="S27" s="126"/>
    </row>
    <row r="28" spans="2:19" ht="25.5" x14ac:dyDescent="0.25">
      <c r="B28" s="183" t="s">
        <v>101</v>
      </c>
      <c r="C28" s="175">
        <v>37</v>
      </c>
      <c r="D28" s="125" t="s">
        <v>95</v>
      </c>
      <c r="Q28" s="126" t="s">
        <v>1025</v>
      </c>
      <c r="R28" s="126">
        <v>26</v>
      </c>
      <c r="S28" s="126"/>
    </row>
    <row r="29" spans="2:19" x14ac:dyDescent="0.25">
      <c r="B29" s="13" t="s">
        <v>213</v>
      </c>
      <c r="C29" s="186">
        <v>79</v>
      </c>
      <c r="D29" s="137" t="s">
        <v>192</v>
      </c>
      <c r="Q29" s="126" t="s">
        <v>1026</v>
      </c>
      <c r="R29" s="126">
        <v>27</v>
      </c>
      <c r="S29" s="126"/>
    </row>
    <row r="30" spans="2:19" x14ac:dyDescent="0.25">
      <c r="B30" s="13" t="s">
        <v>176</v>
      </c>
      <c r="C30" s="173">
        <v>66</v>
      </c>
      <c r="D30" s="137" t="s">
        <v>173</v>
      </c>
      <c r="Q30" s="126" t="s">
        <v>1027</v>
      </c>
      <c r="R30" s="126">
        <v>28</v>
      </c>
      <c r="S30" s="126"/>
    </row>
    <row r="31" spans="2:19" x14ac:dyDescent="0.25">
      <c r="B31" s="13" t="s">
        <v>31</v>
      </c>
      <c r="C31" s="172" t="s">
        <v>30</v>
      </c>
      <c r="D31" s="137" t="s">
        <v>7</v>
      </c>
      <c r="Q31" s="126" t="s">
        <v>1028</v>
      </c>
      <c r="R31" s="126">
        <v>29</v>
      </c>
      <c r="S31" s="126"/>
    </row>
    <row r="32" spans="2:19" x14ac:dyDescent="0.25">
      <c r="B32" s="13" t="s">
        <v>83</v>
      </c>
      <c r="C32" s="185" t="s">
        <v>82</v>
      </c>
      <c r="D32" s="137" t="s">
        <v>63</v>
      </c>
      <c r="Q32" s="126" t="s">
        <v>1029</v>
      </c>
      <c r="R32" s="126">
        <v>30</v>
      </c>
      <c r="S32" s="126"/>
    </row>
    <row r="33" spans="2:19" x14ac:dyDescent="0.25">
      <c r="B33" s="63" t="s">
        <v>34</v>
      </c>
      <c r="C33" s="185" t="s">
        <v>33</v>
      </c>
      <c r="D33" s="124" t="s">
        <v>7</v>
      </c>
      <c r="Q33" s="126" t="s">
        <v>1030</v>
      </c>
      <c r="R33" s="126">
        <v>31</v>
      </c>
      <c r="S33" s="126"/>
    </row>
    <row r="34" spans="2:19" x14ac:dyDescent="0.25">
      <c r="B34" s="63" t="s">
        <v>249</v>
      </c>
      <c r="C34" s="175">
        <v>91</v>
      </c>
      <c r="D34" s="124" t="s">
        <v>231</v>
      </c>
      <c r="Q34" s="126" t="s">
        <v>1031</v>
      </c>
      <c r="R34" s="126">
        <v>32</v>
      </c>
      <c r="S34" s="126"/>
    </row>
    <row r="35" spans="2:19" x14ac:dyDescent="0.25">
      <c r="B35" s="63" t="s">
        <v>37</v>
      </c>
      <c r="C35" s="173" t="s">
        <v>36</v>
      </c>
      <c r="D35" s="124" t="s">
        <v>7</v>
      </c>
      <c r="Q35" s="126" t="s">
        <v>1032</v>
      </c>
      <c r="R35" s="126">
        <v>33</v>
      </c>
      <c r="S35" s="126"/>
    </row>
    <row r="36" spans="2:19" x14ac:dyDescent="0.25">
      <c r="B36" s="63" t="s">
        <v>88</v>
      </c>
      <c r="C36" s="173" t="s">
        <v>87</v>
      </c>
      <c r="D36" s="124" t="s">
        <v>63</v>
      </c>
      <c r="Q36" s="126" t="s">
        <v>1033</v>
      </c>
      <c r="R36" s="126">
        <v>34</v>
      </c>
      <c r="S36" s="126"/>
    </row>
    <row r="37" spans="2:19" x14ac:dyDescent="0.25">
      <c r="B37" s="63" t="s">
        <v>274</v>
      </c>
      <c r="C37" s="173" t="s">
        <v>74</v>
      </c>
      <c r="D37" s="124" t="s">
        <v>63</v>
      </c>
      <c r="Q37" s="126" t="s">
        <v>1034</v>
      </c>
      <c r="R37" s="126">
        <v>35</v>
      </c>
      <c r="S37" s="126"/>
    </row>
    <row r="38" spans="2:19" x14ac:dyDescent="0.25">
      <c r="B38" s="63" t="s">
        <v>155</v>
      </c>
      <c r="C38" s="175">
        <v>59</v>
      </c>
      <c r="D38" s="124" t="s">
        <v>128</v>
      </c>
      <c r="Q38" s="126" t="s">
        <v>1035</v>
      </c>
      <c r="R38" s="126">
        <v>36</v>
      </c>
      <c r="S38" s="126"/>
    </row>
    <row r="39" spans="2:19" x14ac:dyDescent="0.25">
      <c r="B39" s="63" t="s">
        <v>91</v>
      </c>
      <c r="C39" s="173" t="s">
        <v>90</v>
      </c>
      <c r="D39" s="124" t="s">
        <v>63</v>
      </c>
      <c r="Q39" s="126" t="s">
        <v>1036</v>
      </c>
      <c r="R39" s="126">
        <v>37</v>
      </c>
      <c r="S39" s="126"/>
    </row>
    <row r="40" spans="2:19" x14ac:dyDescent="0.25">
      <c r="B40" s="63" t="s">
        <v>222</v>
      </c>
      <c r="C40" s="175">
        <v>82</v>
      </c>
      <c r="D40" s="124" t="s">
        <v>192</v>
      </c>
      <c r="Q40" s="126" t="s">
        <v>1037</v>
      </c>
      <c r="R40" s="126">
        <v>38</v>
      </c>
      <c r="S40" s="126"/>
    </row>
    <row r="41" spans="2:19" x14ac:dyDescent="0.25">
      <c r="B41" s="63" t="s">
        <v>225</v>
      </c>
      <c r="C41" s="174">
        <v>83</v>
      </c>
      <c r="D41" s="124" t="s">
        <v>192</v>
      </c>
      <c r="Q41" s="126" t="s">
        <v>592</v>
      </c>
      <c r="R41" s="126">
        <v>39</v>
      </c>
      <c r="S41" s="126"/>
    </row>
    <row r="42" spans="2:19" x14ac:dyDescent="0.25">
      <c r="B42" s="63" t="s">
        <v>158</v>
      </c>
      <c r="C42" s="185">
        <v>60</v>
      </c>
      <c r="D42" s="124" t="s">
        <v>128</v>
      </c>
      <c r="Q42" s="126" t="s">
        <v>593</v>
      </c>
      <c r="R42" s="126">
        <v>40</v>
      </c>
      <c r="S42" s="126"/>
    </row>
    <row r="43" spans="2:19" x14ac:dyDescent="0.25">
      <c r="B43" s="63" t="s">
        <v>42</v>
      </c>
      <c r="C43" s="172" t="s">
        <v>41</v>
      </c>
      <c r="D43" s="124" t="s">
        <v>7</v>
      </c>
      <c r="Q43" s="126" t="s">
        <v>594</v>
      </c>
      <c r="R43" s="126">
        <v>41</v>
      </c>
      <c r="S43" s="126"/>
    </row>
    <row r="44" spans="2:19" x14ac:dyDescent="0.25">
      <c r="B44" s="63" t="s">
        <v>161</v>
      </c>
      <c r="C44" s="174">
        <v>61</v>
      </c>
      <c r="D44" s="124" t="s">
        <v>128</v>
      </c>
      <c r="Q44" s="126" t="s">
        <v>595</v>
      </c>
      <c r="R44" s="126">
        <v>42</v>
      </c>
      <c r="S44" s="126"/>
    </row>
    <row r="45" spans="2:19" x14ac:dyDescent="0.25">
      <c r="B45" s="63" t="s">
        <v>149</v>
      </c>
      <c r="C45" s="185">
        <v>57</v>
      </c>
      <c r="D45" s="124" t="s">
        <v>128</v>
      </c>
      <c r="Q45" s="126" t="s">
        <v>596</v>
      </c>
      <c r="R45" s="126">
        <v>43</v>
      </c>
      <c r="S45" s="126"/>
    </row>
    <row r="46" spans="2:19" x14ac:dyDescent="0.25">
      <c r="B46" s="63" t="s">
        <v>240</v>
      </c>
      <c r="C46" s="186">
        <v>88</v>
      </c>
      <c r="D46" s="124" t="s">
        <v>231</v>
      </c>
      <c r="Q46" s="126" t="s">
        <v>597</v>
      </c>
      <c r="R46" s="126">
        <v>44</v>
      </c>
      <c r="S46" s="126"/>
    </row>
    <row r="47" spans="2:19" x14ac:dyDescent="0.25">
      <c r="B47" s="63" t="s">
        <v>93</v>
      </c>
      <c r="C47" s="174">
        <v>32</v>
      </c>
      <c r="D47" s="124" t="s">
        <v>63</v>
      </c>
      <c r="Q47" s="126" t="s">
        <v>598</v>
      </c>
      <c r="R47" s="126">
        <v>45</v>
      </c>
      <c r="S47" s="126"/>
    </row>
    <row r="48" spans="2:19" ht="25.5" x14ac:dyDescent="0.25">
      <c r="B48" s="183" t="s">
        <v>97</v>
      </c>
      <c r="C48" s="186">
        <v>34</v>
      </c>
      <c r="D48" s="125" t="s">
        <v>95</v>
      </c>
      <c r="Q48" s="126" t="s">
        <v>599</v>
      </c>
      <c r="R48" s="126">
        <v>46</v>
      </c>
      <c r="S48" s="126"/>
    </row>
    <row r="49" spans="2:19" x14ac:dyDescent="0.25">
      <c r="B49" s="13" t="s">
        <v>195</v>
      </c>
      <c r="C49" s="174">
        <v>73</v>
      </c>
      <c r="D49" s="137" t="s">
        <v>192</v>
      </c>
      <c r="Q49" s="126" t="s">
        <v>600</v>
      </c>
      <c r="R49" s="126">
        <v>47</v>
      </c>
      <c r="S49" s="126"/>
    </row>
    <row r="50" spans="2:19" x14ac:dyDescent="0.25">
      <c r="B50" s="13" t="s">
        <v>131</v>
      </c>
      <c r="C50" s="185">
        <v>51</v>
      </c>
      <c r="D50" s="137" t="s">
        <v>128</v>
      </c>
      <c r="Q50" s="126" t="s">
        <v>601</v>
      </c>
      <c r="R50" s="126">
        <v>48</v>
      </c>
      <c r="S50" s="126"/>
    </row>
    <row r="51" spans="2:19" x14ac:dyDescent="0.25">
      <c r="B51" s="13" t="s">
        <v>198</v>
      </c>
      <c r="C51" s="186">
        <v>74</v>
      </c>
      <c r="D51" s="137" t="s">
        <v>192</v>
      </c>
      <c r="Q51" s="126" t="s">
        <v>602</v>
      </c>
      <c r="R51" s="126">
        <v>49</v>
      </c>
      <c r="S51" s="126"/>
    </row>
    <row r="52" spans="2:19" ht="51" x14ac:dyDescent="0.25">
      <c r="B52" s="183" t="s">
        <v>111</v>
      </c>
      <c r="C52" s="174">
        <v>43</v>
      </c>
      <c r="D52" s="123" t="s">
        <v>109</v>
      </c>
      <c r="Q52" s="126" t="s">
        <v>603</v>
      </c>
      <c r="R52" s="126">
        <v>50</v>
      </c>
      <c r="S52" s="126"/>
    </row>
    <row r="53" spans="2:19" ht="51" x14ac:dyDescent="0.25">
      <c r="B53" s="183" t="s">
        <v>113</v>
      </c>
      <c r="C53" s="174">
        <v>44</v>
      </c>
      <c r="D53" s="123" t="s">
        <v>109</v>
      </c>
      <c r="Q53" s="126" t="s">
        <v>604</v>
      </c>
      <c r="R53" s="126">
        <v>51</v>
      </c>
      <c r="S53" s="126"/>
    </row>
    <row r="54" spans="2:19" ht="25.5" x14ac:dyDescent="0.25">
      <c r="B54" s="183" t="s">
        <v>99</v>
      </c>
      <c r="C54" s="186">
        <v>35</v>
      </c>
      <c r="D54" s="125" t="s">
        <v>95</v>
      </c>
      <c r="Q54" s="126" t="s">
        <v>605</v>
      </c>
      <c r="R54" s="126">
        <v>52</v>
      </c>
      <c r="S54" s="126"/>
    </row>
    <row r="55" spans="2:19" x14ac:dyDescent="0.25">
      <c r="B55" s="13" t="s">
        <v>66</v>
      </c>
      <c r="C55" s="185" t="s">
        <v>65</v>
      </c>
      <c r="D55" s="137" t="s">
        <v>63</v>
      </c>
      <c r="Q55" s="126" t="s">
        <v>606</v>
      </c>
      <c r="R55" s="126">
        <v>53</v>
      </c>
      <c r="S55" s="126"/>
    </row>
    <row r="56" spans="2:19" x14ac:dyDescent="0.25">
      <c r="B56" s="13" t="s">
        <v>69</v>
      </c>
      <c r="C56" s="185" t="s">
        <v>68</v>
      </c>
      <c r="D56" s="137" t="s">
        <v>63</v>
      </c>
      <c r="Q56" s="126" t="s">
        <v>607</v>
      </c>
      <c r="R56" s="126">
        <v>54</v>
      </c>
      <c r="S56" s="126"/>
    </row>
    <row r="57" spans="2:19" ht="25.5" x14ac:dyDescent="0.25">
      <c r="B57" s="13" t="s">
        <v>318</v>
      </c>
      <c r="C57" s="172">
        <v>36</v>
      </c>
      <c r="D57" s="125" t="s">
        <v>95</v>
      </c>
      <c r="Q57" s="126" t="s">
        <v>608</v>
      </c>
      <c r="R57" s="126">
        <v>55</v>
      </c>
      <c r="S57" s="126"/>
    </row>
    <row r="58" spans="2:19" x14ac:dyDescent="0.25">
      <c r="B58" s="13" t="s">
        <v>134</v>
      </c>
      <c r="C58" s="174">
        <v>52</v>
      </c>
      <c r="D58" s="137" t="s">
        <v>128</v>
      </c>
      <c r="Q58" s="126" t="s">
        <v>609</v>
      </c>
      <c r="R58" s="126">
        <v>56</v>
      </c>
      <c r="S58" s="126"/>
    </row>
    <row r="59" spans="2:19" x14ac:dyDescent="0.25">
      <c r="B59" s="13" t="s">
        <v>137</v>
      </c>
      <c r="C59" s="174">
        <v>53</v>
      </c>
      <c r="D59" s="137" t="s">
        <v>128</v>
      </c>
      <c r="Q59" s="126" t="s">
        <v>1038</v>
      </c>
      <c r="R59" s="126">
        <v>57</v>
      </c>
      <c r="S59" s="126"/>
    </row>
    <row r="60" spans="2:19" x14ac:dyDescent="0.25">
      <c r="B60" s="13" t="s">
        <v>234</v>
      </c>
      <c r="C60" s="186">
        <v>86</v>
      </c>
      <c r="D60" s="137" t="s">
        <v>231</v>
      </c>
      <c r="Q60" s="126" t="s">
        <v>1039</v>
      </c>
      <c r="R60" s="126">
        <v>58</v>
      </c>
      <c r="S60" s="126"/>
    </row>
    <row r="61" spans="2:19" ht="51" x14ac:dyDescent="0.25">
      <c r="B61" s="183" t="s">
        <v>119</v>
      </c>
      <c r="C61" s="174">
        <v>47</v>
      </c>
      <c r="D61" s="123" t="s">
        <v>109</v>
      </c>
      <c r="Q61" s="126" t="s">
        <v>1040</v>
      </c>
      <c r="R61" s="126">
        <v>59</v>
      </c>
      <c r="S61" s="126"/>
    </row>
    <row r="62" spans="2:19" x14ac:dyDescent="0.25">
      <c r="B62" s="13" t="s">
        <v>140</v>
      </c>
      <c r="C62" s="172">
        <v>54</v>
      </c>
      <c r="D62" s="137" t="s">
        <v>128</v>
      </c>
      <c r="Q62" s="126" t="s">
        <v>1041</v>
      </c>
      <c r="R62" s="126">
        <v>60</v>
      </c>
      <c r="S62" s="126"/>
    </row>
    <row r="63" spans="2:19" x14ac:dyDescent="0.25">
      <c r="B63" s="13" t="s">
        <v>201</v>
      </c>
      <c r="C63" s="185">
        <v>75</v>
      </c>
      <c r="D63" s="137" t="s">
        <v>192</v>
      </c>
      <c r="Q63" s="126" t="s">
        <v>1042</v>
      </c>
      <c r="R63" s="126">
        <v>61</v>
      </c>
      <c r="S63" s="126"/>
    </row>
    <row r="64" spans="2:19" x14ac:dyDescent="0.25">
      <c r="B64" s="13" t="s">
        <v>204</v>
      </c>
      <c r="C64" s="174">
        <v>76</v>
      </c>
      <c r="D64" s="137" t="s">
        <v>192</v>
      </c>
      <c r="Q64" s="126" t="s">
        <v>1043</v>
      </c>
      <c r="R64" s="126">
        <v>62</v>
      </c>
      <c r="S64" s="126"/>
    </row>
    <row r="65" spans="2:19" ht="25.5" x14ac:dyDescent="0.25">
      <c r="B65" s="183" t="s">
        <v>107</v>
      </c>
      <c r="C65" s="186">
        <v>40</v>
      </c>
      <c r="D65" s="125" t="s">
        <v>95</v>
      </c>
      <c r="Q65" s="126" t="s">
        <v>1044</v>
      </c>
      <c r="R65" s="126">
        <v>63</v>
      </c>
      <c r="S65" s="126"/>
    </row>
    <row r="66" spans="2:19" x14ac:dyDescent="0.25">
      <c r="B66" s="13" t="s">
        <v>45</v>
      </c>
      <c r="C66" s="185" t="s">
        <v>44</v>
      </c>
      <c r="D66" s="137" t="s">
        <v>7</v>
      </c>
      <c r="Q66" s="126" t="s">
        <v>1045</v>
      </c>
      <c r="R66" s="126">
        <v>64</v>
      </c>
      <c r="S66" s="126"/>
    </row>
    <row r="67" spans="2:19" x14ac:dyDescent="0.25">
      <c r="B67" s="13" t="s">
        <v>164</v>
      </c>
      <c r="C67" s="174">
        <v>62</v>
      </c>
      <c r="D67" s="137" t="s">
        <v>128</v>
      </c>
      <c r="Q67" s="126" t="s">
        <v>1046</v>
      </c>
      <c r="R67" s="126">
        <v>65</v>
      </c>
      <c r="S67" s="126"/>
    </row>
    <row r="68" spans="2:19" x14ac:dyDescent="0.25">
      <c r="B68" s="13" t="s">
        <v>167</v>
      </c>
      <c r="C68" s="185">
        <v>63</v>
      </c>
      <c r="D68" s="137" t="s">
        <v>128</v>
      </c>
      <c r="Q68" s="126" t="s">
        <v>1047</v>
      </c>
      <c r="R68" s="126">
        <v>66</v>
      </c>
      <c r="S68" s="126"/>
    </row>
    <row r="69" spans="2:19" x14ac:dyDescent="0.25">
      <c r="B69" s="13" t="s">
        <v>252</v>
      </c>
      <c r="C69" s="174">
        <v>92</v>
      </c>
      <c r="D69" s="137" t="s">
        <v>231</v>
      </c>
      <c r="Q69" s="126" t="s">
        <v>1048</v>
      </c>
      <c r="R69" s="126">
        <v>67</v>
      </c>
      <c r="S69" s="126"/>
    </row>
    <row r="70" spans="2:19" x14ac:dyDescent="0.25">
      <c r="B70" s="13" t="s">
        <v>179</v>
      </c>
      <c r="C70" s="186">
        <v>67</v>
      </c>
      <c r="D70" s="137" t="s">
        <v>173</v>
      </c>
      <c r="Q70" s="126" t="s">
        <v>1049</v>
      </c>
      <c r="R70" s="126">
        <v>68</v>
      </c>
      <c r="S70" s="126"/>
    </row>
    <row r="71" spans="2:19" x14ac:dyDescent="0.25">
      <c r="B71" s="13" t="s">
        <v>48</v>
      </c>
      <c r="C71" s="185" t="s">
        <v>47</v>
      </c>
      <c r="D71" s="137" t="s">
        <v>7</v>
      </c>
      <c r="Q71" s="126" t="s">
        <v>1050</v>
      </c>
      <c r="R71" s="126">
        <v>69</v>
      </c>
      <c r="S71" s="126"/>
    </row>
    <row r="72" spans="2:19" ht="51" x14ac:dyDescent="0.25">
      <c r="B72" s="183" t="s">
        <v>125</v>
      </c>
      <c r="C72" s="174">
        <v>49</v>
      </c>
      <c r="D72" s="123" t="s">
        <v>109</v>
      </c>
      <c r="Q72" s="126" t="s">
        <v>1051</v>
      </c>
      <c r="R72" s="126">
        <v>70</v>
      </c>
      <c r="S72" s="126"/>
    </row>
    <row r="73" spans="2:19" x14ac:dyDescent="0.25">
      <c r="B73" s="13" t="s">
        <v>51</v>
      </c>
      <c r="C73" s="172" t="s">
        <v>50</v>
      </c>
      <c r="D73" s="137" t="s">
        <v>7</v>
      </c>
      <c r="Q73" s="126" t="s">
        <v>1052</v>
      </c>
      <c r="R73" s="126">
        <v>71</v>
      </c>
      <c r="S73" s="126"/>
    </row>
    <row r="74" spans="2:19" x14ac:dyDescent="0.25">
      <c r="B74" s="13" t="s">
        <v>54</v>
      </c>
      <c r="C74" s="185" t="s">
        <v>53</v>
      </c>
      <c r="D74" s="137" t="s">
        <v>7</v>
      </c>
      <c r="Q74" s="126" t="s">
        <v>1053</v>
      </c>
      <c r="R74" s="126">
        <v>72</v>
      </c>
      <c r="S74" s="126"/>
    </row>
    <row r="75" spans="2:19" x14ac:dyDescent="0.25">
      <c r="B75" s="13" t="s">
        <v>228</v>
      </c>
      <c r="C75" s="185">
        <v>84</v>
      </c>
      <c r="D75" s="137" t="s">
        <v>192</v>
      </c>
      <c r="Q75" s="126" t="s">
        <v>1054</v>
      </c>
      <c r="R75" s="126">
        <v>73</v>
      </c>
      <c r="S75" s="126"/>
    </row>
    <row r="76" spans="2:19" x14ac:dyDescent="0.25">
      <c r="B76" s="13" t="s">
        <v>57</v>
      </c>
      <c r="C76" s="172" t="s">
        <v>56</v>
      </c>
      <c r="D76" s="137" t="s">
        <v>7</v>
      </c>
      <c r="Q76" s="126" t="s">
        <v>1055</v>
      </c>
      <c r="R76" s="126">
        <v>74</v>
      </c>
      <c r="S76" s="126"/>
    </row>
    <row r="77" spans="2:19" x14ac:dyDescent="0.25">
      <c r="B77" s="13" t="s">
        <v>182</v>
      </c>
      <c r="C77" s="174">
        <v>68</v>
      </c>
      <c r="D77" s="137" t="s">
        <v>173</v>
      </c>
      <c r="Q77" s="126" t="s">
        <v>610</v>
      </c>
      <c r="R77" s="126">
        <v>75</v>
      </c>
      <c r="S77" s="126"/>
    </row>
    <row r="78" spans="2:19" x14ac:dyDescent="0.25">
      <c r="B78" s="13" t="s">
        <v>143</v>
      </c>
      <c r="C78" s="174">
        <v>55</v>
      </c>
      <c r="D78" s="137" t="s">
        <v>128</v>
      </c>
      <c r="Q78" s="126" t="s">
        <v>611</v>
      </c>
      <c r="R78" s="126">
        <v>76</v>
      </c>
      <c r="S78" s="126"/>
    </row>
    <row r="79" spans="2:19" x14ac:dyDescent="0.25">
      <c r="B79" s="13" t="s">
        <v>170</v>
      </c>
      <c r="C79" s="186">
        <v>64</v>
      </c>
      <c r="D79" s="137" t="s">
        <v>128</v>
      </c>
      <c r="Q79" s="126" t="s">
        <v>612</v>
      </c>
      <c r="R79" s="126">
        <v>77</v>
      </c>
      <c r="S79" s="126"/>
    </row>
    <row r="80" spans="2:19" x14ac:dyDescent="0.25">
      <c r="B80" s="13" t="s">
        <v>243</v>
      </c>
      <c r="C80" s="174">
        <v>89</v>
      </c>
      <c r="D80" s="137" t="s">
        <v>231</v>
      </c>
      <c r="Q80" s="126" t="s">
        <v>613</v>
      </c>
      <c r="R80" s="126">
        <v>78</v>
      </c>
      <c r="S80" s="126"/>
    </row>
    <row r="81" spans="2:19" x14ac:dyDescent="0.25">
      <c r="B81" s="18" t="s">
        <v>276</v>
      </c>
      <c r="C81" s="172">
        <v>69</v>
      </c>
      <c r="D81" s="137" t="s">
        <v>173</v>
      </c>
      <c r="Q81" s="126" t="s">
        <v>614</v>
      </c>
      <c r="R81" s="126">
        <v>79</v>
      </c>
      <c r="S81" s="126"/>
    </row>
    <row r="82" spans="2:19" x14ac:dyDescent="0.25">
      <c r="B82" s="13" t="s">
        <v>189</v>
      </c>
      <c r="C82" s="174">
        <v>71</v>
      </c>
      <c r="D82" s="137" t="s">
        <v>173</v>
      </c>
      <c r="Q82" s="126" t="s">
        <v>615</v>
      </c>
      <c r="R82" s="126">
        <v>80</v>
      </c>
      <c r="S82" s="126"/>
    </row>
    <row r="83" spans="2:19" ht="51" x14ac:dyDescent="0.25">
      <c r="B83" s="183" t="s">
        <v>122</v>
      </c>
      <c r="C83" s="185">
        <v>48</v>
      </c>
      <c r="D83" s="123" t="s">
        <v>109</v>
      </c>
      <c r="Q83" s="126" t="s">
        <v>616</v>
      </c>
      <c r="R83" s="126">
        <v>81</v>
      </c>
      <c r="S83" s="126"/>
    </row>
    <row r="84" spans="2:19" x14ac:dyDescent="0.25">
      <c r="B84" s="13" t="s">
        <v>146</v>
      </c>
      <c r="C84" s="186">
        <v>56</v>
      </c>
      <c r="D84" s="137" t="s">
        <v>128</v>
      </c>
      <c r="Q84" s="126" t="s">
        <v>617</v>
      </c>
      <c r="R84" s="126">
        <v>82</v>
      </c>
      <c r="S84" s="126"/>
    </row>
    <row r="85" spans="2:19" x14ac:dyDescent="0.25">
      <c r="B85" s="13" t="s">
        <v>256</v>
      </c>
      <c r="C85" s="174">
        <v>94</v>
      </c>
      <c r="D85" s="137" t="s">
        <v>231</v>
      </c>
      <c r="Q85" s="126" t="s">
        <v>618</v>
      </c>
      <c r="R85" s="126">
        <v>83</v>
      </c>
      <c r="S85" s="126"/>
    </row>
    <row r="86" spans="2:19" x14ac:dyDescent="0.25">
      <c r="B86" s="18" t="s">
        <v>277</v>
      </c>
      <c r="C86" s="174">
        <v>70</v>
      </c>
      <c r="D86" s="137" t="s">
        <v>173</v>
      </c>
      <c r="Q86" s="126" t="s">
        <v>619</v>
      </c>
      <c r="R86" s="126">
        <v>84</v>
      </c>
      <c r="S86" s="126"/>
    </row>
    <row r="87" spans="2:19" x14ac:dyDescent="0.25">
      <c r="B87" s="13" t="s">
        <v>60</v>
      </c>
      <c r="C87" s="172" t="s">
        <v>59</v>
      </c>
      <c r="D87" s="137" t="s">
        <v>7</v>
      </c>
      <c r="Q87" s="126" t="s">
        <v>620</v>
      </c>
      <c r="R87" s="126">
        <v>85</v>
      </c>
      <c r="S87" s="126"/>
    </row>
    <row r="88" spans="2:19" x14ac:dyDescent="0.25">
      <c r="Q88" s="126" t="s">
        <v>621</v>
      </c>
      <c r="R88" s="126">
        <v>86</v>
      </c>
      <c r="S88" s="126"/>
    </row>
    <row r="89" spans="2:19" x14ac:dyDescent="0.25">
      <c r="Q89" s="126" t="s">
        <v>622</v>
      </c>
      <c r="R89" s="126">
        <v>87</v>
      </c>
      <c r="S89" s="126"/>
    </row>
    <row r="90" spans="2:19" x14ac:dyDescent="0.25">
      <c r="Q90" s="126" t="s">
        <v>623</v>
      </c>
      <c r="R90" s="126">
        <v>88</v>
      </c>
      <c r="S90" s="126"/>
    </row>
    <row r="91" spans="2:19" x14ac:dyDescent="0.25">
      <c r="Q91" s="126" t="s">
        <v>624</v>
      </c>
      <c r="R91" s="126">
        <v>89</v>
      </c>
      <c r="S91" s="126"/>
    </row>
    <row r="92" spans="2:19" x14ac:dyDescent="0.25">
      <c r="Q92" s="126" t="s">
        <v>625</v>
      </c>
      <c r="R92" s="126">
        <v>90</v>
      </c>
      <c r="S92" s="126"/>
    </row>
    <row r="93" spans="2:19" x14ac:dyDescent="0.25">
      <c r="Q93" s="126" t="s">
        <v>626</v>
      </c>
      <c r="R93" s="126">
        <v>91</v>
      </c>
      <c r="S93" s="126"/>
    </row>
    <row r="94" spans="2:19" x14ac:dyDescent="0.25">
      <c r="Q94" s="126" t="s">
        <v>627</v>
      </c>
      <c r="R94" s="126">
        <v>92</v>
      </c>
      <c r="S94" s="126"/>
    </row>
    <row r="95" spans="2:19" x14ac:dyDescent="0.25">
      <c r="Q95" s="126" t="s">
        <v>628</v>
      </c>
      <c r="R95" s="126">
        <v>93</v>
      </c>
      <c r="S95" s="126"/>
    </row>
    <row r="96" spans="2:19" x14ac:dyDescent="0.25">
      <c r="Q96" s="126" t="s">
        <v>629</v>
      </c>
      <c r="R96" s="126">
        <v>94</v>
      </c>
      <c r="S96" s="126"/>
    </row>
    <row r="97" spans="17:19" x14ac:dyDescent="0.25">
      <c r="Q97" s="126" t="s">
        <v>630</v>
      </c>
      <c r="R97" s="126">
        <v>95</v>
      </c>
      <c r="S97" s="126"/>
    </row>
    <row r="98" spans="17:19" x14ac:dyDescent="0.25">
      <c r="Q98" s="126" t="s">
        <v>631</v>
      </c>
      <c r="R98" s="126">
        <v>96</v>
      </c>
      <c r="S98" s="126"/>
    </row>
    <row r="99" spans="17:19" x14ac:dyDescent="0.25">
      <c r="Q99" s="126" t="s">
        <v>632</v>
      </c>
      <c r="R99" s="126">
        <v>97</v>
      </c>
      <c r="S99" s="126"/>
    </row>
    <row r="100" spans="17:19" x14ac:dyDescent="0.25">
      <c r="Q100" s="126" t="s">
        <v>633</v>
      </c>
      <c r="R100" s="126">
        <v>98</v>
      </c>
      <c r="S100" s="126"/>
    </row>
    <row r="101" spans="17:19" x14ac:dyDescent="0.25">
      <c r="Q101" s="126" t="s">
        <v>634</v>
      </c>
      <c r="R101" s="126">
        <v>99</v>
      </c>
      <c r="S101" s="126"/>
    </row>
    <row r="102" spans="17:19" x14ac:dyDescent="0.25">
      <c r="Q102" s="126" t="s">
        <v>635</v>
      </c>
      <c r="R102" s="126">
        <v>100</v>
      </c>
      <c r="S102" s="126"/>
    </row>
    <row r="103" spans="17:19" x14ac:dyDescent="0.25">
      <c r="Q103" s="126" t="s">
        <v>636</v>
      </c>
      <c r="R103" s="126">
        <v>101</v>
      </c>
      <c r="S103" s="126"/>
    </row>
    <row r="104" spans="17:19" x14ac:dyDescent="0.25">
      <c r="Q104" s="126" t="s">
        <v>637</v>
      </c>
      <c r="R104" s="126">
        <v>102</v>
      </c>
      <c r="S104" s="126"/>
    </row>
    <row r="105" spans="17:19" x14ac:dyDescent="0.25">
      <c r="Q105" s="126" t="s">
        <v>638</v>
      </c>
      <c r="R105" s="126">
        <v>103</v>
      </c>
      <c r="S105" s="126"/>
    </row>
    <row r="106" spans="17:19" x14ac:dyDescent="0.25">
      <c r="Q106" s="126" t="s">
        <v>639</v>
      </c>
      <c r="R106" s="126">
        <v>104</v>
      </c>
      <c r="S106" s="126"/>
    </row>
    <row r="107" spans="17:19" x14ac:dyDescent="0.25">
      <c r="Q107" s="126" t="s">
        <v>640</v>
      </c>
      <c r="R107" s="126">
        <v>105</v>
      </c>
      <c r="S107" s="126"/>
    </row>
    <row r="108" spans="17:19" x14ac:dyDescent="0.25">
      <c r="Q108" s="126" t="s">
        <v>641</v>
      </c>
      <c r="R108" s="126">
        <v>106</v>
      </c>
      <c r="S108" s="126"/>
    </row>
    <row r="109" spans="17:19" x14ac:dyDescent="0.25">
      <c r="Q109" s="126" t="s">
        <v>642</v>
      </c>
      <c r="R109" s="126">
        <v>107</v>
      </c>
      <c r="S109" s="126"/>
    </row>
    <row r="110" spans="17:19" x14ac:dyDescent="0.25">
      <c r="Q110" s="126" t="s">
        <v>643</v>
      </c>
      <c r="R110" s="126">
        <v>108</v>
      </c>
      <c r="S110" s="126"/>
    </row>
    <row r="111" spans="17:19" x14ac:dyDescent="0.25">
      <c r="Q111" s="126" t="s">
        <v>644</v>
      </c>
      <c r="R111" s="126">
        <v>109</v>
      </c>
      <c r="S111" s="126"/>
    </row>
    <row r="112" spans="17:19" x14ac:dyDescent="0.25">
      <c r="Q112" s="126" t="s">
        <v>645</v>
      </c>
      <c r="R112" s="126">
        <v>110</v>
      </c>
      <c r="S112" s="126"/>
    </row>
    <row r="113" spans="17:19" x14ac:dyDescent="0.25">
      <c r="Q113" s="126" t="s">
        <v>1056</v>
      </c>
      <c r="R113" s="126">
        <v>111</v>
      </c>
      <c r="S113" s="126"/>
    </row>
    <row r="114" spans="17:19" x14ac:dyDescent="0.25">
      <c r="Q114" s="126" t="s">
        <v>1057</v>
      </c>
      <c r="R114" s="126">
        <v>112</v>
      </c>
      <c r="S114" s="126"/>
    </row>
    <row r="115" spans="17:19" x14ac:dyDescent="0.25">
      <c r="Q115" s="126" t="s">
        <v>1058</v>
      </c>
      <c r="R115" s="126">
        <v>113</v>
      </c>
      <c r="S115" s="126"/>
    </row>
    <row r="116" spans="17:19" x14ac:dyDescent="0.25">
      <c r="Q116" s="126" t="s">
        <v>1059</v>
      </c>
      <c r="R116" s="126">
        <v>114</v>
      </c>
      <c r="S116" s="126"/>
    </row>
    <row r="117" spans="17:19" x14ac:dyDescent="0.25">
      <c r="Q117" s="126" t="s">
        <v>1060</v>
      </c>
      <c r="R117" s="126">
        <v>115</v>
      </c>
      <c r="S117" s="126"/>
    </row>
    <row r="118" spans="17:19" x14ac:dyDescent="0.25">
      <c r="Q118" s="126" t="s">
        <v>1061</v>
      </c>
      <c r="R118" s="126">
        <v>116</v>
      </c>
      <c r="S118" s="126"/>
    </row>
    <row r="119" spans="17:19" x14ac:dyDescent="0.25">
      <c r="Q119" s="126" t="s">
        <v>1062</v>
      </c>
      <c r="R119" s="126">
        <v>117</v>
      </c>
      <c r="S119" s="126"/>
    </row>
    <row r="120" spans="17:19" x14ac:dyDescent="0.25">
      <c r="Q120" s="126" t="s">
        <v>1063</v>
      </c>
      <c r="R120" s="126">
        <v>118</v>
      </c>
      <c r="S120" s="126"/>
    </row>
    <row r="121" spans="17:19" x14ac:dyDescent="0.25">
      <c r="Q121" s="126" t="s">
        <v>1064</v>
      </c>
      <c r="R121" s="126">
        <v>119</v>
      </c>
      <c r="S121" s="126"/>
    </row>
    <row r="122" spans="17:19" x14ac:dyDescent="0.25">
      <c r="Q122" s="126" t="s">
        <v>1065</v>
      </c>
      <c r="R122" s="126">
        <v>120</v>
      </c>
      <c r="S122" s="126"/>
    </row>
    <row r="123" spans="17:19" x14ac:dyDescent="0.25">
      <c r="Q123" s="126" t="s">
        <v>1066</v>
      </c>
      <c r="R123" s="126">
        <v>121</v>
      </c>
      <c r="S123" s="126"/>
    </row>
    <row r="124" spans="17:19" x14ac:dyDescent="0.25">
      <c r="Q124" s="126" t="s">
        <v>1067</v>
      </c>
      <c r="R124" s="126">
        <v>122</v>
      </c>
      <c r="S124" s="126"/>
    </row>
    <row r="125" spans="17:19" x14ac:dyDescent="0.25">
      <c r="Q125" s="126" t="s">
        <v>1068</v>
      </c>
      <c r="R125" s="126">
        <v>123</v>
      </c>
      <c r="S125" s="126"/>
    </row>
    <row r="126" spans="17:19" x14ac:dyDescent="0.25">
      <c r="Q126" s="126" t="s">
        <v>1069</v>
      </c>
      <c r="R126" s="126">
        <v>124</v>
      </c>
      <c r="S126" s="126"/>
    </row>
    <row r="127" spans="17:19" x14ac:dyDescent="0.25">
      <c r="Q127" s="126" t="s">
        <v>1070</v>
      </c>
      <c r="R127" s="126">
        <v>125</v>
      </c>
      <c r="S127" s="126"/>
    </row>
    <row r="128" spans="17:19" x14ac:dyDescent="0.25">
      <c r="Q128" s="126" t="s">
        <v>1071</v>
      </c>
      <c r="R128" s="126">
        <v>126</v>
      </c>
      <c r="S128" s="126"/>
    </row>
    <row r="129" spans="17:19" x14ac:dyDescent="0.25">
      <c r="Q129" s="126" t="s">
        <v>1072</v>
      </c>
      <c r="R129" s="126">
        <v>127</v>
      </c>
      <c r="S129" s="126"/>
    </row>
    <row r="130" spans="17:19" x14ac:dyDescent="0.25">
      <c r="Q130" s="126" t="s">
        <v>1073</v>
      </c>
      <c r="R130" s="126">
        <v>128</v>
      </c>
      <c r="S130" s="126"/>
    </row>
    <row r="131" spans="17:19" x14ac:dyDescent="0.25">
      <c r="Q131" s="126" t="s">
        <v>646</v>
      </c>
      <c r="R131" s="126">
        <v>129</v>
      </c>
      <c r="S131" s="126"/>
    </row>
    <row r="132" spans="17:19" x14ac:dyDescent="0.25">
      <c r="Q132" s="126" t="s">
        <v>647</v>
      </c>
      <c r="R132" s="126">
        <v>130</v>
      </c>
      <c r="S132" s="126"/>
    </row>
    <row r="133" spans="17:19" x14ac:dyDescent="0.25">
      <c r="Q133" s="126" t="s">
        <v>648</v>
      </c>
      <c r="R133" s="126">
        <v>131</v>
      </c>
      <c r="S133" s="126"/>
    </row>
    <row r="134" spans="17:19" x14ac:dyDescent="0.25">
      <c r="Q134" s="126" t="s">
        <v>649</v>
      </c>
      <c r="R134" s="126">
        <v>132</v>
      </c>
      <c r="S134" s="126"/>
    </row>
    <row r="135" spans="17:19" x14ac:dyDescent="0.25">
      <c r="Q135" s="126" t="s">
        <v>650</v>
      </c>
      <c r="R135" s="126">
        <v>133</v>
      </c>
      <c r="S135" s="126"/>
    </row>
    <row r="136" spans="17:19" x14ac:dyDescent="0.25">
      <c r="Q136" s="126" t="s">
        <v>651</v>
      </c>
      <c r="R136" s="126">
        <v>134</v>
      </c>
      <c r="S136" s="126"/>
    </row>
    <row r="137" spans="17:19" x14ac:dyDescent="0.25">
      <c r="Q137" s="126" t="s">
        <v>652</v>
      </c>
      <c r="R137" s="126">
        <v>135</v>
      </c>
      <c r="S137" s="126"/>
    </row>
    <row r="138" spans="17:19" x14ac:dyDescent="0.25">
      <c r="Q138" s="126" t="s">
        <v>653</v>
      </c>
      <c r="R138" s="126">
        <v>136</v>
      </c>
      <c r="S138" s="126"/>
    </row>
    <row r="139" spans="17:19" x14ac:dyDescent="0.25">
      <c r="Q139" s="126" t="s">
        <v>654</v>
      </c>
      <c r="R139" s="126">
        <v>137</v>
      </c>
      <c r="S139" s="126"/>
    </row>
    <row r="140" spans="17:19" x14ac:dyDescent="0.25">
      <c r="Q140" s="126" t="s">
        <v>655</v>
      </c>
      <c r="R140" s="126">
        <v>138</v>
      </c>
      <c r="S140" s="126"/>
    </row>
    <row r="141" spans="17:19" x14ac:dyDescent="0.25">
      <c r="Q141" s="126" t="s">
        <v>656</v>
      </c>
      <c r="R141" s="126">
        <v>139</v>
      </c>
      <c r="S141" s="126"/>
    </row>
    <row r="142" spans="17:19" x14ac:dyDescent="0.25">
      <c r="Q142" s="126" t="s">
        <v>657</v>
      </c>
      <c r="R142" s="126">
        <v>140</v>
      </c>
      <c r="S142" s="126"/>
    </row>
    <row r="143" spans="17:19" x14ac:dyDescent="0.25">
      <c r="Q143" s="126" t="s">
        <v>658</v>
      </c>
      <c r="R143" s="126">
        <v>141</v>
      </c>
      <c r="S143" s="126"/>
    </row>
    <row r="144" spans="17:19" x14ac:dyDescent="0.25">
      <c r="Q144" s="126" t="s">
        <v>659</v>
      </c>
      <c r="R144" s="126">
        <v>142</v>
      </c>
      <c r="S144" s="126"/>
    </row>
    <row r="145" spans="17:19" x14ac:dyDescent="0.25">
      <c r="Q145" s="126" t="s">
        <v>660</v>
      </c>
      <c r="R145" s="126">
        <v>143</v>
      </c>
      <c r="S145" s="126"/>
    </row>
    <row r="146" spans="17:19" x14ac:dyDescent="0.25">
      <c r="Q146" s="126" t="s">
        <v>661</v>
      </c>
      <c r="R146" s="126">
        <v>144</v>
      </c>
      <c r="S146" s="126"/>
    </row>
    <row r="147" spans="17:19" x14ac:dyDescent="0.25">
      <c r="Q147" s="126" t="s">
        <v>662</v>
      </c>
      <c r="R147" s="126">
        <v>145</v>
      </c>
      <c r="S147" s="126"/>
    </row>
    <row r="148" spans="17:19" x14ac:dyDescent="0.25">
      <c r="Q148" s="126" t="s">
        <v>663</v>
      </c>
      <c r="R148" s="126">
        <v>146</v>
      </c>
      <c r="S148" s="126"/>
    </row>
    <row r="149" spans="17:19" x14ac:dyDescent="0.25">
      <c r="Q149" s="126" t="s">
        <v>1074</v>
      </c>
      <c r="R149" s="126">
        <v>147</v>
      </c>
      <c r="S149" s="126"/>
    </row>
    <row r="150" spans="17:19" x14ac:dyDescent="0.25">
      <c r="Q150" s="126" t="s">
        <v>1075</v>
      </c>
      <c r="R150" s="126">
        <v>148</v>
      </c>
      <c r="S150" s="126"/>
    </row>
    <row r="151" spans="17:19" x14ac:dyDescent="0.25">
      <c r="Q151" s="126" t="s">
        <v>1076</v>
      </c>
      <c r="R151" s="126">
        <v>149</v>
      </c>
      <c r="S151" s="126"/>
    </row>
    <row r="152" spans="17:19" x14ac:dyDescent="0.25">
      <c r="Q152" s="126" t="s">
        <v>1077</v>
      </c>
      <c r="R152" s="126">
        <v>150</v>
      </c>
      <c r="S152" s="126"/>
    </row>
    <row r="153" spans="17:19" x14ac:dyDescent="0.25">
      <c r="Q153" s="126" t="s">
        <v>1078</v>
      </c>
      <c r="R153" s="126">
        <v>151</v>
      </c>
      <c r="S153" s="126"/>
    </row>
    <row r="154" spans="17:19" x14ac:dyDescent="0.25">
      <c r="Q154" s="126" t="s">
        <v>1079</v>
      </c>
      <c r="R154" s="126">
        <v>152</v>
      </c>
      <c r="S154" s="126"/>
    </row>
    <row r="155" spans="17:19" x14ac:dyDescent="0.25">
      <c r="Q155" s="126" t="s">
        <v>1080</v>
      </c>
      <c r="R155" s="126">
        <v>153</v>
      </c>
      <c r="S155" s="126"/>
    </row>
    <row r="156" spans="17:19" x14ac:dyDescent="0.25">
      <c r="Q156" s="126" t="s">
        <v>1081</v>
      </c>
      <c r="R156" s="126">
        <v>154</v>
      </c>
      <c r="S156" s="126"/>
    </row>
    <row r="157" spans="17:19" x14ac:dyDescent="0.25">
      <c r="Q157" s="126" t="s">
        <v>1082</v>
      </c>
      <c r="R157" s="126">
        <v>155</v>
      </c>
      <c r="S157" s="126"/>
    </row>
    <row r="158" spans="17:19" x14ac:dyDescent="0.25">
      <c r="Q158" s="126" t="s">
        <v>1083</v>
      </c>
      <c r="R158" s="126">
        <v>156</v>
      </c>
      <c r="S158" s="126"/>
    </row>
    <row r="159" spans="17:19" x14ac:dyDescent="0.25">
      <c r="Q159" s="126" t="s">
        <v>1084</v>
      </c>
      <c r="R159" s="126">
        <v>157</v>
      </c>
      <c r="S159" s="126"/>
    </row>
    <row r="160" spans="17:19" x14ac:dyDescent="0.25">
      <c r="Q160" s="126" t="s">
        <v>1085</v>
      </c>
      <c r="R160" s="126">
        <v>158</v>
      </c>
      <c r="S160" s="126"/>
    </row>
    <row r="161" spans="17:19" x14ac:dyDescent="0.25">
      <c r="Q161" s="126" t="s">
        <v>1086</v>
      </c>
      <c r="R161" s="126">
        <v>159</v>
      </c>
      <c r="S161" s="126"/>
    </row>
    <row r="162" spans="17:19" x14ac:dyDescent="0.25">
      <c r="Q162" s="126" t="s">
        <v>1087</v>
      </c>
      <c r="R162" s="126">
        <v>160</v>
      </c>
      <c r="S162" s="126"/>
    </row>
    <row r="163" spans="17:19" x14ac:dyDescent="0.25">
      <c r="Q163" s="126" t="s">
        <v>1088</v>
      </c>
      <c r="R163" s="126">
        <v>161</v>
      </c>
      <c r="S163" s="126"/>
    </row>
    <row r="164" spans="17:19" x14ac:dyDescent="0.25">
      <c r="Q164" s="126" t="s">
        <v>1089</v>
      </c>
      <c r="R164" s="126">
        <v>162</v>
      </c>
      <c r="S164" s="126"/>
    </row>
    <row r="165" spans="17:19" x14ac:dyDescent="0.25">
      <c r="Q165" s="126" t="s">
        <v>1090</v>
      </c>
      <c r="R165" s="126">
        <v>163</v>
      </c>
      <c r="S165" s="126"/>
    </row>
    <row r="166" spans="17:19" x14ac:dyDescent="0.25">
      <c r="Q166" s="126" t="s">
        <v>1091</v>
      </c>
      <c r="R166" s="126">
        <v>164</v>
      </c>
      <c r="S166" s="126"/>
    </row>
    <row r="167" spans="17:19" x14ac:dyDescent="0.25">
      <c r="Q167" s="126" t="s">
        <v>664</v>
      </c>
      <c r="R167" s="126">
        <v>165</v>
      </c>
      <c r="S167" s="126"/>
    </row>
    <row r="168" spans="17:19" x14ac:dyDescent="0.25">
      <c r="Q168" s="126" t="s">
        <v>665</v>
      </c>
      <c r="R168" s="126">
        <v>166</v>
      </c>
      <c r="S168" s="126"/>
    </row>
    <row r="169" spans="17:19" x14ac:dyDescent="0.25">
      <c r="Q169" s="126" t="s">
        <v>666</v>
      </c>
      <c r="R169" s="126">
        <v>167</v>
      </c>
      <c r="S169" s="126"/>
    </row>
    <row r="170" spans="17:19" x14ac:dyDescent="0.25">
      <c r="Q170" s="126" t="s">
        <v>667</v>
      </c>
      <c r="R170" s="126">
        <v>168</v>
      </c>
      <c r="S170" s="126"/>
    </row>
    <row r="171" spans="17:19" x14ac:dyDescent="0.25">
      <c r="Q171" s="126" t="s">
        <v>668</v>
      </c>
      <c r="R171" s="126">
        <v>169</v>
      </c>
      <c r="S171" s="126"/>
    </row>
    <row r="172" spans="17:19" x14ac:dyDescent="0.25">
      <c r="Q172" s="126" t="s">
        <v>669</v>
      </c>
      <c r="R172" s="126">
        <v>170</v>
      </c>
      <c r="S172" s="126"/>
    </row>
    <row r="173" spans="17:19" x14ac:dyDescent="0.25">
      <c r="Q173" s="126" t="s">
        <v>670</v>
      </c>
      <c r="R173" s="126">
        <v>171</v>
      </c>
      <c r="S173" s="126"/>
    </row>
    <row r="174" spans="17:19" x14ac:dyDescent="0.25">
      <c r="Q174" s="126" t="s">
        <v>671</v>
      </c>
      <c r="R174" s="126">
        <v>172</v>
      </c>
      <c r="S174" s="126"/>
    </row>
    <row r="175" spans="17:19" x14ac:dyDescent="0.25">
      <c r="Q175" s="126" t="s">
        <v>672</v>
      </c>
      <c r="R175" s="126">
        <v>173</v>
      </c>
      <c r="S175" s="126"/>
    </row>
    <row r="176" spans="17:19" x14ac:dyDescent="0.25">
      <c r="Q176" s="126" t="s">
        <v>673</v>
      </c>
      <c r="R176" s="126">
        <v>174</v>
      </c>
      <c r="S176" s="126"/>
    </row>
    <row r="177" spans="17:19" x14ac:dyDescent="0.25">
      <c r="Q177" s="126" t="s">
        <v>674</v>
      </c>
      <c r="R177" s="126">
        <v>175</v>
      </c>
      <c r="S177" s="126"/>
    </row>
    <row r="178" spans="17:19" x14ac:dyDescent="0.25">
      <c r="Q178" s="126" t="s">
        <v>675</v>
      </c>
      <c r="R178" s="126">
        <v>176</v>
      </c>
      <c r="S178" s="126"/>
    </row>
    <row r="179" spans="17:19" x14ac:dyDescent="0.25">
      <c r="Q179" s="126" t="s">
        <v>676</v>
      </c>
      <c r="R179" s="126">
        <v>177</v>
      </c>
      <c r="S179" s="126"/>
    </row>
    <row r="180" spans="17:19" x14ac:dyDescent="0.25">
      <c r="Q180" s="126" t="s">
        <v>677</v>
      </c>
      <c r="R180" s="126">
        <v>178</v>
      </c>
      <c r="S180" s="126"/>
    </row>
    <row r="181" spans="17:19" x14ac:dyDescent="0.25">
      <c r="Q181" s="126" t="s">
        <v>678</v>
      </c>
      <c r="R181" s="126">
        <v>179</v>
      </c>
      <c r="S181" s="126"/>
    </row>
    <row r="182" spans="17:19" x14ac:dyDescent="0.25">
      <c r="Q182" s="126" t="s">
        <v>679</v>
      </c>
      <c r="R182" s="126">
        <v>180</v>
      </c>
      <c r="S182" s="126"/>
    </row>
    <row r="183" spans="17:19" x14ac:dyDescent="0.25">
      <c r="Q183" s="126" t="s">
        <v>680</v>
      </c>
      <c r="R183" s="126">
        <v>181</v>
      </c>
      <c r="S183" s="126"/>
    </row>
    <row r="184" spans="17:19" x14ac:dyDescent="0.25">
      <c r="Q184" s="126" t="s">
        <v>681</v>
      </c>
      <c r="R184" s="126">
        <v>182</v>
      </c>
      <c r="S184" s="126"/>
    </row>
    <row r="185" spans="17:19" x14ac:dyDescent="0.25">
      <c r="Q185" s="126" t="s">
        <v>682</v>
      </c>
      <c r="R185" s="126">
        <v>183</v>
      </c>
      <c r="S185" s="126"/>
    </row>
    <row r="186" spans="17:19" x14ac:dyDescent="0.25">
      <c r="Q186" s="126" t="s">
        <v>683</v>
      </c>
      <c r="R186" s="126">
        <v>184</v>
      </c>
      <c r="S186" s="126"/>
    </row>
    <row r="187" spans="17:19" x14ac:dyDescent="0.25">
      <c r="Q187" s="126" t="s">
        <v>684</v>
      </c>
      <c r="R187" s="126">
        <v>185</v>
      </c>
      <c r="S187" s="126"/>
    </row>
    <row r="188" spans="17:19" x14ac:dyDescent="0.25">
      <c r="Q188" s="126" t="s">
        <v>685</v>
      </c>
      <c r="R188" s="126">
        <v>186</v>
      </c>
      <c r="S188" s="126"/>
    </row>
    <row r="189" spans="17:19" x14ac:dyDescent="0.25">
      <c r="Q189" s="126" t="s">
        <v>686</v>
      </c>
      <c r="R189" s="126">
        <v>187</v>
      </c>
      <c r="S189" s="126"/>
    </row>
    <row r="190" spans="17:19" x14ac:dyDescent="0.25">
      <c r="Q190" s="126" t="s">
        <v>687</v>
      </c>
      <c r="R190" s="126">
        <v>188</v>
      </c>
      <c r="S190" s="126"/>
    </row>
    <row r="191" spans="17:19" x14ac:dyDescent="0.25">
      <c r="Q191" s="126" t="s">
        <v>688</v>
      </c>
      <c r="R191" s="126">
        <v>189</v>
      </c>
      <c r="S191" s="126"/>
    </row>
    <row r="192" spans="17:19" x14ac:dyDescent="0.25">
      <c r="Q192" s="126" t="s">
        <v>689</v>
      </c>
      <c r="R192" s="126">
        <v>190</v>
      </c>
      <c r="S192" s="126"/>
    </row>
    <row r="193" spans="17:19" x14ac:dyDescent="0.25">
      <c r="Q193" s="126" t="s">
        <v>690</v>
      </c>
      <c r="R193" s="126">
        <v>191</v>
      </c>
      <c r="S193" s="126"/>
    </row>
    <row r="194" spans="17:19" x14ac:dyDescent="0.25">
      <c r="Q194" s="126" t="s">
        <v>691</v>
      </c>
      <c r="R194" s="126">
        <v>192</v>
      </c>
      <c r="S194" s="126"/>
    </row>
    <row r="195" spans="17:19" x14ac:dyDescent="0.25">
      <c r="Q195" s="126" t="s">
        <v>692</v>
      </c>
      <c r="R195" s="126">
        <v>193</v>
      </c>
      <c r="S195" s="126"/>
    </row>
    <row r="196" spans="17:19" x14ac:dyDescent="0.25">
      <c r="Q196" s="126" t="s">
        <v>693</v>
      </c>
      <c r="R196" s="126">
        <v>194</v>
      </c>
      <c r="S196" s="126"/>
    </row>
    <row r="197" spans="17:19" x14ac:dyDescent="0.25">
      <c r="Q197" s="126" t="s">
        <v>694</v>
      </c>
      <c r="R197" s="126">
        <v>195</v>
      </c>
      <c r="S197" s="126"/>
    </row>
    <row r="198" spans="17:19" x14ac:dyDescent="0.25">
      <c r="Q198" s="126" t="s">
        <v>695</v>
      </c>
      <c r="R198" s="126">
        <v>196</v>
      </c>
      <c r="S198" s="126"/>
    </row>
    <row r="199" spans="17:19" x14ac:dyDescent="0.25">
      <c r="Q199" s="126" t="s">
        <v>696</v>
      </c>
      <c r="R199" s="126">
        <v>197</v>
      </c>
      <c r="S199" s="126"/>
    </row>
    <row r="200" spans="17:19" x14ac:dyDescent="0.25">
      <c r="Q200" s="126" t="s">
        <v>697</v>
      </c>
      <c r="R200" s="126">
        <v>198</v>
      </c>
      <c r="S200" s="126"/>
    </row>
    <row r="201" spans="17:19" x14ac:dyDescent="0.25">
      <c r="Q201" s="126" t="s">
        <v>698</v>
      </c>
      <c r="R201" s="126">
        <v>199</v>
      </c>
      <c r="S201" s="126"/>
    </row>
    <row r="202" spans="17:19" x14ac:dyDescent="0.25">
      <c r="Q202" s="126" t="s">
        <v>699</v>
      </c>
      <c r="R202" s="126">
        <v>200</v>
      </c>
      <c r="S202" s="126"/>
    </row>
    <row r="203" spans="17:19" x14ac:dyDescent="0.25">
      <c r="Q203" s="126" t="s">
        <v>767</v>
      </c>
      <c r="R203" s="126">
        <v>201</v>
      </c>
      <c r="S203" s="126"/>
    </row>
    <row r="204" spans="17:19" x14ac:dyDescent="0.25">
      <c r="Q204" s="126" t="s">
        <v>768</v>
      </c>
      <c r="R204" s="126">
        <v>202</v>
      </c>
      <c r="S204" s="126"/>
    </row>
    <row r="205" spans="17:19" x14ac:dyDescent="0.25">
      <c r="Q205" s="126" t="s">
        <v>769</v>
      </c>
      <c r="R205" s="126">
        <v>203</v>
      </c>
      <c r="S205" s="126"/>
    </row>
    <row r="206" spans="17:19" x14ac:dyDescent="0.25">
      <c r="Q206" s="126" t="s">
        <v>770</v>
      </c>
      <c r="R206" s="126">
        <v>204</v>
      </c>
      <c r="S206" s="126"/>
    </row>
    <row r="207" spans="17:19" x14ac:dyDescent="0.25">
      <c r="Q207" s="126" t="s">
        <v>771</v>
      </c>
      <c r="R207" s="126">
        <v>205</v>
      </c>
      <c r="S207" s="126"/>
    </row>
    <row r="208" spans="17:19" x14ac:dyDescent="0.25">
      <c r="Q208" s="126" t="s">
        <v>772</v>
      </c>
      <c r="R208" s="126">
        <v>206</v>
      </c>
      <c r="S208" s="126"/>
    </row>
    <row r="209" spans="17:19" x14ac:dyDescent="0.25">
      <c r="Q209" s="126" t="s">
        <v>773</v>
      </c>
      <c r="R209" s="126">
        <v>207</v>
      </c>
      <c r="S209" s="126"/>
    </row>
    <row r="210" spans="17:19" x14ac:dyDescent="0.25">
      <c r="Q210" s="126" t="s">
        <v>774</v>
      </c>
      <c r="R210" s="126">
        <v>208</v>
      </c>
      <c r="S210" s="126"/>
    </row>
    <row r="211" spans="17:19" x14ac:dyDescent="0.25">
      <c r="Q211" s="126" t="s">
        <v>775</v>
      </c>
      <c r="R211" s="126">
        <v>209</v>
      </c>
      <c r="S211" s="126"/>
    </row>
    <row r="212" spans="17:19" x14ac:dyDescent="0.25">
      <c r="Q212" s="126" t="s">
        <v>776</v>
      </c>
      <c r="R212" s="126">
        <v>210</v>
      </c>
      <c r="S212" s="126"/>
    </row>
    <row r="213" spans="17:19" x14ac:dyDescent="0.25">
      <c r="Q213" s="126" t="s">
        <v>777</v>
      </c>
      <c r="R213" s="126">
        <v>211</v>
      </c>
      <c r="S213" s="126"/>
    </row>
    <row r="214" spans="17:19" x14ac:dyDescent="0.25">
      <c r="Q214" s="126" t="s">
        <v>778</v>
      </c>
      <c r="R214" s="126">
        <v>212</v>
      </c>
      <c r="S214" s="126"/>
    </row>
    <row r="215" spans="17:19" x14ac:dyDescent="0.25">
      <c r="Q215" s="126" t="s">
        <v>779</v>
      </c>
      <c r="R215" s="126">
        <v>213</v>
      </c>
      <c r="S215" s="126"/>
    </row>
    <row r="216" spans="17:19" x14ac:dyDescent="0.25">
      <c r="Q216" s="126" t="s">
        <v>780</v>
      </c>
      <c r="R216" s="126">
        <v>214</v>
      </c>
      <c r="S216" s="126"/>
    </row>
    <row r="217" spans="17:19" x14ac:dyDescent="0.25">
      <c r="Q217" s="126" t="s">
        <v>781</v>
      </c>
      <c r="R217" s="126">
        <v>215</v>
      </c>
      <c r="S217" s="126"/>
    </row>
    <row r="218" spans="17:19" x14ac:dyDescent="0.25">
      <c r="Q218" s="126" t="s">
        <v>782</v>
      </c>
      <c r="R218" s="126">
        <v>216</v>
      </c>
      <c r="S218" s="126"/>
    </row>
    <row r="219" spans="17:19" x14ac:dyDescent="0.25">
      <c r="Q219" s="126" t="s">
        <v>783</v>
      </c>
      <c r="R219" s="126">
        <v>217</v>
      </c>
      <c r="S219" s="126"/>
    </row>
    <row r="220" spans="17:19" x14ac:dyDescent="0.25">
      <c r="Q220" s="126" t="s">
        <v>784</v>
      </c>
      <c r="R220" s="126">
        <v>218</v>
      </c>
      <c r="S220" s="126"/>
    </row>
    <row r="221" spans="17:19" x14ac:dyDescent="0.25">
      <c r="Q221" s="126" t="s">
        <v>785</v>
      </c>
      <c r="R221" s="126">
        <v>219</v>
      </c>
      <c r="S221" s="126"/>
    </row>
    <row r="222" spans="17:19" x14ac:dyDescent="0.25">
      <c r="Q222" s="126" t="s">
        <v>786</v>
      </c>
      <c r="R222" s="126">
        <v>220</v>
      </c>
      <c r="S222" s="126"/>
    </row>
    <row r="223" spans="17:19" x14ac:dyDescent="0.25">
      <c r="Q223" s="126" t="s">
        <v>787</v>
      </c>
      <c r="R223" s="126">
        <v>221</v>
      </c>
      <c r="S223" s="126"/>
    </row>
    <row r="224" spans="17:19" x14ac:dyDescent="0.25">
      <c r="Q224" s="126" t="s">
        <v>788</v>
      </c>
      <c r="R224" s="126">
        <v>222</v>
      </c>
      <c r="S224" s="126"/>
    </row>
    <row r="225" spans="17:19" x14ac:dyDescent="0.25">
      <c r="Q225" s="126" t="s">
        <v>789</v>
      </c>
      <c r="R225" s="126">
        <v>223</v>
      </c>
      <c r="S225" s="126"/>
    </row>
    <row r="226" spans="17:19" x14ac:dyDescent="0.25">
      <c r="Q226" s="126" t="s">
        <v>790</v>
      </c>
      <c r="R226" s="126">
        <v>224</v>
      </c>
      <c r="S226" s="126"/>
    </row>
    <row r="227" spans="17:19" x14ac:dyDescent="0.25">
      <c r="Q227" s="126" t="s">
        <v>791</v>
      </c>
      <c r="R227" s="126">
        <v>225</v>
      </c>
      <c r="S227" s="126"/>
    </row>
    <row r="228" spans="17:19" x14ac:dyDescent="0.25">
      <c r="Q228" s="126" t="s">
        <v>792</v>
      </c>
      <c r="R228" s="126">
        <v>226</v>
      </c>
      <c r="S228" s="126"/>
    </row>
    <row r="229" spans="17:19" x14ac:dyDescent="0.25">
      <c r="Q229" s="126" t="s">
        <v>793</v>
      </c>
      <c r="R229" s="126">
        <v>227</v>
      </c>
      <c r="S229" s="126"/>
    </row>
    <row r="230" spans="17:19" x14ac:dyDescent="0.25">
      <c r="Q230" s="126" t="s">
        <v>794</v>
      </c>
      <c r="R230" s="126">
        <v>228</v>
      </c>
      <c r="S230" s="126"/>
    </row>
    <row r="231" spans="17:19" x14ac:dyDescent="0.25">
      <c r="Q231" s="126" t="s">
        <v>795</v>
      </c>
      <c r="R231" s="126">
        <v>229</v>
      </c>
      <c r="S231" s="126"/>
    </row>
    <row r="232" spans="17:19" x14ac:dyDescent="0.25">
      <c r="Q232" s="126" t="s">
        <v>796</v>
      </c>
      <c r="R232" s="126">
        <v>230</v>
      </c>
      <c r="S232" s="126"/>
    </row>
    <row r="233" spans="17:19" x14ac:dyDescent="0.25">
      <c r="Q233" s="126" t="s">
        <v>797</v>
      </c>
      <c r="R233" s="126">
        <v>231</v>
      </c>
      <c r="S233" s="126"/>
    </row>
    <row r="234" spans="17:19" x14ac:dyDescent="0.25">
      <c r="Q234" s="126" t="s">
        <v>798</v>
      </c>
      <c r="R234" s="126">
        <v>232</v>
      </c>
      <c r="S234" s="126"/>
    </row>
    <row r="235" spans="17:19" x14ac:dyDescent="0.25">
      <c r="Q235" s="126" t="s">
        <v>799</v>
      </c>
      <c r="R235" s="126">
        <v>233</v>
      </c>
      <c r="S235" s="126"/>
    </row>
    <row r="236" spans="17:19" x14ac:dyDescent="0.25">
      <c r="Q236" s="126" t="s">
        <v>800</v>
      </c>
      <c r="R236" s="126">
        <v>234</v>
      </c>
      <c r="S236" s="126"/>
    </row>
    <row r="237" spans="17:19" x14ac:dyDescent="0.25">
      <c r="Q237" s="126" t="s">
        <v>801</v>
      </c>
      <c r="R237" s="126">
        <v>235</v>
      </c>
      <c r="S237" s="126"/>
    </row>
    <row r="238" spans="17:19" x14ac:dyDescent="0.25">
      <c r="Q238" s="126" t="s">
        <v>802</v>
      </c>
      <c r="R238" s="126">
        <v>236</v>
      </c>
      <c r="S238" s="126"/>
    </row>
    <row r="239" spans="17:19" x14ac:dyDescent="0.25">
      <c r="Q239" s="126" t="s">
        <v>803</v>
      </c>
      <c r="R239" s="126">
        <v>237</v>
      </c>
      <c r="S239" s="126"/>
    </row>
    <row r="240" spans="17:19" x14ac:dyDescent="0.25">
      <c r="Q240" s="126" t="s">
        <v>804</v>
      </c>
      <c r="R240" s="126">
        <v>238</v>
      </c>
      <c r="S240" s="126"/>
    </row>
    <row r="241" spans="17:19" x14ac:dyDescent="0.25">
      <c r="Q241" s="126" t="s">
        <v>805</v>
      </c>
      <c r="R241" s="126">
        <v>239</v>
      </c>
      <c r="S241" s="126"/>
    </row>
    <row r="242" spans="17:19" x14ac:dyDescent="0.25">
      <c r="Q242" s="126" t="s">
        <v>806</v>
      </c>
      <c r="R242" s="126">
        <v>240</v>
      </c>
      <c r="S242" s="126"/>
    </row>
    <row r="243" spans="17:19" x14ac:dyDescent="0.25">
      <c r="Q243" s="126" t="s">
        <v>807</v>
      </c>
      <c r="R243" s="126">
        <v>241</v>
      </c>
      <c r="S243" s="126"/>
    </row>
    <row r="244" spans="17:19" x14ac:dyDescent="0.25">
      <c r="Q244" s="126" t="s">
        <v>808</v>
      </c>
      <c r="R244" s="126">
        <v>242</v>
      </c>
      <c r="S244" s="126"/>
    </row>
    <row r="245" spans="17:19" x14ac:dyDescent="0.25">
      <c r="Q245" s="126" t="s">
        <v>809</v>
      </c>
      <c r="R245" s="126">
        <v>243</v>
      </c>
      <c r="S245" s="126"/>
    </row>
    <row r="246" spans="17:19" x14ac:dyDescent="0.25">
      <c r="Q246" s="126" t="s">
        <v>810</v>
      </c>
      <c r="R246" s="126">
        <v>244</v>
      </c>
      <c r="S246" s="126"/>
    </row>
    <row r="247" spans="17:19" x14ac:dyDescent="0.25">
      <c r="Q247" s="126" t="s">
        <v>811</v>
      </c>
      <c r="R247" s="126">
        <v>245</v>
      </c>
      <c r="S247" s="126"/>
    </row>
    <row r="248" spans="17:19" x14ac:dyDescent="0.25">
      <c r="Q248" s="126" t="s">
        <v>812</v>
      </c>
      <c r="R248" s="126">
        <v>246</v>
      </c>
      <c r="S248" s="126"/>
    </row>
    <row r="249" spans="17:19" x14ac:dyDescent="0.25">
      <c r="Q249" s="126" t="s">
        <v>813</v>
      </c>
      <c r="R249" s="126">
        <v>247</v>
      </c>
      <c r="S249" s="126"/>
    </row>
    <row r="250" spans="17:19" x14ac:dyDescent="0.25">
      <c r="Q250" s="126" t="s">
        <v>814</v>
      </c>
      <c r="R250" s="126">
        <v>248</v>
      </c>
      <c r="S250" s="126"/>
    </row>
    <row r="251" spans="17:19" x14ac:dyDescent="0.25">
      <c r="Q251" s="126" t="s">
        <v>815</v>
      </c>
      <c r="R251" s="126">
        <v>249</v>
      </c>
      <c r="S251" s="126"/>
    </row>
    <row r="252" spans="17:19" x14ac:dyDescent="0.25">
      <c r="Q252" s="126" t="s">
        <v>816</v>
      </c>
      <c r="R252" s="126">
        <v>250</v>
      </c>
      <c r="S252" s="126"/>
    </row>
    <row r="253" spans="17:19" x14ac:dyDescent="0.25">
      <c r="Q253" s="126" t="s">
        <v>817</v>
      </c>
      <c r="R253" s="126">
        <v>251</v>
      </c>
      <c r="S253" s="126"/>
    </row>
    <row r="254" spans="17:19" x14ac:dyDescent="0.25">
      <c r="Q254" s="126" t="s">
        <v>818</v>
      </c>
      <c r="R254" s="126">
        <v>252</v>
      </c>
      <c r="S254" s="126"/>
    </row>
    <row r="255" spans="17:19" x14ac:dyDescent="0.25">
      <c r="Q255" s="126" t="s">
        <v>819</v>
      </c>
      <c r="R255" s="126">
        <v>253</v>
      </c>
      <c r="S255" s="126"/>
    </row>
    <row r="256" spans="17:19" x14ac:dyDescent="0.25">
      <c r="Q256" s="126" t="s">
        <v>820</v>
      </c>
      <c r="R256" s="126">
        <v>254</v>
      </c>
      <c r="S256" s="126"/>
    </row>
    <row r="257" spans="17:19" x14ac:dyDescent="0.25">
      <c r="Q257" s="126" t="s">
        <v>821</v>
      </c>
      <c r="R257" s="126">
        <v>255</v>
      </c>
      <c r="S257" s="126"/>
    </row>
    <row r="258" spans="17:19" x14ac:dyDescent="0.25">
      <c r="Q258" s="126" t="s">
        <v>822</v>
      </c>
      <c r="R258" s="126">
        <v>256</v>
      </c>
      <c r="S258" s="126"/>
    </row>
    <row r="259" spans="17:19" x14ac:dyDescent="0.25">
      <c r="Q259" s="126" t="s">
        <v>823</v>
      </c>
      <c r="R259" s="126">
        <v>257</v>
      </c>
      <c r="S259" s="126"/>
    </row>
    <row r="260" spans="17:19" x14ac:dyDescent="0.25">
      <c r="Q260" s="126" t="s">
        <v>824</v>
      </c>
      <c r="R260" s="126">
        <v>258</v>
      </c>
      <c r="S260" s="126"/>
    </row>
    <row r="261" spans="17:19" x14ac:dyDescent="0.25">
      <c r="Q261" s="126" t="s">
        <v>825</v>
      </c>
      <c r="R261" s="126">
        <v>259</v>
      </c>
      <c r="S261" s="126"/>
    </row>
    <row r="262" spans="17:19" x14ac:dyDescent="0.25">
      <c r="Q262" s="126" t="s">
        <v>826</v>
      </c>
      <c r="R262" s="126">
        <v>260</v>
      </c>
      <c r="S262" s="126"/>
    </row>
    <row r="263" spans="17:19" x14ac:dyDescent="0.25">
      <c r="Q263" s="126" t="s">
        <v>827</v>
      </c>
      <c r="R263" s="126">
        <v>261</v>
      </c>
      <c r="S263" s="126"/>
    </row>
    <row r="264" spans="17:19" x14ac:dyDescent="0.25">
      <c r="Q264" s="126" t="s">
        <v>828</v>
      </c>
      <c r="R264" s="126">
        <v>262</v>
      </c>
      <c r="S264" s="126"/>
    </row>
    <row r="265" spans="17:19" x14ac:dyDescent="0.25">
      <c r="Q265" s="126" t="s">
        <v>829</v>
      </c>
      <c r="R265" s="126">
        <v>263</v>
      </c>
      <c r="S265" s="126"/>
    </row>
    <row r="266" spans="17:19" x14ac:dyDescent="0.25">
      <c r="Q266" s="126" t="s">
        <v>830</v>
      </c>
      <c r="R266" s="126">
        <v>264</v>
      </c>
      <c r="S266" s="126"/>
    </row>
    <row r="267" spans="17:19" x14ac:dyDescent="0.25">
      <c r="Q267" s="126" t="s">
        <v>831</v>
      </c>
      <c r="R267" s="126">
        <v>265</v>
      </c>
      <c r="S267" s="126"/>
    </row>
    <row r="268" spans="17:19" x14ac:dyDescent="0.25">
      <c r="Q268" s="126" t="s">
        <v>832</v>
      </c>
      <c r="R268" s="126">
        <v>266</v>
      </c>
      <c r="S268" s="126"/>
    </row>
    <row r="269" spans="17:19" x14ac:dyDescent="0.25">
      <c r="Q269" s="126" t="s">
        <v>833</v>
      </c>
      <c r="R269" s="126">
        <v>267</v>
      </c>
      <c r="S269" s="126"/>
    </row>
    <row r="270" spans="17:19" x14ac:dyDescent="0.25">
      <c r="Q270" s="126" t="s">
        <v>834</v>
      </c>
      <c r="R270" s="126">
        <v>268</v>
      </c>
      <c r="S270" s="126"/>
    </row>
    <row r="271" spans="17:19" x14ac:dyDescent="0.25">
      <c r="Q271" s="126" t="s">
        <v>835</v>
      </c>
      <c r="R271" s="126">
        <v>269</v>
      </c>
      <c r="S271" s="126"/>
    </row>
    <row r="272" spans="17:19" x14ac:dyDescent="0.25">
      <c r="Q272" s="126" t="s">
        <v>836</v>
      </c>
      <c r="R272" s="126">
        <v>270</v>
      </c>
      <c r="S272" s="126"/>
    </row>
    <row r="273" spans="17:19" x14ac:dyDescent="0.25">
      <c r="Q273" s="126" t="s">
        <v>837</v>
      </c>
      <c r="R273" s="126">
        <v>271</v>
      </c>
      <c r="S273" s="126"/>
    </row>
    <row r="274" spans="17:19" x14ac:dyDescent="0.25">
      <c r="Q274" s="126" t="s">
        <v>838</v>
      </c>
      <c r="R274" s="126">
        <v>272</v>
      </c>
      <c r="S274" s="126"/>
    </row>
    <row r="275" spans="17:19" x14ac:dyDescent="0.25">
      <c r="Q275" s="126" t="s">
        <v>839</v>
      </c>
      <c r="R275" s="126">
        <v>273</v>
      </c>
      <c r="S275" s="126"/>
    </row>
    <row r="276" spans="17:19" x14ac:dyDescent="0.25">
      <c r="Q276" s="126" t="s">
        <v>840</v>
      </c>
      <c r="R276" s="126">
        <v>274</v>
      </c>
      <c r="S276" s="126"/>
    </row>
    <row r="277" spans="17:19" x14ac:dyDescent="0.25">
      <c r="Q277" s="126" t="s">
        <v>841</v>
      </c>
      <c r="R277" s="126">
        <v>275</v>
      </c>
      <c r="S277" s="126"/>
    </row>
    <row r="278" spans="17:19" x14ac:dyDescent="0.25">
      <c r="Q278" s="126" t="s">
        <v>842</v>
      </c>
      <c r="R278" s="126">
        <v>276</v>
      </c>
      <c r="S278" s="126"/>
    </row>
    <row r="279" spans="17:19" x14ac:dyDescent="0.25">
      <c r="Q279" s="126" t="s">
        <v>843</v>
      </c>
      <c r="R279" s="126">
        <v>277</v>
      </c>
      <c r="S279" s="126"/>
    </row>
    <row r="280" spans="17:19" x14ac:dyDescent="0.25">
      <c r="Q280" s="126" t="s">
        <v>844</v>
      </c>
      <c r="R280" s="126">
        <v>278</v>
      </c>
      <c r="S280" s="126"/>
    </row>
    <row r="281" spans="17:19" x14ac:dyDescent="0.25">
      <c r="Q281" s="126" t="s">
        <v>845</v>
      </c>
      <c r="R281" s="126">
        <v>279</v>
      </c>
      <c r="S281" s="126"/>
    </row>
    <row r="282" spans="17:19" x14ac:dyDescent="0.25">
      <c r="Q282" s="126" t="s">
        <v>846</v>
      </c>
      <c r="R282" s="126">
        <v>280</v>
      </c>
      <c r="S282" s="126"/>
    </row>
    <row r="283" spans="17:19" x14ac:dyDescent="0.25">
      <c r="Q283" s="126" t="s">
        <v>847</v>
      </c>
      <c r="R283" s="126">
        <v>281</v>
      </c>
      <c r="S283" s="126"/>
    </row>
    <row r="284" spans="17:19" x14ac:dyDescent="0.25">
      <c r="Q284" s="126" t="s">
        <v>848</v>
      </c>
      <c r="R284" s="126">
        <v>282</v>
      </c>
      <c r="S284" s="126"/>
    </row>
    <row r="285" spans="17:19" x14ac:dyDescent="0.25">
      <c r="Q285" s="126" t="s">
        <v>849</v>
      </c>
      <c r="R285" s="126">
        <v>283</v>
      </c>
      <c r="S285" s="126"/>
    </row>
    <row r="286" spans="17:19" x14ac:dyDescent="0.25">
      <c r="Q286" s="126" t="s">
        <v>850</v>
      </c>
      <c r="R286" s="126">
        <v>284</v>
      </c>
      <c r="S286" s="126"/>
    </row>
    <row r="287" spans="17:19" x14ac:dyDescent="0.25">
      <c r="Q287" s="126" t="s">
        <v>851</v>
      </c>
      <c r="R287" s="126">
        <v>285</v>
      </c>
      <c r="S287" s="126"/>
    </row>
    <row r="288" spans="17:19" x14ac:dyDescent="0.25">
      <c r="Q288" s="126" t="s">
        <v>852</v>
      </c>
      <c r="R288" s="126">
        <v>286</v>
      </c>
      <c r="S288" s="126"/>
    </row>
    <row r="289" spans="17:19" x14ac:dyDescent="0.25">
      <c r="Q289" s="126" t="s">
        <v>853</v>
      </c>
      <c r="R289" s="126">
        <v>287</v>
      </c>
      <c r="S289" s="126"/>
    </row>
    <row r="290" spans="17:19" x14ac:dyDescent="0.25">
      <c r="Q290" s="126" t="s">
        <v>854</v>
      </c>
      <c r="R290" s="126">
        <v>288</v>
      </c>
      <c r="S290" s="126"/>
    </row>
    <row r="291" spans="17:19" x14ac:dyDescent="0.25">
      <c r="Q291" s="126" t="s">
        <v>855</v>
      </c>
      <c r="R291" s="126">
        <v>289</v>
      </c>
      <c r="S291" s="126"/>
    </row>
    <row r="292" spans="17:19" x14ac:dyDescent="0.25">
      <c r="Q292" s="126" t="s">
        <v>856</v>
      </c>
      <c r="R292" s="126">
        <v>290</v>
      </c>
      <c r="S292" s="126"/>
    </row>
    <row r="293" spans="17:19" x14ac:dyDescent="0.25">
      <c r="Q293" s="126" t="s">
        <v>857</v>
      </c>
      <c r="R293" s="126">
        <v>291</v>
      </c>
      <c r="S293" s="126"/>
    </row>
    <row r="294" spans="17:19" x14ac:dyDescent="0.25">
      <c r="Q294" s="126" t="s">
        <v>858</v>
      </c>
      <c r="R294" s="126">
        <v>292</v>
      </c>
      <c r="S294" s="126"/>
    </row>
    <row r="295" spans="17:19" x14ac:dyDescent="0.25">
      <c r="Q295" s="126" t="s">
        <v>859</v>
      </c>
      <c r="R295" s="126">
        <v>293</v>
      </c>
      <c r="S295" s="126"/>
    </row>
    <row r="296" spans="17:19" x14ac:dyDescent="0.25">
      <c r="Q296" s="126" t="s">
        <v>860</v>
      </c>
      <c r="R296" s="126">
        <v>294</v>
      </c>
      <c r="S296" s="126"/>
    </row>
    <row r="297" spans="17:19" x14ac:dyDescent="0.25">
      <c r="Q297" s="126" t="s">
        <v>861</v>
      </c>
      <c r="R297" s="126">
        <v>295</v>
      </c>
      <c r="S297" s="126"/>
    </row>
    <row r="298" spans="17:19" x14ac:dyDescent="0.25">
      <c r="Q298" s="126" t="s">
        <v>862</v>
      </c>
      <c r="R298" s="126">
        <v>296</v>
      </c>
      <c r="S298" s="126"/>
    </row>
    <row r="299" spans="17:19" x14ac:dyDescent="0.25">
      <c r="Q299" s="126" t="s">
        <v>863</v>
      </c>
      <c r="R299" s="126">
        <v>297</v>
      </c>
      <c r="S299" s="126"/>
    </row>
    <row r="300" spans="17:19" x14ac:dyDescent="0.25">
      <c r="Q300" s="126" t="s">
        <v>864</v>
      </c>
      <c r="R300" s="126">
        <v>298</v>
      </c>
      <c r="S300" s="126"/>
    </row>
    <row r="301" spans="17:19" x14ac:dyDescent="0.25">
      <c r="Q301" s="126" t="s">
        <v>865</v>
      </c>
      <c r="R301" s="126">
        <v>299</v>
      </c>
      <c r="S301" s="126"/>
    </row>
    <row r="302" spans="17:19" x14ac:dyDescent="0.25">
      <c r="Q302" s="126" t="s">
        <v>866</v>
      </c>
      <c r="R302" s="126">
        <v>300</v>
      </c>
      <c r="S302" s="126"/>
    </row>
    <row r="303" spans="17:19" x14ac:dyDescent="0.25">
      <c r="Q303" s="126" t="s">
        <v>867</v>
      </c>
      <c r="R303" s="126">
        <v>301</v>
      </c>
      <c r="S303" s="126"/>
    </row>
    <row r="304" spans="17:19" x14ac:dyDescent="0.25">
      <c r="Q304" s="126" t="s">
        <v>868</v>
      </c>
      <c r="R304" s="126">
        <v>302</v>
      </c>
      <c r="S304" s="126"/>
    </row>
    <row r="305" spans="17:19" x14ac:dyDescent="0.25">
      <c r="Q305" s="126" t="s">
        <v>869</v>
      </c>
      <c r="R305" s="126">
        <v>303</v>
      </c>
      <c r="S305" s="126"/>
    </row>
    <row r="306" spans="17:19" x14ac:dyDescent="0.25">
      <c r="Q306" s="126" t="s">
        <v>870</v>
      </c>
      <c r="R306" s="126">
        <v>304</v>
      </c>
      <c r="S306" s="126"/>
    </row>
    <row r="307" spans="17:19" x14ac:dyDescent="0.25">
      <c r="Q307" s="126" t="s">
        <v>871</v>
      </c>
      <c r="R307" s="126">
        <v>305</v>
      </c>
      <c r="S307" s="126"/>
    </row>
    <row r="308" spans="17:19" x14ac:dyDescent="0.25">
      <c r="Q308" s="126" t="s">
        <v>872</v>
      </c>
      <c r="R308" s="126">
        <v>306</v>
      </c>
      <c r="S308" s="126"/>
    </row>
    <row r="309" spans="17:19" x14ac:dyDescent="0.25">
      <c r="Q309" s="126" t="s">
        <v>873</v>
      </c>
      <c r="R309" s="126">
        <v>307</v>
      </c>
      <c r="S309" s="126"/>
    </row>
    <row r="310" spans="17:19" x14ac:dyDescent="0.25">
      <c r="Q310" s="126" t="s">
        <v>874</v>
      </c>
      <c r="R310" s="126">
        <v>308</v>
      </c>
      <c r="S310" s="126"/>
    </row>
    <row r="311" spans="17:19" x14ac:dyDescent="0.25">
      <c r="Q311" s="126" t="s">
        <v>875</v>
      </c>
      <c r="R311" s="126">
        <v>309</v>
      </c>
      <c r="S311" s="126"/>
    </row>
    <row r="312" spans="17:19" x14ac:dyDescent="0.25">
      <c r="Q312" s="126" t="s">
        <v>876</v>
      </c>
      <c r="R312" s="126">
        <v>310</v>
      </c>
      <c r="S312" s="126"/>
    </row>
    <row r="313" spans="17:19" x14ac:dyDescent="0.25">
      <c r="Q313" s="126" t="s">
        <v>877</v>
      </c>
      <c r="R313" s="126">
        <v>311</v>
      </c>
      <c r="S313" s="126"/>
    </row>
    <row r="314" spans="17:19" x14ac:dyDescent="0.25">
      <c r="Q314" s="126" t="s">
        <v>878</v>
      </c>
      <c r="R314" s="126">
        <v>312</v>
      </c>
      <c r="S314" s="126"/>
    </row>
    <row r="315" spans="17:19" x14ac:dyDescent="0.25">
      <c r="Q315" s="126" t="s">
        <v>879</v>
      </c>
      <c r="R315" s="126">
        <v>313</v>
      </c>
      <c r="S315" s="126"/>
    </row>
    <row r="316" spans="17:19" x14ac:dyDescent="0.25">
      <c r="Q316" s="126" t="s">
        <v>880</v>
      </c>
      <c r="R316" s="126">
        <v>314</v>
      </c>
      <c r="S316" s="126"/>
    </row>
    <row r="317" spans="17:19" x14ac:dyDescent="0.25">
      <c r="Q317" s="126" t="s">
        <v>881</v>
      </c>
      <c r="R317" s="126">
        <v>315</v>
      </c>
      <c r="S317" s="126"/>
    </row>
    <row r="318" spans="17:19" x14ac:dyDescent="0.25">
      <c r="Q318" s="126" t="s">
        <v>882</v>
      </c>
      <c r="R318" s="126">
        <v>316</v>
      </c>
      <c r="S318" s="126"/>
    </row>
    <row r="319" spans="17:19" x14ac:dyDescent="0.25">
      <c r="Q319" s="126" t="s">
        <v>883</v>
      </c>
      <c r="R319" s="126">
        <v>317</v>
      </c>
      <c r="S319" s="126"/>
    </row>
    <row r="320" spans="17:19" x14ac:dyDescent="0.25">
      <c r="Q320" s="126" t="s">
        <v>884</v>
      </c>
      <c r="R320" s="126">
        <v>318</v>
      </c>
      <c r="S320" s="126"/>
    </row>
    <row r="321" spans="17:19" x14ac:dyDescent="0.25">
      <c r="Q321" s="126" t="s">
        <v>885</v>
      </c>
      <c r="R321" s="126">
        <v>319</v>
      </c>
      <c r="S321" s="126"/>
    </row>
    <row r="322" spans="17:19" x14ac:dyDescent="0.25">
      <c r="Q322" s="126" t="s">
        <v>886</v>
      </c>
      <c r="R322" s="126">
        <v>320</v>
      </c>
      <c r="S322" s="126"/>
    </row>
    <row r="323" spans="17:19" x14ac:dyDescent="0.25">
      <c r="Q323" s="126" t="s">
        <v>887</v>
      </c>
      <c r="R323" s="126">
        <v>321</v>
      </c>
      <c r="S323" s="126"/>
    </row>
    <row r="324" spans="17:19" x14ac:dyDescent="0.25">
      <c r="Q324" s="126" t="s">
        <v>888</v>
      </c>
      <c r="R324" s="126">
        <v>322</v>
      </c>
      <c r="S324" s="126"/>
    </row>
    <row r="325" spans="17:19" x14ac:dyDescent="0.25">
      <c r="Q325" s="126" t="s">
        <v>889</v>
      </c>
      <c r="R325" s="126">
        <v>323</v>
      </c>
      <c r="S325" s="126"/>
    </row>
    <row r="326" spans="17:19" x14ac:dyDescent="0.25">
      <c r="Q326" s="126" t="s">
        <v>890</v>
      </c>
      <c r="R326" s="126">
        <v>324</v>
      </c>
      <c r="S326" s="126"/>
    </row>
    <row r="327" spans="17:19" x14ac:dyDescent="0.25">
      <c r="Q327" s="126" t="s">
        <v>891</v>
      </c>
      <c r="R327" s="126">
        <v>325</v>
      </c>
      <c r="S327" s="126"/>
    </row>
    <row r="328" spans="17:19" x14ac:dyDescent="0.25">
      <c r="Q328" s="126" t="s">
        <v>892</v>
      </c>
      <c r="R328" s="126">
        <v>326</v>
      </c>
      <c r="S328" s="126"/>
    </row>
    <row r="329" spans="17:19" x14ac:dyDescent="0.25">
      <c r="Q329" s="126" t="s">
        <v>893</v>
      </c>
      <c r="R329" s="126">
        <v>327</v>
      </c>
      <c r="S329" s="126"/>
    </row>
    <row r="330" spans="17:19" x14ac:dyDescent="0.25">
      <c r="Q330" s="126" t="s">
        <v>894</v>
      </c>
      <c r="R330" s="126">
        <v>328</v>
      </c>
      <c r="S330" s="126"/>
    </row>
    <row r="331" spans="17:19" x14ac:dyDescent="0.25">
      <c r="Q331" s="126" t="s">
        <v>895</v>
      </c>
      <c r="R331" s="126">
        <v>329</v>
      </c>
      <c r="S331" s="126"/>
    </row>
    <row r="332" spans="17:19" x14ac:dyDescent="0.25">
      <c r="Q332" s="126" t="s">
        <v>896</v>
      </c>
      <c r="R332" s="126">
        <v>330</v>
      </c>
      <c r="S332" s="126"/>
    </row>
    <row r="333" spans="17:19" x14ac:dyDescent="0.25">
      <c r="Q333" s="126" t="s">
        <v>897</v>
      </c>
      <c r="R333" s="126">
        <v>331</v>
      </c>
      <c r="S333" s="126"/>
    </row>
    <row r="334" spans="17:19" x14ac:dyDescent="0.25">
      <c r="Q334" s="126" t="s">
        <v>898</v>
      </c>
      <c r="R334" s="126">
        <v>332</v>
      </c>
      <c r="S334" s="126"/>
    </row>
    <row r="335" spans="17:19" x14ac:dyDescent="0.25">
      <c r="Q335" s="126" t="s">
        <v>899</v>
      </c>
      <c r="R335" s="126">
        <v>333</v>
      </c>
      <c r="S335" s="126"/>
    </row>
    <row r="336" spans="17:19" x14ac:dyDescent="0.25">
      <c r="Q336" s="126" t="s">
        <v>900</v>
      </c>
      <c r="R336" s="126">
        <v>334</v>
      </c>
      <c r="S336" s="126"/>
    </row>
    <row r="337" spans="17:19" x14ac:dyDescent="0.25">
      <c r="Q337" s="126" t="s">
        <v>901</v>
      </c>
      <c r="R337" s="126">
        <v>335</v>
      </c>
      <c r="S337" s="126"/>
    </row>
    <row r="338" spans="17:19" x14ac:dyDescent="0.25">
      <c r="Q338" s="126" t="s">
        <v>902</v>
      </c>
      <c r="R338" s="126">
        <v>336</v>
      </c>
      <c r="S338" s="126"/>
    </row>
    <row r="339" spans="17:19" x14ac:dyDescent="0.25">
      <c r="Q339" s="126" t="s">
        <v>903</v>
      </c>
      <c r="R339" s="126">
        <v>337</v>
      </c>
      <c r="S339" s="126"/>
    </row>
    <row r="340" spans="17:19" x14ac:dyDescent="0.25">
      <c r="Q340" s="126" t="s">
        <v>904</v>
      </c>
      <c r="R340" s="126">
        <v>338</v>
      </c>
      <c r="S340" s="126"/>
    </row>
    <row r="341" spans="17:19" x14ac:dyDescent="0.25">
      <c r="Q341" s="126" t="s">
        <v>905</v>
      </c>
      <c r="R341" s="126">
        <v>339</v>
      </c>
      <c r="S341" s="126"/>
    </row>
    <row r="342" spans="17:19" x14ac:dyDescent="0.25">
      <c r="Q342" s="126" t="s">
        <v>906</v>
      </c>
      <c r="R342" s="126">
        <v>340</v>
      </c>
      <c r="S342" s="126"/>
    </row>
    <row r="343" spans="17:19" x14ac:dyDescent="0.25">
      <c r="Q343" s="126" t="s">
        <v>907</v>
      </c>
      <c r="R343" s="126">
        <v>341</v>
      </c>
      <c r="S343" s="126"/>
    </row>
    <row r="344" spans="17:19" x14ac:dyDescent="0.25">
      <c r="Q344" s="126" t="s">
        <v>908</v>
      </c>
      <c r="R344" s="126">
        <v>342</v>
      </c>
      <c r="S344" s="126"/>
    </row>
    <row r="345" spans="17:19" x14ac:dyDescent="0.25">
      <c r="Q345" s="126" t="s">
        <v>909</v>
      </c>
      <c r="R345" s="126">
        <v>343</v>
      </c>
      <c r="S345" s="126"/>
    </row>
    <row r="346" spans="17:19" x14ac:dyDescent="0.25">
      <c r="Q346" s="126" t="s">
        <v>910</v>
      </c>
      <c r="R346" s="126">
        <v>344</v>
      </c>
      <c r="S346" s="126"/>
    </row>
    <row r="347" spans="17:19" x14ac:dyDescent="0.25">
      <c r="Q347" s="126" t="s">
        <v>911</v>
      </c>
      <c r="R347" s="126">
        <v>345</v>
      </c>
      <c r="S347" s="126"/>
    </row>
    <row r="348" spans="17:19" x14ac:dyDescent="0.25">
      <c r="Q348" s="126" t="s">
        <v>912</v>
      </c>
      <c r="R348" s="126">
        <v>346</v>
      </c>
      <c r="S348" s="126"/>
    </row>
    <row r="349" spans="17:19" x14ac:dyDescent="0.25">
      <c r="Q349" s="126" t="s">
        <v>913</v>
      </c>
      <c r="R349" s="126">
        <v>347</v>
      </c>
      <c r="S349" s="126"/>
    </row>
    <row r="350" spans="17:19" x14ac:dyDescent="0.25">
      <c r="Q350" s="126" t="s">
        <v>914</v>
      </c>
      <c r="R350" s="126">
        <v>348</v>
      </c>
      <c r="S350" s="126"/>
    </row>
    <row r="351" spans="17:19" x14ac:dyDescent="0.25">
      <c r="Q351" s="126" t="s">
        <v>915</v>
      </c>
      <c r="R351" s="126">
        <v>349</v>
      </c>
      <c r="S351" s="126"/>
    </row>
    <row r="352" spans="17:19" x14ac:dyDescent="0.25">
      <c r="Q352" s="126" t="s">
        <v>916</v>
      </c>
      <c r="R352" s="126">
        <v>350</v>
      </c>
      <c r="S352" s="126"/>
    </row>
    <row r="353" spans="17:19" x14ac:dyDescent="0.25">
      <c r="Q353" s="126" t="s">
        <v>917</v>
      </c>
      <c r="R353" s="126">
        <v>351</v>
      </c>
      <c r="S353" s="126"/>
    </row>
    <row r="354" spans="17:19" x14ac:dyDescent="0.25">
      <c r="Q354" s="126" t="s">
        <v>918</v>
      </c>
      <c r="R354" s="126">
        <v>352</v>
      </c>
      <c r="S354" s="126"/>
    </row>
    <row r="355" spans="17:19" x14ac:dyDescent="0.25">
      <c r="Q355" s="126" t="s">
        <v>919</v>
      </c>
      <c r="R355" s="126">
        <v>353</v>
      </c>
      <c r="S355" s="126"/>
    </row>
    <row r="356" spans="17:19" x14ac:dyDescent="0.25">
      <c r="Q356" s="126" t="s">
        <v>920</v>
      </c>
      <c r="R356" s="126">
        <v>354</v>
      </c>
      <c r="S356" s="126"/>
    </row>
    <row r="357" spans="17:19" x14ac:dyDescent="0.25">
      <c r="Q357" s="126" t="s">
        <v>921</v>
      </c>
      <c r="R357" s="126">
        <v>355</v>
      </c>
      <c r="S357" s="126"/>
    </row>
    <row r="358" spans="17:19" x14ac:dyDescent="0.25">
      <c r="Q358" s="126" t="s">
        <v>922</v>
      </c>
      <c r="R358" s="126">
        <v>356</v>
      </c>
      <c r="S358" s="126"/>
    </row>
    <row r="359" spans="17:19" x14ac:dyDescent="0.25">
      <c r="Q359" s="126" t="s">
        <v>923</v>
      </c>
      <c r="R359" s="126">
        <v>357</v>
      </c>
      <c r="S359" s="126"/>
    </row>
    <row r="360" spans="17:19" x14ac:dyDescent="0.25">
      <c r="Q360" s="126" t="s">
        <v>924</v>
      </c>
      <c r="R360" s="126">
        <v>358</v>
      </c>
      <c r="S360" s="126"/>
    </row>
    <row r="361" spans="17:19" x14ac:dyDescent="0.25">
      <c r="Q361" s="126" t="s">
        <v>925</v>
      </c>
      <c r="R361" s="126">
        <v>359</v>
      </c>
      <c r="S361" s="126"/>
    </row>
    <row r="362" spans="17:19" x14ac:dyDescent="0.25">
      <c r="Q362" s="126" t="s">
        <v>926</v>
      </c>
      <c r="R362" s="126">
        <v>360</v>
      </c>
      <c r="S362" s="126"/>
    </row>
    <row r="363" spans="17:19" x14ac:dyDescent="0.25">
      <c r="Q363" s="126" t="s">
        <v>927</v>
      </c>
      <c r="R363" s="126">
        <v>361</v>
      </c>
      <c r="S363" s="126"/>
    </row>
    <row r="364" spans="17:19" x14ac:dyDescent="0.25">
      <c r="Q364" s="126" t="s">
        <v>928</v>
      </c>
      <c r="R364" s="126">
        <v>362</v>
      </c>
      <c r="S364" s="126"/>
    </row>
    <row r="365" spans="17:19" x14ac:dyDescent="0.25">
      <c r="Q365" s="126" t="s">
        <v>700</v>
      </c>
      <c r="R365" s="126">
        <v>363</v>
      </c>
      <c r="S365" s="126"/>
    </row>
    <row r="366" spans="17:19" x14ac:dyDescent="0.25">
      <c r="Q366" s="126" t="s">
        <v>701</v>
      </c>
      <c r="R366" s="126">
        <v>364</v>
      </c>
      <c r="S366" s="126"/>
    </row>
    <row r="367" spans="17:19" x14ac:dyDescent="0.25">
      <c r="Q367" s="126" t="s">
        <v>702</v>
      </c>
      <c r="R367" s="126">
        <v>365</v>
      </c>
      <c r="S367" s="126"/>
    </row>
    <row r="368" spans="17:19" x14ac:dyDescent="0.25">
      <c r="Q368" s="126" t="s">
        <v>703</v>
      </c>
      <c r="R368" s="126">
        <v>366</v>
      </c>
      <c r="S368" s="126"/>
    </row>
    <row r="369" spans="17:19" x14ac:dyDescent="0.25">
      <c r="Q369" s="126" t="s">
        <v>704</v>
      </c>
      <c r="R369" s="126">
        <v>367</v>
      </c>
      <c r="S369" s="126"/>
    </row>
    <row r="370" spans="17:19" x14ac:dyDescent="0.25">
      <c r="Q370" s="126" t="s">
        <v>705</v>
      </c>
      <c r="R370" s="126">
        <v>368</v>
      </c>
      <c r="S370" s="126"/>
    </row>
    <row r="371" spans="17:19" x14ac:dyDescent="0.25">
      <c r="Q371" s="126" t="s">
        <v>706</v>
      </c>
      <c r="R371" s="126">
        <v>369</v>
      </c>
      <c r="S371" s="126"/>
    </row>
    <row r="372" spans="17:19" x14ac:dyDescent="0.25">
      <c r="Q372" s="126" t="s">
        <v>707</v>
      </c>
      <c r="R372" s="126">
        <v>370</v>
      </c>
      <c r="S372" s="126"/>
    </row>
    <row r="373" spans="17:19" x14ac:dyDescent="0.25">
      <c r="Q373" s="126" t="s">
        <v>708</v>
      </c>
      <c r="R373" s="126">
        <v>371</v>
      </c>
      <c r="S373" s="126"/>
    </row>
    <row r="374" spans="17:19" x14ac:dyDescent="0.25">
      <c r="Q374" s="126" t="s">
        <v>709</v>
      </c>
      <c r="R374" s="126">
        <v>372</v>
      </c>
      <c r="S374" s="126"/>
    </row>
    <row r="375" spans="17:19" x14ac:dyDescent="0.25">
      <c r="Q375" s="126" t="s">
        <v>710</v>
      </c>
      <c r="R375" s="126">
        <v>373</v>
      </c>
      <c r="S375" s="126"/>
    </row>
    <row r="376" spans="17:19" x14ac:dyDescent="0.25">
      <c r="Q376" s="126" t="s">
        <v>711</v>
      </c>
      <c r="R376" s="126">
        <v>374</v>
      </c>
      <c r="S376" s="126"/>
    </row>
    <row r="377" spans="17:19" x14ac:dyDescent="0.25">
      <c r="Q377" s="126" t="s">
        <v>712</v>
      </c>
      <c r="R377" s="126">
        <v>375</v>
      </c>
      <c r="S377" s="126"/>
    </row>
    <row r="378" spans="17:19" x14ac:dyDescent="0.25">
      <c r="Q378" s="126" t="s">
        <v>713</v>
      </c>
      <c r="R378" s="126">
        <v>376</v>
      </c>
      <c r="S378" s="126"/>
    </row>
    <row r="379" spans="17:19" x14ac:dyDescent="0.25">
      <c r="Q379" s="126" t="s">
        <v>714</v>
      </c>
      <c r="R379" s="126">
        <v>377</v>
      </c>
      <c r="S379" s="126"/>
    </row>
    <row r="380" spans="17:19" x14ac:dyDescent="0.25">
      <c r="Q380" s="126" t="s">
        <v>715</v>
      </c>
      <c r="R380" s="126">
        <v>378</v>
      </c>
      <c r="S380" s="126"/>
    </row>
    <row r="381" spans="17:19" x14ac:dyDescent="0.25">
      <c r="Q381" s="126" t="s">
        <v>716</v>
      </c>
      <c r="R381" s="126">
        <v>379</v>
      </c>
      <c r="S381" s="126"/>
    </row>
    <row r="382" spans="17:19" x14ac:dyDescent="0.25">
      <c r="Q382" s="126" t="s">
        <v>717</v>
      </c>
      <c r="R382" s="126">
        <v>380</v>
      </c>
      <c r="S382" s="126"/>
    </row>
    <row r="383" spans="17:19" x14ac:dyDescent="0.25">
      <c r="Q383" s="126" t="s">
        <v>929</v>
      </c>
      <c r="R383" s="126">
        <v>381</v>
      </c>
      <c r="S383" s="126"/>
    </row>
    <row r="384" spans="17:19" x14ac:dyDescent="0.25">
      <c r="Q384" s="126" t="s">
        <v>930</v>
      </c>
      <c r="R384" s="126">
        <v>382</v>
      </c>
      <c r="S384" s="126"/>
    </row>
    <row r="385" spans="17:19" x14ac:dyDescent="0.25">
      <c r="Q385" s="126" t="s">
        <v>931</v>
      </c>
      <c r="R385" s="126">
        <v>383</v>
      </c>
      <c r="S385" s="126"/>
    </row>
    <row r="386" spans="17:19" x14ac:dyDescent="0.25">
      <c r="Q386" s="126" t="s">
        <v>932</v>
      </c>
      <c r="R386" s="126">
        <v>384</v>
      </c>
      <c r="S386" s="126"/>
    </row>
    <row r="387" spans="17:19" x14ac:dyDescent="0.25">
      <c r="Q387" s="126" t="s">
        <v>933</v>
      </c>
      <c r="R387" s="126">
        <v>385</v>
      </c>
      <c r="S387" s="126"/>
    </row>
    <row r="388" spans="17:19" x14ac:dyDescent="0.25">
      <c r="Q388" s="126" t="s">
        <v>934</v>
      </c>
      <c r="R388" s="126">
        <v>386</v>
      </c>
      <c r="S388" s="126"/>
    </row>
    <row r="389" spans="17:19" x14ac:dyDescent="0.25">
      <c r="Q389" s="126" t="s">
        <v>935</v>
      </c>
      <c r="R389" s="126">
        <v>387</v>
      </c>
      <c r="S389" s="126"/>
    </row>
    <row r="390" spans="17:19" x14ac:dyDescent="0.25">
      <c r="Q390" s="126" t="s">
        <v>936</v>
      </c>
      <c r="R390" s="126">
        <v>388</v>
      </c>
      <c r="S390" s="126"/>
    </row>
    <row r="391" spans="17:19" x14ac:dyDescent="0.25">
      <c r="Q391" s="126" t="s">
        <v>937</v>
      </c>
      <c r="R391" s="126">
        <v>389</v>
      </c>
      <c r="S391" s="126"/>
    </row>
    <row r="392" spans="17:19" x14ac:dyDescent="0.25">
      <c r="Q392" s="126" t="s">
        <v>938</v>
      </c>
      <c r="R392" s="126">
        <v>390</v>
      </c>
      <c r="S392" s="126"/>
    </row>
    <row r="393" spans="17:19" x14ac:dyDescent="0.25">
      <c r="Q393" s="126" t="s">
        <v>939</v>
      </c>
      <c r="R393" s="126">
        <v>391</v>
      </c>
      <c r="S393" s="126"/>
    </row>
    <row r="394" spans="17:19" x14ac:dyDescent="0.25">
      <c r="Q394" s="126" t="s">
        <v>940</v>
      </c>
      <c r="R394" s="126">
        <v>392</v>
      </c>
      <c r="S394" s="126"/>
    </row>
    <row r="395" spans="17:19" x14ac:dyDescent="0.25">
      <c r="Q395" s="126" t="s">
        <v>941</v>
      </c>
      <c r="R395" s="126">
        <v>393</v>
      </c>
      <c r="S395" s="126"/>
    </row>
    <row r="396" spans="17:19" x14ac:dyDescent="0.25">
      <c r="Q396" s="126" t="s">
        <v>942</v>
      </c>
      <c r="R396" s="126">
        <v>394</v>
      </c>
      <c r="S396" s="126"/>
    </row>
    <row r="397" spans="17:19" x14ac:dyDescent="0.25">
      <c r="Q397" s="126" t="s">
        <v>943</v>
      </c>
      <c r="R397" s="126">
        <v>395</v>
      </c>
      <c r="S397" s="126"/>
    </row>
    <row r="398" spans="17:19" x14ac:dyDescent="0.25">
      <c r="Q398" s="126" t="s">
        <v>944</v>
      </c>
      <c r="R398" s="126">
        <v>396</v>
      </c>
      <c r="S398" s="126"/>
    </row>
    <row r="399" spans="17:19" x14ac:dyDescent="0.25">
      <c r="Q399" s="126" t="s">
        <v>945</v>
      </c>
      <c r="R399" s="126">
        <v>397</v>
      </c>
      <c r="S399" s="126"/>
    </row>
    <row r="400" spans="17:19" x14ac:dyDescent="0.25">
      <c r="Q400" s="126" t="s">
        <v>946</v>
      </c>
      <c r="R400" s="126">
        <v>398</v>
      </c>
      <c r="S400" s="126"/>
    </row>
    <row r="401" spans="17:19" x14ac:dyDescent="0.25">
      <c r="Q401" s="126" t="s">
        <v>718</v>
      </c>
      <c r="R401" s="126">
        <v>399</v>
      </c>
      <c r="S401" s="126"/>
    </row>
    <row r="402" spans="17:19" x14ac:dyDescent="0.25">
      <c r="Q402" s="126" t="s">
        <v>719</v>
      </c>
      <c r="R402" s="126">
        <v>400</v>
      </c>
      <c r="S402" s="126"/>
    </row>
    <row r="403" spans="17:19" x14ac:dyDescent="0.25">
      <c r="Q403" s="126" t="s">
        <v>720</v>
      </c>
      <c r="R403" s="126">
        <v>401</v>
      </c>
      <c r="S403" s="126"/>
    </row>
    <row r="404" spans="17:19" x14ac:dyDescent="0.25">
      <c r="Q404" s="126" t="s">
        <v>721</v>
      </c>
      <c r="R404" s="126">
        <v>402</v>
      </c>
      <c r="S404" s="126"/>
    </row>
    <row r="405" spans="17:19" x14ac:dyDescent="0.25">
      <c r="Q405" s="126" t="s">
        <v>722</v>
      </c>
      <c r="R405" s="126">
        <v>403</v>
      </c>
      <c r="S405" s="126"/>
    </row>
    <row r="406" spans="17:19" x14ac:dyDescent="0.25">
      <c r="Q406" s="126" t="s">
        <v>723</v>
      </c>
      <c r="R406" s="126">
        <v>404</v>
      </c>
      <c r="S406" s="126"/>
    </row>
    <row r="407" spans="17:19" x14ac:dyDescent="0.25">
      <c r="Q407" s="126" t="s">
        <v>724</v>
      </c>
      <c r="R407" s="126">
        <v>405</v>
      </c>
      <c r="S407" s="126"/>
    </row>
    <row r="408" spans="17:19" x14ac:dyDescent="0.25">
      <c r="Q408" s="126" t="s">
        <v>725</v>
      </c>
      <c r="R408" s="126">
        <v>406</v>
      </c>
      <c r="S408" s="126"/>
    </row>
    <row r="409" spans="17:19" x14ac:dyDescent="0.25">
      <c r="Q409" s="126" t="s">
        <v>726</v>
      </c>
      <c r="R409" s="126">
        <v>407</v>
      </c>
      <c r="S409" s="126"/>
    </row>
    <row r="410" spans="17:19" x14ac:dyDescent="0.25">
      <c r="Q410" s="126" t="s">
        <v>727</v>
      </c>
      <c r="R410" s="126">
        <v>408</v>
      </c>
      <c r="S410" s="126"/>
    </row>
    <row r="411" spans="17:19" x14ac:dyDescent="0.25">
      <c r="Q411" s="126" t="s">
        <v>728</v>
      </c>
      <c r="R411" s="126">
        <v>409</v>
      </c>
      <c r="S411" s="126"/>
    </row>
    <row r="412" spans="17:19" x14ac:dyDescent="0.25">
      <c r="Q412" s="126" t="s">
        <v>729</v>
      </c>
      <c r="R412" s="126">
        <v>410</v>
      </c>
      <c r="S412" s="126"/>
    </row>
    <row r="413" spans="17:19" x14ac:dyDescent="0.25">
      <c r="Q413" s="126" t="s">
        <v>730</v>
      </c>
      <c r="R413" s="126">
        <v>411</v>
      </c>
      <c r="S413" s="126"/>
    </row>
    <row r="414" spans="17:19" x14ac:dyDescent="0.25">
      <c r="Q414" s="126" t="s">
        <v>731</v>
      </c>
      <c r="R414" s="126">
        <v>412</v>
      </c>
      <c r="S414" s="126"/>
    </row>
    <row r="415" spans="17:19" x14ac:dyDescent="0.25">
      <c r="Q415" s="126" t="s">
        <v>732</v>
      </c>
      <c r="R415" s="126">
        <v>413</v>
      </c>
      <c r="S415" s="126"/>
    </row>
    <row r="416" spans="17:19" x14ac:dyDescent="0.25">
      <c r="Q416" s="126" t="s">
        <v>733</v>
      </c>
      <c r="R416" s="126">
        <v>414</v>
      </c>
      <c r="S416" s="126"/>
    </row>
    <row r="417" spans="17:19" x14ac:dyDescent="0.25">
      <c r="Q417" s="126" t="s">
        <v>734</v>
      </c>
      <c r="R417" s="126">
        <v>415</v>
      </c>
      <c r="S417" s="126"/>
    </row>
    <row r="418" spans="17:19" x14ac:dyDescent="0.25">
      <c r="Q418" s="126" t="s">
        <v>735</v>
      </c>
      <c r="R418" s="126">
        <v>416</v>
      </c>
      <c r="S418" s="126"/>
    </row>
    <row r="419" spans="17:19" x14ac:dyDescent="0.25">
      <c r="Q419" s="126" t="s">
        <v>947</v>
      </c>
      <c r="R419" s="126">
        <v>417</v>
      </c>
      <c r="S419" s="126"/>
    </row>
    <row r="420" spans="17:19" x14ac:dyDescent="0.25">
      <c r="Q420" s="126" t="s">
        <v>948</v>
      </c>
      <c r="R420" s="126">
        <v>418</v>
      </c>
      <c r="S420" s="126"/>
    </row>
    <row r="421" spans="17:19" x14ac:dyDescent="0.25">
      <c r="Q421" s="126" t="s">
        <v>949</v>
      </c>
      <c r="R421" s="126">
        <v>419</v>
      </c>
      <c r="S421" s="126"/>
    </row>
    <row r="422" spans="17:19" x14ac:dyDescent="0.25">
      <c r="Q422" s="126" t="s">
        <v>950</v>
      </c>
      <c r="R422" s="126">
        <v>420</v>
      </c>
      <c r="S422" s="126"/>
    </row>
    <row r="423" spans="17:19" x14ac:dyDescent="0.25">
      <c r="Q423" s="126" t="s">
        <v>951</v>
      </c>
      <c r="R423" s="126">
        <v>421</v>
      </c>
      <c r="S423" s="126"/>
    </row>
    <row r="424" spans="17:19" x14ac:dyDescent="0.25">
      <c r="Q424" s="126" t="s">
        <v>952</v>
      </c>
      <c r="R424" s="126">
        <v>422</v>
      </c>
      <c r="S424" s="126"/>
    </row>
    <row r="425" spans="17:19" x14ac:dyDescent="0.25">
      <c r="Q425" s="126" t="s">
        <v>953</v>
      </c>
      <c r="R425" s="126">
        <v>423</v>
      </c>
      <c r="S425" s="126"/>
    </row>
    <row r="426" spans="17:19" x14ac:dyDescent="0.25">
      <c r="Q426" s="126" t="s">
        <v>954</v>
      </c>
      <c r="R426" s="126">
        <v>424</v>
      </c>
      <c r="S426" s="126"/>
    </row>
    <row r="427" spans="17:19" x14ac:dyDescent="0.25">
      <c r="Q427" s="126" t="s">
        <v>955</v>
      </c>
      <c r="R427" s="126">
        <v>425</v>
      </c>
      <c r="S427" s="126"/>
    </row>
    <row r="428" spans="17:19" x14ac:dyDescent="0.25">
      <c r="Q428" s="126" t="s">
        <v>956</v>
      </c>
      <c r="R428" s="126">
        <v>426</v>
      </c>
      <c r="S428" s="126"/>
    </row>
    <row r="429" spans="17:19" x14ac:dyDescent="0.25">
      <c r="Q429" s="126" t="s">
        <v>957</v>
      </c>
      <c r="R429" s="126">
        <v>427</v>
      </c>
      <c r="S429" s="126"/>
    </row>
    <row r="430" spans="17:19" x14ac:dyDescent="0.25">
      <c r="Q430" s="126" t="s">
        <v>958</v>
      </c>
      <c r="R430" s="126">
        <v>428</v>
      </c>
      <c r="S430" s="126"/>
    </row>
    <row r="431" spans="17:19" x14ac:dyDescent="0.25">
      <c r="Q431" s="126" t="s">
        <v>959</v>
      </c>
      <c r="R431" s="126">
        <v>429</v>
      </c>
      <c r="S431" s="126"/>
    </row>
    <row r="432" spans="17:19" x14ac:dyDescent="0.25">
      <c r="Q432" s="126" t="s">
        <v>960</v>
      </c>
      <c r="R432" s="126">
        <v>430</v>
      </c>
      <c r="S432" s="126"/>
    </row>
    <row r="433" spans="17:19" x14ac:dyDescent="0.25">
      <c r="Q433" s="126" t="s">
        <v>961</v>
      </c>
      <c r="R433" s="126">
        <v>431</v>
      </c>
      <c r="S433" s="126"/>
    </row>
    <row r="434" spans="17:19" x14ac:dyDescent="0.25">
      <c r="Q434" s="126" t="s">
        <v>962</v>
      </c>
      <c r="R434" s="126">
        <v>432</v>
      </c>
      <c r="S434" s="126"/>
    </row>
    <row r="435" spans="17:19" x14ac:dyDescent="0.25">
      <c r="Q435" s="126" t="s">
        <v>963</v>
      </c>
      <c r="R435" s="126">
        <v>433</v>
      </c>
      <c r="S435" s="126"/>
    </row>
    <row r="436" spans="17:19" x14ac:dyDescent="0.25">
      <c r="Q436" s="126" t="s">
        <v>964</v>
      </c>
      <c r="R436" s="126">
        <v>434</v>
      </c>
      <c r="S436" s="126"/>
    </row>
    <row r="437" spans="17:19" x14ac:dyDescent="0.25">
      <c r="Q437" s="126" t="s">
        <v>736</v>
      </c>
      <c r="R437" s="126">
        <v>435</v>
      </c>
      <c r="S437" s="126"/>
    </row>
    <row r="438" spans="17:19" x14ac:dyDescent="0.25">
      <c r="Q438" s="126" t="s">
        <v>737</v>
      </c>
      <c r="R438" s="126">
        <v>436</v>
      </c>
      <c r="S438" s="126"/>
    </row>
    <row r="439" spans="17:19" x14ac:dyDescent="0.25">
      <c r="Q439" s="126" t="s">
        <v>738</v>
      </c>
      <c r="R439" s="126">
        <v>437</v>
      </c>
      <c r="S439" s="126"/>
    </row>
    <row r="440" spans="17:19" x14ac:dyDescent="0.25">
      <c r="Q440" s="126" t="s">
        <v>739</v>
      </c>
      <c r="R440" s="126">
        <v>438</v>
      </c>
      <c r="S440" s="126"/>
    </row>
    <row r="441" spans="17:19" x14ac:dyDescent="0.25">
      <c r="Q441" s="126" t="s">
        <v>740</v>
      </c>
      <c r="R441" s="126">
        <v>439</v>
      </c>
      <c r="S441" s="126"/>
    </row>
    <row r="442" spans="17:19" x14ac:dyDescent="0.25">
      <c r="Q442" s="126" t="s">
        <v>741</v>
      </c>
      <c r="R442" s="126">
        <v>440</v>
      </c>
      <c r="S442" s="126"/>
    </row>
    <row r="443" spans="17:19" x14ac:dyDescent="0.25">
      <c r="Q443" s="126" t="s">
        <v>742</v>
      </c>
      <c r="R443" s="126">
        <v>441</v>
      </c>
      <c r="S443" s="126"/>
    </row>
    <row r="444" spans="17:19" x14ac:dyDescent="0.25">
      <c r="Q444" s="126" t="s">
        <v>743</v>
      </c>
      <c r="R444" s="126">
        <v>442</v>
      </c>
      <c r="S444" s="126"/>
    </row>
    <row r="445" spans="17:19" x14ac:dyDescent="0.25">
      <c r="Q445" s="126" t="s">
        <v>744</v>
      </c>
      <c r="R445" s="126">
        <v>443</v>
      </c>
      <c r="S445" s="126"/>
    </row>
    <row r="446" spans="17:19" x14ac:dyDescent="0.25">
      <c r="Q446" s="126" t="s">
        <v>745</v>
      </c>
      <c r="R446" s="126">
        <v>444</v>
      </c>
      <c r="S446" s="126"/>
    </row>
    <row r="447" spans="17:19" x14ac:dyDescent="0.25">
      <c r="Q447" s="126" t="s">
        <v>746</v>
      </c>
      <c r="R447" s="126">
        <v>445</v>
      </c>
      <c r="S447" s="126"/>
    </row>
    <row r="448" spans="17:19" x14ac:dyDescent="0.25">
      <c r="Q448" s="126" t="s">
        <v>747</v>
      </c>
      <c r="R448" s="126">
        <v>446</v>
      </c>
      <c r="S448" s="126"/>
    </row>
    <row r="449" spans="17:19" x14ac:dyDescent="0.25">
      <c r="Q449" s="126" t="s">
        <v>748</v>
      </c>
      <c r="R449" s="126">
        <v>447</v>
      </c>
      <c r="S449" s="126"/>
    </row>
    <row r="450" spans="17:19" x14ac:dyDescent="0.25">
      <c r="Q450" s="126" t="s">
        <v>749</v>
      </c>
      <c r="R450" s="126">
        <v>448</v>
      </c>
      <c r="S450" s="126"/>
    </row>
    <row r="451" spans="17:19" x14ac:dyDescent="0.25">
      <c r="Q451" s="126" t="s">
        <v>750</v>
      </c>
      <c r="R451" s="126">
        <v>449</v>
      </c>
      <c r="S451" s="126"/>
    </row>
    <row r="452" spans="17:19" x14ac:dyDescent="0.25">
      <c r="Q452" s="126" t="s">
        <v>751</v>
      </c>
      <c r="R452" s="126">
        <v>450</v>
      </c>
      <c r="S452" s="126"/>
    </row>
    <row r="453" spans="17:19" x14ac:dyDescent="0.25">
      <c r="Q453" s="126" t="s">
        <v>752</v>
      </c>
      <c r="R453" s="126">
        <v>451</v>
      </c>
      <c r="S453" s="126"/>
    </row>
    <row r="454" spans="17:19" x14ac:dyDescent="0.25">
      <c r="Q454" s="126" t="s">
        <v>753</v>
      </c>
      <c r="R454" s="126">
        <v>452</v>
      </c>
      <c r="S454" s="126"/>
    </row>
    <row r="455" spans="17:19" x14ac:dyDescent="0.25">
      <c r="Q455" s="152"/>
      <c r="R455" s="126"/>
      <c r="S455" s="126"/>
    </row>
    <row r="456" spans="17:19" x14ac:dyDescent="0.25">
      <c r="Q456" s="147"/>
      <c r="R456" s="126"/>
      <c r="S456" s="126"/>
    </row>
    <row r="457" spans="17:19" x14ac:dyDescent="0.25">
      <c r="Q457" s="147"/>
      <c r="R457" s="126"/>
      <c r="S457" s="126"/>
    </row>
    <row r="458" spans="17:19" x14ac:dyDescent="0.25">
      <c r="Q458" s="147"/>
      <c r="R458" s="126"/>
      <c r="S458" s="126"/>
    </row>
    <row r="459" spans="17:19" x14ac:dyDescent="0.25">
      <c r="Q459" s="147"/>
      <c r="R459" s="126"/>
      <c r="S459" s="126"/>
    </row>
    <row r="460" spans="17:19" x14ac:dyDescent="0.25">
      <c r="Q460" s="147"/>
      <c r="R460" s="126"/>
      <c r="S460" s="126"/>
    </row>
    <row r="461" spans="17:19" x14ac:dyDescent="0.25">
      <c r="Q461" s="147"/>
      <c r="R461" s="126"/>
      <c r="S461" s="126"/>
    </row>
    <row r="462" spans="17:19" x14ac:dyDescent="0.25">
      <c r="Q462" s="147"/>
      <c r="R462" s="126"/>
      <c r="S462" s="126"/>
    </row>
    <row r="463" spans="17:19" x14ac:dyDescent="0.25">
      <c r="Q463" s="147"/>
      <c r="R463" s="126"/>
      <c r="S463" s="126"/>
    </row>
    <row r="464" spans="17:19" x14ac:dyDescent="0.25">
      <c r="Q464" s="147"/>
      <c r="R464" s="126"/>
      <c r="S464" s="126"/>
    </row>
    <row r="465" spans="17:19" x14ac:dyDescent="0.25">
      <c r="Q465" s="147"/>
      <c r="R465" s="126"/>
      <c r="S465" s="126"/>
    </row>
    <row r="466" spans="17:19" x14ac:dyDescent="0.25">
      <c r="Q466" s="147"/>
      <c r="R466" s="126"/>
      <c r="S466" s="126"/>
    </row>
    <row r="467" spans="17:19" x14ac:dyDescent="0.25">
      <c r="Q467" s="147"/>
      <c r="R467" s="126"/>
      <c r="S467" s="126"/>
    </row>
    <row r="468" spans="17:19" x14ac:dyDescent="0.25">
      <c r="Q468" s="147"/>
      <c r="R468" s="126"/>
      <c r="S468" s="126"/>
    </row>
    <row r="469" spans="17:19" x14ac:dyDescent="0.25">
      <c r="Q469" s="147"/>
      <c r="R469" s="126"/>
      <c r="S469" s="126"/>
    </row>
    <row r="470" spans="17:19" x14ac:dyDescent="0.25">
      <c r="Q470" s="147"/>
      <c r="R470" s="126"/>
      <c r="S470" s="126"/>
    </row>
    <row r="471" spans="17:19" x14ac:dyDescent="0.25">
      <c r="Q471" s="153"/>
      <c r="R471" s="126"/>
      <c r="S471" s="126"/>
    </row>
    <row r="472" spans="17:19" x14ac:dyDescent="0.25">
      <c r="Q472" s="132"/>
      <c r="R472" s="126"/>
      <c r="S472" s="126"/>
    </row>
    <row r="473" spans="17:19" x14ac:dyDescent="0.25">
      <c r="Q473" s="152"/>
      <c r="R473" s="126"/>
      <c r="S473" s="126"/>
    </row>
    <row r="474" spans="17:19" x14ac:dyDescent="0.25">
      <c r="Q474" s="147"/>
      <c r="R474" s="126"/>
      <c r="S474" s="126"/>
    </row>
    <row r="475" spans="17:19" x14ac:dyDescent="0.25">
      <c r="Q475" s="147"/>
      <c r="R475" s="126"/>
      <c r="S475" s="126"/>
    </row>
    <row r="476" spans="17:19" x14ac:dyDescent="0.25">
      <c r="Q476" s="147"/>
      <c r="R476" s="126"/>
      <c r="S476" s="126"/>
    </row>
    <row r="477" spans="17:19" x14ac:dyDescent="0.25">
      <c r="Q477" s="147"/>
      <c r="R477" s="126"/>
      <c r="S477" s="126"/>
    </row>
    <row r="478" spans="17:19" x14ac:dyDescent="0.25">
      <c r="Q478" s="147"/>
      <c r="R478" s="126"/>
      <c r="S478" s="126"/>
    </row>
    <row r="479" spans="17:19" x14ac:dyDescent="0.25">
      <c r="Q479" s="147"/>
      <c r="R479" s="126"/>
      <c r="S479" s="126"/>
    </row>
    <row r="480" spans="17:19" x14ac:dyDescent="0.25">
      <c r="Q480" s="147"/>
      <c r="R480" s="126"/>
      <c r="S480" s="126"/>
    </row>
    <row r="481" spans="17:19" x14ac:dyDescent="0.25">
      <c r="Q481" s="147"/>
      <c r="R481" s="126"/>
      <c r="S481" s="126"/>
    </row>
    <row r="482" spans="17:19" x14ac:dyDescent="0.25">
      <c r="Q482" s="147"/>
      <c r="R482" s="126"/>
      <c r="S482" s="126"/>
    </row>
    <row r="483" spans="17:19" x14ac:dyDescent="0.25">
      <c r="Q483" s="147"/>
      <c r="R483" s="126"/>
      <c r="S483" s="126"/>
    </row>
    <row r="484" spans="17:19" x14ac:dyDescent="0.25">
      <c r="Q484" s="147"/>
      <c r="R484" s="126"/>
      <c r="S484" s="126"/>
    </row>
    <row r="485" spans="17:19" x14ac:dyDescent="0.25">
      <c r="Q485" s="147"/>
      <c r="R485" s="126"/>
      <c r="S485" s="126"/>
    </row>
    <row r="486" spans="17:19" x14ac:dyDescent="0.25">
      <c r="Q486" s="147"/>
      <c r="R486" s="126"/>
      <c r="S486" s="126"/>
    </row>
    <row r="487" spans="17:19" x14ac:dyDescent="0.25">
      <c r="Q487" s="147"/>
      <c r="R487" s="126"/>
      <c r="S487" s="126"/>
    </row>
    <row r="488" spans="17:19" x14ac:dyDescent="0.25">
      <c r="Q488" s="147"/>
      <c r="R488" s="126"/>
      <c r="S488" s="126"/>
    </row>
    <row r="489" spans="17:19" x14ac:dyDescent="0.25">
      <c r="Q489" s="153"/>
      <c r="R489" s="126"/>
      <c r="S489" s="126"/>
    </row>
    <row r="490" spans="17:19" x14ac:dyDescent="0.25">
      <c r="Q490" s="132"/>
      <c r="R490" s="126"/>
      <c r="S490" s="126"/>
    </row>
    <row r="491" spans="17:19" x14ac:dyDescent="0.25">
      <c r="Q491" s="152"/>
      <c r="R491" s="126"/>
      <c r="S491" s="126"/>
    </row>
    <row r="492" spans="17:19" x14ac:dyDescent="0.25">
      <c r="Q492" s="147"/>
      <c r="R492" s="126"/>
      <c r="S492" s="126"/>
    </row>
    <row r="493" spans="17:19" x14ac:dyDescent="0.25">
      <c r="Q493" s="147"/>
      <c r="R493" s="126"/>
      <c r="S493" s="126"/>
    </row>
    <row r="494" spans="17:19" x14ac:dyDescent="0.25">
      <c r="Q494" s="147"/>
      <c r="R494" s="126"/>
      <c r="S494" s="126"/>
    </row>
    <row r="495" spans="17:19" x14ac:dyDescent="0.25">
      <c r="Q495" s="147"/>
      <c r="R495" s="126"/>
      <c r="S495" s="126"/>
    </row>
    <row r="496" spans="17:19" x14ac:dyDescent="0.25">
      <c r="Q496" s="147"/>
      <c r="R496" s="126"/>
      <c r="S496" s="126"/>
    </row>
    <row r="497" spans="17:19" x14ac:dyDescent="0.25">
      <c r="Q497" s="147"/>
      <c r="R497" s="126"/>
      <c r="S497" s="126"/>
    </row>
    <row r="498" spans="17:19" x14ac:dyDescent="0.25">
      <c r="Q498" s="147"/>
      <c r="R498" s="126"/>
      <c r="S498" s="126"/>
    </row>
    <row r="499" spans="17:19" x14ac:dyDescent="0.25">
      <c r="Q499" s="147"/>
      <c r="R499" s="126"/>
      <c r="S499" s="126"/>
    </row>
    <row r="500" spans="17:19" x14ac:dyDescent="0.25">
      <c r="Q500" s="147"/>
      <c r="R500" s="126"/>
      <c r="S500" s="126"/>
    </row>
    <row r="501" spans="17:19" x14ac:dyDescent="0.25">
      <c r="Q501" s="147"/>
      <c r="R501" s="126"/>
      <c r="S501" s="126"/>
    </row>
    <row r="502" spans="17:19" x14ac:dyDescent="0.25">
      <c r="Q502" s="147"/>
      <c r="R502" s="126"/>
      <c r="S502" s="126"/>
    </row>
    <row r="503" spans="17:19" x14ac:dyDescent="0.25">
      <c r="Q503" s="147"/>
      <c r="R503" s="126"/>
      <c r="S503" s="126"/>
    </row>
    <row r="504" spans="17:19" x14ac:dyDescent="0.25">
      <c r="Q504" s="147"/>
      <c r="R504" s="126"/>
      <c r="S504" s="126"/>
    </row>
    <row r="505" spans="17:19" x14ac:dyDescent="0.25">
      <c r="Q505" s="147"/>
      <c r="R505" s="126"/>
      <c r="S505" s="126"/>
    </row>
    <row r="506" spans="17:19" x14ac:dyDescent="0.25">
      <c r="Q506" s="147"/>
      <c r="R506" s="126"/>
      <c r="S506" s="126"/>
    </row>
    <row r="507" spans="17:19" x14ac:dyDescent="0.25">
      <c r="Q507" s="153"/>
      <c r="R507" s="126"/>
      <c r="S507" s="126"/>
    </row>
    <row r="508" spans="17:19" x14ac:dyDescent="0.25">
      <c r="Q508" s="132"/>
      <c r="R508" s="126"/>
      <c r="S508" s="126"/>
    </row>
    <row r="509" spans="17:19" x14ac:dyDescent="0.25">
      <c r="Q509" s="152"/>
      <c r="R509" s="126"/>
      <c r="S509" s="126"/>
    </row>
    <row r="510" spans="17:19" x14ac:dyDescent="0.25">
      <c r="Q510" s="147"/>
      <c r="R510" s="126"/>
      <c r="S510" s="126"/>
    </row>
    <row r="511" spans="17:19" x14ac:dyDescent="0.25">
      <c r="Q511" s="147"/>
      <c r="R511" s="126"/>
      <c r="S511" s="126"/>
    </row>
    <row r="512" spans="17:19" x14ac:dyDescent="0.25">
      <c r="Q512" s="147"/>
      <c r="R512" s="126"/>
      <c r="S512" s="126"/>
    </row>
    <row r="513" spans="17:19" x14ac:dyDescent="0.25">
      <c r="Q513" s="147"/>
      <c r="R513" s="126"/>
      <c r="S513" s="126"/>
    </row>
    <row r="514" spans="17:19" x14ac:dyDescent="0.25">
      <c r="Q514" s="147"/>
      <c r="R514" s="126"/>
      <c r="S514" s="126"/>
    </row>
    <row r="515" spans="17:19" x14ac:dyDescent="0.25">
      <c r="Q515" s="147"/>
      <c r="R515" s="126"/>
      <c r="S515" s="126"/>
    </row>
    <row r="516" spans="17:19" x14ac:dyDescent="0.25">
      <c r="Q516" s="147"/>
      <c r="R516" s="126"/>
      <c r="S516" s="126"/>
    </row>
    <row r="517" spans="17:19" x14ac:dyDescent="0.25">
      <c r="Q517" s="147"/>
      <c r="R517" s="126"/>
      <c r="S517" s="126"/>
    </row>
    <row r="518" spans="17:19" x14ac:dyDescent="0.25">
      <c r="Q518" s="147"/>
      <c r="R518" s="126"/>
      <c r="S518" s="126"/>
    </row>
    <row r="519" spans="17:19" x14ac:dyDescent="0.25">
      <c r="Q519" s="147"/>
      <c r="R519" s="126"/>
      <c r="S519" s="126"/>
    </row>
    <row r="520" spans="17:19" x14ac:dyDescent="0.25">
      <c r="Q520" s="147"/>
      <c r="R520" s="126"/>
      <c r="S520" s="126"/>
    </row>
    <row r="521" spans="17:19" x14ac:dyDescent="0.25">
      <c r="Q521" s="147"/>
      <c r="R521" s="126"/>
      <c r="S521" s="126"/>
    </row>
    <row r="522" spans="17:19" x14ac:dyDescent="0.25">
      <c r="Q522" s="147"/>
      <c r="R522" s="126"/>
      <c r="S522" s="126"/>
    </row>
    <row r="523" spans="17:19" x14ac:dyDescent="0.25">
      <c r="Q523" s="147"/>
      <c r="R523" s="126"/>
      <c r="S523" s="126"/>
    </row>
    <row r="524" spans="17:19" x14ac:dyDescent="0.25">
      <c r="Q524" s="147"/>
      <c r="R524" s="126"/>
      <c r="S524" s="126"/>
    </row>
    <row r="525" spans="17:19" x14ac:dyDescent="0.25">
      <c r="Q525" s="153"/>
      <c r="R525" s="126"/>
      <c r="S525" s="126"/>
    </row>
    <row r="526" spans="17:19" x14ac:dyDescent="0.25">
      <c r="Q526" s="132"/>
      <c r="R526" s="126"/>
      <c r="S526" s="126"/>
    </row>
    <row r="527" spans="17:19" x14ac:dyDescent="0.25">
      <c r="Q527" s="152"/>
      <c r="R527" s="126"/>
      <c r="S527" s="126"/>
    </row>
    <row r="528" spans="17:19" x14ac:dyDescent="0.25">
      <c r="Q528" s="147"/>
      <c r="R528" s="126"/>
      <c r="S528" s="126"/>
    </row>
    <row r="529" spans="17:19" x14ac:dyDescent="0.25">
      <c r="Q529" s="147"/>
      <c r="R529" s="126"/>
      <c r="S529" s="126"/>
    </row>
    <row r="530" spans="17:19" x14ac:dyDescent="0.25">
      <c r="Q530" s="147"/>
      <c r="R530" s="126"/>
      <c r="S530" s="126"/>
    </row>
    <row r="531" spans="17:19" x14ac:dyDescent="0.25">
      <c r="Q531" s="147"/>
      <c r="R531" s="126"/>
      <c r="S531" s="126"/>
    </row>
    <row r="532" spans="17:19" x14ac:dyDescent="0.25">
      <c r="Q532" s="147"/>
      <c r="R532" s="126"/>
      <c r="S532" s="126"/>
    </row>
    <row r="533" spans="17:19" x14ac:dyDescent="0.25">
      <c r="Q533" s="147"/>
      <c r="R533" s="126"/>
      <c r="S533" s="126"/>
    </row>
    <row r="534" spans="17:19" x14ac:dyDescent="0.25">
      <c r="Q534" s="147"/>
      <c r="R534" s="126"/>
      <c r="S534" s="126"/>
    </row>
    <row r="535" spans="17:19" x14ac:dyDescent="0.25">
      <c r="Q535" s="147"/>
      <c r="R535" s="126"/>
      <c r="S535" s="126"/>
    </row>
    <row r="536" spans="17:19" x14ac:dyDescent="0.25">
      <c r="Q536" s="147"/>
      <c r="R536" s="126"/>
      <c r="S536" s="126"/>
    </row>
    <row r="537" spans="17:19" x14ac:dyDescent="0.25">
      <c r="Q537" s="147"/>
      <c r="R537" s="126"/>
      <c r="S537" s="126"/>
    </row>
    <row r="538" spans="17:19" x14ac:dyDescent="0.25">
      <c r="Q538" s="147"/>
      <c r="R538" s="126"/>
      <c r="S538" s="126"/>
    </row>
    <row r="539" spans="17:19" x14ac:dyDescent="0.25">
      <c r="Q539" s="147"/>
      <c r="R539" s="126"/>
      <c r="S539" s="126"/>
    </row>
    <row r="540" spans="17:19" x14ac:dyDescent="0.25">
      <c r="Q540" s="147"/>
      <c r="R540" s="126"/>
      <c r="S540" s="126"/>
    </row>
    <row r="541" spans="17:19" x14ac:dyDescent="0.25">
      <c r="Q541" s="147"/>
      <c r="R541" s="126"/>
      <c r="S541" s="126"/>
    </row>
    <row r="542" spans="17:19" x14ac:dyDescent="0.25">
      <c r="Q542" s="147"/>
      <c r="R542" s="126"/>
      <c r="S542" s="126"/>
    </row>
    <row r="543" spans="17:19" x14ac:dyDescent="0.25">
      <c r="Q543" s="153"/>
      <c r="R543" s="126"/>
      <c r="S543" s="126"/>
    </row>
    <row r="544" spans="17:19" x14ac:dyDescent="0.25">
      <c r="Q544" s="132"/>
      <c r="R544" s="126"/>
      <c r="S544" s="126"/>
    </row>
    <row r="545" spans="17:19" x14ac:dyDescent="0.25">
      <c r="Q545" s="152"/>
      <c r="R545" s="126"/>
      <c r="S545" s="126"/>
    </row>
    <row r="546" spans="17:19" x14ac:dyDescent="0.25">
      <c r="Q546" s="147"/>
      <c r="R546" s="126"/>
      <c r="S546" s="126"/>
    </row>
    <row r="547" spans="17:19" x14ac:dyDescent="0.25">
      <c r="Q547" s="147"/>
      <c r="R547" s="126"/>
      <c r="S547" s="126"/>
    </row>
    <row r="548" spans="17:19" x14ac:dyDescent="0.25">
      <c r="Q548" s="147"/>
      <c r="R548" s="126"/>
      <c r="S548" s="126"/>
    </row>
    <row r="549" spans="17:19" x14ac:dyDescent="0.25">
      <c r="Q549" s="147"/>
      <c r="R549" s="126"/>
      <c r="S549" s="126"/>
    </row>
    <row r="550" spans="17:19" x14ac:dyDescent="0.25">
      <c r="Q550" s="147"/>
      <c r="R550" s="126"/>
      <c r="S550" s="126"/>
    </row>
    <row r="551" spans="17:19" x14ac:dyDescent="0.25">
      <c r="Q551" s="147"/>
      <c r="R551" s="126"/>
      <c r="S551" s="126"/>
    </row>
    <row r="552" spans="17:19" x14ac:dyDescent="0.25">
      <c r="Q552" s="147"/>
      <c r="R552" s="126"/>
      <c r="S552" s="126"/>
    </row>
    <row r="553" spans="17:19" x14ac:dyDescent="0.25">
      <c r="Q553" s="147"/>
      <c r="R553" s="126"/>
      <c r="S553" s="126"/>
    </row>
    <row r="554" spans="17:19" x14ac:dyDescent="0.25">
      <c r="Q554" s="147"/>
      <c r="R554" s="126"/>
      <c r="S554" s="126"/>
    </row>
    <row r="555" spans="17:19" x14ac:dyDescent="0.25">
      <c r="Q555" s="147"/>
      <c r="R555" s="126"/>
      <c r="S555" s="126"/>
    </row>
    <row r="556" spans="17:19" x14ac:dyDescent="0.25">
      <c r="Q556" s="147"/>
      <c r="R556" s="126"/>
      <c r="S556" s="126"/>
    </row>
    <row r="557" spans="17:19" x14ac:dyDescent="0.25">
      <c r="Q557" s="147"/>
      <c r="R557" s="126"/>
      <c r="S557" s="126"/>
    </row>
    <row r="558" spans="17:19" x14ac:dyDescent="0.25">
      <c r="Q558" s="147"/>
      <c r="R558" s="126"/>
      <c r="S558" s="126"/>
    </row>
    <row r="559" spans="17:19" x14ac:dyDescent="0.25">
      <c r="Q559" s="147"/>
      <c r="R559" s="126"/>
      <c r="S559" s="126"/>
    </row>
    <row r="560" spans="17:19" x14ac:dyDescent="0.25">
      <c r="Q560" s="147"/>
      <c r="R560" s="126"/>
      <c r="S560" s="126"/>
    </row>
    <row r="561" spans="17:19" x14ac:dyDescent="0.25">
      <c r="Q561" s="153"/>
      <c r="R561" s="126"/>
      <c r="S561" s="126"/>
    </row>
    <row r="562" spans="17:19" x14ac:dyDescent="0.25">
      <c r="Q562" s="132"/>
      <c r="R562" s="126"/>
      <c r="S562" s="126"/>
    </row>
    <row r="563" spans="17:19" x14ac:dyDescent="0.25">
      <c r="Q563" s="152"/>
      <c r="R563" s="126"/>
      <c r="S563" s="126"/>
    </row>
    <row r="564" spans="17:19" x14ac:dyDescent="0.25">
      <c r="Q564" s="147"/>
      <c r="R564" s="126"/>
      <c r="S564" s="126"/>
    </row>
    <row r="565" spans="17:19" x14ac:dyDescent="0.25">
      <c r="Q565" s="147"/>
      <c r="R565" s="126"/>
      <c r="S565" s="126"/>
    </row>
    <row r="566" spans="17:19" x14ac:dyDescent="0.25">
      <c r="Q566" s="147"/>
      <c r="R566" s="126"/>
      <c r="S566" s="126"/>
    </row>
    <row r="567" spans="17:19" x14ac:dyDescent="0.25">
      <c r="Q567" s="147"/>
      <c r="R567" s="126"/>
      <c r="S567" s="126"/>
    </row>
    <row r="568" spans="17:19" x14ac:dyDescent="0.25">
      <c r="Q568" s="147"/>
      <c r="R568" s="126"/>
      <c r="S568" s="126"/>
    </row>
    <row r="569" spans="17:19" x14ac:dyDescent="0.25">
      <c r="Q569" s="147"/>
      <c r="R569" s="126"/>
      <c r="S569" s="126"/>
    </row>
    <row r="570" spans="17:19" x14ac:dyDescent="0.25">
      <c r="Q570" s="147"/>
      <c r="R570" s="126"/>
      <c r="S570" s="126"/>
    </row>
    <row r="571" spans="17:19" x14ac:dyDescent="0.25">
      <c r="Q571" s="147"/>
      <c r="R571" s="126"/>
      <c r="S571" s="126"/>
    </row>
    <row r="572" spans="17:19" x14ac:dyDescent="0.25">
      <c r="Q572" s="147"/>
      <c r="R572" s="126"/>
      <c r="S572" s="126"/>
    </row>
    <row r="573" spans="17:19" x14ac:dyDescent="0.25">
      <c r="Q573" s="147"/>
      <c r="R573" s="126"/>
      <c r="S573" s="126"/>
    </row>
    <row r="574" spans="17:19" x14ac:dyDescent="0.25">
      <c r="Q574" s="147"/>
      <c r="R574" s="126"/>
      <c r="S574" s="126"/>
    </row>
    <row r="575" spans="17:19" x14ac:dyDescent="0.25">
      <c r="Q575" s="147"/>
      <c r="R575" s="126"/>
      <c r="S575" s="126"/>
    </row>
    <row r="576" spans="17:19" x14ac:dyDescent="0.25">
      <c r="Q576" s="147"/>
      <c r="R576" s="126"/>
      <c r="S576" s="126"/>
    </row>
    <row r="577" spans="17:19" x14ac:dyDescent="0.25">
      <c r="Q577" s="147"/>
      <c r="R577" s="126"/>
      <c r="S577" s="126"/>
    </row>
    <row r="578" spans="17:19" x14ac:dyDescent="0.25">
      <c r="Q578" s="147"/>
      <c r="R578" s="126"/>
      <c r="S578" s="126"/>
    </row>
    <row r="579" spans="17:19" x14ac:dyDescent="0.25">
      <c r="Q579" s="153"/>
      <c r="R579" s="126"/>
      <c r="S579" s="126"/>
    </row>
    <row r="580" spans="17:19" x14ac:dyDescent="0.25">
      <c r="Q580" s="132"/>
      <c r="R580" s="126"/>
      <c r="S580" s="126"/>
    </row>
    <row r="581" spans="17:19" x14ac:dyDescent="0.25">
      <c r="Q581" s="152"/>
      <c r="R581" s="126"/>
      <c r="S581" s="126"/>
    </row>
    <row r="582" spans="17:19" x14ac:dyDescent="0.25">
      <c r="Q582" s="147"/>
      <c r="R582" s="126"/>
      <c r="S582" s="126"/>
    </row>
    <row r="583" spans="17:19" x14ac:dyDescent="0.25">
      <c r="Q583" s="147"/>
      <c r="R583" s="126"/>
      <c r="S583" s="126"/>
    </row>
    <row r="584" spans="17:19" x14ac:dyDescent="0.25">
      <c r="Q584" s="147"/>
      <c r="R584" s="126"/>
      <c r="S584" s="126"/>
    </row>
    <row r="585" spans="17:19" x14ac:dyDescent="0.25">
      <c r="Q585" s="147"/>
      <c r="R585" s="126"/>
      <c r="S585" s="126"/>
    </row>
    <row r="586" spans="17:19" x14ac:dyDescent="0.25">
      <c r="Q586" s="147"/>
      <c r="R586" s="126"/>
      <c r="S586" s="126"/>
    </row>
    <row r="587" spans="17:19" x14ac:dyDescent="0.25">
      <c r="Q587" s="147"/>
      <c r="R587" s="126"/>
      <c r="S587" s="126"/>
    </row>
    <row r="588" spans="17:19" x14ac:dyDescent="0.25">
      <c r="Q588" s="147"/>
      <c r="R588" s="126"/>
      <c r="S588" s="126"/>
    </row>
    <row r="589" spans="17:19" x14ac:dyDescent="0.25">
      <c r="Q589" s="147"/>
      <c r="R589" s="126"/>
      <c r="S589" s="126"/>
    </row>
    <row r="590" spans="17:19" x14ac:dyDescent="0.25">
      <c r="Q590" s="147"/>
      <c r="R590" s="126"/>
      <c r="S590" s="126"/>
    </row>
    <row r="591" spans="17:19" x14ac:dyDescent="0.25">
      <c r="Q591" s="147"/>
      <c r="R591" s="126"/>
      <c r="S591" s="126"/>
    </row>
    <row r="592" spans="17:19" x14ac:dyDescent="0.25">
      <c r="Q592" s="147"/>
      <c r="R592" s="126"/>
      <c r="S592" s="126"/>
    </row>
    <row r="593" spans="17:19" x14ac:dyDescent="0.25">
      <c r="Q593" s="147"/>
      <c r="R593" s="126"/>
      <c r="S593" s="126"/>
    </row>
    <row r="594" spans="17:19" x14ac:dyDescent="0.25">
      <c r="Q594" s="147"/>
      <c r="R594" s="126"/>
      <c r="S594" s="126"/>
    </row>
    <row r="595" spans="17:19" x14ac:dyDescent="0.25">
      <c r="Q595" s="147"/>
      <c r="R595" s="126"/>
      <c r="S595" s="126"/>
    </row>
    <row r="596" spans="17:19" x14ac:dyDescent="0.25">
      <c r="Q596" s="147"/>
      <c r="R596" s="126"/>
      <c r="S596" s="126"/>
    </row>
    <row r="597" spans="17:19" x14ac:dyDescent="0.25">
      <c r="Q597" s="153"/>
      <c r="R597" s="126"/>
      <c r="S597" s="126"/>
    </row>
    <row r="598" spans="17:19" x14ac:dyDescent="0.25">
      <c r="Q598" s="132"/>
      <c r="R598" s="126"/>
      <c r="S598" s="126"/>
    </row>
    <row r="599" spans="17:19" x14ac:dyDescent="0.25">
      <c r="Q599" s="152"/>
      <c r="R599" s="126"/>
      <c r="S599" s="126"/>
    </row>
    <row r="600" spans="17:19" x14ac:dyDescent="0.25">
      <c r="Q600" s="147"/>
      <c r="R600" s="126"/>
      <c r="S600" s="126"/>
    </row>
    <row r="601" spans="17:19" x14ac:dyDescent="0.25">
      <c r="Q601" s="147"/>
      <c r="R601" s="126"/>
      <c r="S601" s="126"/>
    </row>
    <row r="602" spans="17:19" x14ac:dyDescent="0.25">
      <c r="Q602" s="147"/>
      <c r="R602" s="126"/>
      <c r="S602" s="126"/>
    </row>
    <row r="603" spans="17:19" x14ac:dyDescent="0.25">
      <c r="Q603" s="147"/>
      <c r="R603" s="126"/>
      <c r="S603" s="126"/>
    </row>
    <row r="604" spans="17:19" x14ac:dyDescent="0.25">
      <c r="Q604" s="147"/>
      <c r="R604" s="126"/>
      <c r="S604" s="126"/>
    </row>
    <row r="605" spans="17:19" x14ac:dyDescent="0.25">
      <c r="Q605" s="147"/>
      <c r="R605" s="126"/>
      <c r="S605" s="126"/>
    </row>
    <row r="606" spans="17:19" x14ac:dyDescent="0.25">
      <c r="Q606" s="147"/>
      <c r="R606" s="126"/>
      <c r="S606" s="126"/>
    </row>
    <row r="607" spans="17:19" x14ac:dyDescent="0.25">
      <c r="Q607" s="147"/>
      <c r="R607" s="126"/>
      <c r="S607" s="126"/>
    </row>
    <row r="608" spans="17:19" x14ac:dyDescent="0.25">
      <c r="Q608" s="147"/>
      <c r="R608" s="126"/>
      <c r="S608" s="126"/>
    </row>
    <row r="609" spans="17:19" x14ac:dyDescent="0.25">
      <c r="Q609" s="147"/>
      <c r="R609" s="126"/>
      <c r="S609" s="126"/>
    </row>
    <row r="610" spans="17:19" x14ac:dyDescent="0.25">
      <c r="Q610" s="147"/>
      <c r="R610" s="126"/>
      <c r="S610" s="126"/>
    </row>
    <row r="611" spans="17:19" x14ac:dyDescent="0.25">
      <c r="Q611" s="147"/>
      <c r="R611" s="126"/>
      <c r="S611" s="126"/>
    </row>
    <row r="612" spans="17:19" x14ac:dyDescent="0.25">
      <c r="Q612" s="147"/>
      <c r="R612" s="126"/>
      <c r="S612" s="126"/>
    </row>
    <row r="613" spans="17:19" x14ac:dyDescent="0.25">
      <c r="Q613" s="147"/>
      <c r="R613" s="126"/>
      <c r="S613" s="126"/>
    </row>
    <row r="614" spans="17:19" x14ac:dyDescent="0.25">
      <c r="Q614" s="147"/>
      <c r="R614" s="126"/>
      <c r="S614" s="126"/>
    </row>
    <row r="615" spans="17:19" x14ac:dyDescent="0.25">
      <c r="Q615" s="153"/>
      <c r="R615" s="126"/>
      <c r="S615" s="126"/>
    </row>
    <row r="616" spans="17:19" x14ac:dyDescent="0.25">
      <c r="Q616" s="132"/>
      <c r="R616" s="126"/>
      <c r="S616" s="126"/>
    </row>
    <row r="617" spans="17:19" x14ac:dyDescent="0.25">
      <c r="Q617" s="152"/>
      <c r="R617" s="126"/>
      <c r="S617" s="126"/>
    </row>
    <row r="618" spans="17:19" x14ac:dyDescent="0.25">
      <c r="Q618" s="147"/>
      <c r="R618" s="126"/>
      <c r="S618" s="126"/>
    </row>
    <row r="619" spans="17:19" x14ac:dyDescent="0.25">
      <c r="Q619" s="147"/>
      <c r="R619" s="126"/>
      <c r="S619" s="126"/>
    </row>
    <row r="620" spans="17:19" x14ac:dyDescent="0.25">
      <c r="Q620" s="147"/>
      <c r="R620" s="126"/>
      <c r="S620" s="126"/>
    </row>
    <row r="621" spans="17:19" x14ac:dyDescent="0.25">
      <c r="Q621" s="147"/>
      <c r="R621" s="126"/>
      <c r="S621" s="126"/>
    </row>
    <row r="622" spans="17:19" x14ac:dyDescent="0.25">
      <c r="Q622" s="147"/>
      <c r="R622" s="126"/>
      <c r="S622" s="126"/>
    </row>
    <row r="623" spans="17:19" x14ac:dyDescent="0.25">
      <c r="Q623" s="147"/>
      <c r="R623" s="126"/>
      <c r="S623" s="126"/>
    </row>
    <row r="624" spans="17:19" x14ac:dyDescent="0.25">
      <c r="Q624" s="147"/>
      <c r="R624" s="126"/>
      <c r="S624" s="126"/>
    </row>
    <row r="625" spans="17:19" x14ac:dyDescent="0.25">
      <c r="Q625" s="147"/>
      <c r="R625" s="126"/>
      <c r="S625" s="126"/>
    </row>
    <row r="626" spans="17:19" x14ac:dyDescent="0.25">
      <c r="Q626" s="147"/>
      <c r="R626" s="126"/>
      <c r="S626" s="126"/>
    </row>
    <row r="627" spans="17:19" x14ac:dyDescent="0.25">
      <c r="Q627" s="147"/>
      <c r="R627" s="126"/>
      <c r="S627" s="126"/>
    </row>
    <row r="628" spans="17:19" x14ac:dyDescent="0.25">
      <c r="Q628" s="147"/>
      <c r="R628" s="126"/>
      <c r="S628" s="126"/>
    </row>
    <row r="629" spans="17:19" x14ac:dyDescent="0.25">
      <c r="Q629" s="147"/>
      <c r="R629" s="126"/>
      <c r="S629" s="126"/>
    </row>
    <row r="630" spans="17:19" x14ac:dyDescent="0.25">
      <c r="Q630" s="147"/>
      <c r="R630" s="126"/>
      <c r="S630" s="126"/>
    </row>
    <row r="631" spans="17:19" x14ac:dyDescent="0.25">
      <c r="Q631" s="147"/>
      <c r="R631" s="126"/>
      <c r="S631" s="126"/>
    </row>
    <row r="632" spans="17:19" x14ac:dyDescent="0.25">
      <c r="Q632" s="147"/>
      <c r="R632" s="126"/>
      <c r="S632" s="126"/>
    </row>
    <row r="633" spans="17:19" x14ac:dyDescent="0.25">
      <c r="Q633" s="153"/>
      <c r="R633" s="126"/>
      <c r="S633" s="126"/>
    </row>
    <row r="634" spans="17:19" x14ac:dyDescent="0.25">
      <c r="Q634" s="132"/>
      <c r="R634" s="126"/>
      <c r="S634" s="126"/>
    </row>
    <row r="635" spans="17:19" x14ac:dyDescent="0.25">
      <c r="Q635" s="152"/>
      <c r="R635" s="126"/>
      <c r="S635" s="126"/>
    </row>
    <row r="636" spans="17:19" x14ac:dyDescent="0.25">
      <c r="Q636" s="147"/>
      <c r="R636" s="126"/>
      <c r="S636" s="126"/>
    </row>
    <row r="637" spans="17:19" x14ac:dyDescent="0.25">
      <c r="Q637" s="147"/>
      <c r="R637" s="126"/>
      <c r="S637" s="126"/>
    </row>
    <row r="638" spans="17:19" x14ac:dyDescent="0.25">
      <c r="Q638" s="147"/>
      <c r="R638" s="126"/>
      <c r="S638" s="126"/>
    </row>
    <row r="639" spans="17:19" x14ac:dyDescent="0.25">
      <c r="Q639" s="147"/>
      <c r="R639" s="126"/>
      <c r="S639" s="126"/>
    </row>
    <row r="640" spans="17:19" x14ac:dyDescent="0.25">
      <c r="Q640" s="147"/>
      <c r="R640" s="126"/>
      <c r="S640" s="126"/>
    </row>
    <row r="641" spans="17:19" x14ac:dyDescent="0.25">
      <c r="Q641" s="147"/>
      <c r="R641" s="126"/>
      <c r="S641" s="126"/>
    </row>
    <row r="642" spans="17:19" x14ac:dyDescent="0.25">
      <c r="Q642" s="147"/>
      <c r="R642" s="126"/>
      <c r="S642" s="126"/>
    </row>
    <row r="643" spans="17:19" x14ac:dyDescent="0.25">
      <c r="Q643" s="147"/>
      <c r="R643" s="126"/>
      <c r="S643" s="126"/>
    </row>
    <row r="644" spans="17:19" x14ac:dyDescent="0.25">
      <c r="Q644" s="147"/>
      <c r="R644" s="126"/>
      <c r="S644" s="126"/>
    </row>
    <row r="645" spans="17:19" x14ac:dyDescent="0.25">
      <c r="Q645" s="147"/>
      <c r="R645" s="126"/>
      <c r="S645" s="126"/>
    </row>
    <row r="646" spans="17:19" x14ac:dyDescent="0.25">
      <c r="Q646" s="147"/>
      <c r="R646" s="126"/>
      <c r="S646" s="126"/>
    </row>
    <row r="647" spans="17:19" x14ac:dyDescent="0.25">
      <c r="Q647" s="147"/>
      <c r="R647" s="126"/>
      <c r="S647" s="126"/>
    </row>
    <row r="648" spans="17:19" x14ac:dyDescent="0.25">
      <c r="Q648" s="147"/>
      <c r="R648" s="126"/>
      <c r="S648" s="126"/>
    </row>
    <row r="649" spans="17:19" x14ac:dyDescent="0.25">
      <c r="Q649" s="147"/>
      <c r="R649" s="126"/>
      <c r="S649" s="126"/>
    </row>
    <row r="650" spans="17:19" x14ac:dyDescent="0.25">
      <c r="Q650" s="147"/>
      <c r="R650" s="126"/>
      <c r="S650" s="126"/>
    </row>
    <row r="651" spans="17:19" x14ac:dyDescent="0.25">
      <c r="Q651" s="153"/>
      <c r="R651" s="126"/>
      <c r="S651" s="126"/>
    </row>
    <row r="652" spans="17:19" x14ac:dyDescent="0.25">
      <c r="Q652" s="132"/>
      <c r="R652" s="126"/>
      <c r="S652" s="126"/>
    </row>
    <row r="653" spans="17:19" x14ac:dyDescent="0.25">
      <c r="Q653" s="152"/>
      <c r="R653" s="126"/>
      <c r="S653" s="126"/>
    </row>
    <row r="654" spans="17:19" x14ac:dyDescent="0.25">
      <c r="Q654" s="147"/>
      <c r="R654" s="126"/>
      <c r="S654" s="126"/>
    </row>
    <row r="655" spans="17:19" x14ac:dyDescent="0.25">
      <c r="Q655" s="147"/>
      <c r="R655" s="126"/>
      <c r="S655" s="126"/>
    </row>
    <row r="656" spans="17:19" x14ac:dyDescent="0.25">
      <c r="Q656" s="147"/>
      <c r="R656" s="126"/>
      <c r="S656" s="126"/>
    </row>
    <row r="657" spans="17:19" x14ac:dyDescent="0.25">
      <c r="Q657" s="147"/>
      <c r="R657" s="126"/>
      <c r="S657" s="126"/>
    </row>
    <row r="658" spans="17:19" x14ac:dyDescent="0.25">
      <c r="Q658" s="147"/>
      <c r="R658" s="126"/>
      <c r="S658" s="126"/>
    </row>
    <row r="659" spans="17:19" x14ac:dyDescent="0.25">
      <c r="Q659" s="147"/>
      <c r="R659" s="126"/>
      <c r="S659" s="126"/>
    </row>
    <row r="660" spans="17:19" x14ac:dyDescent="0.25">
      <c r="Q660" s="147"/>
      <c r="R660" s="126"/>
      <c r="S660" s="126"/>
    </row>
    <row r="661" spans="17:19" x14ac:dyDescent="0.25">
      <c r="Q661" s="147"/>
      <c r="R661" s="126"/>
      <c r="S661" s="126"/>
    </row>
    <row r="662" spans="17:19" x14ac:dyDescent="0.25">
      <c r="Q662" s="147"/>
      <c r="R662" s="126"/>
      <c r="S662" s="126"/>
    </row>
    <row r="663" spans="17:19" x14ac:dyDescent="0.25">
      <c r="Q663" s="147"/>
      <c r="R663" s="126"/>
      <c r="S663" s="126"/>
    </row>
    <row r="664" spans="17:19" x14ac:dyDescent="0.25">
      <c r="Q664" s="147"/>
      <c r="R664" s="126"/>
      <c r="S664" s="126"/>
    </row>
    <row r="665" spans="17:19" x14ac:dyDescent="0.25">
      <c r="Q665" s="147"/>
      <c r="R665" s="126"/>
      <c r="S665" s="126"/>
    </row>
    <row r="666" spans="17:19" x14ac:dyDescent="0.25">
      <c r="Q666" s="147"/>
      <c r="R666" s="126"/>
      <c r="S666" s="126"/>
    </row>
    <row r="667" spans="17:19" x14ac:dyDescent="0.25">
      <c r="Q667" s="147"/>
      <c r="R667" s="126"/>
      <c r="S667" s="126"/>
    </row>
    <row r="668" spans="17:19" x14ac:dyDescent="0.25">
      <c r="Q668" s="147"/>
      <c r="R668" s="126"/>
      <c r="S668" s="126"/>
    </row>
    <row r="669" spans="17:19" x14ac:dyDescent="0.25">
      <c r="Q669" s="153"/>
      <c r="R669" s="126"/>
      <c r="S669" s="126"/>
    </row>
    <row r="670" spans="17:19" x14ac:dyDescent="0.25">
      <c r="Q670" s="132"/>
      <c r="R670" s="126"/>
      <c r="S670" s="126"/>
    </row>
    <row r="671" spans="17:19" x14ac:dyDescent="0.25">
      <c r="Q671" s="152"/>
      <c r="R671" s="126"/>
      <c r="S671" s="126"/>
    </row>
    <row r="672" spans="17:19" x14ac:dyDescent="0.25">
      <c r="Q672" s="147"/>
      <c r="R672" s="126"/>
      <c r="S672" s="126"/>
    </row>
    <row r="673" spans="17:19" x14ac:dyDescent="0.25">
      <c r="Q673" s="147"/>
      <c r="R673" s="126"/>
      <c r="S673" s="126"/>
    </row>
    <row r="674" spans="17:19" x14ac:dyDescent="0.25">
      <c r="Q674" s="147"/>
      <c r="R674" s="126"/>
      <c r="S674" s="126"/>
    </row>
    <row r="675" spans="17:19" x14ac:dyDescent="0.25">
      <c r="Q675" s="147"/>
      <c r="R675" s="126"/>
      <c r="S675" s="126"/>
    </row>
    <row r="676" spans="17:19" x14ac:dyDescent="0.25">
      <c r="Q676" s="147"/>
      <c r="R676" s="126"/>
      <c r="S676" s="126"/>
    </row>
    <row r="677" spans="17:19" x14ac:dyDescent="0.25">
      <c r="Q677" s="147"/>
      <c r="R677" s="126"/>
      <c r="S677" s="126"/>
    </row>
    <row r="678" spans="17:19" x14ac:dyDescent="0.25">
      <c r="Q678" s="147"/>
      <c r="R678" s="126"/>
      <c r="S678" s="126"/>
    </row>
    <row r="679" spans="17:19" x14ac:dyDescent="0.25">
      <c r="Q679" s="147"/>
      <c r="R679" s="126"/>
      <c r="S679" s="126"/>
    </row>
    <row r="680" spans="17:19" x14ac:dyDescent="0.25">
      <c r="Q680" s="147"/>
      <c r="R680" s="126"/>
      <c r="S680" s="126"/>
    </row>
    <row r="681" spans="17:19" x14ac:dyDescent="0.25">
      <c r="Q681" s="147"/>
      <c r="R681" s="126"/>
      <c r="S681" s="126"/>
    </row>
    <row r="682" spans="17:19" x14ac:dyDescent="0.25">
      <c r="Q682" s="147"/>
      <c r="R682" s="126"/>
      <c r="S682" s="126"/>
    </row>
    <row r="683" spans="17:19" x14ac:dyDescent="0.25">
      <c r="Q683" s="147"/>
      <c r="R683" s="126"/>
      <c r="S683" s="126"/>
    </row>
    <row r="684" spans="17:19" x14ac:dyDescent="0.25">
      <c r="Q684" s="147"/>
      <c r="R684" s="126"/>
      <c r="S684" s="126"/>
    </row>
    <row r="685" spans="17:19" x14ac:dyDescent="0.25">
      <c r="Q685" s="147"/>
      <c r="R685" s="126"/>
      <c r="S685" s="126"/>
    </row>
    <row r="686" spans="17:19" x14ac:dyDescent="0.25">
      <c r="Q686" s="147"/>
      <c r="R686" s="126"/>
      <c r="S686" s="126"/>
    </row>
    <row r="687" spans="17:19" x14ac:dyDescent="0.25">
      <c r="Q687" s="153"/>
      <c r="R687" s="126"/>
      <c r="S687" s="126"/>
    </row>
    <row r="688" spans="17:19" x14ac:dyDescent="0.25">
      <c r="Q688" s="132"/>
      <c r="R688" s="126"/>
      <c r="S688" s="126"/>
    </row>
    <row r="689" spans="17:19" x14ac:dyDescent="0.25">
      <c r="Q689" s="152"/>
      <c r="R689" s="126"/>
      <c r="S689" s="126"/>
    </row>
    <row r="690" spans="17:19" x14ac:dyDescent="0.25">
      <c r="Q690" s="147"/>
      <c r="R690" s="126"/>
      <c r="S690" s="126"/>
    </row>
    <row r="691" spans="17:19" x14ac:dyDescent="0.25">
      <c r="Q691" s="147"/>
      <c r="R691" s="126"/>
      <c r="S691" s="126"/>
    </row>
    <row r="692" spans="17:19" x14ac:dyDescent="0.25">
      <c r="Q692" s="147"/>
      <c r="R692" s="126"/>
      <c r="S692" s="126"/>
    </row>
    <row r="693" spans="17:19" x14ac:dyDescent="0.25">
      <c r="Q693" s="147"/>
      <c r="R693" s="126"/>
      <c r="S693" s="126"/>
    </row>
    <row r="694" spans="17:19" x14ac:dyDescent="0.25">
      <c r="Q694" s="147"/>
      <c r="R694" s="126"/>
      <c r="S694" s="126"/>
    </row>
    <row r="695" spans="17:19" x14ac:dyDescent="0.25">
      <c r="Q695" s="147"/>
      <c r="R695" s="126"/>
      <c r="S695" s="126"/>
    </row>
    <row r="696" spans="17:19" x14ac:dyDescent="0.25">
      <c r="Q696" s="147"/>
      <c r="R696" s="126"/>
      <c r="S696" s="126"/>
    </row>
    <row r="697" spans="17:19" x14ac:dyDescent="0.25">
      <c r="Q697" s="147"/>
      <c r="R697" s="126"/>
      <c r="S697" s="126"/>
    </row>
    <row r="698" spans="17:19" x14ac:dyDescent="0.25">
      <c r="Q698" s="147"/>
      <c r="R698" s="126"/>
      <c r="S698" s="126"/>
    </row>
    <row r="699" spans="17:19" x14ac:dyDescent="0.25">
      <c r="Q699" s="147"/>
      <c r="R699" s="126"/>
      <c r="S699" s="126"/>
    </row>
    <row r="700" spans="17:19" x14ac:dyDescent="0.25">
      <c r="Q700" s="147"/>
      <c r="R700" s="126"/>
      <c r="S700" s="126"/>
    </row>
    <row r="701" spans="17:19" x14ac:dyDescent="0.25">
      <c r="Q701" s="147"/>
      <c r="R701" s="126"/>
      <c r="S701" s="126"/>
    </row>
    <row r="702" spans="17:19" x14ac:dyDescent="0.25">
      <c r="Q702" s="147"/>
      <c r="R702" s="126"/>
      <c r="S702" s="126"/>
    </row>
    <row r="703" spans="17:19" x14ac:dyDescent="0.25">
      <c r="Q703" s="147"/>
      <c r="R703" s="126"/>
      <c r="S703" s="126"/>
    </row>
    <row r="704" spans="17:19" x14ac:dyDescent="0.25">
      <c r="Q704" s="147"/>
      <c r="R704" s="126"/>
      <c r="S704" s="126"/>
    </row>
    <row r="705" spans="17:19" x14ac:dyDescent="0.25">
      <c r="Q705" s="153"/>
      <c r="R705" s="126"/>
      <c r="S705" s="126"/>
    </row>
    <row r="706" spans="17:19" x14ac:dyDescent="0.25">
      <c r="Q706" s="132"/>
      <c r="R706" s="126"/>
      <c r="S706" s="126"/>
    </row>
    <row r="707" spans="17:19" x14ac:dyDescent="0.25">
      <c r="Q707" s="152"/>
      <c r="R707" s="126"/>
      <c r="S707" s="126"/>
    </row>
    <row r="708" spans="17:19" x14ac:dyDescent="0.25">
      <c r="Q708" s="147"/>
      <c r="R708" s="126"/>
      <c r="S708" s="126"/>
    </row>
    <row r="709" spans="17:19" x14ac:dyDescent="0.25">
      <c r="Q709" s="147"/>
      <c r="R709" s="126"/>
      <c r="S709" s="126"/>
    </row>
    <row r="710" spans="17:19" x14ac:dyDescent="0.25">
      <c r="Q710" s="147"/>
      <c r="R710" s="126"/>
      <c r="S710" s="126"/>
    </row>
    <row r="711" spans="17:19" x14ac:dyDescent="0.25">
      <c r="Q711" s="147"/>
      <c r="R711" s="126"/>
      <c r="S711" s="126"/>
    </row>
    <row r="712" spans="17:19" x14ac:dyDescent="0.25">
      <c r="Q712" s="147"/>
      <c r="R712" s="126"/>
      <c r="S712" s="126"/>
    </row>
    <row r="713" spans="17:19" x14ac:dyDescent="0.25">
      <c r="Q713" s="147"/>
      <c r="R713" s="126"/>
      <c r="S713" s="126"/>
    </row>
    <row r="714" spans="17:19" x14ac:dyDescent="0.25">
      <c r="Q714" s="147"/>
      <c r="R714" s="126"/>
      <c r="S714" s="126"/>
    </row>
    <row r="715" spans="17:19" x14ac:dyDescent="0.25">
      <c r="Q715" s="147"/>
      <c r="R715" s="126"/>
      <c r="S715" s="126"/>
    </row>
    <row r="716" spans="17:19" x14ac:dyDescent="0.25">
      <c r="Q716" s="147"/>
      <c r="R716" s="126"/>
      <c r="S716" s="126"/>
    </row>
    <row r="717" spans="17:19" x14ac:dyDescent="0.25">
      <c r="Q717" s="147"/>
      <c r="R717" s="126"/>
      <c r="S717" s="126"/>
    </row>
    <row r="718" spans="17:19" x14ac:dyDescent="0.25">
      <c r="Q718" s="147"/>
      <c r="R718" s="126"/>
      <c r="S718" s="126"/>
    </row>
    <row r="719" spans="17:19" x14ac:dyDescent="0.25">
      <c r="Q719" s="147"/>
      <c r="R719" s="126"/>
      <c r="S719" s="126"/>
    </row>
    <row r="720" spans="17:19" x14ac:dyDescent="0.25">
      <c r="Q720" s="147"/>
      <c r="R720" s="126"/>
      <c r="S720" s="126"/>
    </row>
    <row r="721" spans="17:19" x14ac:dyDescent="0.25">
      <c r="Q721" s="147"/>
      <c r="R721" s="126"/>
      <c r="S721" s="126"/>
    </row>
    <row r="722" spans="17:19" x14ac:dyDescent="0.25">
      <c r="Q722" s="147"/>
      <c r="R722" s="126"/>
      <c r="S722" s="126"/>
    </row>
    <row r="723" spans="17:19" x14ac:dyDescent="0.25">
      <c r="Q723" s="153"/>
      <c r="R723" s="126"/>
      <c r="S723" s="126"/>
    </row>
    <row r="724" spans="17:19" x14ac:dyDescent="0.25">
      <c r="Q724" s="132"/>
      <c r="R724" s="126"/>
      <c r="S724" s="126"/>
    </row>
    <row r="725" spans="17:19" x14ac:dyDescent="0.25">
      <c r="Q725" s="152"/>
      <c r="R725" s="126"/>
      <c r="S725" s="126"/>
    </row>
    <row r="726" spans="17:19" x14ac:dyDescent="0.25">
      <c r="Q726" s="147"/>
      <c r="R726" s="126"/>
      <c r="S726" s="126"/>
    </row>
    <row r="727" spans="17:19" x14ac:dyDescent="0.25">
      <c r="Q727" s="147"/>
      <c r="R727" s="126"/>
      <c r="S727" s="126"/>
    </row>
    <row r="728" spans="17:19" x14ac:dyDescent="0.25">
      <c r="Q728" s="147"/>
      <c r="R728" s="126"/>
      <c r="S728" s="126"/>
    </row>
    <row r="729" spans="17:19" x14ac:dyDescent="0.25">
      <c r="Q729" s="147"/>
      <c r="R729" s="126"/>
      <c r="S729" s="126"/>
    </row>
    <row r="730" spans="17:19" x14ac:dyDescent="0.25">
      <c r="Q730" s="147"/>
      <c r="R730" s="126"/>
      <c r="S730" s="126"/>
    </row>
    <row r="731" spans="17:19" x14ac:dyDescent="0.25">
      <c r="Q731" s="147"/>
      <c r="R731" s="126"/>
      <c r="S731" s="126"/>
    </row>
    <row r="732" spans="17:19" x14ac:dyDescent="0.25">
      <c r="Q732" s="147"/>
      <c r="R732" s="126"/>
      <c r="S732" s="126"/>
    </row>
    <row r="733" spans="17:19" x14ac:dyDescent="0.25">
      <c r="Q733" s="147"/>
      <c r="R733" s="126"/>
      <c r="S733" s="126"/>
    </row>
    <row r="734" spans="17:19" x14ac:dyDescent="0.25">
      <c r="Q734" s="147"/>
      <c r="R734" s="126"/>
      <c r="S734" s="126"/>
    </row>
    <row r="735" spans="17:19" x14ac:dyDescent="0.25">
      <c r="Q735" s="147"/>
      <c r="R735" s="126"/>
      <c r="S735" s="126"/>
    </row>
    <row r="736" spans="17:19" x14ac:dyDescent="0.25">
      <c r="Q736" s="147"/>
      <c r="R736" s="126"/>
      <c r="S736" s="126"/>
    </row>
    <row r="737" spans="17:19" x14ac:dyDescent="0.25">
      <c r="Q737" s="147"/>
      <c r="R737" s="126"/>
      <c r="S737" s="126"/>
    </row>
    <row r="738" spans="17:19" x14ac:dyDescent="0.25">
      <c r="Q738" s="147"/>
      <c r="R738" s="126"/>
      <c r="S738" s="126"/>
    </row>
    <row r="739" spans="17:19" x14ac:dyDescent="0.25">
      <c r="Q739" s="147"/>
      <c r="R739" s="126"/>
      <c r="S739" s="126"/>
    </row>
    <row r="740" spans="17:19" x14ac:dyDescent="0.25">
      <c r="Q740" s="147"/>
      <c r="R740" s="126"/>
      <c r="S740" s="126"/>
    </row>
    <row r="741" spans="17:19" x14ac:dyDescent="0.25">
      <c r="Q741" s="153"/>
      <c r="R741" s="126"/>
      <c r="S741" s="126"/>
    </row>
    <row r="742" spans="17:19" x14ac:dyDescent="0.25">
      <c r="Q742" s="132"/>
      <c r="R742" s="126"/>
      <c r="S742" s="126"/>
    </row>
    <row r="743" spans="17:19" x14ac:dyDescent="0.25">
      <c r="Q743" s="152"/>
      <c r="R743" s="126"/>
      <c r="S743" s="126"/>
    </row>
    <row r="744" spans="17:19" x14ac:dyDescent="0.25">
      <c r="Q744" s="147"/>
      <c r="R744" s="126"/>
      <c r="S744" s="126"/>
    </row>
    <row r="745" spans="17:19" x14ac:dyDescent="0.25">
      <c r="Q745" s="147"/>
      <c r="R745" s="126"/>
      <c r="S745" s="126"/>
    </row>
    <row r="746" spans="17:19" x14ac:dyDescent="0.25">
      <c r="Q746" s="147"/>
      <c r="R746" s="126"/>
      <c r="S746" s="126"/>
    </row>
    <row r="747" spans="17:19" x14ac:dyDescent="0.25">
      <c r="Q747" s="147"/>
      <c r="R747" s="126"/>
      <c r="S747" s="126"/>
    </row>
    <row r="748" spans="17:19" x14ac:dyDescent="0.25">
      <c r="Q748" s="147"/>
      <c r="R748" s="126"/>
      <c r="S748" s="126"/>
    </row>
    <row r="749" spans="17:19" x14ac:dyDescent="0.25">
      <c r="Q749" s="147"/>
      <c r="R749" s="126"/>
      <c r="S749" s="126"/>
    </row>
    <row r="750" spans="17:19" x14ac:dyDescent="0.25">
      <c r="Q750" s="147"/>
      <c r="R750" s="126"/>
      <c r="S750" s="126"/>
    </row>
    <row r="751" spans="17:19" x14ac:dyDescent="0.25">
      <c r="Q751" s="147"/>
      <c r="R751" s="126"/>
      <c r="S751" s="126"/>
    </row>
    <row r="752" spans="17:19" x14ac:dyDescent="0.25">
      <c r="Q752" s="147"/>
      <c r="R752" s="126"/>
      <c r="S752" s="126"/>
    </row>
    <row r="753" spans="17:19" x14ac:dyDescent="0.25">
      <c r="Q753" s="147"/>
      <c r="R753" s="126"/>
      <c r="S753" s="126"/>
    </row>
    <row r="754" spans="17:19" x14ac:dyDescent="0.25">
      <c r="Q754" s="147"/>
      <c r="R754" s="126"/>
      <c r="S754" s="126"/>
    </row>
    <row r="755" spans="17:19" x14ac:dyDescent="0.25">
      <c r="Q755" s="147"/>
      <c r="R755" s="126"/>
      <c r="S755" s="126"/>
    </row>
    <row r="756" spans="17:19" x14ac:dyDescent="0.25">
      <c r="Q756" s="147"/>
      <c r="R756" s="126"/>
      <c r="S756" s="126"/>
    </row>
    <row r="757" spans="17:19" x14ac:dyDescent="0.25">
      <c r="Q757" s="147"/>
      <c r="R757" s="126"/>
      <c r="S757" s="126"/>
    </row>
    <row r="758" spans="17:19" x14ac:dyDescent="0.25">
      <c r="Q758" s="147"/>
      <c r="R758" s="126"/>
      <c r="S758" s="126"/>
    </row>
    <row r="759" spans="17:19" x14ac:dyDescent="0.25">
      <c r="Q759" s="153"/>
      <c r="R759" s="126"/>
      <c r="S759" s="126"/>
    </row>
    <row r="760" spans="17:19" x14ac:dyDescent="0.25">
      <c r="Q760" s="132"/>
      <c r="R760" s="126"/>
      <c r="S760" s="126"/>
    </row>
    <row r="761" spans="17:19" x14ac:dyDescent="0.25">
      <c r="Q761" s="152"/>
      <c r="R761" s="126"/>
      <c r="S761" s="126"/>
    </row>
    <row r="762" spans="17:19" x14ac:dyDescent="0.25">
      <c r="Q762" s="147"/>
      <c r="R762" s="126"/>
      <c r="S762" s="126"/>
    </row>
    <row r="763" spans="17:19" x14ac:dyDescent="0.25">
      <c r="Q763" s="147"/>
      <c r="R763" s="126"/>
      <c r="S763" s="126"/>
    </row>
    <row r="764" spans="17:19" x14ac:dyDescent="0.25">
      <c r="Q764" s="147"/>
      <c r="R764" s="126"/>
      <c r="S764" s="126"/>
    </row>
    <row r="765" spans="17:19" x14ac:dyDescent="0.25">
      <c r="Q765" s="147"/>
      <c r="R765" s="126"/>
      <c r="S765" s="126"/>
    </row>
    <row r="766" spans="17:19" x14ac:dyDescent="0.25">
      <c r="Q766" s="147"/>
      <c r="R766" s="126"/>
      <c r="S766" s="126"/>
    </row>
    <row r="767" spans="17:19" x14ac:dyDescent="0.25">
      <c r="Q767" s="147"/>
      <c r="R767" s="126"/>
      <c r="S767" s="126"/>
    </row>
    <row r="768" spans="17:19" x14ac:dyDescent="0.25">
      <c r="Q768" s="147"/>
      <c r="R768" s="126"/>
      <c r="S768" s="126"/>
    </row>
    <row r="769" spans="17:19" x14ac:dyDescent="0.25">
      <c r="Q769" s="147"/>
      <c r="R769" s="126"/>
      <c r="S769" s="126"/>
    </row>
    <row r="770" spans="17:19" x14ac:dyDescent="0.25">
      <c r="Q770" s="147"/>
      <c r="R770" s="126"/>
      <c r="S770" s="126"/>
    </row>
    <row r="771" spans="17:19" x14ac:dyDescent="0.25">
      <c r="Q771" s="147"/>
      <c r="R771" s="126"/>
      <c r="S771" s="126"/>
    </row>
    <row r="772" spans="17:19" x14ac:dyDescent="0.25">
      <c r="Q772" s="147"/>
      <c r="R772" s="126"/>
      <c r="S772" s="126"/>
    </row>
    <row r="773" spans="17:19" x14ac:dyDescent="0.25">
      <c r="Q773" s="147"/>
      <c r="R773" s="126"/>
      <c r="S773" s="126"/>
    </row>
    <row r="774" spans="17:19" x14ac:dyDescent="0.25">
      <c r="Q774" s="147"/>
      <c r="R774" s="126"/>
      <c r="S774" s="126"/>
    </row>
    <row r="775" spans="17:19" x14ac:dyDescent="0.25">
      <c r="Q775" s="147"/>
      <c r="R775" s="126"/>
      <c r="S775" s="126"/>
    </row>
    <row r="776" spans="17:19" x14ac:dyDescent="0.25">
      <c r="Q776" s="147"/>
      <c r="R776" s="126"/>
      <c r="S776" s="126"/>
    </row>
    <row r="777" spans="17:19" x14ac:dyDescent="0.25">
      <c r="Q777" s="153"/>
      <c r="R777" s="126"/>
      <c r="S777" s="126"/>
    </row>
    <row r="778" spans="17:19" x14ac:dyDescent="0.25">
      <c r="Q778" s="132"/>
      <c r="R778" s="126"/>
      <c r="S778" s="126"/>
    </row>
    <row r="779" spans="17:19" x14ac:dyDescent="0.25">
      <c r="Q779" s="152"/>
      <c r="R779" s="126"/>
      <c r="S779" s="126"/>
    </row>
    <row r="780" spans="17:19" x14ac:dyDescent="0.25">
      <c r="Q780" s="147"/>
      <c r="R780" s="126"/>
      <c r="S780" s="126"/>
    </row>
    <row r="781" spans="17:19" x14ac:dyDescent="0.25">
      <c r="Q781" s="147"/>
      <c r="R781" s="126"/>
      <c r="S781" s="126"/>
    </row>
    <row r="782" spans="17:19" x14ac:dyDescent="0.25">
      <c r="Q782" s="147"/>
      <c r="R782" s="126"/>
      <c r="S782" s="126"/>
    </row>
    <row r="783" spans="17:19" x14ac:dyDescent="0.25">
      <c r="Q783" s="147"/>
      <c r="R783" s="126"/>
      <c r="S783" s="126"/>
    </row>
    <row r="784" spans="17:19" x14ac:dyDescent="0.25">
      <c r="Q784" s="147"/>
      <c r="R784" s="126"/>
      <c r="S784" s="126"/>
    </row>
    <row r="785" spans="17:19" x14ac:dyDescent="0.25">
      <c r="Q785" s="147"/>
      <c r="R785" s="126"/>
      <c r="S785" s="126"/>
    </row>
    <row r="786" spans="17:19" x14ac:dyDescent="0.25">
      <c r="Q786" s="147"/>
      <c r="R786" s="126"/>
      <c r="S786" s="126"/>
    </row>
    <row r="787" spans="17:19" x14ac:dyDescent="0.25">
      <c r="Q787" s="147"/>
      <c r="R787" s="126"/>
      <c r="S787" s="126"/>
    </row>
    <row r="788" spans="17:19" x14ac:dyDescent="0.25">
      <c r="Q788" s="147"/>
      <c r="R788" s="126"/>
      <c r="S788" s="126"/>
    </row>
    <row r="789" spans="17:19" x14ac:dyDescent="0.25">
      <c r="Q789" s="147"/>
      <c r="R789" s="126"/>
      <c r="S789" s="126"/>
    </row>
    <row r="790" spans="17:19" x14ac:dyDescent="0.25">
      <c r="Q790" s="147"/>
      <c r="R790" s="126"/>
      <c r="S790" s="126"/>
    </row>
    <row r="791" spans="17:19" x14ac:dyDescent="0.25">
      <c r="Q791" s="147"/>
      <c r="R791" s="126"/>
      <c r="S791" s="126"/>
    </row>
    <row r="792" spans="17:19" x14ac:dyDescent="0.25">
      <c r="Q792" s="147"/>
      <c r="R792" s="126"/>
      <c r="S792" s="126"/>
    </row>
    <row r="793" spans="17:19" x14ac:dyDescent="0.25">
      <c r="Q793" s="147"/>
      <c r="R793" s="126"/>
      <c r="S793" s="126"/>
    </row>
    <row r="794" spans="17:19" x14ac:dyDescent="0.25">
      <c r="Q794" s="147"/>
      <c r="R794" s="126"/>
      <c r="S794" s="126"/>
    </row>
    <row r="795" spans="17:19" x14ac:dyDescent="0.25">
      <c r="Q795" s="153"/>
      <c r="R795" s="126"/>
      <c r="S795" s="126"/>
    </row>
    <row r="796" spans="17:19" x14ac:dyDescent="0.25">
      <c r="Q796" s="132"/>
      <c r="R796" s="126"/>
      <c r="S796" s="126"/>
    </row>
    <row r="797" spans="17:19" x14ac:dyDescent="0.25">
      <c r="Q797" s="152"/>
      <c r="R797" s="126"/>
      <c r="S797" s="126"/>
    </row>
    <row r="798" spans="17:19" x14ac:dyDescent="0.25">
      <c r="Q798" s="147"/>
      <c r="R798" s="126"/>
      <c r="S798" s="126"/>
    </row>
    <row r="799" spans="17:19" x14ac:dyDescent="0.25">
      <c r="Q799" s="147"/>
      <c r="R799" s="126"/>
      <c r="S799" s="126"/>
    </row>
    <row r="800" spans="17:19" x14ac:dyDescent="0.25">
      <c r="Q800" s="147"/>
      <c r="R800" s="126"/>
      <c r="S800" s="126"/>
    </row>
    <row r="801" spans="17:19" x14ac:dyDescent="0.25">
      <c r="Q801" s="147"/>
      <c r="R801" s="126"/>
      <c r="S801" s="126"/>
    </row>
    <row r="802" spans="17:19" x14ac:dyDescent="0.25">
      <c r="Q802" s="147"/>
      <c r="R802" s="126"/>
      <c r="S802" s="126"/>
    </row>
    <row r="803" spans="17:19" x14ac:dyDescent="0.25">
      <c r="Q803" s="147"/>
      <c r="R803" s="126"/>
      <c r="S803" s="126"/>
    </row>
    <row r="804" spans="17:19" x14ac:dyDescent="0.25">
      <c r="Q804" s="147"/>
      <c r="R804" s="126"/>
      <c r="S804" s="126"/>
    </row>
    <row r="805" spans="17:19" x14ac:dyDescent="0.25">
      <c r="Q805" s="147"/>
      <c r="R805" s="126"/>
      <c r="S805" s="126"/>
    </row>
    <row r="806" spans="17:19" x14ac:dyDescent="0.25">
      <c r="Q806" s="147"/>
      <c r="R806" s="126"/>
      <c r="S806" s="126"/>
    </row>
    <row r="807" spans="17:19" x14ac:dyDescent="0.25">
      <c r="Q807" s="147"/>
      <c r="R807" s="126"/>
      <c r="S807" s="126"/>
    </row>
    <row r="808" spans="17:19" x14ac:dyDescent="0.25">
      <c r="Q808" s="147"/>
      <c r="R808" s="126"/>
      <c r="S808" s="126"/>
    </row>
    <row r="809" spans="17:19" x14ac:dyDescent="0.25">
      <c r="Q809" s="147"/>
      <c r="R809" s="126"/>
      <c r="S809" s="126"/>
    </row>
    <row r="810" spans="17:19" x14ac:dyDescent="0.25">
      <c r="Q810" s="147"/>
      <c r="R810" s="126"/>
      <c r="S810" s="126"/>
    </row>
    <row r="811" spans="17:19" x14ac:dyDescent="0.25">
      <c r="Q811" s="147"/>
      <c r="R811" s="126"/>
      <c r="S811" s="126"/>
    </row>
    <row r="812" spans="17:19" x14ac:dyDescent="0.25">
      <c r="Q812" s="147"/>
      <c r="R812" s="126"/>
      <c r="S812" s="126"/>
    </row>
    <row r="813" spans="17:19" x14ac:dyDescent="0.25">
      <c r="Q813" s="153"/>
      <c r="R813" s="126"/>
      <c r="S813" s="126"/>
    </row>
    <row r="814" spans="17:19" x14ac:dyDescent="0.25">
      <c r="Q814" s="132"/>
      <c r="R814" s="126"/>
      <c r="S814" s="126"/>
    </row>
    <row r="815" spans="17:19" x14ac:dyDescent="0.25">
      <c r="Q815" s="152"/>
      <c r="R815" s="126"/>
      <c r="S815" s="126"/>
    </row>
    <row r="816" spans="17:19" x14ac:dyDescent="0.25">
      <c r="Q816" s="147"/>
      <c r="R816" s="126"/>
      <c r="S816" s="126"/>
    </row>
    <row r="817" spans="17:19" x14ac:dyDescent="0.25">
      <c r="Q817" s="147"/>
      <c r="R817" s="126"/>
      <c r="S817" s="126"/>
    </row>
    <row r="818" spans="17:19" x14ac:dyDescent="0.25">
      <c r="Q818" s="147"/>
      <c r="R818" s="126"/>
      <c r="S818" s="126"/>
    </row>
    <row r="819" spans="17:19" x14ac:dyDescent="0.25">
      <c r="Q819" s="147"/>
      <c r="R819" s="126"/>
      <c r="S819" s="126"/>
    </row>
    <row r="820" spans="17:19" x14ac:dyDescent="0.25">
      <c r="Q820" s="147"/>
      <c r="R820" s="126"/>
      <c r="S820" s="126"/>
    </row>
    <row r="821" spans="17:19" x14ac:dyDescent="0.25">
      <c r="Q821" s="147"/>
      <c r="R821" s="126"/>
      <c r="S821" s="126"/>
    </row>
    <row r="822" spans="17:19" x14ac:dyDescent="0.25">
      <c r="Q822" s="147"/>
      <c r="R822" s="126"/>
      <c r="S822" s="126"/>
    </row>
    <row r="823" spans="17:19" x14ac:dyDescent="0.25">
      <c r="Q823" s="147"/>
      <c r="R823" s="126"/>
      <c r="S823" s="126"/>
    </row>
    <row r="824" spans="17:19" x14ac:dyDescent="0.25">
      <c r="Q824" s="147"/>
      <c r="R824" s="126"/>
      <c r="S824" s="126"/>
    </row>
    <row r="825" spans="17:19" x14ac:dyDescent="0.25">
      <c r="Q825" s="147"/>
      <c r="R825" s="126"/>
      <c r="S825" s="126"/>
    </row>
    <row r="826" spans="17:19" x14ac:dyDescent="0.25">
      <c r="Q826" s="147"/>
      <c r="R826" s="126"/>
      <c r="S826" s="126"/>
    </row>
    <row r="827" spans="17:19" x14ac:dyDescent="0.25">
      <c r="Q827" s="147"/>
      <c r="R827" s="126"/>
      <c r="S827" s="126"/>
    </row>
    <row r="828" spans="17:19" x14ac:dyDescent="0.25">
      <c r="Q828" s="147"/>
      <c r="R828" s="126"/>
      <c r="S828" s="126"/>
    </row>
    <row r="829" spans="17:19" x14ac:dyDescent="0.25">
      <c r="Q829" s="147"/>
      <c r="R829" s="126"/>
      <c r="S829" s="126"/>
    </row>
    <row r="830" spans="17:19" x14ac:dyDescent="0.25">
      <c r="Q830" s="147"/>
      <c r="R830" s="126"/>
      <c r="S830" s="126"/>
    </row>
    <row r="831" spans="17:19" x14ac:dyDescent="0.25">
      <c r="Q831" s="153"/>
      <c r="R831" s="126"/>
      <c r="S831" s="126"/>
    </row>
    <row r="832" spans="17:19" x14ac:dyDescent="0.25">
      <c r="Q832" s="132"/>
      <c r="R832" s="126"/>
      <c r="S832" s="126"/>
    </row>
    <row r="833" spans="17:19" x14ac:dyDescent="0.25">
      <c r="Q833" s="152"/>
      <c r="R833" s="126"/>
      <c r="S833" s="126"/>
    </row>
    <row r="834" spans="17:19" x14ac:dyDescent="0.25">
      <c r="Q834" s="147"/>
      <c r="R834" s="126"/>
      <c r="S834" s="126"/>
    </row>
    <row r="835" spans="17:19" x14ac:dyDescent="0.25">
      <c r="Q835" s="147"/>
      <c r="R835" s="126"/>
      <c r="S835" s="126"/>
    </row>
    <row r="836" spans="17:19" x14ac:dyDescent="0.25">
      <c r="Q836" s="147"/>
      <c r="R836" s="126"/>
      <c r="S836" s="126"/>
    </row>
    <row r="837" spans="17:19" x14ac:dyDescent="0.25">
      <c r="Q837" s="147"/>
      <c r="R837" s="126"/>
      <c r="S837" s="126"/>
    </row>
    <row r="838" spans="17:19" x14ac:dyDescent="0.25">
      <c r="Q838" s="147"/>
      <c r="R838" s="126"/>
      <c r="S838" s="126"/>
    </row>
    <row r="839" spans="17:19" x14ac:dyDescent="0.25">
      <c r="Q839" s="147"/>
      <c r="R839" s="126"/>
      <c r="S839" s="126"/>
    </row>
    <row r="840" spans="17:19" x14ac:dyDescent="0.25">
      <c r="Q840" s="147"/>
      <c r="R840" s="126"/>
      <c r="S840" s="126"/>
    </row>
    <row r="841" spans="17:19" x14ac:dyDescent="0.25">
      <c r="Q841" s="147"/>
      <c r="R841" s="126"/>
      <c r="S841" s="126"/>
    </row>
    <row r="842" spans="17:19" x14ac:dyDescent="0.25">
      <c r="Q842" s="147"/>
      <c r="R842" s="126"/>
      <c r="S842" s="126"/>
    </row>
    <row r="843" spans="17:19" x14ac:dyDescent="0.25">
      <c r="Q843" s="147"/>
      <c r="R843" s="126"/>
      <c r="S843" s="126"/>
    </row>
    <row r="844" spans="17:19" x14ac:dyDescent="0.25">
      <c r="Q844" s="147"/>
      <c r="R844" s="126"/>
      <c r="S844" s="126"/>
    </row>
    <row r="845" spans="17:19" x14ac:dyDescent="0.25">
      <c r="Q845" s="147"/>
      <c r="R845" s="126"/>
      <c r="S845" s="126"/>
    </row>
    <row r="846" spans="17:19" x14ac:dyDescent="0.25">
      <c r="Q846" s="147"/>
      <c r="R846" s="126"/>
      <c r="S846" s="126"/>
    </row>
    <row r="847" spans="17:19" x14ac:dyDescent="0.25">
      <c r="Q847" s="147"/>
      <c r="R847" s="126"/>
      <c r="S847" s="126"/>
    </row>
    <row r="848" spans="17:19" x14ac:dyDescent="0.25">
      <c r="Q848" s="147"/>
      <c r="R848" s="126"/>
      <c r="S848" s="126"/>
    </row>
    <row r="849" spans="17:19" x14ac:dyDescent="0.25">
      <c r="Q849" s="153"/>
      <c r="R849" s="126"/>
      <c r="S849" s="126"/>
    </row>
    <row r="850" spans="17:19" x14ac:dyDescent="0.25">
      <c r="Q850" s="132"/>
      <c r="R850" s="126"/>
      <c r="S850" s="126"/>
    </row>
    <row r="851" spans="17:19" x14ac:dyDescent="0.25">
      <c r="Q851" s="152"/>
      <c r="R851" s="126"/>
      <c r="S851" s="126"/>
    </row>
    <row r="852" spans="17:19" x14ac:dyDescent="0.25">
      <c r="Q852" s="147"/>
      <c r="R852" s="126"/>
      <c r="S852" s="126"/>
    </row>
    <row r="853" spans="17:19" x14ac:dyDescent="0.25">
      <c r="Q853" s="147"/>
      <c r="R853" s="126"/>
      <c r="S853" s="126"/>
    </row>
    <row r="854" spans="17:19" x14ac:dyDescent="0.25">
      <c r="Q854" s="147"/>
      <c r="R854" s="126"/>
      <c r="S854" s="126"/>
    </row>
    <row r="855" spans="17:19" x14ac:dyDescent="0.25">
      <c r="Q855" s="147"/>
      <c r="R855" s="126"/>
      <c r="S855" s="126"/>
    </row>
    <row r="856" spans="17:19" x14ac:dyDescent="0.25">
      <c r="Q856" s="147"/>
      <c r="R856" s="126"/>
      <c r="S856" s="126"/>
    </row>
    <row r="857" spans="17:19" x14ac:dyDescent="0.25">
      <c r="Q857" s="147"/>
      <c r="R857" s="126"/>
      <c r="S857" s="126"/>
    </row>
    <row r="858" spans="17:19" x14ac:dyDescent="0.25">
      <c r="Q858" s="147"/>
      <c r="R858" s="126"/>
      <c r="S858" s="126"/>
    </row>
    <row r="859" spans="17:19" x14ac:dyDescent="0.25">
      <c r="Q859" s="147"/>
      <c r="R859" s="126"/>
      <c r="S859" s="126"/>
    </row>
    <row r="860" spans="17:19" x14ac:dyDescent="0.25">
      <c r="Q860" s="147"/>
      <c r="R860" s="126"/>
      <c r="S860" s="126"/>
    </row>
    <row r="861" spans="17:19" x14ac:dyDescent="0.25">
      <c r="Q861" s="147"/>
      <c r="R861" s="126"/>
      <c r="S861" s="126"/>
    </row>
    <row r="862" spans="17:19" x14ac:dyDescent="0.25">
      <c r="Q862" s="147"/>
      <c r="R862" s="126"/>
      <c r="S862" s="126"/>
    </row>
    <row r="863" spans="17:19" x14ac:dyDescent="0.25">
      <c r="Q863" s="147"/>
      <c r="R863" s="126"/>
      <c r="S863" s="126"/>
    </row>
    <row r="864" spans="17:19" x14ac:dyDescent="0.25">
      <c r="Q864" s="147"/>
      <c r="R864" s="126"/>
      <c r="S864" s="126"/>
    </row>
    <row r="865" spans="17:19" x14ac:dyDescent="0.25">
      <c r="Q865" s="147"/>
      <c r="R865" s="126"/>
      <c r="S865" s="126"/>
    </row>
    <row r="866" spans="17:19" x14ac:dyDescent="0.25">
      <c r="Q866" s="147"/>
      <c r="R866" s="126"/>
      <c r="S866" s="126"/>
    </row>
    <row r="867" spans="17:19" x14ac:dyDescent="0.25">
      <c r="Q867" s="153"/>
      <c r="R867" s="126"/>
      <c r="S867" s="126"/>
    </row>
    <row r="868" spans="17:19" x14ac:dyDescent="0.25">
      <c r="Q868" s="132"/>
      <c r="R868" s="126"/>
      <c r="S868" s="126"/>
    </row>
    <row r="869" spans="17:19" x14ac:dyDescent="0.25">
      <c r="Q869" s="152"/>
      <c r="R869" s="126"/>
      <c r="S869" s="126"/>
    </row>
    <row r="870" spans="17:19" x14ac:dyDescent="0.25">
      <c r="Q870" s="147"/>
      <c r="R870" s="126"/>
      <c r="S870" s="126"/>
    </row>
    <row r="871" spans="17:19" x14ac:dyDescent="0.25">
      <c r="Q871" s="147"/>
      <c r="R871" s="126"/>
      <c r="S871" s="126"/>
    </row>
    <row r="872" spans="17:19" x14ac:dyDescent="0.25">
      <c r="Q872" s="147"/>
      <c r="R872" s="126"/>
      <c r="S872" s="126"/>
    </row>
    <row r="873" spans="17:19" x14ac:dyDescent="0.25">
      <c r="Q873" s="147"/>
      <c r="R873" s="126"/>
      <c r="S873" s="126"/>
    </row>
    <row r="874" spans="17:19" x14ac:dyDescent="0.25">
      <c r="Q874" s="147"/>
      <c r="R874" s="126"/>
      <c r="S874" s="126"/>
    </row>
    <row r="875" spans="17:19" x14ac:dyDescent="0.25">
      <c r="Q875" s="147"/>
      <c r="R875" s="126"/>
      <c r="S875" s="126"/>
    </row>
    <row r="876" spans="17:19" x14ac:dyDescent="0.25">
      <c r="Q876" s="147"/>
      <c r="R876" s="126"/>
      <c r="S876" s="126"/>
    </row>
    <row r="877" spans="17:19" x14ac:dyDescent="0.25">
      <c r="Q877" s="147"/>
      <c r="R877" s="126"/>
      <c r="S877" s="126"/>
    </row>
    <row r="878" spans="17:19" x14ac:dyDescent="0.25">
      <c r="Q878" s="147"/>
      <c r="R878" s="126"/>
      <c r="S878" s="126"/>
    </row>
    <row r="879" spans="17:19" x14ac:dyDescent="0.25">
      <c r="Q879" s="147"/>
      <c r="R879" s="126"/>
      <c r="S879" s="126"/>
    </row>
    <row r="880" spans="17:19" x14ac:dyDescent="0.25">
      <c r="Q880" s="147"/>
      <c r="R880" s="126"/>
      <c r="S880" s="126"/>
    </row>
    <row r="881" spans="17:19" x14ac:dyDescent="0.25">
      <c r="Q881" s="147"/>
      <c r="R881" s="126"/>
      <c r="S881" s="126"/>
    </row>
    <row r="882" spans="17:19" x14ac:dyDescent="0.25">
      <c r="Q882" s="147"/>
      <c r="R882" s="126"/>
      <c r="S882" s="126"/>
    </row>
    <row r="883" spans="17:19" x14ac:dyDescent="0.25">
      <c r="Q883" s="147"/>
      <c r="R883" s="126"/>
      <c r="S883" s="126"/>
    </row>
    <row r="884" spans="17:19" x14ac:dyDescent="0.25">
      <c r="Q884" s="147"/>
      <c r="R884" s="126"/>
      <c r="S884" s="126"/>
    </row>
    <row r="885" spans="17:19" x14ac:dyDescent="0.25">
      <c r="Q885" s="153"/>
      <c r="R885" s="126"/>
      <c r="S885" s="126"/>
    </row>
    <row r="886" spans="17:19" x14ac:dyDescent="0.25">
      <c r="Q886" s="132"/>
      <c r="R886" s="126"/>
      <c r="S886" s="126"/>
    </row>
    <row r="887" spans="17:19" x14ac:dyDescent="0.25">
      <c r="Q887" s="152"/>
      <c r="R887" s="126"/>
      <c r="S887" s="126"/>
    </row>
    <row r="888" spans="17:19" x14ac:dyDescent="0.25">
      <c r="Q888" s="147"/>
      <c r="R888" s="126"/>
      <c r="S888" s="126"/>
    </row>
    <row r="889" spans="17:19" x14ac:dyDescent="0.25">
      <c r="Q889" s="147"/>
      <c r="R889" s="126"/>
      <c r="S889" s="126"/>
    </row>
    <row r="890" spans="17:19" x14ac:dyDescent="0.25">
      <c r="Q890" s="147"/>
      <c r="R890" s="126"/>
      <c r="S890" s="126"/>
    </row>
    <row r="891" spans="17:19" x14ac:dyDescent="0.25">
      <c r="Q891" s="147"/>
      <c r="R891" s="126"/>
      <c r="S891" s="126"/>
    </row>
    <row r="892" spans="17:19" x14ac:dyDescent="0.25">
      <c r="Q892" s="147"/>
      <c r="R892" s="126"/>
      <c r="S892" s="126"/>
    </row>
    <row r="893" spans="17:19" x14ac:dyDescent="0.25">
      <c r="Q893" s="147"/>
      <c r="R893" s="126"/>
      <c r="S893" s="126"/>
    </row>
    <row r="894" spans="17:19" x14ac:dyDescent="0.25">
      <c r="Q894" s="147"/>
      <c r="R894" s="126"/>
      <c r="S894" s="126"/>
    </row>
    <row r="895" spans="17:19" x14ac:dyDescent="0.25">
      <c r="Q895" s="147"/>
      <c r="R895" s="126"/>
      <c r="S895" s="126"/>
    </row>
    <row r="896" spans="17:19" x14ac:dyDescent="0.25">
      <c r="Q896" s="147"/>
      <c r="R896" s="126"/>
      <c r="S896" s="126"/>
    </row>
    <row r="897" spans="17:19" x14ac:dyDescent="0.25">
      <c r="Q897" s="147"/>
      <c r="R897" s="126"/>
      <c r="S897" s="126"/>
    </row>
    <row r="898" spans="17:19" x14ac:dyDescent="0.25">
      <c r="Q898" s="147"/>
      <c r="R898" s="126"/>
      <c r="S898" s="126"/>
    </row>
    <row r="899" spans="17:19" x14ac:dyDescent="0.25">
      <c r="Q899" s="147"/>
      <c r="R899" s="126"/>
      <c r="S899" s="126"/>
    </row>
    <row r="900" spans="17:19" x14ac:dyDescent="0.25">
      <c r="Q900" s="147"/>
      <c r="R900" s="126"/>
      <c r="S900" s="126"/>
    </row>
    <row r="901" spans="17:19" x14ac:dyDescent="0.25">
      <c r="Q901" s="147"/>
      <c r="R901" s="126"/>
      <c r="S901" s="126"/>
    </row>
    <row r="902" spans="17:19" x14ac:dyDescent="0.25">
      <c r="Q902" s="147"/>
      <c r="R902" s="126"/>
      <c r="S902" s="126"/>
    </row>
    <row r="903" spans="17:19" x14ac:dyDescent="0.25">
      <c r="Q903" s="153"/>
      <c r="R903" s="126"/>
      <c r="S903" s="126"/>
    </row>
    <row r="904" spans="17:19" x14ac:dyDescent="0.25">
      <c r="Q904" s="132"/>
      <c r="R904" s="126"/>
      <c r="S904" s="126"/>
    </row>
    <row r="905" spans="17:19" x14ac:dyDescent="0.25">
      <c r="Q905" s="152"/>
      <c r="R905" s="126"/>
      <c r="S905" s="126"/>
    </row>
    <row r="906" spans="17:19" x14ac:dyDescent="0.25">
      <c r="Q906" s="147"/>
      <c r="R906" s="126"/>
      <c r="S906" s="126"/>
    </row>
    <row r="907" spans="17:19" x14ac:dyDescent="0.25">
      <c r="Q907" s="147"/>
      <c r="R907" s="126"/>
      <c r="S907" s="126"/>
    </row>
    <row r="908" spans="17:19" x14ac:dyDescent="0.25">
      <c r="Q908" s="147"/>
      <c r="R908" s="126"/>
      <c r="S908" s="126"/>
    </row>
    <row r="909" spans="17:19" x14ac:dyDescent="0.25">
      <c r="Q909" s="147"/>
      <c r="R909" s="126"/>
      <c r="S909" s="126"/>
    </row>
    <row r="910" spans="17:19" x14ac:dyDescent="0.25">
      <c r="Q910" s="147"/>
      <c r="R910" s="126"/>
      <c r="S910" s="126"/>
    </row>
    <row r="911" spans="17:19" x14ac:dyDescent="0.25">
      <c r="Q911" s="147"/>
      <c r="R911" s="126"/>
      <c r="S911" s="126"/>
    </row>
    <row r="912" spans="17:19" x14ac:dyDescent="0.25">
      <c r="Q912" s="147"/>
      <c r="R912" s="126"/>
      <c r="S912" s="126"/>
    </row>
    <row r="913" spans="17:19" x14ac:dyDescent="0.25">
      <c r="Q913" s="147"/>
      <c r="R913" s="126"/>
      <c r="S913" s="126"/>
    </row>
    <row r="914" spans="17:19" x14ac:dyDescent="0.25">
      <c r="Q914" s="147"/>
      <c r="R914" s="126"/>
      <c r="S914" s="126"/>
    </row>
    <row r="915" spans="17:19" x14ac:dyDescent="0.25">
      <c r="Q915" s="147"/>
      <c r="R915" s="126"/>
      <c r="S915" s="126"/>
    </row>
    <row r="916" spans="17:19" x14ac:dyDescent="0.25">
      <c r="Q916" s="147"/>
      <c r="R916" s="126"/>
      <c r="S916" s="126"/>
    </row>
    <row r="917" spans="17:19" x14ac:dyDescent="0.25">
      <c r="Q917" s="147"/>
      <c r="R917" s="126"/>
      <c r="S917" s="126"/>
    </row>
    <row r="918" spans="17:19" x14ac:dyDescent="0.25">
      <c r="Q918" s="147"/>
      <c r="R918" s="126"/>
      <c r="S918" s="126"/>
    </row>
    <row r="919" spans="17:19" x14ac:dyDescent="0.25">
      <c r="Q919" s="147"/>
      <c r="R919" s="126"/>
      <c r="S919" s="126"/>
    </row>
    <row r="920" spans="17:19" x14ac:dyDescent="0.25">
      <c r="Q920" s="147"/>
      <c r="R920" s="126"/>
      <c r="S920" s="126"/>
    </row>
    <row r="921" spans="17:19" x14ac:dyDescent="0.25">
      <c r="Q921" s="153"/>
      <c r="R921" s="126"/>
      <c r="S921" s="126"/>
    </row>
    <row r="922" spans="17:19" x14ac:dyDescent="0.25">
      <c r="Q922" s="132"/>
      <c r="R922" s="126"/>
      <c r="S922" s="126"/>
    </row>
    <row r="923" spans="17:19" x14ac:dyDescent="0.25">
      <c r="Q923" s="152"/>
      <c r="R923" s="126"/>
      <c r="S923" s="126"/>
    </row>
    <row r="924" spans="17:19" x14ac:dyDescent="0.25">
      <c r="Q924" s="147"/>
      <c r="R924" s="126"/>
      <c r="S924" s="126"/>
    </row>
    <row r="925" spans="17:19" x14ac:dyDescent="0.25">
      <c r="Q925" s="147"/>
      <c r="R925" s="126"/>
      <c r="S925" s="126"/>
    </row>
    <row r="926" spans="17:19" x14ac:dyDescent="0.25">
      <c r="Q926" s="147"/>
      <c r="R926" s="126"/>
      <c r="S926" s="126"/>
    </row>
    <row r="927" spans="17:19" x14ac:dyDescent="0.25">
      <c r="Q927" s="147"/>
      <c r="R927" s="126"/>
      <c r="S927" s="126"/>
    </row>
    <row r="928" spans="17:19" x14ac:dyDescent="0.25">
      <c r="Q928" s="147"/>
      <c r="R928" s="126"/>
      <c r="S928" s="126"/>
    </row>
    <row r="929" spans="17:19" x14ac:dyDescent="0.25">
      <c r="Q929" s="147"/>
      <c r="R929" s="126"/>
      <c r="S929" s="126"/>
    </row>
    <row r="930" spans="17:19" x14ac:dyDescent="0.25">
      <c r="Q930" s="147"/>
      <c r="R930" s="126"/>
      <c r="S930" s="126"/>
    </row>
    <row r="931" spans="17:19" x14ac:dyDescent="0.25">
      <c r="Q931" s="147"/>
      <c r="R931" s="126"/>
      <c r="S931" s="126"/>
    </row>
    <row r="932" spans="17:19" x14ac:dyDescent="0.25">
      <c r="Q932" s="147"/>
      <c r="R932" s="126"/>
      <c r="S932" s="126"/>
    </row>
    <row r="933" spans="17:19" x14ac:dyDescent="0.25">
      <c r="Q933" s="147"/>
      <c r="R933" s="126"/>
      <c r="S933" s="126"/>
    </row>
    <row r="934" spans="17:19" x14ac:dyDescent="0.25">
      <c r="Q934" s="147"/>
      <c r="R934" s="126"/>
      <c r="S934" s="126"/>
    </row>
    <row r="935" spans="17:19" x14ac:dyDescent="0.25">
      <c r="Q935" s="147"/>
      <c r="R935" s="126"/>
      <c r="S935" s="126"/>
    </row>
    <row r="936" spans="17:19" x14ac:dyDescent="0.25">
      <c r="Q936" s="147"/>
      <c r="R936" s="126"/>
      <c r="S936" s="126"/>
    </row>
    <row r="937" spans="17:19" x14ac:dyDescent="0.25">
      <c r="Q937" s="147"/>
      <c r="R937" s="126"/>
      <c r="S937" s="126"/>
    </row>
    <row r="938" spans="17:19" x14ac:dyDescent="0.25">
      <c r="Q938" s="147"/>
      <c r="R938" s="126"/>
      <c r="S938" s="126"/>
    </row>
    <row r="939" spans="17:19" x14ac:dyDescent="0.25">
      <c r="Q939" s="153"/>
      <c r="R939" s="126"/>
      <c r="S939" s="126"/>
    </row>
    <row r="940" spans="17:19" x14ac:dyDescent="0.25">
      <c r="Q940" s="132"/>
      <c r="R940" s="126"/>
      <c r="S940" s="126"/>
    </row>
    <row r="941" spans="17:19" x14ac:dyDescent="0.25">
      <c r="Q941" s="152"/>
      <c r="R941" s="126"/>
      <c r="S941" s="126"/>
    </row>
    <row r="942" spans="17:19" x14ac:dyDescent="0.25">
      <c r="Q942" s="147"/>
      <c r="R942" s="126"/>
      <c r="S942" s="126"/>
    </row>
    <row r="943" spans="17:19" x14ac:dyDescent="0.25">
      <c r="Q943" s="147"/>
      <c r="R943" s="126"/>
      <c r="S943" s="126"/>
    </row>
    <row r="944" spans="17:19" x14ac:dyDescent="0.25">
      <c r="Q944" s="147"/>
      <c r="R944" s="126"/>
      <c r="S944" s="126"/>
    </row>
    <row r="945" spans="17:19" x14ac:dyDescent="0.25">
      <c r="Q945" s="147"/>
      <c r="R945" s="126"/>
      <c r="S945" s="126"/>
    </row>
    <row r="946" spans="17:19" x14ac:dyDescent="0.25">
      <c r="Q946" s="147"/>
      <c r="R946" s="126"/>
      <c r="S946" s="126"/>
    </row>
    <row r="947" spans="17:19" x14ac:dyDescent="0.25">
      <c r="Q947" s="147"/>
      <c r="R947" s="126"/>
      <c r="S947" s="126"/>
    </row>
    <row r="948" spans="17:19" x14ac:dyDescent="0.25">
      <c r="Q948" s="147"/>
      <c r="R948" s="126"/>
      <c r="S948" s="126"/>
    </row>
    <row r="949" spans="17:19" x14ac:dyDescent="0.25">
      <c r="Q949" s="147"/>
      <c r="R949" s="126"/>
      <c r="S949" s="126"/>
    </row>
    <row r="950" spans="17:19" x14ac:dyDescent="0.25">
      <c r="Q950" s="147"/>
      <c r="R950" s="126"/>
      <c r="S950" s="126"/>
    </row>
    <row r="951" spans="17:19" x14ac:dyDescent="0.25">
      <c r="Q951" s="147"/>
      <c r="R951" s="126"/>
      <c r="S951" s="126"/>
    </row>
    <row r="952" spans="17:19" x14ac:dyDescent="0.25">
      <c r="Q952" s="147"/>
      <c r="R952" s="126"/>
      <c r="S952" s="126"/>
    </row>
    <row r="953" spans="17:19" x14ac:dyDescent="0.25">
      <c r="Q953" s="147"/>
      <c r="R953" s="126"/>
      <c r="S953" s="126"/>
    </row>
    <row r="954" spans="17:19" x14ac:dyDescent="0.25">
      <c r="Q954" s="147"/>
      <c r="R954" s="126"/>
      <c r="S954" s="126"/>
    </row>
    <row r="955" spans="17:19" x14ac:dyDescent="0.25">
      <c r="Q955" s="147"/>
      <c r="R955" s="126"/>
      <c r="S955" s="126"/>
    </row>
    <row r="956" spans="17:19" x14ac:dyDescent="0.25">
      <c r="Q956" s="147"/>
      <c r="R956" s="126"/>
      <c r="S956" s="126"/>
    </row>
    <row r="957" spans="17:19" x14ac:dyDescent="0.25">
      <c r="Q957" s="153"/>
      <c r="R957" s="126"/>
      <c r="S957" s="126"/>
    </row>
    <row r="958" spans="17:19" x14ac:dyDescent="0.25">
      <c r="Q958" s="132"/>
      <c r="R958" s="126"/>
      <c r="S958" s="126"/>
    </row>
    <row r="959" spans="17:19" x14ac:dyDescent="0.25">
      <c r="Q959" s="152"/>
      <c r="R959" s="126"/>
      <c r="S959" s="126"/>
    </row>
    <row r="960" spans="17:19" x14ac:dyDescent="0.25">
      <c r="Q960" s="147"/>
      <c r="R960" s="126"/>
      <c r="S960" s="126"/>
    </row>
    <row r="961" spans="17:19" x14ac:dyDescent="0.25">
      <c r="Q961" s="147"/>
      <c r="R961" s="126"/>
      <c r="S961" s="126"/>
    </row>
    <row r="962" spans="17:19" x14ac:dyDescent="0.25">
      <c r="Q962" s="147"/>
      <c r="R962" s="126"/>
      <c r="S962" s="126"/>
    </row>
    <row r="963" spans="17:19" x14ac:dyDescent="0.25">
      <c r="Q963" s="147"/>
      <c r="R963" s="126"/>
      <c r="S963" s="126"/>
    </row>
    <row r="964" spans="17:19" x14ac:dyDescent="0.25">
      <c r="Q964" s="147"/>
      <c r="R964" s="126"/>
      <c r="S964" s="126"/>
    </row>
    <row r="965" spans="17:19" x14ac:dyDescent="0.25">
      <c r="Q965" s="147"/>
      <c r="R965" s="126"/>
      <c r="S965" s="126"/>
    </row>
    <row r="966" spans="17:19" x14ac:dyDescent="0.25">
      <c r="Q966" s="147"/>
      <c r="R966" s="126"/>
      <c r="S966" s="126"/>
    </row>
    <row r="967" spans="17:19" x14ac:dyDescent="0.25">
      <c r="Q967" s="147"/>
      <c r="R967" s="126"/>
      <c r="S967" s="126"/>
    </row>
    <row r="968" spans="17:19" x14ac:dyDescent="0.25">
      <c r="Q968" s="147"/>
      <c r="R968" s="126"/>
      <c r="S968" s="126"/>
    </row>
    <row r="969" spans="17:19" x14ac:dyDescent="0.25">
      <c r="Q969" s="147"/>
      <c r="R969" s="126"/>
      <c r="S969" s="126"/>
    </row>
    <row r="970" spans="17:19" x14ac:dyDescent="0.25">
      <c r="Q970" s="147"/>
      <c r="R970" s="126"/>
      <c r="S970" s="126"/>
    </row>
    <row r="971" spans="17:19" x14ac:dyDescent="0.25">
      <c r="Q971" s="147"/>
      <c r="R971" s="126"/>
      <c r="S971" s="126"/>
    </row>
    <row r="972" spans="17:19" x14ac:dyDescent="0.25">
      <c r="Q972" s="147"/>
      <c r="R972" s="126"/>
      <c r="S972" s="126"/>
    </row>
    <row r="973" spans="17:19" x14ac:dyDescent="0.25">
      <c r="Q973" s="147"/>
      <c r="R973" s="126"/>
      <c r="S973" s="126"/>
    </row>
    <row r="974" spans="17:19" x14ac:dyDescent="0.25">
      <c r="Q974" s="147"/>
      <c r="R974" s="126"/>
      <c r="S974" s="126"/>
    </row>
    <row r="975" spans="17:19" x14ac:dyDescent="0.25">
      <c r="Q975" s="153"/>
      <c r="R975" s="126"/>
      <c r="S975" s="126"/>
    </row>
    <row r="976" spans="17:19" x14ac:dyDescent="0.25">
      <c r="Q976" s="132"/>
      <c r="R976" s="126"/>
      <c r="S976" s="126"/>
    </row>
    <row r="977" spans="17:19" x14ac:dyDescent="0.25">
      <c r="Q977" s="152"/>
      <c r="R977" s="126"/>
      <c r="S977" s="126"/>
    </row>
    <row r="978" spans="17:19" x14ac:dyDescent="0.25">
      <c r="Q978" s="147"/>
      <c r="R978" s="126"/>
      <c r="S978" s="126"/>
    </row>
    <row r="979" spans="17:19" x14ac:dyDescent="0.25">
      <c r="Q979" s="147"/>
      <c r="R979" s="126"/>
      <c r="S979" s="126"/>
    </row>
    <row r="980" spans="17:19" x14ac:dyDescent="0.25">
      <c r="Q980" s="147"/>
      <c r="R980" s="126"/>
      <c r="S980" s="126"/>
    </row>
    <row r="981" spans="17:19" x14ac:dyDescent="0.25">
      <c r="Q981" s="147"/>
      <c r="R981" s="126"/>
      <c r="S981" s="126"/>
    </row>
    <row r="982" spans="17:19" x14ac:dyDescent="0.25">
      <c r="Q982" s="147"/>
      <c r="R982" s="126"/>
      <c r="S982" s="126"/>
    </row>
    <row r="983" spans="17:19" x14ac:dyDescent="0.25">
      <c r="Q983" s="147"/>
      <c r="R983" s="126"/>
      <c r="S983" s="126"/>
    </row>
    <row r="984" spans="17:19" x14ac:dyDescent="0.25">
      <c r="Q984" s="147"/>
      <c r="R984" s="126"/>
      <c r="S984" s="126"/>
    </row>
    <row r="985" spans="17:19" x14ac:dyDescent="0.25">
      <c r="Q985" s="147"/>
      <c r="R985" s="126"/>
      <c r="S985" s="126"/>
    </row>
    <row r="986" spans="17:19" x14ac:dyDescent="0.25">
      <c r="Q986" s="147"/>
      <c r="R986" s="126"/>
      <c r="S986" s="126"/>
    </row>
    <row r="987" spans="17:19" x14ac:dyDescent="0.25">
      <c r="Q987" s="147"/>
      <c r="R987" s="126"/>
      <c r="S987" s="126"/>
    </row>
    <row r="988" spans="17:19" x14ac:dyDescent="0.25">
      <c r="Q988" s="147"/>
      <c r="R988" s="126"/>
      <c r="S988" s="126"/>
    </row>
    <row r="989" spans="17:19" x14ac:dyDescent="0.25">
      <c r="Q989" s="147"/>
      <c r="R989" s="126"/>
      <c r="S989" s="126"/>
    </row>
    <row r="990" spans="17:19" x14ac:dyDescent="0.25">
      <c r="Q990" s="147"/>
      <c r="R990" s="126"/>
      <c r="S990" s="126"/>
    </row>
    <row r="991" spans="17:19" x14ac:dyDescent="0.25">
      <c r="Q991" s="147"/>
      <c r="R991" s="126"/>
      <c r="S991" s="126"/>
    </row>
    <row r="992" spans="17:19" x14ac:dyDescent="0.25">
      <c r="Q992" s="147"/>
      <c r="R992" s="126"/>
      <c r="S992" s="126"/>
    </row>
    <row r="993" spans="17:19" x14ac:dyDescent="0.25">
      <c r="Q993" s="153"/>
      <c r="R993" s="126"/>
      <c r="S993" s="126"/>
    </row>
    <row r="994" spans="17:19" x14ac:dyDescent="0.25">
      <c r="Q994" s="132"/>
      <c r="R994" s="126"/>
      <c r="S994" s="126"/>
    </row>
    <row r="995" spans="17:19" x14ac:dyDescent="0.25">
      <c r="Q995" s="152"/>
      <c r="R995" s="126"/>
      <c r="S995" s="126"/>
    </row>
    <row r="996" spans="17:19" x14ac:dyDescent="0.25">
      <c r="Q996" s="147"/>
      <c r="R996" s="126"/>
      <c r="S996" s="126"/>
    </row>
    <row r="997" spans="17:19" x14ac:dyDescent="0.25">
      <c r="Q997" s="147"/>
      <c r="R997" s="126"/>
      <c r="S997" s="126"/>
    </row>
    <row r="998" spans="17:19" x14ac:dyDescent="0.25">
      <c r="Q998" s="147"/>
      <c r="R998" s="126"/>
      <c r="S998" s="126"/>
    </row>
    <row r="999" spans="17:19" x14ac:dyDescent="0.25">
      <c r="Q999" s="147"/>
      <c r="R999" s="126"/>
      <c r="S999" s="126"/>
    </row>
    <row r="1000" spans="17:19" x14ac:dyDescent="0.25">
      <c r="Q1000" s="147"/>
      <c r="R1000" s="126"/>
      <c r="S1000" s="126"/>
    </row>
    <row r="1001" spans="17:19" x14ac:dyDescent="0.25">
      <c r="Q1001" s="147"/>
      <c r="R1001" s="126"/>
      <c r="S1001" s="126"/>
    </row>
    <row r="1002" spans="17:19" x14ac:dyDescent="0.25">
      <c r="Q1002" s="147"/>
      <c r="R1002" s="126"/>
      <c r="S1002" s="126"/>
    </row>
    <row r="1003" spans="17:19" x14ac:dyDescent="0.25">
      <c r="Q1003" s="147"/>
      <c r="R1003" s="126"/>
      <c r="S1003" s="126"/>
    </row>
    <row r="1004" spans="17:19" x14ac:dyDescent="0.25">
      <c r="Q1004" s="147"/>
      <c r="R1004" s="126"/>
      <c r="S1004" s="126"/>
    </row>
    <row r="1005" spans="17:19" x14ac:dyDescent="0.25">
      <c r="Q1005" s="147"/>
      <c r="R1005" s="126"/>
      <c r="S1005" s="126"/>
    </row>
    <row r="1006" spans="17:19" x14ac:dyDescent="0.25">
      <c r="Q1006" s="147"/>
      <c r="R1006" s="126"/>
      <c r="S1006" s="126"/>
    </row>
    <row r="1007" spans="17:19" x14ac:dyDescent="0.25">
      <c r="Q1007" s="147"/>
      <c r="R1007" s="126"/>
      <c r="S1007" s="126"/>
    </row>
    <row r="1008" spans="17:19" x14ac:dyDescent="0.25">
      <c r="Q1008" s="147"/>
      <c r="R1008" s="126"/>
      <c r="S1008" s="126"/>
    </row>
    <row r="1009" spans="17:19" x14ac:dyDescent="0.25">
      <c r="Q1009" s="147"/>
      <c r="R1009" s="126"/>
      <c r="S1009" s="126"/>
    </row>
    <row r="1010" spans="17:19" x14ac:dyDescent="0.25">
      <c r="Q1010" s="147"/>
      <c r="R1010" s="126"/>
      <c r="S1010" s="126"/>
    </row>
    <row r="1011" spans="17:19" x14ac:dyDescent="0.25">
      <c r="Q1011" s="153"/>
      <c r="R1011" s="126"/>
      <c r="S1011" s="126"/>
    </row>
    <row r="1012" spans="17:19" x14ac:dyDescent="0.25">
      <c r="Q1012" s="132"/>
      <c r="R1012" s="126"/>
      <c r="S1012" s="126"/>
    </row>
    <row r="1013" spans="17:19" x14ac:dyDescent="0.25">
      <c r="Q1013" s="152"/>
      <c r="R1013" s="126"/>
      <c r="S1013" s="126"/>
    </row>
    <row r="1014" spans="17:19" x14ac:dyDescent="0.25">
      <c r="Q1014" s="147"/>
      <c r="R1014" s="126"/>
      <c r="S1014" s="126"/>
    </row>
    <row r="1015" spans="17:19" x14ac:dyDescent="0.25">
      <c r="Q1015" s="147"/>
      <c r="R1015" s="126"/>
      <c r="S1015" s="126"/>
    </row>
    <row r="1016" spans="17:19" x14ac:dyDescent="0.25">
      <c r="Q1016" s="147"/>
      <c r="R1016" s="126"/>
      <c r="S1016" s="126"/>
    </row>
    <row r="1017" spans="17:19" x14ac:dyDescent="0.25">
      <c r="Q1017" s="147"/>
      <c r="R1017" s="126"/>
      <c r="S1017" s="126"/>
    </row>
    <row r="1018" spans="17:19" x14ac:dyDescent="0.25">
      <c r="Q1018" s="147"/>
      <c r="R1018" s="126"/>
      <c r="S1018" s="126"/>
    </row>
    <row r="1019" spans="17:19" x14ac:dyDescent="0.25">
      <c r="Q1019" s="147"/>
      <c r="R1019" s="126"/>
      <c r="S1019" s="126"/>
    </row>
    <row r="1020" spans="17:19" x14ac:dyDescent="0.25">
      <c r="Q1020" s="147"/>
      <c r="R1020" s="126"/>
      <c r="S1020" s="126"/>
    </row>
    <row r="1021" spans="17:19" x14ac:dyDescent="0.25">
      <c r="Q1021" s="147"/>
      <c r="R1021" s="126"/>
      <c r="S1021" s="126"/>
    </row>
    <row r="1022" spans="17:19" x14ac:dyDescent="0.25">
      <c r="Q1022" s="147"/>
      <c r="R1022" s="126"/>
      <c r="S1022" s="126"/>
    </row>
    <row r="1023" spans="17:19" x14ac:dyDescent="0.25">
      <c r="Q1023" s="147"/>
      <c r="R1023" s="126"/>
      <c r="S1023" s="126"/>
    </row>
    <row r="1024" spans="17:19" x14ac:dyDescent="0.25">
      <c r="Q1024" s="147"/>
      <c r="R1024" s="126"/>
      <c r="S1024" s="126"/>
    </row>
    <row r="1025" spans="17:19" x14ac:dyDescent="0.25">
      <c r="Q1025" s="147"/>
      <c r="R1025" s="126"/>
      <c r="S1025" s="126"/>
    </row>
    <row r="1026" spans="17:19" x14ac:dyDescent="0.25">
      <c r="Q1026" s="147"/>
      <c r="R1026" s="126"/>
      <c r="S1026" s="126"/>
    </row>
    <row r="1027" spans="17:19" x14ac:dyDescent="0.25">
      <c r="Q1027" s="147"/>
      <c r="R1027" s="126"/>
      <c r="S1027" s="126"/>
    </row>
    <row r="1028" spans="17:19" x14ac:dyDescent="0.25">
      <c r="Q1028" s="147"/>
      <c r="R1028" s="126"/>
      <c r="S1028" s="126"/>
    </row>
    <row r="1029" spans="17:19" x14ac:dyDescent="0.25">
      <c r="Q1029" s="153"/>
      <c r="R1029" s="126"/>
      <c r="S1029" s="126"/>
    </row>
    <row r="1030" spans="17:19" x14ac:dyDescent="0.25">
      <c r="Q1030" s="132"/>
      <c r="R1030" s="126"/>
      <c r="S1030" s="126"/>
    </row>
    <row r="1031" spans="17:19" x14ac:dyDescent="0.25">
      <c r="Q1031" s="152"/>
      <c r="R1031" s="126"/>
      <c r="S1031" s="126"/>
    </row>
    <row r="1032" spans="17:19" x14ac:dyDescent="0.25">
      <c r="Q1032" s="147"/>
      <c r="R1032" s="126"/>
      <c r="S1032" s="126"/>
    </row>
    <row r="1033" spans="17:19" x14ac:dyDescent="0.25">
      <c r="Q1033" s="147"/>
      <c r="R1033" s="126"/>
      <c r="S1033" s="126"/>
    </row>
    <row r="1034" spans="17:19" x14ac:dyDescent="0.25">
      <c r="Q1034" s="147"/>
      <c r="R1034" s="126"/>
      <c r="S1034" s="126"/>
    </row>
    <row r="1035" spans="17:19" x14ac:dyDescent="0.25">
      <c r="Q1035" s="147"/>
      <c r="R1035" s="126"/>
      <c r="S1035" s="126"/>
    </row>
    <row r="1036" spans="17:19" x14ac:dyDescent="0.25">
      <c r="Q1036" s="147"/>
      <c r="R1036" s="126"/>
      <c r="S1036" s="126"/>
    </row>
    <row r="1037" spans="17:19" x14ac:dyDescent="0.25">
      <c r="Q1037" s="147"/>
      <c r="R1037" s="126"/>
      <c r="S1037" s="126"/>
    </row>
    <row r="1038" spans="17:19" x14ac:dyDescent="0.25">
      <c r="Q1038" s="147"/>
      <c r="R1038" s="126"/>
      <c r="S1038" s="126"/>
    </row>
    <row r="1039" spans="17:19" x14ac:dyDescent="0.25">
      <c r="Q1039" s="147"/>
      <c r="R1039" s="126"/>
      <c r="S1039" s="126"/>
    </row>
    <row r="1040" spans="17:19" x14ac:dyDescent="0.25">
      <c r="Q1040" s="147"/>
      <c r="R1040" s="126"/>
      <c r="S1040" s="126"/>
    </row>
    <row r="1041" spans="17:19" x14ac:dyDescent="0.25">
      <c r="Q1041" s="147"/>
      <c r="R1041" s="126"/>
      <c r="S1041" s="126"/>
    </row>
    <row r="1042" spans="17:19" x14ac:dyDescent="0.25">
      <c r="Q1042" s="147"/>
      <c r="R1042" s="126"/>
      <c r="S1042" s="126"/>
    </row>
    <row r="1043" spans="17:19" x14ac:dyDescent="0.25">
      <c r="Q1043" s="147"/>
      <c r="R1043" s="126"/>
      <c r="S1043" s="126"/>
    </row>
    <row r="1044" spans="17:19" x14ac:dyDescent="0.25">
      <c r="Q1044" s="147"/>
      <c r="R1044" s="126"/>
      <c r="S1044" s="126"/>
    </row>
    <row r="1045" spans="17:19" x14ac:dyDescent="0.25">
      <c r="Q1045" s="147"/>
      <c r="R1045" s="126"/>
      <c r="S1045" s="126"/>
    </row>
    <row r="1046" spans="17:19" x14ac:dyDescent="0.25">
      <c r="Q1046" s="147"/>
      <c r="R1046" s="126"/>
      <c r="S1046" s="126"/>
    </row>
    <row r="1047" spans="17:19" x14ac:dyDescent="0.25">
      <c r="Q1047" s="153"/>
      <c r="R1047" s="126"/>
      <c r="S1047" s="126"/>
    </row>
    <row r="1048" spans="17:19" x14ac:dyDescent="0.25">
      <c r="Q1048" s="132"/>
      <c r="R1048" s="126"/>
      <c r="S1048" s="126"/>
    </row>
    <row r="1049" spans="17:19" x14ac:dyDescent="0.25">
      <c r="Q1049" s="168"/>
      <c r="R1049" s="126"/>
    </row>
  </sheetData>
  <autoFilter ref="Q1:R1049"/>
  <sortState ref="Q2:R1048">
    <sortCondition ref="Q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S105"/>
  <sheetViews>
    <sheetView tabSelected="1" view="pageBreakPreview" topLeftCell="B1" zoomScale="60" zoomScaleNormal="70" workbookViewId="0">
      <pane xSplit="2" ySplit="12" topLeftCell="D13" activePane="bottomRight" state="frozen"/>
      <selection activeCell="B1" sqref="B1"/>
      <selection pane="topRight" activeCell="D1" sqref="D1"/>
      <selection pane="bottomLeft" activeCell="B15" sqref="B15"/>
      <selection pane="bottomRight" activeCell="M17" sqref="M17"/>
    </sheetView>
  </sheetViews>
  <sheetFormatPr defaultRowHeight="15" outlineLevelCol="1" x14ac:dyDescent="0.25"/>
  <cols>
    <col min="1" max="1" width="15.28515625" hidden="1" customWidth="1"/>
    <col min="2" max="2" width="5" customWidth="1"/>
    <col min="3" max="3" width="32.28515625" customWidth="1"/>
    <col min="4" max="4" width="17.140625" customWidth="1"/>
    <col min="5" max="5" width="18.7109375" customWidth="1"/>
    <col min="6" max="6" width="22.85546875" customWidth="1" outlineLevel="1"/>
    <col min="7" max="7" width="19.7109375" customWidth="1" outlineLevel="1"/>
    <col min="8" max="8" width="18.42578125" customWidth="1"/>
    <col min="9" max="9" width="21" customWidth="1"/>
    <col min="10" max="10" width="18.7109375" customWidth="1"/>
    <col min="11" max="11" width="21.5703125" customWidth="1"/>
    <col min="12" max="12" width="22" customWidth="1"/>
    <col min="13" max="13" width="13.28515625" customWidth="1"/>
    <col min="14" max="14" width="19.140625" customWidth="1"/>
    <col min="15" max="16" width="18.7109375" customWidth="1"/>
    <col min="17" max="19" width="18.7109375" customWidth="1" outlineLevel="1"/>
  </cols>
  <sheetData>
    <row r="1" spans="1:19" ht="15.75" x14ac:dyDescent="0.25">
      <c r="C1" s="1"/>
    </row>
    <row r="2" spans="1:19" x14ac:dyDescent="0.25">
      <c r="D2" s="280" t="s">
        <v>326</v>
      </c>
      <c r="E2" s="271"/>
      <c r="F2" s="271"/>
      <c r="G2" s="271"/>
      <c r="H2" s="271"/>
      <c r="I2" s="271"/>
      <c r="J2" s="271"/>
      <c r="K2" s="271"/>
      <c r="L2" s="271"/>
      <c r="M2" s="271"/>
    </row>
    <row r="3" spans="1:19" ht="21" customHeight="1" x14ac:dyDescent="0.3">
      <c r="B3" s="2"/>
      <c r="C3" s="2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38"/>
      <c r="O3" s="38"/>
      <c r="P3" s="38"/>
      <c r="Q3" s="38"/>
    </row>
    <row r="4" spans="1:19" ht="24" customHeight="1" x14ac:dyDescent="0.3">
      <c r="B4" s="2"/>
      <c r="C4" s="2"/>
      <c r="D4" s="271"/>
      <c r="E4" s="271"/>
      <c r="F4" s="271"/>
      <c r="G4" s="271"/>
      <c r="H4" s="271"/>
      <c r="I4" s="271"/>
      <c r="J4" s="271"/>
      <c r="K4" s="271"/>
      <c r="L4" s="271"/>
      <c r="M4" s="271"/>
      <c r="N4" s="38"/>
      <c r="O4" s="38"/>
      <c r="P4" s="38"/>
      <c r="Q4" s="38"/>
    </row>
    <row r="5" spans="1:19" ht="32.25" customHeight="1" x14ac:dyDescent="0.3">
      <c r="B5" s="2"/>
      <c r="C5" s="2"/>
      <c r="D5" s="274" t="s">
        <v>1095</v>
      </c>
      <c r="E5" s="274"/>
      <c r="F5" s="274"/>
      <c r="G5" s="274"/>
      <c r="H5" s="274"/>
      <c r="I5" s="274"/>
      <c r="J5" s="274"/>
      <c r="K5" s="274"/>
      <c r="L5" s="274"/>
      <c r="M5" s="274"/>
    </row>
    <row r="6" spans="1:19" ht="15" customHeight="1" x14ac:dyDescent="0.25">
      <c r="C6" s="44" t="s">
        <v>1093</v>
      </c>
      <c r="D6" s="76"/>
      <c r="R6" s="76"/>
      <c r="S6" s="76"/>
    </row>
    <row r="7" spans="1:19" ht="14.25" customHeight="1" x14ac:dyDescent="0.25">
      <c r="A7" s="98"/>
      <c r="B7" s="275" t="s">
        <v>284</v>
      </c>
      <c r="C7" s="275" t="s">
        <v>285</v>
      </c>
      <c r="D7" s="278" t="s">
        <v>327</v>
      </c>
      <c r="E7" s="278"/>
      <c r="F7" s="278"/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278"/>
      <c r="R7" s="278"/>
      <c r="S7" s="278"/>
    </row>
    <row r="8" spans="1:19" ht="11.25" customHeight="1" thickBot="1" x14ac:dyDescent="0.3">
      <c r="A8" s="6"/>
      <c r="B8" s="275"/>
      <c r="C8" s="275"/>
      <c r="D8" s="279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79"/>
      <c r="S8" s="279"/>
    </row>
    <row r="9" spans="1:19" ht="31.5" customHeight="1" x14ac:dyDescent="0.25">
      <c r="A9" s="6"/>
      <c r="B9" s="275"/>
      <c r="C9" s="275"/>
      <c r="D9" s="253" t="s">
        <v>315</v>
      </c>
      <c r="E9" s="268" t="s">
        <v>1096</v>
      </c>
      <c r="F9" s="268" t="s">
        <v>287</v>
      </c>
      <c r="G9" s="268"/>
      <c r="H9" s="268"/>
      <c r="I9" s="268" t="s">
        <v>312</v>
      </c>
      <c r="J9" s="268" t="s">
        <v>262</v>
      </c>
      <c r="K9" s="268" t="s">
        <v>288</v>
      </c>
      <c r="L9" s="268"/>
      <c r="M9" s="268"/>
      <c r="N9" s="268"/>
      <c r="O9" s="281" t="s">
        <v>289</v>
      </c>
      <c r="P9" s="281"/>
      <c r="Q9" s="268" t="s">
        <v>290</v>
      </c>
      <c r="R9" s="268" t="s">
        <v>266</v>
      </c>
      <c r="S9" s="268" t="s">
        <v>291</v>
      </c>
    </row>
    <row r="10" spans="1:19" ht="24" customHeight="1" x14ac:dyDescent="0.25">
      <c r="A10" s="6"/>
      <c r="B10" s="275"/>
      <c r="C10" s="275"/>
      <c r="D10" s="220"/>
      <c r="E10" s="224"/>
      <c r="F10" s="224" t="s">
        <v>292</v>
      </c>
      <c r="G10" s="224" t="s">
        <v>293</v>
      </c>
      <c r="H10" s="224"/>
      <c r="I10" s="224"/>
      <c r="J10" s="224"/>
      <c r="K10" s="224" t="s">
        <v>292</v>
      </c>
      <c r="L10" s="224" t="s">
        <v>294</v>
      </c>
      <c r="M10" s="224"/>
      <c r="N10" s="224"/>
      <c r="O10" s="270"/>
      <c r="P10" s="270"/>
      <c r="Q10" s="224"/>
      <c r="R10" s="224"/>
      <c r="S10" s="224"/>
    </row>
    <row r="11" spans="1:19" ht="113.25" customHeight="1" x14ac:dyDescent="0.25">
      <c r="A11" s="6"/>
      <c r="B11" s="275"/>
      <c r="C11" s="275"/>
      <c r="D11" s="254"/>
      <c r="E11" s="224"/>
      <c r="F11" s="224"/>
      <c r="G11" s="97" t="s">
        <v>259</v>
      </c>
      <c r="H11" s="97" t="s">
        <v>260</v>
      </c>
      <c r="I11" s="224"/>
      <c r="J11" s="224"/>
      <c r="K11" s="224"/>
      <c r="L11" s="97" t="s">
        <v>264</v>
      </c>
      <c r="M11" s="97" t="s">
        <v>303</v>
      </c>
      <c r="N11" s="97" t="s">
        <v>260</v>
      </c>
      <c r="O11" s="97" t="s">
        <v>965</v>
      </c>
      <c r="P11" s="97" t="s">
        <v>295</v>
      </c>
      <c r="Q11" s="224"/>
      <c r="R11" s="224"/>
      <c r="S11" s="224"/>
    </row>
    <row r="12" spans="1:19" s="54" customFormat="1" ht="31.5" x14ac:dyDescent="0.25">
      <c r="A12" s="49" t="s">
        <v>1</v>
      </c>
      <c r="B12" s="50" t="s">
        <v>2</v>
      </c>
      <c r="C12" s="195" t="s">
        <v>3</v>
      </c>
      <c r="D12" s="53">
        <v>143909.73390000002</v>
      </c>
      <c r="E12" s="53">
        <v>0</v>
      </c>
      <c r="F12" s="53">
        <v>173550.93491727998</v>
      </c>
      <c r="G12" s="53">
        <v>143893.32500000001</v>
      </c>
      <c r="H12" s="53">
        <v>29657.609917279999</v>
      </c>
      <c r="I12" s="53">
        <v>143082.85749940001</v>
      </c>
      <c r="J12" s="53">
        <v>1114.66075456</v>
      </c>
      <c r="K12" s="53">
        <v>171126.10657515001</v>
      </c>
      <c r="L12" s="53">
        <v>142145.85671244998</v>
      </c>
      <c r="M12" s="53">
        <v>0</v>
      </c>
      <c r="N12" s="53">
        <v>28980.249862699999</v>
      </c>
      <c r="O12" s="53">
        <v>98.785580715748949</v>
      </c>
      <c r="P12" s="53">
        <v>97.716066613360724</v>
      </c>
      <c r="Q12" s="53">
        <v>16.935025545020114</v>
      </c>
      <c r="R12" s="53">
        <v>1106.39504158</v>
      </c>
      <c r="S12" s="53">
        <v>945.26649992999967</v>
      </c>
    </row>
    <row r="13" spans="1:19" s="62" customFormat="1" ht="15.75" x14ac:dyDescent="0.25">
      <c r="A13" s="56" t="s">
        <v>5</v>
      </c>
      <c r="B13" s="57" t="s">
        <v>6</v>
      </c>
      <c r="C13" s="190" t="s">
        <v>7</v>
      </c>
      <c r="D13" s="61">
        <v>53602.0334</v>
      </c>
      <c r="E13" s="61">
        <v>0</v>
      </c>
      <c r="F13" s="61">
        <v>60189.932273660001</v>
      </c>
      <c r="G13" s="61">
        <v>53599.9372</v>
      </c>
      <c r="H13" s="61">
        <v>6589.9950736600013</v>
      </c>
      <c r="I13" s="61">
        <v>53509.815207510001</v>
      </c>
      <c r="J13" s="61">
        <v>175.07458034999999</v>
      </c>
      <c r="K13" s="61">
        <v>58955.813823550001</v>
      </c>
      <c r="L13" s="61">
        <v>52642.895537449993</v>
      </c>
      <c r="M13" s="61">
        <v>0</v>
      </c>
      <c r="N13" s="61">
        <v>6312.9182860999999</v>
      </c>
      <c r="O13" s="61">
        <v>98.214472418169166</v>
      </c>
      <c r="P13" s="61">
        <v>95.795493252074365</v>
      </c>
      <c r="Q13" s="61">
        <v>10.707880829181759</v>
      </c>
      <c r="R13" s="61">
        <v>174.88446048999998</v>
      </c>
      <c r="S13" s="61">
        <v>867.10978992000048</v>
      </c>
    </row>
    <row r="14" spans="1:19" ht="15.75" x14ac:dyDescent="0.25">
      <c r="A14" s="8" t="s">
        <v>8</v>
      </c>
      <c r="B14" s="11" t="s">
        <v>9</v>
      </c>
      <c r="C14" s="189" t="s">
        <v>10</v>
      </c>
      <c r="D14" s="66">
        <v>7318.8805000000002</v>
      </c>
      <c r="E14" s="66">
        <v>0</v>
      </c>
      <c r="F14" s="66">
        <v>7794.8065169999991</v>
      </c>
      <c r="G14" s="66">
        <v>7318.8805000000002</v>
      </c>
      <c r="H14" s="66">
        <v>475.92601700000006</v>
      </c>
      <c r="I14" s="66">
        <v>7318.8805000000002</v>
      </c>
      <c r="J14" s="66">
        <v>0</v>
      </c>
      <c r="K14" s="66">
        <v>7794.8065146199997</v>
      </c>
      <c r="L14" s="66">
        <v>7318.8805000000002</v>
      </c>
      <c r="M14" s="66">
        <v>0</v>
      </c>
      <c r="N14" s="66">
        <v>475.92601462000005</v>
      </c>
      <c r="O14" s="67">
        <v>100</v>
      </c>
      <c r="P14" s="67">
        <v>99.999999499922282</v>
      </c>
      <c r="Q14" s="67">
        <v>6.1056809264906002</v>
      </c>
      <c r="R14" s="66">
        <v>0</v>
      </c>
      <c r="S14" s="67">
        <v>0</v>
      </c>
    </row>
    <row r="15" spans="1:19" ht="15.75" x14ac:dyDescent="0.25">
      <c r="A15" s="8" t="s">
        <v>11</v>
      </c>
      <c r="B15" s="11" t="s">
        <v>12</v>
      </c>
      <c r="C15" s="189" t="s">
        <v>13</v>
      </c>
      <c r="D15" s="66">
        <v>10279.403600000003</v>
      </c>
      <c r="E15" s="66">
        <v>0</v>
      </c>
      <c r="F15" s="66">
        <v>10527.052958600001</v>
      </c>
      <c r="G15" s="66">
        <v>10279.403600000003</v>
      </c>
      <c r="H15" s="66">
        <v>247.6493586</v>
      </c>
      <c r="I15" s="66">
        <v>10279.389076970001</v>
      </c>
      <c r="J15" s="66">
        <v>9.1715641699999999</v>
      </c>
      <c r="K15" s="66">
        <v>10527.027428789999</v>
      </c>
      <c r="L15" s="66">
        <v>10279.389076970001</v>
      </c>
      <c r="M15" s="66">
        <v>0</v>
      </c>
      <c r="N15" s="66">
        <v>247.63835181999997</v>
      </c>
      <c r="O15" s="67">
        <v>99.999858717192481</v>
      </c>
      <c r="P15" s="67">
        <v>99.995555498281021</v>
      </c>
      <c r="Q15" s="67">
        <v>2.3524053062001387</v>
      </c>
      <c r="R15" s="66">
        <v>9.1715641699999999</v>
      </c>
      <c r="S15" s="67">
        <v>-6.7146288529329468E-13</v>
      </c>
    </row>
    <row r="16" spans="1:19" ht="15.75" x14ac:dyDescent="0.25">
      <c r="A16" s="8" t="s">
        <v>14</v>
      </c>
      <c r="B16" s="11" t="s">
        <v>15</v>
      </c>
      <c r="C16" s="189" t="s">
        <v>16</v>
      </c>
      <c r="D16" s="66">
        <v>1078.6524999999999</v>
      </c>
      <c r="E16" s="66">
        <v>0</v>
      </c>
      <c r="F16" s="66">
        <v>1299.1383000000001</v>
      </c>
      <c r="G16" s="66">
        <v>1078.6524999999999</v>
      </c>
      <c r="H16" s="66">
        <v>220.48580000000004</v>
      </c>
      <c r="I16" s="66">
        <v>1075.5949600700001</v>
      </c>
      <c r="J16" s="66">
        <v>2.2205690000000002</v>
      </c>
      <c r="K16" s="66">
        <v>1294.4342959999999</v>
      </c>
      <c r="L16" s="66">
        <v>1075.5949600700001</v>
      </c>
      <c r="M16" s="66">
        <v>0</v>
      </c>
      <c r="N16" s="66">
        <v>218.83933593000003</v>
      </c>
      <c r="O16" s="67">
        <v>99.716540783060353</v>
      </c>
      <c r="P16" s="67">
        <v>99.253256187019744</v>
      </c>
      <c r="Q16" s="67">
        <v>16.906175663473</v>
      </c>
      <c r="R16" s="66">
        <v>2.2205690000000002</v>
      </c>
      <c r="S16" s="67">
        <v>6.8389738316909643E-14</v>
      </c>
    </row>
    <row r="17" spans="1:19" ht="15.75" x14ac:dyDescent="0.25">
      <c r="A17" s="8" t="s">
        <v>17</v>
      </c>
      <c r="B17" s="11" t="s">
        <v>18</v>
      </c>
      <c r="C17" s="189" t="s">
        <v>19</v>
      </c>
      <c r="D17" s="66">
        <v>7211.7458999999999</v>
      </c>
      <c r="E17" s="66">
        <v>0</v>
      </c>
      <c r="F17" s="66">
        <v>8827.6273600000004</v>
      </c>
      <c r="G17" s="66">
        <v>7211.7458999999999</v>
      </c>
      <c r="H17" s="66">
        <v>1615.8814600000001</v>
      </c>
      <c r="I17" s="66">
        <v>7174.8058695899999</v>
      </c>
      <c r="J17" s="66">
        <v>92.595689309999997</v>
      </c>
      <c r="K17" s="66">
        <v>7703.1772609100008</v>
      </c>
      <c r="L17" s="66">
        <v>6336.6226013799997</v>
      </c>
      <c r="M17" s="66">
        <v>0</v>
      </c>
      <c r="N17" s="66">
        <v>1366.55465953</v>
      </c>
      <c r="O17" s="67">
        <v>87.865305977849275</v>
      </c>
      <c r="P17" s="67">
        <v>84.570229522281906</v>
      </c>
      <c r="Q17" s="67">
        <v>17.740142972752576</v>
      </c>
      <c r="R17" s="66">
        <v>92.595689309999997</v>
      </c>
      <c r="S17" s="67">
        <v>838.18326821000039</v>
      </c>
    </row>
    <row r="18" spans="1:19" ht="15.75" x14ac:dyDescent="0.25">
      <c r="A18" s="8" t="s">
        <v>20</v>
      </c>
      <c r="B18" s="11" t="s">
        <v>21</v>
      </c>
      <c r="C18" s="189" t="s">
        <v>22</v>
      </c>
      <c r="D18" s="66">
        <v>361.55930000000001</v>
      </c>
      <c r="E18" s="66">
        <v>0</v>
      </c>
      <c r="F18" s="66">
        <v>404.29229459000004</v>
      </c>
      <c r="G18" s="66">
        <v>361.55930000000001</v>
      </c>
      <c r="H18" s="66">
        <v>42.732994590000004</v>
      </c>
      <c r="I18" s="66">
        <v>357.31891027</v>
      </c>
      <c r="J18" s="66">
        <v>0.8433851</v>
      </c>
      <c r="K18" s="66">
        <v>395.18621278000001</v>
      </c>
      <c r="L18" s="66">
        <v>357.31891027</v>
      </c>
      <c r="M18" s="66">
        <v>0</v>
      </c>
      <c r="N18" s="66">
        <v>37.867302510000002</v>
      </c>
      <c r="O18" s="67">
        <v>98.827193843444221</v>
      </c>
      <c r="P18" s="67">
        <v>88.613734827891918</v>
      </c>
      <c r="Q18" s="67">
        <v>9.5821416044898093</v>
      </c>
      <c r="R18" s="66">
        <v>0.8433851</v>
      </c>
      <c r="S18" s="67">
        <v>-2.2315482794965646E-14</v>
      </c>
    </row>
    <row r="19" spans="1:19" ht="15.75" x14ac:dyDescent="0.25">
      <c r="A19" s="8" t="s">
        <v>23</v>
      </c>
      <c r="B19" s="11" t="s">
        <v>24</v>
      </c>
      <c r="C19" s="189" t="s">
        <v>25</v>
      </c>
      <c r="D19" s="66">
        <v>2849.1576999999997</v>
      </c>
      <c r="E19" s="66">
        <v>0</v>
      </c>
      <c r="F19" s="66">
        <v>3070.140922</v>
      </c>
      <c r="G19" s="66">
        <v>2847.1576999999997</v>
      </c>
      <c r="H19" s="66">
        <v>222.98322200000001</v>
      </c>
      <c r="I19" s="66">
        <v>2847.1574954099997</v>
      </c>
      <c r="J19" s="66">
        <v>0.15373980000000001</v>
      </c>
      <c r="K19" s="66">
        <v>3070.1407090900002</v>
      </c>
      <c r="L19" s="66">
        <v>2847.1574954099997</v>
      </c>
      <c r="M19" s="66">
        <v>0</v>
      </c>
      <c r="N19" s="66">
        <v>222.98321368000001</v>
      </c>
      <c r="O19" s="67">
        <v>99.99999281423716</v>
      </c>
      <c r="P19" s="67">
        <v>99.999996268777565</v>
      </c>
      <c r="Q19" s="67">
        <v>7.2629639749017549</v>
      </c>
      <c r="R19" s="66">
        <v>0.15373980000000001</v>
      </c>
      <c r="S19" s="67">
        <v>3.9385161798577428E-14</v>
      </c>
    </row>
    <row r="20" spans="1:19" ht="15.75" x14ac:dyDescent="0.25">
      <c r="A20" s="8" t="s">
        <v>26</v>
      </c>
      <c r="B20" s="11" t="s">
        <v>27</v>
      </c>
      <c r="C20" s="189" t="s">
        <v>28</v>
      </c>
      <c r="D20" s="66">
        <v>239.50970000000001</v>
      </c>
      <c r="E20" s="66">
        <v>0</v>
      </c>
      <c r="F20" s="66">
        <v>275.04554910000002</v>
      </c>
      <c r="G20" s="66">
        <v>239.50970000000001</v>
      </c>
      <c r="H20" s="66">
        <v>35.5358491</v>
      </c>
      <c r="I20" s="66">
        <v>239.50705227</v>
      </c>
      <c r="J20" s="66">
        <v>9.2573741599999995</v>
      </c>
      <c r="K20" s="66">
        <v>275.04236828000001</v>
      </c>
      <c r="L20" s="66">
        <v>239.50670328999999</v>
      </c>
      <c r="M20" s="66">
        <v>0</v>
      </c>
      <c r="N20" s="66">
        <v>35.535664990000001</v>
      </c>
      <c r="O20" s="67">
        <v>99.998748814766159</v>
      </c>
      <c r="P20" s="67">
        <v>99.999481903473082</v>
      </c>
      <c r="Q20" s="67">
        <v>12.920069446836571</v>
      </c>
      <c r="R20" s="66">
        <v>9.2573741599999995</v>
      </c>
      <c r="S20" s="67">
        <v>3.4898000002492324E-4</v>
      </c>
    </row>
    <row r="21" spans="1:19" ht="15.75" x14ac:dyDescent="0.25">
      <c r="A21" s="8" t="s">
        <v>29</v>
      </c>
      <c r="B21" s="11" t="s">
        <v>30</v>
      </c>
      <c r="C21" s="189" t="s">
        <v>31</v>
      </c>
      <c r="D21" s="66">
        <v>5837.183</v>
      </c>
      <c r="E21" s="66">
        <v>0</v>
      </c>
      <c r="F21" s="66">
        <v>6726.5865270000013</v>
      </c>
      <c r="G21" s="66">
        <v>5837.183</v>
      </c>
      <c r="H21" s="66">
        <v>889.40352700000005</v>
      </c>
      <c r="I21" s="66">
        <v>5829.2995719100009</v>
      </c>
      <c r="J21" s="66">
        <v>9.3247564500000006</v>
      </c>
      <c r="K21" s="66">
        <v>6684.6203004299996</v>
      </c>
      <c r="L21" s="66">
        <v>5801.6056121399997</v>
      </c>
      <c r="M21" s="66">
        <v>0</v>
      </c>
      <c r="N21" s="66">
        <v>883.01468828999987</v>
      </c>
      <c r="O21" s="67">
        <v>99.390504154829472</v>
      </c>
      <c r="P21" s="67">
        <v>99.281671534230355</v>
      </c>
      <c r="Q21" s="67">
        <v>13.209646151976626</v>
      </c>
      <c r="R21" s="66">
        <v>9.3247564500000006</v>
      </c>
      <c r="S21" s="67">
        <v>27.693959770000895</v>
      </c>
    </row>
    <row r="22" spans="1:19" ht="15.75" x14ac:dyDescent="0.25">
      <c r="A22" s="8" t="s">
        <v>32</v>
      </c>
      <c r="B22" s="11" t="s">
        <v>33</v>
      </c>
      <c r="C22" s="189" t="s">
        <v>34</v>
      </c>
      <c r="D22" s="66">
        <v>3587.8566999999998</v>
      </c>
      <c r="E22" s="66">
        <v>0</v>
      </c>
      <c r="F22" s="66">
        <v>3999.5307429499999</v>
      </c>
      <c r="G22" s="66">
        <v>3587.8566999999998</v>
      </c>
      <c r="H22" s="66">
        <v>411.67404295000006</v>
      </c>
      <c r="I22" s="66">
        <v>3587.85433775</v>
      </c>
      <c r="J22" s="66">
        <v>5.8158714699999994</v>
      </c>
      <c r="K22" s="66">
        <v>3999.5277796000005</v>
      </c>
      <c r="L22" s="66">
        <v>3587.85433775</v>
      </c>
      <c r="M22" s="66">
        <v>0</v>
      </c>
      <c r="N22" s="66">
        <v>411.67344185000002</v>
      </c>
      <c r="O22" s="67">
        <v>99.999934159856494</v>
      </c>
      <c r="P22" s="67">
        <v>99.999853986421954</v>
      </c>
      <c r="Q22" s="67">
        <v>10.293051193437945</v>
      </c>
      <c r="R22" s="66">
        <v>5.8158714699999994</v>
      </c>
      <c r="S22" s="67">
        <v>-1.794120407794253E-13</v>
      </c>
    </row>
    <row r="23" spans="1:19" ht="15.75" x14ac:dyDescent="0.25">
      <c r="A23" s="8" t="s">
        <v>35</v>
      </c>
      <c r="B23" s="11" t="s">
        <v>36</v>
      </c>
      <c r="C23" s="189" t="s">
        <v>37</v>
      </c>
      <c r="D23" s="66">
        <v>2474.9519</v>
      </c>
      <c r="E23" s="66">
        <v>0</v>
      </c>
      <c r="F23" s="66">
        <v>2827.2143521100002</v>
      </c>
      <c r="G23" s="66">
        <v>2474.9519</v>
      </c>
      <c r="H23" s="66">
        <v>352.26245211000003</v>
      </c>
      <c r="I23" s="66">
        <v>2452.8924966099999</v>
      </c>
      <c r="J23" s="66">
        <v>13.409433480000001</v>
      </c>
      <c r="K23" s="66">
        <v>2795.29190376</v>
      </c>
      <c r="L23" s="66">
        <v>2452.4820726200001</v>
      </c>
      <c r="M23" s="66">
        <v>0</v>
      </c>
      <c r="N23" s="66">
        <v>342.80983114000003</v>
      </c>
      <c r="O23" s="67">
        <v>99.092110542431143</v>
      </c>
      <c r="P23" s="67">
        <v>97.316597067504588</v>
      </c>
      <c r="Q23" s="67">
        <v>12.263829429723602</v>
      </c>
      <c r="R23" s="66">
        <v>13.409433480000001</v>
      </c>
      <c r="S23" s="67">
        <v>0.41042398999998753</v>
      </c>
    </row>
    <row r="24" spans="1:19" ht="15.75" x14ac:dyDescent="0.25">
      <c r="A24" s="8" t="s">
        <v>38</v>
      </c>
      <c r="B24" s="11" t="s">
        <v>39</v>
      </c>
      <c r="C24" s="189" t="s">
        <v>297</v>
      </c>
      <c r="D24" s="66">
        <v>9.6199999999999994E-2</v>
      </c>
      <c r="E24" s="66">
        <v>0</v>
      </c>
      <c r="F24" s="66">
        <v>0</v>
      </c>
      <c r="G24" s="66">
        <v>0</v>
      </c>
      <c r="H24" s="66">
        <v>0</v>
      </c>
      <c r="I24" s="66">
        <v>0</v>
      </c>
      <c r="J24" s="66">
        <v>0</v>
      </c>
      <c r="K24" s="66">
        <v>0</v>
      </c>
      <c r="L24" s="66">
        <v>0</v>
      </c>
      <c r="M24" s="66">
        <v>0</v>
      </c>
      <c r="N24" s="66">
        <v>0</v>
      </c>
      <c r="O24" s="67" t="s">
        <v>1094</v>
      </c>
      <c r="P24" s="67" t="s">
        <v>1094</v>
      </c>
      <c r="Q24" s="67">
        <v>0</v>
      </c>
      <c r="R24" s="66">
        <v>0</v>
      </c>
      <c r="S24" s="67">
        <v>0</v>
      </c>
    </row>
    <row r="25" spans="1:19" ht="15.75" x14ac:dyDescent="0.25">
      <c r="A25" s="8" t="s">
        <v>40</v>
      </c>
      <c r="B25" s="11" t="s">
        <v>41</v>
      </c>
      <c r="C25" s="189" t="s">
        <v>42</v>
      </c>
      <c r="D25" s="66">
        <v>1780.5453000000002</v>
      </c>
      <c r="E25" s="66">
        <v>0</v>
      </c>
      <c r="F25" s="66">
        <v>1891.6301595300001</v>
      </c>
      <c r="G25" s="66">
        <v>1780.5453000000002</v>
      </c>
      <c r="H25" s="66">
        <v>111.08485952999999</v>
      </c>
      <c r="I25" s="66">
        <v>1777.9965437600001</v>
      </c>
      <c r="J25" s="66">
        <v>13.357171060000001</v>
      </c>
      <c r="K25" s="66">
        <v>1888.2574514300002</v>
      </c>
      <c r="L25" s="66">
        <v>1777.9965437600001</v>
      </c>
      <c r="M25" s="66">
        <v>0</v>
      </c>
      <c r="N25" s="66">
        <v>110.26090766999999</v>
      </c>
      <c r="O25" s="67">
        <v>99.856855299328799</v>
      </c>
      <c r="P25" s="67">
        <v>99.258268081279368</v>
      </c>
      <c r="Q25" s="67">
        <v>5.8392941908688396</v>
      </c>
      <c r="R25" s="66">
        <v>13.35462916</v>
      </c>
      <c r="S25" s="67">
        <v>2.5418999999278213E-3</v>
      </c>
    </row>
    <row r="26" spans="1:19" ht="15.75" x14ac:dyDescent="0.25">
      <c r="A26" s="8" t="s">
        <v>43</v>
      </c>
      <c r="B26" s="11" t="s">
        <v>44</v>
      </c>
      <c r="C26" s="189" t="s">
        <v>45</v>
      </c>
      <c r="D26" s="66">
        <v>1820.2401</v>
      </c>
      <c r="E26" s="66">
        <v>0</v>
      </c>
      <c r="F26" s="66">
        <v>2188.7957936399994</v>
      </c>
      <c r="G26" s="66">
        <v>1820.2401</v>
      </c>
      <c r="H26" s="66">
        <v>368.55569363999996</v>
      </c>
      <c r="I26" s="66">
        <v>1820.2250344499998</v>
      </c>
      <c r="J26" s="66">
        <v>0</v>
      </c>
      <c r="K26" s="66">
        <v>2188.7799351399995</v>
      </c>
      <c r="L26" s="66">
        <v>1820.2250344499998</v>
      </c>
      <c r="M26" s="66">
        <v>0</v>
      </c>
      <c r="N26" s="66">
        <v>368.55490068999995</v>
      </c>
      <c r="O26" s="67">
        <v>99.999172331716011</v>
      </c>
      <c r="P26" s="67">
        <v>99.999784849341992</v>
      </c>
      <c r="Q26" s="67">
        <v>16.838371677892155</v>
      </c>
      <c r="R26" s="66">
        <v>0</v>
      </c>
      <c r="S26" s="67">
        <v>0</v>
      </c>
    </row>
    <row r="27" spans="1:19" ht="15.75" x14ac:dyDescent="0.25">
      <c r="A27" s="8" t="s">
        <v>46</v>
      </c>
      <c r="B27" s="11" t="s">
        <v>47</v>
      </c>
      <c r="C27" s="189" t="s">
        <v>48</v>
      </c>
      <c r="D27" s="66">
        <v>459.21530000000007</v>
      </c>
      <c r="E27" s="66">
        <v>0</v>
      </c>
      <c r="F27" s="66">
        <v>573.82839019999994</v>
      </c>
      <c r="G27" s="66">
        <v>459.21530000000007</v>
      </c>
      <c r="H27" s="66">
        <v>114.61309020000002</v>
      </c>
      <c r="I27" s="66">
        <v>459.13089205000006</v>
      </c>
      <c r="J27" s="66">
        <v>1.9652324700000001</v>
      </c>
      <c r="K27" s="66">
        <v>573.40296380999996</v>
      </c>
      <c r="L27" s="66">
        <v>458.83369632</v>
      </c>
      <c r="M27" s="66">
        <v>0</v>
      </c>
      <c r="N27" s="66">
        <v>114.56926749</v>
      </c>
      <c r="O27" s="67">
        <v>99.916900922072927</v>
      </c>
      <c r="P27" s="67">
        <v>99.961764655395342</v>
      </c>
      <c r="Q27" s="67">
        <v>19.980585159298744</v>
      </c>
      <c r="R27" s="66">
        <v>1.9652324700000001</v>
      </c>
      <c r="S27" s="67">
        <v>0.29719573000004473</v>
      </c>
    </row>
    <row r="28" spans="1:19" ht="15.75" x14ac:dyDescent="0.25">
      <c r="A28" s="8" t="s">
        <v>49</v>
      </c>
      <c r="B28" s="11" t="s">
        <v>50</v>
      </c>
      <c r="C28" s="189" t="s">
        <v>51</v>
      </c>
      <c r="D28" s="66">
        <v>3228.6621</v>
      </c>
      <c r="E28" s="66">
        <v>0</v>
      </c>
      <c r="F28" s="66">
        <v>3895.1969109299998</v>
      </c>
      <c r="G28" s="66">
        <v>3228.6621</v>
      </c>
      <c r="H28" s="66">
        <v>666.53481093000005</v>
      </c>
      <c r="I28" s="66">
        <v>3228.5515335100004</v>
      </c>
      <c r="J28" s="66">
        <v>5.9680479599999998</v>
      </c>
      <c r="K28" s="66">
        <v>3894.8503074199998</v>
      </c>
      <c r="L28" s="66">
        <v>3228.5515335100004</v>
      </c>
      <c r="M28" s="66">
        <v>0</v>
      </c>
      <c r="N28" s="66">
        <v>666.29877391000002</v>
      </c>
      <c r="O28" s="67">
        <v>99.996575470378275</v>
      </c>
      <c r="P28" s="67">
        <v>99.964587442976807</v>
      </c>
      <c r="Q28" s="67">
        <v>17.107172838982997</v>
      </c>
      <c r="R28" s="66">
        <v>5.9404699999999995</v>
      </c>
      <c r="S28" s="67">
        <v>2.757796000014956E-2</v>
      </c>
    </row>
    <row r="29" spans="1:19" ht="15.75" x14ac:dyDescent="0.25">
      <c r="A29" s="8" t="s">
        <v>52</v>
      </c>
      <c r="B29" s="11" t="s">
        <v>53</v>
      </c>
      <c r="C29" s="189" t="s">
        <v>54</v>
      </c>
      <c r="D29" s="66">
        <v>2784.6143999999999</v>
      </c>
      <c r="E29" s="66">
        <v>0</v>
      </c>
      <c r="F29" s="66">
        <v>3063.2891999999993</v>
      </c>
      <c r="G29" s="66">
        <v>2784.6143999999999</v>
      </c>
      <c r="H29" s="66">
        <v>278.6748</v>
      </c>
      <c r="I29" s="66">
        <v>2779.8481809699997</v>
      </c>
      <c r="J29" s="66">
        <v>2.6511156700000003</v>
      </c>
      <c r="K29" s="66">
        <v>3056.8281704599999</v>
      </c>
      <c r="L29" s="66">
        <v>2779.8481809699997</v>
      </c>
      <c r="M29" s="66">
        <v>0</v>
      </c>
      <c r="N29" s="66">
        <v>276.97998948999998</v>
      </c>
      <c r="O29" s="67">
        <v>99.828837377627579</v>
      </c>
      <c r="P29" s="67">
        <v>99.391832160640277</v>
      </c>
      <c r="Q29" s="67">
        <v>9.061025809910646</v>
      </c>
      <c r="R29" s="66">
        <v>2.6511156700000003</v>
      </c>
      <c r="S29" s="67">
        <v>-1.4654943925052066E-13</v>
      </c>
    </row>
    <row r="30" spans="1:19" ht="15.75" x14ac:dyDescent="0.25">
      <c r="A30" s="8" t="s">
        <v>55</v>
      </c>
      <c r="B30" s="11" t="s">
        <v>56</v>
      </c>
      <c r="C30" s="189" t="s">
        <v>57</v>
      </c>
      <c r="D30" s="66">
        <v>1136.2521999999999</v>
      </c>
      <c r="E30" s="66">
        <v>0</v>
      </c>
      <c r="F30" s="66">
        <v>1256.3726510099998</v>
      </c>
      <c r="G30" s="66">
        <v>1136.2521999999999</v>
      </c>
      <c r="H30" s="66">
        <v>120.12045101000001</v>
      </c>
      <c r="I30" s="66">
        <v>1128.9659551399998</v>
      </c>
      <c r="J30" s="66">
        <v>6.7363020200000001</v>
      </c>
      <c r="K30" s="66">
        <v>1246.7266961400001</v>
      </c>
      <c r="L30" s="66">
        <v>1128.6314822499999</v>
      </c>
      <c r="M30" s="66">
        <v>0</v>
      </c>
      <c r="N30" s="66">
        <v>118.09521389000001</v>
      </c>
      <c r="O30" s="67">
        <v>99.329311067560525</v>
      </c>
      <c r="P30" s="67">
        <v>98.313994741968287</v>
      </c>
      <c r="Q30" s="67">
        <v>9.4724220036063631</v>
      </c>
      <c r="R30" s="66">
        <v>6.7363020200000001</v>
      </c>
      <c r="S30" s="67">
        <v>0.3344728899999545</v>
      </c>
    </row>
    <row r="31" spans="1:19" ht="15.75" x14ac:dyDescent="0.25">
      <c r="A31" s="8" t="s">
        <v>58</v>
      </c>
      <c r="B31" s="11" t="s">
        <v>59</v>
      </c>
      <c r="C31" s="189" t="s">
        <v>60</v>
      </c>
      <c r="D31" s="66">
        <v>1153.5070000000001</v>
      </c>
      <c r="E31" s="66">
        <v>0</v>
      </c>
      <c r="F31" s="66">
        <v>1569.3836450000001</v>
      </c>
      <c r="G31" s="66">
        <v>1153.5070000000001</v>
      </c>
      <c r="H31" s="66">
        <v>415.87664499999994</v>
      </c>
      <c r="I31" s="66">
        <v>1152.3967967800002</v>
      </c>
      <c r="J31" s="66">
        <v>1.6043282299999999</v>
      </c>
      <c r="K31" s="66">
        <v>1567.7135248899999</v>
      </c>
      <c r="L31" s="66">
        <v>1152.3967962900001</v>
      </c>
      <c r="M31" s="66">
        <v>0</v>
      </c>
      <c r="N31" s="66">
        <v>415.31672860000003</v>
      </c>
      <c r="O31" s="67">
        <v>99.903754055241976</v>
      </c>
      <c r="P31" s="67">
        <v>99.865364788638246</v>
      </c>
      <c r="Q31" s="67">
        <v>26.491876354076943</v>
      </c>
      <c r="R31" s="66">
        <v>1.44432823</v>
      </c>
      <c r="S31" s="67">
        <v>0.16000049000001226</v>
      </c>
    </row>
    <row r="32" spans="1:19" s="62" customFormat="1" ht="15.75" x14ac:dyDescent="0.25">
      <c r="A32" s="56" t="s">
        <v>61</v>
      </c>
      <c r="B32" s="57" t="s">
        <v>62</v>
      </c>
      <c r="C32" s="190" t="s">
        <v>63</v>
      </c>
      <c r="D32" s="61">
        <v>8177.4911000000011</v>
      </c>
      <c r="E32" s="61">
        <v>0</v>
      </c>
      <c r="F32" s="61">
        <v>10174.120549929998</v>
      </c>
      <c r="G32" s="61">
        <v>8177.4911000000011</v>
      </c>
      <c r="H32" s="61">
        <v>1996.62944993</v>
      </c>
      <c r="I32" s="61">
        <v>8154.7256324900009</v>
      </c>
      <c r="J32" s="61">
        <v>12.21254734</v>
      </c>
      <c r="K32" s="61">
        <v>10136.106887579999</v>
      </c>
      <c r="L32" s="61">
        <v>8152.72329575</v>
      </c>
      <c r="M32" s="61">
        <v>0</v>
      </c>
      <c r="N32" s="61">
        <v>1983.3835918300001</v>
      </c>
      <c r="O32" s="61">
        <v>99.697122210869765</v>
      </c>
      <c r="P32" s="61">
        <v>99.3365890651135</v>
      </c>
      <c r="Q32" s="61">
        <v>19.56750864831827</v>
      </c>
      <c r="R32" s="61">
        <v>12.21254734</v>
      </c>
      <c r="S32" s="61">
        <v>2.0023367400005019</v>
      </c>
    </row>
    <row r="33" spans="1:19" ht="15.75" x14ac:dyDescent="0.25">
      <c r="A33" s="8" t="s">
        <v>64</v>
      </c>
      <c r="B33" s="11" t="s">
        <v>65</v>
      </c>
      <c r="C33" s="189" t="s">
        <v>66</v>
      </c>
      <c r="D33" s="66">
        <v>176.62069999999997</v>
      </c>
      <c r="E33" s="66">
        <v>0</v>
      </c>
      <c r="F33" s="66">
        <v>206.27377900000002</v>
      </c>
      <c r="G33" s="66">
        <v>176.62069999999997</v>
      </c>
      <c r="H33" s="66">
        <v>29.653079000000002</v>
      </c>
      <c r="I33" s="66">
        <v>176.60238830999998</v>
      </c>
      <c r="J33" s="66">
        <v>0.33525708000000004</v>
      </c>
      <c r="K33" s="66">
        <v>206.25049580999999</v>
      </c>
      <c r="L33" s="66">
        <v>176.59908915</v>
      </c>
      <c r="M33" s="66">
        <v>0</v>
      </c>
      <c r="N33" s="66">
        <v>29.651406659999999</v>
      </c>
      <c r="O33" s="67">
        <v>99.987764259795156</v>
      </c>
      <c r="P33" s="67">
        <v>99.994360315837682</v>
      </c>
      <c r="Q33" s="67">
        <v>14.376405032895132</v>
      </c>
      <c r="R33" s="66">
        <v>0.33525708000000004</v>
      </c>
      <c r="S33" s="67">
        <v>3.299159999974155E-3</v>
      </c>
    </row>
    <row r="34" spans="1:19" ht="15.75" x14ac:dyDescent="0.25">
      <c r="A34" s="8" t="s">
        <v>67</v>
      </c>
      <c r="B34" s="11" t="s">
        <v>68</v>
      </c>
      <c r="C34" s="189" t="s">
        <v>69</v>
      </c>
      <c r="D34" s="66">
        <v>201.48650000000001</v>
      </c>
      <c r="E34" s="66">
        <v>0</v>
      </c>
      <c r="F34" s="66">
        <v>405.04998999999998</v>
      </c>
      <c r="G34" s="66">
        <v>201.48650000000001</v>
      </c>
      <c r="H34" s="66">
        <v>203.56349</v>
      </c>
      <c r="I34" s="66">
        <v>201.19326722</v>
      </c>
      <c r="J34" s="66">
        <v>0.13308733</v>
      </c>
      <c r="K34" s="66">
        <v>402.64575889000002</v>
      </c>
      <c r="L34" s="66">
        <v>201.19269019000001</v>
      </c>
      <c r="M34" s="66">
        <v>0</v>
      </c>
      <c r="N34" s="66">
        <v>201.45306869999999</v>
      </c>
      <c r="O34" s="67">
        <v>99.854178910249573</v>
      </c>
      <c r="P34" s="67">
        <v>98.963261388375685</v>
      </c>
      <c r="Q34" s="67">
        <v>50.032333447484675</v>
      </c>
      <c r="R34" s="66">
        <v>0.13308733</v>
      </c>
      <c r="S34" s="67">
        <v>5.7702999998315851E-4</v>
      </c>
    </row>
    <row r="35" spans="1:19" ht="15.75" x14ac:dyDescent="0.25">
      <c r="A35" s="8" t="s">
        <v>70</v>
      </c>
      <c r="B35" s="11" t="s">
        <v>71</v>
      </c>
      <c r="C35" s="189" t="s">
        <v>72</v>
      </c>
      <c r="D35" s="66">
        <v>465.53589999999997</v>
      </c>
      <c r="E35" s="66">
        <v>0</v>
      </c>
      <c r="F35" s="66">
        <v>531.89024200999995</v>
      </c>
      <c r="G35" s="66">
        <v>465.53589999999997</v>
      </c>
      <c r="H35" s="66">
        <v>66.354342009999996</v>
      </c>
      <c r="I35" s="66">
        <v>465.02494829</v>
      </c>
      <c r="J35" s="66">
        <v>1.21028081</v>
      </c>
      <c r="K35" s="66">
        <v>531.31812659000002</v>
      </c>
      <c r="L35" s="66">
        <v>465.02489829000001</v>
      </c>
      <c r="M35" s="66">
        <v>0</v>
      </c>
      <c r="N35" s="66">
        <v>66.293228299999996</v>
      </c>
      <c r="O35" s="67">
        <v>99.89023366189376</v>
      </c>
      <c r="P35" s="67">
        <v>99.907897948877576</v>
      </c>
      <c r="Q35" s="67">
        <v>12.477125281885256</v>
      </c>
      <c r="R35" s="66">
        <v>1.21028081</v>
      </c>
      <c r="S35" s="67">
        <v>4.9999999959471353E-5</v>
      </c>
    </row>
    <row r="36" spans="1:19" ht="15.75" x14ac:dyDescent="0.25">
      <c r="A36" s="8" t="s">
        <v>73</v>
      </c>
      <c r="B36" s="11" t="s">
        <v>74</v>
      </c>
      <c r="C36" s="189" t="s">
        <v>298</v>
      </c>
      <c r="D36" s="66">
        <v>39.907499999999999</v>
      </c>
      <c r="E36" s="66">
        <v>0</v>
      </c>
      <c r="F36" s="66">
        <v>188.74160000000001</v>
      </c>
      <c r="G36" s="66">
        <v>39.907499999999999</v>
      </c>
      <c r="H36" s="66">
        <v>148.83410000000001</v>
      </c>
      <c r="I36" s="66">
        <v>39.907499080000001</v>
      </c>
      <c r="J36" s="66">
        <v>0</v>
      </c>
      <c r="K36" s="66">
        <v>188.74159908000001</v>
      </c>
      <c r="L36" s="66">
        <v>39.907499080000001</v>
      </c>
      <c r="M36" s="66">
        <v>0</v>
      </c>
      <c r="N36" s="66">
        <v>148.83410000000001</v>
      </c>
      <c r="O36" s="67">
        <v>99.999997694668934</v>
      </c>
      <c r="P36" s="67">
        <v>100</v>
      </c>
      <c r="Q36" s="67">
        <v>78.856013049309382</v>
      </c>
      <c r="R36" s="66">
        <v>0</v>
      </c>
      <c r="S36" s="67">
        <v>0</v>
      </c>
    </row>
    <row r="37" spans="1:19" ht="15.75" x14ac:dyDescent="0.25">
      <c r="A37" s="8" t="s">
        <v>75</v>
      </c>
      <c r="B37" s="11" t="s">
        <v>76</v>
      </c>
      <c r="C37" s="189" t="s">
        <v>77</v>
      </c>
      <c r="D37" s="66">
        <v>812.1638999999999</v>
      </c>
      <c r="E37" s="66">
        <v>0</v>
      </c>
      <c r="F37" s="66">
        <v>969.15571399999999</v>
      </c>
      <c r="G37" s="66">
        <v>812.1638999999999</v>
      </c>
      <c r="H37" s="66">
        <v>156.99181400000001</v>
      </c>
      <c r="I37" s="66">
        <v>807.53381368000009</v>
      </c>
      <c r="J37" s="66">
        <v>1.9775612</v>
      </c>
      <c r="K37" s="66">
        <v>962.83001104000004</v>
      </c>
      <c r="L37" s="66">
        <v>807.39706075000004</v>
      </c>
      <c r="M37" s="66">
        <v>0</v>
      </c>
      <c r="N37" s="66">
        <v>155.43295029000001</v>
      </c>
      <c r="O37" s="67">
        <v>99.413069301652058</v>
      </c>
      <c r="P37" s="67">
        <v>99.007041405356333</v>
      </c>
      <c r="Q37" s="67">
        <v>16.143342906616425</v>
      </c>
      <c r="R37" s="66">
        <v>1.9775612</v>
      </c>
      <c r="S37" s="67">
        <v>0.1367529300000252</v>
      </c>
    </row>
    <row r="38" spans="1:19" ht="15.75" x14ac:dyDescent="0.25">
      <c r="A38" s="8" t="s">
        <v>78</v>
      </c>
      <c r="B38" s="11" t="s">
        <v>79</v>
      </c>
      <c r="C38" s="189" t="s">
        <v>80</v>
      </c>
      <c r="D38" s="66">
        <v>2500.4428000000003</v>
      </c>
      <c r="E38" s="66">
        <v>0</v>
      </c>
      <c r="F38" s="66">
        <v>2942.3963624000003</v>
      </c>
      <c r="G38" s="66">
        <v>2500.4428000000003</v>
      </c>
      <c r="H38" s="66">
        <v>441.95356240000001</v>
      </c>
      <c r="I38" s="66">
        <v>2488.8138606100001</v>
      </c>
      <c r="J38" s="66">
        <v>0.847858</v>
      </c>
      <c r="K38" s="66">
        <v>2926.97597142</v>
      </c>
      <c r="L38" s="66">
        <v>2487.3779480899998</v>
      </c>
      <c r="M38" s="66">
        <v>0</v>
      </c>
      <c r="N38" s="66">
        <v>439.59802332999999</v>
      </c>
      <c r="O38" s="67">
        <v>99.477498469071136</v>
      </c>
      <c r="P38" s="67">
        <v>99.467016612060235</v>
      </c>
      <c r="Q38" s="67">
        <v>15.01884633226874</v>
      </c>
      <c r="R38" s="66">
        <v>0.847858</v>
      </c>
      <c r="S38" s="67">
        <v>1.4359125200004166</v>
      </c>
    </row>
    <row r="39" spans="1:19" ht="15.75" x14ac:dyDescent="0.25">
      <c r="A39" s="8" t="s">
        <v>81</v>
      </c>
      <c r="B39" s="11" t="s">
        <v>82</v>
      </c>
      <c r="C39" s="189" t="s">
        <v>83</v>
      </c>
      <c r="D39" s="66">
        <v>1618.6858</v>
      </c>
      <c r="E39" s="66">
        <v>0</v>
      </c>
      <c r="F39" s="66">
        <v>2006.2285705300001</v>
      </c>
      <c r="G39" s="66">
        <v>1618.6858</v>
      </c>
      <c r="H39" s="66">
        <v>387.54277052999998</v>
      </c>
      <c r="I39" s="66">
        <v>1616.28744914</v>
      </c>
      <c r="J39" s="66">
        <v>5.2334560699999999</v>
      </c>
      <c r="K39" s="66">
        <v>2000.83276052</v>
      </c>
      <c r="L39" s="66">
        <v>1615.8617040399999</v>
      </c>
      <c r="M39" s="66">
        <v>0</v>
      </c>
      <c r="N39" s="66">
        <v>384.97105648000002</v>
      </c>
      <c r="O39" s="67">
        <v>99.825531554054521</v>
      </c>
      <c r="P39" s="67">
        <v>99.336405102723774</v>
      </c>
      <c r="Q39" s="67">
        <v>19.240541442351695</v>
      </c>
      <c r="R39" s="66">
        <v>5.2334560699999999</v>
      </c>
      <c r="S39" s="67">
        <v>0.42574510000018773</v>
      </c>
    </row>
    <row r="40" spans="1:19" ht="15.75" x14ac:dyDescent="0.25">
      <c r="A40" s="8" t="s">
        <v>84</v>
      </c>
      <c r="B40" s="11" t="s">
        <v>85</v>
      </c>
      <c r="C40" s="189" t="s">
        <v>299</v>
      </c>
      <c r="D40" s="66">
        <v>70.302599999999998</v>
      </c>
      <c r="E40" s="66">
        <v>0</v>
      </c>
      <c r="F40" s="66">
        <v>86.9131</v>
      </c>
      <c r="G40" s="66">
        <v>70.302599999999998</v>
      </c>
      <c r="H40" s="66">
        <v>16.610499999999998</v>
      </c>
      <c r="I40" s="66">
        <v>70.302599999999998</v>
      </c>
      <c r="J40" s="66">
        <v>0</v>
      </c>
      <c r="K40" s="66">
        <v>86.9131</v>
      </c>
      <c r="L40" s="66">
        <v>70.302599999999998</v>
      </c>
      <c r="M40" s="66">
        <v>0</v>
      </c>
      <c r="N40" s="66">
        <v>16.610499999999998</v>
      </c>
      <c r="O40" s="67">
        <v>100</v>
      </c>
      <c r="P40" s="67">
        <v>100</v>
      </c>
      <c r="Q40" s="67">
        <v>19.111618386641368</v>
      </c>
      <c r="R40" s="66">
        <v>0</v>
      </c>
      <c r="S40" s="67">
        <v>0</v>
      </c>
    </row>
    <row r="41" spans="1:19" ht="15.75" x14ac:dyDescent="0.25">
      <c r="A41" s="8" t="s">
        <v>86</v>
      </c>
      <c r="B41" s="11" t="s">
        <v>87</v>
      </c>
      <c r="C41" s="189" t="s">
        <v>88</v>
      </c>
      <c r="D41" s="66">
        <v>45.669899999999998</v>
      </c>
      <c r="E41" s="66">
        <v>0</v>
      </c>
      <c r="F41" s="66">
        <v>79.377569999999992</v>
      </c>
      <c r="G41" s="66">
        <v>45.669899999999998</v>
      </c>
      <c r="H41" s="66">
        <v>33.70767</v>
      </c>
      <c r="I41" s="66">
        <v>43.478022889999998</v>
      </c>
      <c r="J41" s="66">
        <v>4.0868439999999999E-2</v>
      </c>
      <c r="K41" s="66">
        <v>72.864327669999994</v>
      </c>
      <c r="L41" s="66">
        <v>43.478022889999998</v>
      </c>
      <c r="M41" s="66">
        <v>0</v>
      </c>
      <c r="N41" s="66">
        <v>29.386304780000003</v>
      </c>
      <c r="O41" s="67">
        <v>95.200608913091557</v>
      </c>
      <c r="P41" s="67">
        <v>87.17987561881317</v>
      </c>
      <c r="Q41" s="67">
        <v>40.330166653138633</v>
      </c>
      <c r="R41" s="66">
        <v>4.0868439999999999E-2</v>
      </c>
      <c r="S41" s="67">
        <v>-2.9906632725840154E-15</v>
      </c>
    </row>
    <row r="42" spans="1:19" ht="15.75" x14ac:dyDescent="0.25">
      <c r="A42" s="8" t="s">
        <v>89</v>
      </c>
      <c r="B42" s="11" t="s">
        <v>90</v>
      </c>
      <c r="C42" s="189" t="s">
        <v>91</v>
      </c>
      <c r="D42" s="66">
        <v>595.28710000000001</v>
      </c>
      <c r="E42" s="66">
        <v>0</v>
      </c>
      <c r="F42" s="66">
        <v>841.50169599000003</v>
      </c>
      <c r="G42" s="66">
        <v>595.28710000000001</v>
      </c>
      <c r="H42" s="66">
        <v>246.21459599000002</v>
      </c>
      <c r="I42" s="66">
        <v>594.39146442000003</v>
      </c>
      <c r="J42" s="66">
        <v>0.47263317999999999</v>
      </c>
      <c r="K42" s="66">
        <v>840.36327907999998</v>
      </c>
      <c r="L42" s="66">
        <v>594.39146442000003</v>
      </c>
      <c r="M42" s="66">
        <v>0</v>
      </c>
      <c r="N42" s="66">
        <v>245.97181466000001</v>
      </c>
      <c r="O42" s="67">
        <v>99.849545609169084</v>
      </c>
      <c r="P42" s="67">
        <v>99.901394420170817</v>
      </c>
      <c r="Q42" s="67">
        <v>29.269700471596195</v>
      </c>
      <c r="R42" s="66">
        <v>0.47263317999999999</v>
      </c>
      <c r="S42" s="67">
        <v>2.55351295663786E-15</v>
      </c>
    </row>
    <row r="43" spans="1:19" ht="15.75" x14ac:dyDescent="0.25">
      <c r="A43" s="8" t="s">
        <v>92</v>
      </c>
      <c r="B43" s="68">
        <v>32</v>
      </c>
      <c r="C43" s="189" t="s">
        <v>93</v>
      </c>
      <c r="D43" s="66">
        <v>1651.3883999999998</v>
      </c>
      <c r="E43" s="66">
        <v>0</v>
      </c>
      <c r="F43" s="66">
        <v>1916.5919260000001</v>
      </c>
      <c r="G43" s="66">
        <v>1651.3883999999998</v>
      </c>
      <c r="H43" s="66">
        <v>265.20352600000001</v>
      </c>
      <c r="I43" s="66">
        <v>1651.1903188499998</v>
      </c>
      <c r="J43" s="66">
        <v>1.96154523</v>
      </c>
      <c r="K43" s="66">
        <v>1916.3714574799999</v>
      </c>
      <c r="L43" s="66">
        <v>1651.1903188499998</v>
      </c>
      <c r="M43" s="66">
        <v>0</v>
      </c>
      <c r="N43" s="66">
        <v>265.18113862999996</v>
      </c>
      <c r="O43" s="67">
        <v>99.988005174918271</v>
      </c>
      <c r="P43" s="67">
        <v>99.99155841917424</v>
      </c>
      <c r="Q43" s="67">
        <v>13.837668975654086</v>
      </c>
      <c r="R43" s="66">
        <v>1.96154523</v>
      </c>
      <c r="S43" s="67">
        <v>-4.3964831775156199E-14</v>
      </c>
    </row>
    <row r="44" spans="1:19" s="62" customFormat="1" ht="15.75" x14ac:dyDescent="0.25">
      <c r="A44" s="69" t="s">
        <v>94</v>
      </c>
      <c r="B44" s="70">
        <v>33</v>
      </c>
      <c r="C44" s="191" t="s">
        <v>95</v>
      </c>
      <c r="D44" s="61">
        <v>14594.145800000002</v>
      </c>
      <c r="E44" s="61">
        <v>0</v>
      </c>
      <c r="F44" s="61">
        <v>16778.305368220001</v>
      </c>
      <c r="G44" s="61">
        <v>14594.145800000002</v>
      </c>
      <c r="H44" s="61">
        <v>2184.15956822</v>
      </c>
      <c r="I44" s="61">
        <v>14390.01281849</v>
      </c>
      <c r="J44" s="61">
        <v>140.91141220999998</v>
      </c>
      <c r="K44" s="61">
        <v>16550.45987612</v>
      </c>
      <c r="L44" s="61">
        <v>14389.978497840002</v>
      </c>
      <c r="M44" s="61">
        <v>0</v>
      </c>
      <c r="N44" s="61">
        <v>2160.4813782799997</v>
      </c>
      <c r="O44" s="61">
        <v>98.601032873332002</v>
      </c>
      <c r="P44" s="61">
        <v>98.915912999923492</v>
      </c>
      <c r="Q44" s="61">
        <v>13.053905416835409</v>
      </c>
      <c r="R44" s="61">
        <v>138.60134753</v>
      </c>
      <c r="S44" s="61">
        <v>2.3443853299999731</v>
      </c>
    </row>
    <row r="45" spans="1:19" ht="15.75" x14ac:dyDescent="0.25">
      <c r="A45" s="14" t="s">
        <v>96</v>
      </c>
      <c r="B45" s="72">
        <v>34</v>
      </c>
      <c r="C45" s="192" t="s">
        <v>97</v>
      </c>
      <c r="D45" s="66">
        <v>357.45669999999996</v>
      </c>
      <c r="E45" s="66">
        <v>0</v>
      </c>
      <c r="F45" s="66">
        <v>408.92395223</v>
      </c>
      <c r="G45" s="66">
        <v>357.45669999999996</v>
      </c>
      <c r="H45" s="66">
        <v>51.46725223</v>
      </c>
      <c r="I45" s="66">
        <v>357.45669999999996</v>
      </c>
      <c r="J45" s="66">
        <v>0.54997532999999998</v>
      </c>
      <c r="K45" s="66">
        <v>408.92395223</v>
      </c>
      <c r="L45" s="66">
        <v>357.45669999999996</v>
      </c>
      <c r="M45" s="66">
        <v>0</v>
      </c>
      <c r="N45" s="66">
        <v>51.46725223</v>
      </c>
      <c r="O45" s="67">
        <v>100</v>
      </c>
      <c r="P45" s="67">
        <v>100</v>
      </c>
      <c r="Q45" s="67">
        <v>12.586020444469378</v>
      </c>
      <c r="R45" s="66">
        <v>0.54997532999999998</v>
      </c>
      <c r="S45" s="67">
        <v>-4.7739590058881731E-15</v>
      </c>
    </row>
    <row r="46" spans="1:19" ht="15.75" x14ac:dyDescent="0.25">
      <c r="A46" s="14" t="s">
        <v>98</v>
      </c>
      <c r="B46" s="72">
        <v>35</v>
      </c>
      <c r="C46" s="192" t="s">
        <v>99</v>
      </c>
      <c r="D46" s="66">
        <v>922.26469999999983</v>
      </c>
      <c r="E46" s="66">
        <v>0</v>
      </c>
      <c r="F46" s="66">
        <v>1002.2224966700001</v>
      </c>
      <c r="G46" s="66">
        <v>922.26469999999983</v>
      </c>
      <c r="H46" s="66">
        <v>79.957796670000008</v>
      </c>
      <c r="I46" s="66">
        <v>911.2296967699998</v>
      </c>
      <c r="J46" s="66">
        <v>12.211463350000001</v>
      </c>
      <c r="K46" s="66">
        <v>991.14525615000002</v>
      </c>
      <c r="L46" s="66">
        <v>911.2296967699998</v>
      </c>
      <c r="M46" s="66">
        <v>0</v>
      </c>
      <c r="N46" s="66">
        <v>79.915559380000005</v>
      </c>
      <c r="O46" s="67">
        <v>98.803488496306969</v>
      </c>
      <c r="P46" s="67">
        <v>99.947175520388186</v>
      </c>
      <c r="Q46" s="67">
        <v>8.0629513064940284</v>
      </c>
      <c r="R46" s="66">
        <v>12.211463350000001</v>
      </c>
      <c r="S46" s="67">
        <v>3.0198066269804258E-14</v>
      </c>
    </row>
    <row r="47" spans="1:19" ht="15.75" x14ac:dyDescent="0.25">
      <c r="B47" s="149">
        <v>36</v>
      </c>
      <c r="C47" s="189" t="s">
        <v>318</v>
      </c>
      <c r="D47" s="66">
        <v>1910.5972999999999</v>
      </c>
      <c r="E47" s="66">
        <v>0</v>
      </c>
      <c r="F47" s="66">
        <v>2032.860776</v>
      </c>
      <c r="G47" s="66">
        <v>1910.5972999999999</v>
      </c>
      <c r="H47" s="66">
        <v>122.263476</v>
      </c>
      <c r="I47" s="66">
        <v>1802.7178758899997</v>
      </c>
      <c r="J47" s="66">
        <v>43.567414449999994</v>
      </c>
      <c r="K47" s="66">
        <v>1918.5767850799998</v>
      </c>
      <c r="L47" s="66">
        <v>1802.7171984699999</v>
      </c>
      <c r="M47" s="66">
        <v>0</v>
      </c>
      <c r="N47" s="66">
        <v>115.85958660999999</v>
      </c>
      <c r="O47" s="67">
        <v>94.353592903643275</v>
      </c>
      <c r="P47" s="67">
        <v>94.7622220474085</v>
      </c>
      <c r="Q47" s="67">
        <v>6.0388297987859234</v>
      </c>
      <c r="R47" s="66">
        <v>43.567414449999994</v>
      </c>
      <c r="S47" s="67">
        <v>6.7741999976789202E-4</v>
      </c>
    </row>
    <row r="48" spans="1:19" ht="15.75" x14ac:dyDescent="0.25">
      <c r="A48" s="14" t="s">
        <v>100</v>
      </c>
      <c r="B48" s="149">
        <v>37</v>
      </c>
      <c r="C48" s="192" t="s">
        <v>101</v>
      </c>
      <c r="D48" s="66">
        <v>4465.1275000000005</v>
      </c>
      <c r="E48" s="66">
        <v>0</v>
      </c>
      <c r="F48" s="66">
        <v>4928.1039999999994</v>
      </c>
      <c r="G48" s="66">
        <v>4465.1275000000005</v>
      </c>
      <c r="H48" s="66">
        <v>462.97649999999999</v>
      </c>
      <c r="I48" s="66">
        <v>4431.2547755800006</v>
      </c>
      <c r="J48" s="66">
        <v>41.755975409999998</v>
      </c>
      <c r="K48" s="66">
        <v>4892.4485027899991</v>
      </c>
      <c r="L48" s="66">
        <v>4431.2428104500004</v>
      </c>
      <c r="M48" s="66">
        <v>0</v>
      </c>
      <c r="N48" s="66">
        <v>461.20569233999998</v>
      </c>
      <c r="O48" s="67">
        <v>99.241126047352509</v>
      </c>
      <c r="P48" s="67">
        <v>99.617516729250838</v>
      </c>
      <c r="Q48" s="67">
        <v>9.4268890531395453</v>
      </c>
      <c r="R48" s="66">
        <v>40.682098529999998</v>
      </c>
      <c r="S48" s="67">
        <v>1.0858420100003841</v>
      </c>
    </row>
    <row r="49" spans="1:19" ht="15.75" x14ac:dyDescent="0.25">
      <c r="A49" s="14" t="s">
        <v>102</v>
      </c>
      <c r="B49" s="149">
        <v>38</v>
      </c>
      <c r="C49" s="192" t="s">
        <v>103</v>
      </c>
      <c r="D49" s="66">
        <v>582.56889999999999</v>
      </c>
      <c r="E49" s="66">
        <v>0</v>
      </c>
      <c r="F49" s="66">
        <v>680.06144112999993</v>
      </c>
      <c r="G49" s="66">
        <v>582.56889999999999</v>
      </c>
      <c r="H49" s="66">
        <v>97.492541129999992</v>
      </c>
      <c r="I49" s="66">
        <v>576.13187031000007</v>
      </c>
      <c r="J49" s="66">
        <v>0.15149536999999999</v>
      </c>
      <c r="K49" s="66">
        <v>669.50673743999994</v>
      </c>
      <c r="L49" s="66">
        <v>576.12972021000007</v>
      </c>
      <c r="M49" s="66">
        <v>0</v>
      </c>
      <c r="N49" s="66">
        <v>93.377017230000007</v>
      </c>
      <c r="O49" s="67">
        <v>98.894692148860003</v>
      </c>
      <c r="P49" s="67">
        <v>95.778626905916624</v>
      </c>
      <c r="Q49" s="67">
        <v>13.947136303220296</v>
      </c>
      <c r="R49" s="66">
        <v>0.15149536999999999</v>
      </c>
      <c r="S49" s="67">
        <v>2.1501000000149484E-3</v>
      </c>
    </row>
    <row r="50" spans="1:19" ht="15.75" x14ac:dyDescent="0.25">
      <c r="A50" s="14" t="s">
        <v>104</v>
      </c>
      <c r="B50" s="149">
        <v>39</v>
      </c>
      <c r="C50" s="192" t="s">
        <v>105</v>
      </c>
      <c r="D50" s="66">
        <v>2603.6581999999999</v>
      </c>
      <c r="E50" s="66">
        <v>0</v>
      </c>
      <c r="F50" s="66">
        <v>3062.31900219</v>
      </c>
      <c r="G50" s="66">
        <v>2603.6581999999999</v>
      </c>
      <c r="H50" s="66">
        <v>458.66080219000003</v>
      </c>
      <c r="I50" s="66">
        <v>2588.0663858099997</v>
      </c>
      <c r="J50" s="66">
        <v>13.31813532</v>
      </c>
      <c r="K50" s="66">
        <v>3041.5062430600001</v>
      </c>
      <c r="L50" s="66">
        <v>2588.0468578099999</v>
      </c>
      <c r="M50" s="66">
        <v>0</v>
      </c>
      <c r="N50" s="66">
        <v>453.45938524999997</v>
      </c>
      <c r="O50" s="67">
        <v>99.400407388727146</v>
      </c>
      <c r="P50" s="67">
        <v>98.865955644091557</v>
      </c>
      <c r="Q50" s="67">
        <v>14.909040094350862</v>
      </c>
      <c r="R50" s="66">
        <v>13.31813532</v>
      </c>
      <c r="S50" s="67">
        <v>1.9527999999592538E-2</v>
      </c>
    </row>
    <row r="51" spans="1:19" ht="15.75" x14ac:dyDescent="0.25">
      <c r="A51" s="14" t="s">
        <v>106</v>
      </c>
      <c r="B51" s="149">
        <v>40</v>
      </c>
      <c r="C51" s="192" t="s">
        <v>107</v>
      </c>
      <c r="D51" s="66">
        <v>3560.3242</v>
      </c>
      <c r="E51" s="66">
        <v>0</v>
      </c>
      <c r="F51" s="66">
        <v>4446.7726999999995</v>
      </c>
      <c r="G51" s="66">
        <v>3560.3242</v>
      </c>
      <c r="H51" s="66">
        <v>886.44849999999997</v>
      </c>
      <c r="I51" s="66">
        <v>3557.8188476600003</v>
      </c>
      <c r="J51" s="66">
        <v>29.356952979999999</v>
      </c>
      <c r="K51" s="66">
        <v>4440.8544758100006</v>
      </c>
      <c r="L51" s="66">
        <v>3557.8188476600003</v>
      </c>
      <c r="M51" s="66">
        <v>0</v>
      </c>
      <c r="N51" s="66">
        <v>883.03562814999987</v>
      </c>
      <c r="O51" s="67">
        <v>99.92963134256145</v>
      </c>
      <c r="P51" s="67">
        <v>99.614994909461728</v>
      </c>
      <c r="Q51" s="67">
        <v>19.884363087329863</v>
      </c>
      <c r="R51" s="66">
        <v>28.120765179999999</v>
      </c>
      <c r="S51" s="67">
        <v>1.236187800000188</v>
      </c>
    </row>
    <row r="52" spans="1:19" ht="15.75" x14ac:dyDescent="0.25">
      <c r="B52" s="149">
        <v>41</v>
      </c>
      <c r="C52" s="189" t="s">
        <v>319</v>
      </c>
      <c r="D52" s="66">
        <v>192.14830000000001</v>
      </c>
      <c r="E52" s="66">
        <v>0</v>
      </c>
      <c r="F52" s="66">
        <v>217.041</v>
      </c>
      <c r="G52" s="66">
        <v>192.14830000000001</v>
      </c>
      <c r="H52" s="66">
        <v>24.892700000000001</v>
      </c>
      <c r="I52" s="66">
        <v>165.33666647000001</v>
      </c>
      <c r="J52" s="66">
        <v>0</v>
      </c>
      <c r="K52" s="66">
        <v>187.49792356</v>
      </c>
      <c r="L52" s="66">
        <v>165.33666647000001</v>
      </c>
      <c r="M52" s="66">
        <v>0</v>
      </c>
      <c r="N52" s="66">
        <v>22.161257089999999</v>
      </c>
      <c r="O52" s="67">
        <v>86.046385250350895</v>
      </c>
      <c r="P52" s="67">
        <v>89.027132814037842</v>
      </c>
      <c r="Q52" s="67">
        <v>11.819468007552796</v>
      </c>
      <c r="R52" s="66">
        <v>0</v>
      </c>
      <c r="S52" s="67">
        <v>0</v>
      </c>
    </row>
    <row r="53" spans="1:19" s="62" customFormat="1" ht="31.5" x14ac:dyDescent="0.25">
      <c r="A53" s="69" t="s">
        <v>108</v>
      </c>
      <c r="B53" s="70">
        <v>42</v>
      </c>
      <c r="C53" s="193" t="s">
        <v>109</v>
      </c>
      <c r="D53" s="61">
        <v>14892.8488</v>
      </c>
      <c r="E53" s="61">
        <v>0</v>
      </c>
      <c r="F53" s="61">
        <v>16929.083387309998</v>
      </c>
      <c r="G53" s="61">
        <v>14880.275900000001</v>
      </c>
      <c r="H53" s="61">
        <v>2048.8074873099995</v>
      </c>
      <c r="I53" s="61">
        <v>14780.654397359998</v>
      </c>
      <c r="J53" s="61">
        <v>123.05021938000002</v>
      </c>
      <c r="K53" s="61">
        <v>16779.281989390001</v>
      </c>
      <c r="L53" s="61">
        <v>14765.602861700001</v>
      </c>
      <c r="M53" s="61">
        <v>0</v>
      </c>
      <c r="N53" s="61">
        <v>2013.6791276899999</v>
      </c>
      <c r="O53" s="61">
        <v>99.22936214979724</v>
      </c>
      <c r="P53" s="61">
        <v>98.285424089985057</v>
      </c>
      <c r="Q53" s="61">
        <v>12.000985077688689</v>
      </c>
      <c r="R53" s="61">
        <v>123.05021938000002</v>
      </c>
      <c r="S53" s="61">
        <v>15.051535659999596</v>
      </c>
    </row>
    <row r="54" spans="1:19" ht="15.75" x14ac:dyDescent="0.25">
      <c r="A54" s="14" t="s">
        <v>110</v>
      </c>
      <c r="B54" s="149">
        <v>43</v>
      </c>
      <c r="C54" s="192" t="s">
        <v>111</v>
      </c>
      <c r="D54" s="66">
        <v>2300.6476000000002</v>
      </c>
      <c r="E54" s="66">
        <v>0</v>
      </c>
      <c r="F54" s="66">
        <v>2678.76985057</v>
      </c>
      <c r="G54" s="66">
        <v>2300.6476000000002</v>
      </c>
      <c r="H54" s="66">
        <v>378.12225057000001</v>
      </c>
      <c r="I54" s="66">
        <v>2300.6466110000001</v>
      </c>
      <c r="J54" s="66">
        <v>93.808491270000005</v>
      </c>
      <c r="K54" s="66">
        <v>2678.7688202600002</v>
      </c>
      <c r="L54" s="66">
        <v>2300.6466110000001</v>
      </c>
      <c r="M54" s="66">
        <v>0</v>
      </c>
      <c r="N54" s="66">
        <v>378.12220925999998</v>
      </c>
      <c r="O54" s="67">
        <v>99.999957012103891</v>
      </c>
      <c r="P54" s="67">
        <v>99.999989074961888</v>
      </c>
      <c r="Q54" s="67">
        <v>14.115522265310659</v>
      </c>
      <c r="R54" s="66">
        <v>93.808491270000005</v>
      </c>
      <c r="S54" s="67">
        <v>9.9475983006414026E-14</v>
      </c>
    </row>
    <row r="55" spans="1:19" ht="15.75" x14ac:dyDescent="0.25">
      <c r="A55" s="14" t="s">
        <v>112</v>
      </c>
      <c r="B55" s="149">
        <v>44</v>
      </c>
      <c r="C55" s="192" t="s">
        <v>113</v>
      </c>
      <c r="D55" s="66">
        <v>354.07040000000006</v>
      </c>
      <c r="E55" s="66">
        <v>0</v>
      </c>
      <c r="F55" s="66">
        <v>380.23657894999997</v>
      </c>
      <c r="G55" s="66">
        <v>354.07040000000006</v>
      </c>
      <c r="H55" s="66">
        <v>26.166178950000003</v>
      </c>
      <c r="I55" s="66">
        <v>354.07040000000006</v>
      </c>
      <c r="J55" s="66">
        <v>1.78778971</v>
      </c>
      <c r="K55" s="66">
        <v>380.23605308000003</v>
      </c>
      <c r="L55" s="66">
        <v>354.06989917000004</v>
      </c>
      <c r="M55" s="66">
        <v>0</v>
      </c>
      <c r="N55" s="66">
        <v>26.166153909999998</v>
      </c>
      <c r="O55" s="67">
        <v>99.999858550728888</v>
      </c>
      <c r="P55" s="67">
        <v>99.99990430394881</v>
      </c>
      <c r="Q55" s="67">
        <v>6.8815552071004564</v>
      </c>
      <c r="R55" s="66">
        <v>1.78778971</v>
      </c>
      <c r="S55" s="67">
        <v>5.0083000004819134E-4</v>
      </c>
    </row>
    <row r="56" spans="1:19" ht="31.5" x14ac:dyDescent="0.25">
      <c r="A56" s="14" t="s">
        <v>114</v>
      </c>
      <c r="B56" s="149">
        <v>45</v>
      </c>
      <c r="C56" s="192" t="s">
        <v>115</v>
      </c>
      <c r="D56" s="66">
        <v>1796.9402999999998</v>
      </c>
      <c r="E56" s="66">
        <v>0</v>
      </c>
      <c r="F56" s="66">
        <v>1979.8884</v>
      </c>
      <c r="G56" s="66">
        <v>1796.9402999999998</v>
      </c>
      <c r="H56" s="66">
        <v>182.94809999999998</v>
      </c>
      <c r="I56" s="66">
        <v>1768.5338079099997</v>
      </c>
      <c r="J56" s="66">
        <v>3.8243206700000001</v>
      </c>
      <c r="K56" s="66">
        <v>1931.8855423899997</v>
      </c>
      <c r="L56" s="66">
        <v>1761.4453079099997</v>
      </c>
      <c r="M56" s="66">
        <v>0</v>
      </c>
      <c r="N56" s="66">
        <v>170.44023447999999</v>
      </c>
      <c r="O56" s="67">
        <v>98.024698311346228</v>
      </c>
      <c r="P56" s="67">
        <v>93.16316183660831</v>
      </c>
      <c r="Q56" s="67">
        <v>8.8224809772706685</v>
      </c>
      <c r="R56" s="66">
        <v>3.8243206700000001</v>
      </c>
      <c r="S56" s="67">
        <v>7.0884999999999732</v>
      </c>
    </row>
    <row r="57" spans="1:19" ht="31.5" x14ac:dyDescent="0.25">
      <c r="A57" s="14" t="s">
        <v>116</v>
      </c>
      <c r="B57" s="149">
        <v>46</v>
      </c>
      <c r="C57" s="192" t="s">
        <v>117</v>
      </c>
      <c r="D57" s="66">
        <v>865.81589999999994</v>
      </c>
      <c r="E57" s="66">
        <v>0</v>
      </c>
      <c r="F57" s="66">
        <v>933.47560336999982</v>
      </c>
      <c r="G57" s="66">
        <v>865.81589999999994</v>
      </c>
      <c r="H57" s="66">
        <v>67.659703370000017</v>
      </c>
      <c r="I57" s="66">
        <v>865.81589999999994</v>
      </c>
      <c r="J57" s="66">
        <v>3.2437541099999998</v>
      </c>
      <c r="K57" s="66">
        <v>933.47556652999992</v>
      </c>
      <c r="L57" s="66">
        <v>865.81589999999994</v>
      </c>
      <c r="M57" s="66">
        <v>0</v>
      </c>
      <c r="N57" s="66">
        <v>67.65966653000001</v>
      </c>
      <c r="O57" s="67">
        <v>100</v>
      </c>
      <c r="P57" s="67">
        <v>99.999945551047119</v>
      </c>
      <c r="Q57" s="67">
        <v>7.2481454208288136</v>
      </c>
      <c r="R57" s="66">
        <v>3.2437541099999998</v>
      </c>
      <c r="S57" s="67">
        <v>5.4622972811557702E-14</v>
      </c>
    </row>
    <row r="58" spans="1:19" ht="31.5" x14ac:dyDescent="0.25">
      <c r="A58" s="14" t="s">
        <v>118</v>
      </c>
      <c r="B58" s="149">
        <v>47</v>
      </c>
      <c r="C58" s="192" t="s">
        <v>119</v>
      </c>
      <c r="D58" s="66">
        <v>321.64080000000001</v>
      </c>
      <c r="E58" s="66">
        <v>0</v>
      </c>
      <c r="F58" s="66">
        <v>362.55856002000002</v>
      </c>
      <c r="G58" s="66">
        <v>309.06790000000001</v>
      </c>
      <c r="H58" s="66">
        <v>53.49066002</v>
      </c>
      <c r="I58" s="66">
        <v>307.90195836999999</v>
      </c>
      <c r="J58" s="66">
        <v>13.448415530000002</v>
      </c>
      <c r="K58" s="66">
        <v>359.78731457999999</v>
      </c>
      <c r="L58" s="66">
        <v>307.23733314999998</v>
      </c>
      <c r="M58" s="66">
        <v>0</v>
      </c>
      <c r="N58" s="66">
        <v>52.549981430000003</v>
      </c>
      <c r="O58" s="67">
        <v>99.407713693334046</v>
      </c>
      <c r="P58" s="67">
        <v>98.241415249600067</v>
      </c>
      <c r="Q58" s="67">
        <v>14.605846093085454</v>
      </c>
      <c r="R58" s="66">
        <v>13.448415530000002</v>
      </c>
      <c r="S58" s="67">
        <v>0.66462521999998003</v>
      </c>
    </row>
    <row r="59" spans="1:19" ht="15.75" x14ac:dyDescent="0.25">
      <c r="A59" s="14" t="s">
        <v>120</v>
      </c>
      <c r="B59" s="149">
        <v>48</v>
      </c>
      <c r="C59" s="192" t="s">
        <v>122</v>
      </c>
      <c r="D59" s="66">
        <v>3717.0903999999996</v>
      </c>
      <c r="E59" s="66">
        <v>0</v>
      </c>
      <c r="F59" s="66">
        <v>3946.7899600000001</v>
      </c>
      <c r="G59" s="66">
        <v>3717.0903999999996</v>
      </c>
      <c r="H59" s="66">
        <v>229.69955999999999</v>
      </c>
      <c r="I59" s="66">
        <v>3717.0903980499997</v>
      </c>
      <c r="J59" s="66">
        <v>0</v>
      </c>
      <c r="K59" s="66">
        <v>3946.7861982200002</v>
      </c>
      <c r="L59" s="66">
        <v>3717.0903980499997</v>
      </c>
      <c r="M59" s="66">
        <v>0</v>
      </c>
      <c r="N59" s="66">
        <v>229.69580017000001</v>
      </c>
      <c r="O59" s="67">
        <v>99.999999947539621</v>
      </c>
      <c r="P59" s="67">
        <v>99.998363153155381</v>
      </c>
      <c r="Q59" s="67">
        <v>5.8198186735727608</v>
      </c>
      <c r="R59" s="66">
        <v>0</v>
      </c>
      <c r="S59" s="67">
        <v>0</v>
      </c>
    </row>
    <row r="60" spans="1:19" ht="15.75" x14ac:dyDescent="0.25">
      <c r="A60" s="14" t="s">
        <v>123</v>
      </c>
      <c r="B60" s="149">
        <v>49</v>
      </c>
      <c r="C60" s="192" t="s">
        <v>125</v>
      </c>
      <c r="D60" s="66">
        <v>5536.6433999999999</v>
      </c>
      <c r="E60" s="66">
        <v>0</v>
      </c>
      <c r="F60" s="66">
        <v>6647.3644344000004</v>
      </c>
      <c r="G60" s="66">
        <v>5536.6433999999999</v>
      </c>
      <c r="H60" s="66">
        <v>1110.7210343999998</v>
      </c>
      <c r="I60" s="66">
        <v>5466.5953220299998</v>
      </c>
      <c r="J60" s="66">
        <v>6.9374480900000002</v>
      </c>
      <c r="K60" s="66">
        <v>6548.3424943300006</v>
      </c>
      <c r="L60" s="66">
        <v>5459.29741242</v>
      </c>
      <c r="M60" s="66">
        <v>0</v>
      </c>
      <c r="N60" s="66">
        <v>1089.0450819099999</v>
      </c>
      <c r="O60" s="67">
        <v>98.603016629534054</v>
      </c>
      <c r="P60" s="67">
        <v>98.048479157351238</v>
      </c>
      <c r="Q60" s="67">
        <v>16.630850980274307</v>
      </c>
      <c r="R60" s="66">
        <v>6.9374480900000002</v>
      </c>
      <c r="S60" s="67">
        <v>7.2979096099994401</v>
      </c>
    </row>
    <row r="61" spans="1:19" s="62" customFormat="1" ht="15.75" x14ac:dyDescent="0.25">
      <c r="A61" s="56" t="s">
        <v>126</v>
      </c>
      <c r="B61" s="70">
        <v>50</v>
      </c>
      <c r="C61" s="190" t="s">
        <v>128</v>
      </c>
      <c r="D61" s="61">
        <v>29604.813300000002</v>
      </c>
      <c r="E61" s="61">
        <v>0</v>
      </c>
      <c r="F61" s="61">
        <v>35551.026525180001</v>
      </c>
      <c r="G61" s="61">
        <v>29604.813300000002</v>
      </c>
      <c r="H61" s="61">
        <v>5946.2132251799994</v>
      </c>
      <c r="I61" s="61">
        <v>29472.436355709997</v>
      </c>
      <c r="J61" s="61">
        <v>402.93127283000001</v>
      </c>
      <c r="K61" s="61">
        <v>35332.686529170001</v>
      </c>
      <c r="L61" s="61">
        <v>29425.146807679997</v>
      </c>
      <c r="M61" s="61">
        <v>0</v>
      </c>
      <c r="N61" s="61">
        <v>5907.5397214899995</v>
      </c>
      <c r="O61" s="61">
        <v>99.393117293126096</v>
      </c>
      <c r="P61" s="61">
        <v>99.349611219351644</v>
      </c>
      <c r="Q61" s="61">
        <v>16.719758110136475</v>
      </c>
      <c r="R61" s="61">
        <v>402.43552907999998</v>
      </c>
      <c r="S61" s="61">
        <v>47.78529177999954</v>
      </c>
    </row>
    <row r="62" spans="1:19" ht="15.75" x14ac:dyDescent="0.25">
      <c r="A62" s="8" t="s">
        <v>129</v>
      </c>
      <c r="B62" s="149">
        <v>51</v>
      </c>
      <c r="C62" s="189" t="s">
        <v>131</v>
      </c>
      <c r="D62" s="66">
        <v>3436.3265000000001</v>
      </c>
      <c r="E62" s="66">
        <v>0</v>
      </c>
      <c r="F62" s="66">
        <v>4288.4900964199996</v>
      </c>
      <c r="G62" s="66">
        <v>3436.3265000000001</v>
      </c>
      <c r="H62" s="66">
        <v>852.16359641999998</v>
      </c>
      <c r="I62" s="66">
        <v>3436.0726450000002</v>
      </c>
      <c r="J62" s="66">
        <v>35.632177859999992</v>
      </c>
      <c r="K62" s="66">
        <v>4273.8319966899999</v>
      </c>
      <c r="L62" s="66">
        <v>3433.0013584100002</v>
      </c>
      <c r="M62" s="66">
        <v>0</v>
      </c>
      <c r="N62" s="66">
        <v>840.83063828000002</v>
      </c>
      <c r="O62" s="67">
        <v>99.903235574675449</v>
      </c>
      <c r="P62" s="67">
        <v>98.670095954860017</v>
      </c>
      <c r="Q62" s="67">
        <v>19.67392819678469</v>
      </c>
      <c r="R62" s="66">
        <v>35.406352359999993</v>
      </c>
      <c r="S62" s="67">
        <v>3.2971120899999633</v>
      </c>
    </row>
    <row r="63" spans="1:19" ht="15.75" x14ac:dyDescent="0.25">
      <c r="A63" s="8" t="s">
        <v>132</v>
      </c>
      <c r="B63" s="149">
        <v>52</v>
      </c>
      <c r="C63" s="189" t="s">
        <v>134</v>
      </c>
      <c r="D63" s="66">
        <v>1510.3716000000002</v>
      </c>
      <c r="E63" s="66">
        <v>0</v>
      </c>
      <c r="F63" s="66">
        <v>1597.12139149</v>
      </c>
      <c r="G63" s="66">
        <v>1510.3716000000002</v>
      </c>
      <c r="H63" s="66">
        <v>86.749791490000007</v>
      </c>
      <c r="I63" s="66">
        <v>1510.3716000000002</v>
      </c>
      <c r="J63" s="66">
        <v>314.94144208</v>
      </c>
      <c r="K63" s="66">
        <v>1553.9992502200002</v>
      </c>
      <c r="L63" s="66">
        <v>1469.4055658000002</v>
      </c>
      <c r="M63" s="66">
        <v>0</v>
      </c>
      <c r="N63" s="66">
        <v>84.593684420000002</v>
      </c>
      <c r="O63" s="67">
        <v>97.287685083591342</v>
      </c>
      <c r="P63" s="67">
        <v>97.514568008790491</v>
      </c>
      <c r="Q63" s="67">
        <v>5.4436116624910884</v>
      </c>
      <c r="R63" s="66">
        <v>314.94144208</v>
      </c>
      <c r="S63" s="67">
        <v>40.966034200000081</v>
      </c>
    </row>
    <row r="64" spans="1:19" ht="15.75" x14ac:dyDescent="0.25">
      <c r="A64" s="8" t="s">
        <v>135</v>
      </c>
      <c r="B64" s="149">
        <v>53</v>
      </c>
      <c r="C64" s="189" t="s">
        <v>137</v>
      </c>
      <c r="D64" s="66">
        <v>1947.1858000000002</v>
      </c>
      <c r="E64" s="66">
        <v>0</v>
      </c>
      <c r="F64" s="66">
        <v>2216.6884284299999</v>
      </c>
      <c r="G64" s="66">
        <v>1947.1858000000002</v>
      </c>
      <c r="H64" s="66">
        <v>269.50262843000002</v>
      </c>
      <c r="I64" s="66">
        <v>1947.1858000000002</v>
      </c>
      <c r="J64" s="66">
        <v>0</v>
      </c>
      <c r="K64" s="66">
        <v>2216.6884284299999</v>
      </c>
      <c r="L64" s="66">
        <v>1947.1858000000002</v>
      </c>
      <c r="M64" s="66">
        <v>0</v>
      </c>
      <c r="N64" s="66">
        <v>269.50262843000002</v>
      </c>
      <c r="O64" s="67">
        <v>100</v>
      </c>
      <c r="P64" s="67">
        <v>100</v>
      </c>
      <c r="Q64" s="67">
        <v>12.157893954491337</v>
      </c>
      <c r="R64" s="66">
        <v>0</v>
      </c>
      <c r="S64" s="67">
        <v>0</v>
      </c>
    </row>
    <row r="65" spans="1:19" ht="15.75" x14ac:dyDescent="0.25">
      <c r="A65" s="8" t="s">
        <v>138</v>
      </c>
      <c r="B65" s="149">
        <v>54</v>
      </c>
      <c r="C65" s="189" t="s">
        <v>140</v>
      </c>
      <c r="D65" s="66">
        <v>7552.8612999999996</v>
      </c>
      <c r="E65" s="66">
        <v>0</v>
      </c>
      <c r="F65" s="66">
        <v>8526.0118523099991</v>
      </c>
      <c r="G65" s="66">
        <v>7552.8612999999996</v>
      </c>
      <c r="H65" s="66">
        <v>973.15055230999997</v>
      </c>
      <c r="I65" s="66">
        <v>7537.9845645599999</v>
      </c>
      <c r="J65" s="66">
        <v>1.0476554</v>
      </c>
      <c r="K65" s="66">
        <v>8510.2104815799994</v>
      </c>
      <c r="L65" s="66">
        <v>7537.9840822899996</v>
      </c>
      <c r="M65" s="66">
        <v>0</v>
      </c>
      <c r="N65" s="66">
        <v>972.2263992899999</v>
      </c>
      <c r="O65" s="67">
        <v>99.803025408264816</v>
      </c>
      <c r="P65" s="67">
        <v>99.905034938550216</v>
      </c>
      <c r="Q65" s="67">
        <v>11.424234469809459</v>
      </c>
      <c r="R65" s="66">
        <v>1.0476554</v>
      </c>
      <c r="S65" s="67">
        <v>4.8226999996003883E-4</v>
      </c>
    </row>
    <row r="66" spans="1:19" ht="15.75" x14ac:dyDescent="0.25">
      <c r="A66" s="8" t="s">
        <v>141</v>
      </c>
      <c r="B66" s="149">
        <v>55</v>
      </c>
      <c r="C66" s="189" t="s">
        <v>143</v>
      </c>
      <c r="D66" s="66">
        <v>1167.7287999999999</v>
      </c>
      <c r="E66" s="66">
        <v>0</v>
      </c>
      <c r="F66" s="66">
        <v>1335.8138749999998</v>
      </c>
      <c r="G66" s="66">
        <v>1167.7287999999999</v>
      </c>
      <c r="H66" s="66">
        <v>168.08507499999999</v>
      </c>
      <c r="I66" s="66">
        <v>1156.9941538099997</v>
      </c>
      <c r="J66" s="66">
        <v>3.1358195599999998</v>
      </c>
      <c r="K66" s="66">
        <v>1322.97015891</v>
      </c>
      <c r="L66" s="66">
        <v>1156.9856925299998</v>
      </c>
      <c r="M66" s="66">
        <v>0</v>
      </c>
      <c r="N66" s="66">
        <v>165.98446638000001</v>
      </c>
      <c r="O66" s="67">
        <v>99.079999785052834</v>
      </c>
      <c r="P66" s="67">
        <v>98.750270587677107</v>
      </c>
      <c r="Q66" s="67">
        <v>12.546349988480104</v>
      </c>
      <c r="R66" s="66">
        <v>3.1358195599999998</v>
      </c>
      <c r="S66" s="67">
        <v>8.4612799999650434E-3</v>
      </c>
    </row>
    <row r="67" spans="1:19" ht="15.75" x14ac:dyDescent="0.25">
      <c r="A67" s="8" t="s">
        <v>144</v>
      </c>
      <c r="B67" s="149">
        <v>56</v>
      </c>
      <c r="C67" s="189" t="s">
        <v>146</v>
      </c>
      <c r="D67" s="66">
        <v>1632.3518999999999</v>
      </c>
      <c r="E67" s="66">
        <v>0</v>
      </c>
      <c r="F67" s="66">
        <v>1832.60298698</v>
      </c>
      <c r="G67" s="66">
        <v>1632.3518999999999</v>
      </c>
      <c r="H67" s="66">
        <v>200.25108697999997</v>
      </c>
      <c r="I67" s="66">
        <v>1628.6525140100002</v>
      </c>
      <c r="J67" s="66">
        <v>11.744059119999999</v>
      </c>
      <c r="K67" s="66">
        <v>1828.7088278799999</v>
      </c>
      <c r="L67" s="66">
        <v>1628.6525140100002</v>
      </c>
      <c r="M67" s="66">
        <v>0</v>
      </c>
      <c r="N67" s="66">
        <v>200.05631387</v>
      </c>
      <c r="O67" s="67">
        <v>99.773370803807708</v>
      </c>
      <c r="P67" s="67">
        <v>99.902735554179827</v>
      </c>
      <c r="Q67" s="67">
        <v>10.939757648675151</v>
      </c>
      <c r="R67" s="66">
        <v>11.744059119999999</v>
      </c>
      <c r="S67" s="67">
        <v>-2.4868995751603507E-14</v>
      </c>
    </row>
    <row r="68" spans="1:19" ht="15.75" x14ac:dyDescent="0.25">
      <c r="A68" s="8" t="s">
        <v>147</v>
      </c>
      <c r="B68" s="149">
        <v>57</v>
      </c>
      <c r="C68" s="189" t="s">
        <v>149</v>
      </c>
      <c r="D68" s="66">
        <v>1216.7248</v>
      </c>
      <c r="E68" s="66">
        <v>0</v>
      </c>
      <c r="F68" s="66">
        <v>1919.6495685800001</v>
      </c>
      <c r="G68" s="66">
        <v>1216.7248</v>
      </c>
      <c r="H68" s="66">
        <v>702.92476857999998</v>
      </c>
      <c r="I68" s="66">
        <v>1136.14952036</v>
      </c>
      <c r="J68" s="66">
        <v>6.1390298800000007</v>
      </c>
      <c r="K68" s="66">
        <v>1823.9966974900001</v>
      </c>
      <c r="L68" s="66">
        <v>1132.9490747300001</v>
      </c>
      <c r="M68" s="66">
        <v>0</v>
      </c>
      <c r="N68" s="66">
        <v>691.04762276000008</v>
      </c>
      <c r="O68" s="67">
        <v>93.114652937952798</v>
      </c>
      <c r="P68" s="67">
        <v>98.310324752961364</v>
      </c>
      <c r="Q68" s="67">
        <v>37.886451423456521</v>
      </c>
      <c r="R68" s="66">
        <v>5.9833256900000009</v>
      </c>
      <c r="S68" s="67">
        <v>3.3561498199998283</v>
      </c>
    </row>
    <row r="69" spans="1:19" ht="15.75" x14ac:dyDescent="0.25">
      <c r="A69" s="8" t="s">
        <v>150</v>
      </c>
      <c r="B69" s="149">
        <v>58</v>
      </c>
      <c r="C69" s="189" t="s">
        <v>152</v>
      </c>
      <c r="D69" s="66">
        <v>1595.1874</v>
      </c>
      <c r="E69" s="66">
        <v>0</v>
      </c>
      <c r="F69" s="66">
        <v>1717.45803217</v>
      </c>
      <c r="G69" s="66">
        <v>1595.1874</v>
      </c>
      <c r="H69" s="66">
        <v>122.27063217</v>
      </c>
      <c r="I69" s="66">
        <v>1595.1843077799999</v>
      </c>
      <c r="J69" s="66">
        <v>2.01925453</v>
      </c>
      <c r="K69" s="66">
        <v>1717.4547748800001</v>
      </c>
      <c r="L69" s="66">
        <v>1595.1843055700001</v>
      </c>
      <c r="M69" s="66">
        <v>0</v>
      </c>
      <c r="N69" s="66">
        <v>122.27046931</v>
      </c>
      <c r="O69" s="67">
        <v>99.999806014641294</v>
      </c>
      <c r="P69" s="67">
        <v>99.999866803665682</v>
      </c>
      <c r="Q69" s="67">
        <v>7.1192832031657511</v>
      </c>
      <c r="R69" s="66">
        <v>2.01925453</v>
      </c>
      <c r="S69" s="67">
        <v>2.2099997187829956E-6</v>
      </c>
    </row>
    <row r="70" spans="1:19" ht="15.75" x14ac:dyDescent="0.25">
      <c r="A70" s="8" t="s">
        <v>153</v>
      </c>
      <c r="B70" s="149">
        <v>59</v>
      </c>
      <c r="C70" s="189" t="s">
        <v>155</v>
      </c>
      <c r="D70" s="66">
        <v>1486.5608</v>
      </c>
      <c r="E70" s="66">
        <v>0</v>
      </c>
      <c r="F70" s="66">
        <v>2157.400001</v>
      </c>
      <c r="G70" s="66">
        <v>1486.5608</v>
      </c>
      <c r="H70" s="66">
        <v>670.839201</v>
      </c>
      <c r="I70" s="66">
        <v>1486.5607920499999</v>
      </c>
      <c r="J70" s="66">
        <v>1.1286963399999999</v>
      </c>
      <c r="K70" s="66">
        <v>2157.3999919999997</v>
      </c>
      <c r="L70" s="66">
        <v>1486.5607920499999</v>
      </c>
      <c r="M70" s="66">
        <v>0</v>
      </c>
      <c r="N70" s="66">
        <v>670.83919994999997</v>
      </c>
      <c r="O70" s="67">
        <v>99.99999946520856</v>
      </c>
      <c r="P70" s="67">
        <v>99.999999843479628</v>
      </c>
      <c r="Q70" s="67">
        <v>31.094799408435343</v>
      </c>
      <c r="R70" s="66">
        <v>1.11272668</v>
      </c>
      <c r="S70" s="67">
        <v>1.5969660000033192E-2</v>
      </c>
    </row>
    <row r="71" spans="1:19" ht="15.75" x14ac:dyDescent="0.25">
      <c r="A71" s="8" t="s">
        <v>156</v>
      </c>
      <c r="B71" s="149">
        <v>60</v>
      </c>
      <c r="C71" s="189" t="s">
        <v>158</v>
      </c>
      <c r="D71" s="66">
        <v>1987.8246999999999</v>
      </c>
      <c r="E71" s="66">
        <v>0</v>
      </c>
      <c r="F71" s="66">
        <v>2620.1940000000004</v>
      </c>
      <c r="G71" s="66">
        <v>1987.8246999999999</v>
      </c>
      <c r="H71" s="66">
        <v>632.36930000000007</v>
      </c>
      <c r="I71" s="66">
        <v>1986.6345856299999</v>
      </c>
      <c r="J71" s="66">
        <v>4.0018139100000001</v>
      </c>
      <c r="K71" s="66">
        <v>2616.9140181100006</v>
      </c>
      <c r="L71" s="66">
        <v>1986.6345856299999</v>
      </c>
      <c r="M71" s="66">
        <v>0</v>
      </c>
      <c r="N71" s="66">
        <v>630.27943247999997</v>
      </c>
      <c r="O71" s="67">
        <v>99.94012981275462</v>
      </c>
      <c r="P71" s="67">
        <v>99.66951787191438</v>
      </c>
      <c r="Q71" s="67">
        <v>24.084835348744214</v>
      </c>
      <c r="R71" s="66">
        <v>3.9807935099999998</v>
      </c>
      <c r="S71" s="67">
        <v>2.1020400000010042E-2</v>
      </c>
    </row>
    <row r="72" spans="1:19" ht="15.75" x14ac:dyDescent="0.25">
      <c r="A72" s="8" t="s">
        <v>159</v>
      </c>
      <c r="B72" s="149">
        <v>61</v>
      </c>
      <c r="C72" s="189" t="s">
        <v>161</v>
      </c>
      <c r="D72" s="66">
        <v>1906.1511</v>
      </c>
      <c r="E72" s="66">
        <v>0</v>
      </c>
      <c r="F72" s="66">
        <v>2060.2650657899999</v>
      </c>
      <c r="G72" s="66">
        <v>1906.1511</v>
      </c>
      <c r="H72" s="66">
        <v>154.11396578999998</v>
      </c>
      <c r="I72" s="66">
        <v>1906.1479199999999</v>
      </c>
      <c r="J72" s="66">
        <v>2.4002589199999997</v>
      </c>
      <c r="K72" s="66">
        <v>2060.2616231699999</v>
      </c>
      <c r="L72" s="66">
        <v>1906.1479199999999</v>
      </c>
      <c r="M72" s="66">
        <v>0</v>
      </c>
      <c r="N72" s="66">
        <v>154.11370317000001</v>
      </c>
      <c r="O72" s="67">
        <v>99.999833171672478</v>
      </c>
      <c r="P72" s="67">
        <v>99.999829593639603</v>
      </c>
      <c r="Q72" s="67">
        <v>7.4802977173779786</v>
      </c>
      <c r="R72" s="66">
        <v>2.4002589199999997</v>
      </c>
      <c r="S72" s="67">
        <v>-5.773159728050814E-14</v>
      </c>
    </row>
    <row r="73" spans="1:19" ht="15.75" x14ac:dyDescent="0.25">
      <c r="A73" s="8" t="s">
        <v>162</v>
      </c>
      <c r="B73" s="149">
        <v>62</v>
      </c>
      <c r="C73" s="189" t="s">
        <v>164</v>
      </c>
      <c r="D73" s="66">
        <v>1199.0402999999999</v>
      </c>
      <c r="E73" s="66">
        <v>0</v>
      </c>
      <c r="F73" s="66">
        <v>1751.8146421699998</v>
      </c>
      <c r="G73" s="66">
        <v>1199.0402999999999</v>
      </c>
      <c r="H73" s="66">
        <v>552.77434216999995</v>
      </c>
      <c r="I73" s="66">
        <v>1199.0314199999998</v>
      </c>
      <c r="J73" s="66">
        <v>10.980453879999999</v>
      </c>
      <c r="K73" s="66">
        <v>1751.7870457300003</v>
      </c>
      <c r="L73" s="66">
        <v>1199.0215601899997</v>
      </c>
      <c r="M73" s="66">
        <v>0</v>
      </c>
      <c r="N73" s="66">
        <v>552.76548553999999</v>
      </c>
      <c r="O73" s="67">
        <v>99.998437099236767</v>
      </c>
      <c r="P73" s="67">
        <v>99.998397785619858</v>
      </c>
      <c r="Q73" s="67">
        <v>31.554376822649292</v>
      </c>
      <c r="R73" s="66">
        <v>10.903229880000001</v>
      </c>
      <c r="S73" s="67">
        <v>8.7083809999992212E-2</v>
      </c>
    </row>
    <row r="74" spans="1:19" ht="15.75" x14ac:dyDescent="0.25">
      <c r="A74" s="8" t="s">
        <v>165</v>
      </c>
      <c r="B74" s="149">
        <v>63</v>
      </c>
      <c r="C74" s="189" t="s">
        <v>167</v>
      </c>
      <c r="D74" s="66">
        <v>2292.9294999999997</v>
      </c>
      <c r="E74" s="66">
        <v>0</v>
      </c>
      <c r="F74" s="66">
        <v>2557.6501848400003</v>
      </c>
      <c r="G74" s="66">
        <v>2292.9294999999997</v>
      </c>
      <c r="H74" s="66">
        <v>264.72068483999999</v>
      </c>
      <c r="I74" s="66">
        <v>2292.2155547699999</v>
      </c>
      <c r="J74" s="66">
        <v>0.32893835000000005</v>
      </c>
      <c r="K74" s="66">
        <v>2556.3083601600001</v>
      </c>
      <c r="L74" s="66">
        <v>2292.2155547699999</v>
      </c>
      <c r="M74" s="66">
        <v>0</v>
      </c>
      <c r="N74" s="66">
        <v>264.09280538999997</v>
      </c>
      <c r="O74" s="67">
        <v>99.968863184411035</v>
      </c>
      <c r="P74" s="67">
        <v>99.762814360207813</v>
      </c>
      <c r="Q74" s="67">
        <v>10.331023029376249</v>
      </c>
      <c r="R74" s="66">
        <v>0.32893835000000005</v>
      </c>
      <c r="S74" s="67">
        <v>4.3964831775156199E-14</v>
      </c>
    </row>
    <row r="75" spans="1:19" ht="15.75" x14ac:dyDescent="0.25">
      <c r="A75" s="8" t="s">
        <v>168</v>
      </c>
      <c r="B75" s="149">
        <v>64</v>
      </c>
      <c r="C75" s="189" t="s">
        <v>170</v>
      </c>
      <c r="D75" s="66">
        <v>673.56880000000001</v>
      </c>
      <c r="E75" s="66">
        <v>0</v>
      </c>
      <c r="F75" s="66">
        <v>969.86640000000011</v>
      </c>
      <c r="G75" s="66">
        <v>673.56880000000001</v>
      </c>
      <c r="H75" s="66">
        <v>296.29759999999999</v>
      </c>
      <c r="I75" s="66">
        <v>653.25097774000005</v>
      </c>
      <c r="J75" s="66">
        <v>9.431673</v>
      </c>
      <c r="K75" s="66">
        <v>942.15487392000011</v>
      </c>
      <c r="L75" s="66">
        <v>653.21800170000006</v>
      </c>
      <c r="M75" s="66">
        <v>0</v>
      </c>
      <c r="N75" s="66">
        <v>288.93687222000005</v>
      </c>
      <c r="O75" s="67">
        <v>96.97866078416935</v>
      </c>
      <c r="P75" s="67">
        <v>97.515765304882677</v>
      </c>
      <c r="Q75" s="67">
        <v>30.667661996782726</v>
      </c>
      <c r="R75" s="66">
        <v>9.431673</v>
      </c>
      <c r="S75" s="67">
        <v>3.2976040000040285E-2</v>
      </c>
    </row>
    <row r="76" spans="1:19" s="62" customFormat="1" ht="15.75" x14ac:dyDescent="0.25">
      <c r="A76" s="56" t="s">
        <v>171</v>
      </c>
      <c r="B76" s="70">
        <v>65</v>
      </c>
      <c r="C76" s="190" t="s">
        <v>173</v>
      </c>
      <c r="D76" s="61">
        <v>5940.514000000001</v>
      </c>
      <c r="E76" s="61">
        <v>0</v>
      </c>
      <c r="F76" s="61">
        <v>10647.82916496</v>
      </c>
      <c r="G76" s="61">
        <v>5938.7830000000013</v>
      </c>
      <c r="H76" s="61">
        <v>4709.0461649600002</v>
      </c>
      <c r="I76" s="61">
        <v>5839.9657245899998</v>
      </c>
      <c r="J76" s="61">
        <v>103.66519756</v>
      </c>
      <c r="K76" s="61">
        <v>10513.082695770001</v>
      </c>
      <c r="L76" s="61">
        <v>5839.6960362900008</v>
      </c>
      <c r="M76" s="61">
        <v>0</v>
      </c>
      <c r="N76" s="61">
        <v>4673.3866594800002</v>
      </c>
      <c r="O76" s="61">
        <v>98.331527457561592</v>
      </c>
      <c r="P76" s="61">
        <v>99.242744618956124</v>
      </c>
      <c r="Q76" s="61">
        <v>44.453057154780716</v>
      </c>
      <c r="R76" s="61">
        <v>102.97201447999998</v>
      </c>
      <c r="S76" s="61">
        <v>0.96287137999966532</v>
      </c>
    </row>
    <row r="77" spans="1:19" ht="15.75" x14ac:dyDescent="0.25">
      <c r="A77" s="8" t="s">
        <v>174</v>
      </c>
      <c r="B77" s="149">
        <v>66</v>
      </c>
      <c r="C77" s="189" t="s">
        <v>176</v>
      </c>
      <c r="D77" s="66">
        <v>718.06600000000003</v>
      </c>
      <c r="E77" s="66">
        <v>0</v>
      </c>
      <c r="F77" s="66">
        <v>936.17552554999997</v>
      </c>
      <c r="G77" s="66">
        <v>718.06600000000003</v>
      </c>
      <c r="H77" s="66">
        <v>218.10952554999997</v>
      </c>
      <c r="I77" s="66">
        <v>718.06600000000003</v>
      </c>
      <c r="J77" s="66">
        <v>65.306885690000001</v>
      </c>
      <c r="K77" s="66">
        <v>936.17552554999997</v>
      </c>
      <c r="L77" s="66">
        <v>718.06600000000003</v>
      </c>
      <c r="M77" s="66">
        <v>0</v>
      </c>
      <c r="N77" s="66">
        <v>218.10952554999997</v>
      </c>
      <c r="O77" s="67">
        <v>100</v>
      </c>
      <c r="P77" s="67">
        <v>100</v>
      </c>
      <c r="Q77" s="67">
        <v>23.297930740270246</v>
      </c>
      <c r="R77" s="66">
        <v>65.306885690000001</v>
      </c>
      <c r="S77" s="67">
        <v>-5.6843418860808015E-14</v>
      </c>
    </row>
    <row r="78" spans="1:19" ht="15.75" x14ac:dyDescent="0.25">
      <c r="A78" s="8" t="s">
        <v>177</v>
      </c>
      <c r="B78" s="149">
        <v>67</v>
      </c>
      <c r="C78" s="189" t="s">
        <v>179</v>
      </c>
      <c r="D78" s="66">
        <v>1153.9388000000001</v>
      </c>
      <c r="E78" s="66">
        <v>0</v>
      </c>
      <c r="F78" s="66">
        <v>3119.0835659999998</v>
      </c>
      <c r="G78" s="66">
        <v>1153.9388000000001</v>
      </c>
      <c r="H78" s="66">
        <v>1965.1447659999999</v>
      </c>
      <c r="I78" s="66">
        <v>1143.64423698</v>
      </c>
      <c r="J78" s="66">
        <v>6.8717355300000005</v>
      </c>
      <c r="K78" s="66">
        <v>3103.0527120500001</v>
      </c>
      <c r="L78" s="66">
        <v>1143.64423698</v>
      </c>
      <c r="M78" s="66">
        <v>0</v>
      </c>
      <c r="N78" s="66">
        <v>1959.4084750699999</v>
      </c>
      <c r="O78" s="67">
        <v>99.10787616986272</v>
      </c>
      <c r="P78" s="67">
        <v>99.708098302514571</v>
      </c>
      <c r="Q78" s="67">
        <v>63.144543676653711</v>
      </c>
      <c r="R78" s="66">
        <v>6.8717355300000005</v>
      </c>
      <c r="S78" s="67">
        <v>2.3092638912203256E-14</v>
      </c>
    </row>
    <row r="79" spans="1:19" ht="15.75" x14ac:dyDescent="0.25">
      <c r="A79" s="8" t="s">
        <v>180</v>
      </c>
      <c r="B79" s="149">
        <v>68</v>
      </c>
      <c r="C79" s="189" t="s">
        <v>182</v>
      </c>
      <c r="D79" s="66">
        <v>1587.4743000000003</v>
      </c>
      <c r="E79" s="66">
        <v>0</v>
      </c>
      <c r="F79" s="66">
        <v>3198.0363460000003</v>
      </c>
      <c r="G79" s="66">
        <v>1587.4743000000003</v>
      </c>
      <c r="H79" s="66">
        <v>1610.562046</v>
      </c>
      <c r="I79" s="66">
        <v>1498.95322336</v>
      </c>
      <c r="J79" s="66">
        <v>25.208969439999997</v>
      </c>
      <c r="K79" s="66">
        <v>3079.3451865100005</v>
      </c>
      <c r="L79" s="66">
        <v>1498.7047411100002</v>
      </c>
      <c r="M79" s="66">
        <v>0</v>
      </c>
      <c r="N79" s="66">
        <v>1580.6404454000001</v>
      </c>
      <c r="O79" s="67">
        <v>94.408126236122371</v>
      </c>
      <c r="P79" s="67">
        <v>98.14216405544181</v>
      </c>
      <c r="Q79" s="67">
        <v>51.330407916737364</v>
      </c>
      <c r="R79" s="66">
        <v>24.51578636</v>
      </c>
      <c r="S79" s="67">
        <v>0.94166532999974351</v>
      </c>
    </row>
    <row r="80" spans="1:19" ht="31.5" x14ac:dyDescent="0.25">
      <c r="A80" s="8" t="s">
        <v>183</v>
      </c>
      <c r="B80" s="149">
        <v>69</v>
      </c>
      <c r="C80" s="194" t="s">
        <v>300</v>
      </c>
      <c r="D80" s="66">
        <v>32.462199999999996</v>
      </c>
      <c r="E80" s="66">
        <v>0</v>
      </c>
      <c r="F80" s="66">
        <v>64.350525300000001</v>
      </c>
      <c r="G80" s="66">
        <v>30.735500000000005</v>
      </c>
      <c r="H80" s="66">
        <v>33.615025299999999</v>
      </c>
      <c r="I80" s="66">
        <v>30.735306680000004</v>
      </c>
      <c r="J80" s="66">
        <v>0</v>
      </c>
      <c r="K80" s="66">
        <v>64.349923899999993</v>
      </c>
      <c r="L80" s="66">
        <v>30.735306680000004</v>
      </c>
      <c r="M80" s="66">
        <v>0</v>
      </c>
      <c r="N80" s="66">
        <v>33.61461722</v>
      </c>
      <c r="O80" s="67">
        <v>99.999371020481192</v>
      </c>
      <c r="P80" s="67">
        <v>99.998786019060347</v>
      </c>
      <c r="Q80" s="67">
        <v>52.237229172542975</v>
      </c>
      <c r="R80" s="66">
        <v>0</v>
      </c>
      <c r="S80" s="67">
        <v>0</v>
      </c>
    </row>
    <row r="81" spans="1:19" ht="31.5" x14ac:dyDescent="0.25">
      <c r="A81" s="8" t="s">
        <v>185</v>
      </c>
      <c r="B81" s="149">
        <v>70</v>
      </c>
      <c r="C81" s="194" t="s">
        <v>301</v>
      </c>
      <c r="D81" s="66">
        <v>97.009399999999999</v>
      </c>
      <c r="E81" s="66">
        <v>0</v>
      </c>
      <c r="F81" s="66">
        <v>310.09709999999995</v>
      </c>
      <c r="G81" s="66">
        <v>97.005099999999999</v>
      </c>
      <c r="H81" s="66">
        <v>213.09199999999998</v>
      </c>
      <c r="I81" s="66">
        <v>97.005099999999999</v>
      </c>
      <c r="J81" s="66">
        <v>0</v>
      </c>
      <c r="K81" s="66">
        <v>310.09709999999995</v>
      </c>
      <c r="L81" s="66">
        <v>97.005099999999999</v>
      </c>
      <c r="M81" s="66">
        <v>0</v>
      </c>
      <c r="N81" s="66">
        <v>213.09199999999998</v>
      </c>
      <c r="O81" s="67">
        <v>100</v>
      </c>
      <c r="P81" s="67">
        <v>100</v>
      </c>
      <c r="Q81" s="67">
        <v>68.717830640789614</v>
      </c>
      <c r="R81" s="66">
        <v>0</v>
      </c>
      <c r="S81" s="67">
        <v>0</v>
      </c>
    </row>
    <row r="82" spans="1:19" ht="15.75" x14ac:dyDescent="0.25">
      <c r="A82" s="8" t="s">
        <v>187</v>
      </c>
      <c r="B82" s="149">
        <v>71</v>
      </c>
      <c r="C82" s="189" t="s">
        <v>189</v>
      </c>
      <c r="D82" s="66">
        <v>2351.5633000000003</v>
      </c>
      <c r="E82" s="66">
        <v>0</v>
      </c>
      <c r="F82" s="66">
        <v>3020.08610211</v>
      </c>
      <c r="G82" s="66">
        <v>2351.5633000000003</v>
      </c>
      <c r="H82" s="66">
        <v>668.52280211000004</v>
      </c>
      <c r="I82" s="66">
        <v>2351.56185757</v>
      </c>
      <c r="J82" s="66">
        <v>6.2776069000000003</v>
      </c>
      <c r="K82" s="66">
        <v>3020.06224776</v>
      </c>
      <c r="L82" s="66">
        <v>2351.5406515200002</v>
      </c>
      <c r="M82" s="66">
        <v>0</v>
      </c>
      <c r="N82" s="66">
        <v>668.52159624000001</v>
      </c>
      <c r="O82" s="67">
        <v>99.999036875596758</v>
      </c>
      <c r="P82" s="67">
        <v>99.99981962170979</v>
      </c>
      <c r="Q82" s="67">
        <v>22.136020432553892</v>
      </c>
      <c r="R82" s="66">
        <v>6.2776069000000003</v>
      </c>
      <c r="S82" s="67">
        <v>2.1206049999955567E-2</v>
      </c>
    </row>
    <row r="83" spans="1:19" s="62" customFormat="1" ht="15.75" x14ac:dyDescent="0.25">
      <c r="A83" s="56" t="s">
        <v>190</v>
      </c>
      <c r="B83" s="70">
        <v>72</v>
      </c>
      <c r="C83" s="190" t="s">
        <v>192</v>
      </c>
      <c r="D83" s="61">
        <v>13378.561299999999</v>
      </c>
      <c r="E83" s="61">
        <v>0</v>
      </c>
      <c r="F83" s="61">
        <v>16823.521643399999</v>
      </c>
      <c r="G83" s="61">
        <v>13378.561299999999</v>
      </c>
      <c r="H83" s="61">
        <v>3444.9603434000001</v>
      </c>
      <c r="I83" s="61">
        <v>13300.024858440001</v>
      </c>
      <c r="J83" s="61">
        <v>119.18331470000003</v>
      </c>
      <c r="K83" s="61">
        <v>16575.595340309999</v>
      </c>
      <c r="L83" s="61">
        <v>13295.075669490001</v>
      </c>
      <c r="M83" s="61">
        <v>0</v>
      </c>
      <c r="N83" s="61">
        <v>3280.5196708200001</v>
      </c>
      <c r="O83" s="61">
        <v>99.375974526423875</v>
      </c>
      <c r="P83" s="61">
        <v>95.226630898813042</v>
      </c>
      <c r="Q83" s="61">
        <v>19.791263019326625</v>
      </c>
      <c r="R83" s="61">
        <v>117.94108709000002</v>
      </c>
      <c r="S83" s="61">
        <v>6.1914165599999311</v>
      </c>
    </row>
    <row r="84" spans="1:19" ht="15.75" x14ac:dyDescent="0.25">
      <c r="A84" s="8" t="s">
        <v>193</v>
      </c>
      <c r="B84" s="149">
        <v>73</v>
      </c>
      <c r="C84" s="189" t="s">
        <v>195</v>
      </c>
      <c r="D84" s="66">
        <v>374.40379999999999</v>
      </c>
      <c r="E84" s="66">
        <v>0</v>
      </c>
      <c r="F84" s="66">
        <v>478.04116253999996</v>
      </c>
      <c r="G84" s="66">
        <v>374.40379999999999</v>
      </c>
      <c r="H84" s="66">
        <v>103.63736254</v>
      </c>
      <c r="I84" s="66">
        <v>374.40379999999999</v>
      </c>
      <c r="J84" s="66">
        <v>0.2496746</v>
      </c>
      <c r="K84" s="66">
        <v>478.04116253999996</v>
      </c>
      <c r="L84" s="66">
        <v>374.40379999999999</v>
      </c>
      <c r="M84" s="66">
        <v>0</v>
      </c>
      <c r="N84" s="66">
        <v>103.63736254</v>
      </c>
      <c r="O84" s="67">
        <v>100</v>
      </c>
      <c r="P84" s="67">
        <v>100</v>
      </c>
      <c r="Q84" s="67">
        <v>21.67958967996363</v>
      </c>
      <c r="R84" s="66">
        <v>0.2496746</v>
      </c>
      <c r="S84" s="67">
        <v>-8.354428260304303E-15</v>
      </c>
    </row>
    <row r="85" spans="1:19" ht="15.75" x14ac:dyDescent="0.25">
      <c r="A85" s="8" t="s">
        <v>196</v>
      </c>
      <c r="B85" s="149">
        <v>74</v>
      </c>
      <c r="C85" s="189" t="s">
        <v>198</v>
      </c>
      <c r="D85" s="66">
        <v>421.44970000000001</v>
      </c>
      <c r="E85" s="66">
        <v>0</v>
      </c>
      <c r="F85" s="66">
        <v>534.71120441999994</v>
      </c>
      <c r="G85" s="66">
        <v>421.44970000000001</v>
      </c>
      <c r="H85" s="66">
        <v>113.26150442000001</v>
      </c>
      <c r="I85" s="66">
        <v>407.23593887999999</v>
      </c>
      <c r="J85" s="66">
        <v>3.0081820400000003</v>
      </c>
      <c r="K85" s="66">
        <v>518.91810181000005</v>
      </c>
      <c r="L85" s="66">
        <v>407.23593887999999</v>
      </c>
      <c r="M85" s="66">
        <v>0</v>
      </c>
      <c r="N85" s="66">
        <v>111.68216293</v>
      </c>
      <c r="O85" s="67">
        <v>96.627412210757285</v>
      </c>
      <c r="P85" s="67">
        <v>98.605579629117898</v>
      </c>
      <c r="Q85" s="67">
        <v>21.522117370823963</v>
      </c>
      <c r="R85" s="66">
        <v>3.0081820400000003</v>
      </c>
      <c r="S85" s="67">
        <v>7.9936057773011271E-15</v>
      </c>
    </row>
    <row r="86" spans="1:19" ht="15.75" x14ac:dyDescent="0.25">
      <c r="A86" s="8" t="s">
        <v>199</v>
      </c>
      <c r="B86" s="149">
        <v>75</v>
      </c>
      <c r="C86" s="189" t="s">
        <v>201</v>
      </c>
      <c r="D86" s="66">
        <v>273.5804</v>
      </c>
      <c r="E86" s="66">
        <v>0</v>
      </c>
      <c r="F86" s="66">
        <v>385.05957000000001</v>
      </c>
      <c r="G86" s="66">
        <v>273.5804</v>
      </c>
      <c r="H86" s="66">
        <v>111.47917</v>
      </c>
      <c r="I86" s="66">
        <v>273.54869142000001</v>
      </c>
      <c r="J86" s="66">
        <v>1.6943172499999999</v>
      </c>
      <c r="K86" s="66">
        <v>385.02712787000002</v>
      </c>
      <c r="L86" s="66">
        <v>273.54844743000001</v>
      </c>
      <c r="M86" s="66">
        <v>0</v>
      </c>
      <c r="N86" s="66">
        <v>111.47868044000001</v>
      </c>
      <c r="O86" s="67">
        <v>99.988320592410858</v>
      </c>
      <c r="P86" s="67">
        <v>99.999560850695261</v>
      </c>
      <c r="Q86" s="67">
        <v>28.953461294197304</v>
      </c>
      <c r="R86" s="66">
        <v>1.6943172499999999</v>
      </c>
      <c r="S86" s="67">
        <v>2.4398999998465065E-4</v>
      </c>
    </row>
    <row r="87" spans="1:19" ht="15.75" x14ac:dyDescent="0.25">
      <c r="A87" s="8" t="s">
        <v>202</v>
      </c>
      <c r="B87" s="149">
        <v>76</v>
      </c>
      <c r="C87" s="189" t="s">
        <v>204</v>
      </c>
      <c r="D87" s="66">
        <v>271.61239999999998</v>
      </c>
      <c r="E87" s="66">
        <v>0</v>
      </c>
      <c r="F87" s="66">
        <v>357.59816000000001</v>
      </c>
      <c r="G87" s="66">
        <v>271.61239999999998</v>
      </c>
      <c r="H87" s="66">
        <v>85.985759999999999</v>
      </c>
      <c r="I87" s="66">
        <v>262.96558365999999</v>
      </c>
      <c r="J87" s="66">
        <v>6.2660824900000005</v>
      </c>
      <c r="K87" s="66">
        <v>343.58650394</v>
      </c>
      <c r="L87" s="66">
        <v>262.85355936999997</v>
      </c>
      <c r="M87" s="66">
        <v>0</v>
      </c>
      <c r="N87" s="66">
        <v>80.732944570000001</v>
      </c>
      <c r="O87" s="67">
        <v>96.775242724558964</v>
      </c>
      <c r="P87" s="67">
        <v>93.891063555174711</v>
      </c>
      <c r="Q87" s="67">
        <v>23.497123328248737</v>
      </c>
      <c r="R87" s="66">
        <v>5.9237154900000002</v>
      </c>
      <c r="S87" s="67">
        <v>0.45439128999999578</v>
      </c>
    </row>
    <row r="88" spans="1:19" ht="15.75" x14ac:dyDescent="0.25">
      <c r="A88" s="8" t="s">
        <v>205</v>
      </c>
      <c r="B88" s="149">
        <v>77</v>
      </c>
      <c r="C88" s="189" t="s">
        <v>207</v>
      </c>
      <c r="D88" s="66">
        <v>2663.7927</v>
      </c>
      <c r="E88" s="66">
        <v>0</v>
      </c>
      <c r="F88" s="66">
        <v>3016.1932157899996</v>
      </c>
      <c r="G88" s="66">
        <v>2663.7927</v>
      </c>
      <c r="H88" s="66">
        <v>352.40051578999999</v>
      </c>
      <c r="I88" s="66">
        <v>2663.7927</v>
      </c>
      <c r="J88" s="66">
        <v>52.788566810000006</v>
      </c>
      <c r="K88" s="66">
        <v>3015.6728998799995</v>
      </c>
      <c r="L88" s="66">
        <v>2663.4633337999999</v>
      </c>
      <c r="M88" s="66">
        <v>0</v>
      </c>
      <c r="N88" s="66">
        <v>352.20956608</v>
      </c>
      <c r="O88" s="67">
        <v>99.987635441751905</v>
      </c>
      <c r="P88" s="67">
        <v>99.94581457703832</v>
      </c>
      <c r="Q88" s="67">
        <v>11.679302688763601</v>
      </c>
      <c r="R88" s="66">
        <v>52.777648380000002</v>
      </c>
      <c r="S88" s="67">
        <v>0.34028462999988562</v>
      </c>
    </row>
    <row r="89" spans="1:19" ht="15.75" x14ac:dyDescent="0.25">
      <c r="A89" s="8" t="s">
        <v>208</v>
      </c>
      <c r="B89" s="149">
        <v>78</v>
      </c>
      <c r="C89" s="189" t="s">
        <v>210</v>
      </c>
      <c r="D89" s="66">
        <v>465.81729999999999</v>
      </c>
      <c r="E89" s="66">
        <v>0</v>
      </c>
      <c r="F89" s="66">
        <v>674.20853370999998</v>
      </c>
      <c r="G89" s="66">
        <v>465.81729999999999</v>
      </c>
      <c r="H89" s="66">
        <v>208.39123371000002</v>
      </c>
      <c r="I89" s="66">
        <v>465.81729999999999</v>
      </c>
      <c r="J89" s="66">
        <v>13.306752060000001</v>
      </c>
      <c r="K89" s="66">
        <v>674.20853370999998</v>
      </c>
      <c r="L89" s="66">
        <v>465.81729999999999</v>
      </c>
      <c r="M89" s="66">
        <v>0</v>
      </c>
      <c r="N89" s="66">
        <v>208.39123371000002</v>
      </c>
      <c r="O89" s="67">
        <v>100</v>
      </c>
      <c r="P89" s="67">
        <v>100</v>
      </c>
      <c r="Q89" s="67">
        <v>30.909017505796832</v>
      </c>
      <c r="R89" s="66">
        <v>13.306752060000001</v>
      </c>
      <c r="S89" s="67">
        <v>7.1054273576010019E-15</v>
      </c>
    </row>
    <row r="90" spans="1:19" ht="15.75" x14ac:dyDescent="0.25">
      <c r="A90" s="8" t="s">
        <v>211</v>
      </c>
      <c r="B90" s="149">
        <v>79</v>
      </c>
      <c r="C90" s="189" t="s">
        <v>213</v>
      </c>
      <c r="D90" s="66">
        <v>1463.3178</v>
      </c>
      <c r="E90" s="66">
        <v>0</v>
      </c>
      <c r="F90" s="66">
        <v>1924.5395894699998</v>
      </c>
      <c r="G90" s="66">
        <v>1463.3178</v>
      </c>
      <c r="H90" s="66">
        <v>461.22178946999998</v>
      </c>
      <c r="I90" s="66">
        <v>1444.89475141</v>
      </c>
      <c r="J90" s="66">
        <v>14.616351510000001</v>
      </c>
      <c r="K90" s="66">
        <v>1772.1150920299999</v>
      </c>
      <c r="L90" s="66">
        <v>1444.6405268399999</v>
      </c>
      <c r="M90" s="66">
        <v>0</v>
      </c>
      <c r="N90" s="66">
        <v>327.47456519000002</v>
      </c>
      <c r="O90" s="67">
        <v>98.723635210341854</v>
      </c>
      <c r="P90" s="67">
        <v>71.001538233115184</v>
      </c>
      <c r="Q90" s="67">
        <v>18.479305698755162</v>
      </c>
      <c r="R90" s="66">
        <v>13.984128549999999</v>
      </c>
      <c r="S90" s="67">
        <v>0.88644753000009224</v>
      </c>
    </row>
    <row r="91" spans="1:19" ht="15.75" x14ac:dyDescent="0.25">
      <c r="A91" s="8" t="s">
        <v>214</v>
      </c>
      <c r="B91" s="149">
        <v>80</v>
      </c>
      <c r="C91" s="189" t="s">
        <v>216</v>
      </c>
      <c r="D91" s="66">
        <v>1048.0772999999999</v>
      </c>
      <c r="E91" s="66">
        <v>0</v>
      </c>
      <c r="F91" s="66">
        <v>1572.083564</v>
      </c>
      <c r="G91" s="66">
        <v>1048.0772999999999</v>
      </c>
      <c r="H91" s="66">
        <v>524.00626399999999</v>
      </c>
      <c r="I91" s="66">
        <v>1045.96032646</v>
      </c>
      <c r="J91" s="66">
        <v>8.6886683199999997</v>
      </c>
      <c r="K91" s="66">
        <v>1567.1236376699999</v>
      </c>
      <c r="L91" s="66">
        <v>1045.96030303</v>
      </c>
      <c r="M91" s="66">
        <v>0</v>
      </c>
      <c r="N91" s="66">
        <v>521.1633346399999</v>
      </c>
      <c r="O91" s="67">
        <v>99.79801137091701</v>
      </c>
      <c r="P91" s="67">
        <v>99.45746271460601</v>
      </c>
      <c r="Q91" s="67">
        <v>33.256044520830905</v>
      </c>
      <c r="R91" s="66">
        <v>8.6886683199999997</v>
      </c>
      <c r="S91" s="67">
        <v>2.3430000089419423E-5</v>
      </c>
    </row>
    <row r="92" spans="1:19" ht="15.75" x14ac:dyDescent="0.25">
      <c r="A92" s="8" t="s">
        <v>217</v>
      </c>
      <c r="B92" s="149">
        <v>81</v>
      </c>
      <c r="C92" s="189" t="s">
        <v>219</v>
      </c>
      <c r="D92" s="66">
        <v>643.46309999999994</v>
      </c>
      <c r="E92" s="66">
        <v>0</v>
      </c>
      <c r="F92" s="66">
        <v>705.97543895000001</v>
      </c>
      <c r="G92" s="66">
        <v>643.46309999999994</v>
      </c>
      <c r="H92" s="66">
        <v>62.512338950000007</v>
      </c>
      <c r="I92" s="66">
        <v>643.46265016999996</v>
      </c>
      <c r="J92" s="66">
        <v>8.8256460699999995</v>
      </c>
      <c r="K92" s="66">
        <v>705.97497081999995</v>
      </c>
      <c r="L92" s="66">
        <v>643.46265016999996</v>
      </c>
      <c r="M92" s="66">
        <v>0</v>
      </c>
      <c r="N92" s="66">
        <v>62.512320650000007</v>
      </c>
      <c r="O92" s="67">
        <v>99.999930092339412</v>
      </c>
      <c r="P92" s="67">
        <v>99.999970725779406</v>
      </c>
      <c r="Q92" s="67">
        <v>8.8547502721507332</v>
      </c>
      <c r="R92" s="66">
        <v>8.8256460699999995</v>
      </c>
      <c r="S92" s="67">
        <v>-5.1514348342607263E-14</v>
      </c>
    </row>
    <row r="93" spans="1:19" ht="15.75" x14ac:dyDescent="0.25">
      <c r="A93" s="8" t="s">
        <v>220</v>
      </c>
      <c r="B93" s="149">
        <v>82</v>
      </c>
      <c r="C93" s="189" t="s">
        <v>222</v>
      </c>
      <c r="D93" s="66">
        <v>2483.2834000000003</v>
      </c>
      <c r="E93" s="66">
        <v>0</v>
      </c>
      <c r="F93" s="66">
        <v>3114.8375200000005</v>
      </c>
      <c r="G93" s="66">
        <v>2483.2834000000003</v>
      </c>
      <c r="H93" s="66">
        <v>631.55412000000001</v>
      </c>
      <c r="I93" s="66">
        <v>2455.0003602199999</v>
      </c>
      <c r="J93" s="66">
        <v>1.45418322</v>
      </c>
      <c r="K93" s="66">
        <v>3068.5864625300001</v>
      </c>
      <c r="L93" s="66">
        <v>2454.7539980699999</v>
      </c>
      <c r="M93" s="66">
        <v>0</v>
      </c>
      <c r="N93" s="66">
        <v>613.83246445999998</v>
      </c>
      <c r="O93" s="67">
        <v>98.851141922424148</v>
      </c>
      <c r="P93" s="67">
        <v>97.193960900769667</v>
      </c>
      <c r="Q93" s="67">
        <v>20.003753257579877</v>
      </c>
      <c r="R93" s="66">
        <v>1.3784429999999999</v>
      </c>
      <c r="S93" s="67">
        <v>0.32210236999987263</v>
      </c>
    </row>
    <row r="94" spans="1:19" ht="15.75" x14ac:dyDescent="0.25">
      <c r="A94" s="8" t="s">
        <v>223</v>
      </c>
      <c r="B94" s="149">
        <v>83</v>
      </c>
      <c r="C94" s="189" t="s">
        <v>225</v>
      </c>
      <c r="D94" s="66">
        <v>2586.0337000000004</v>
      </c>
      <c r="E94" s="66">
        <v>0</v>
      </c>
      <c r="F94" s="66">
        <v>2970.8915336600003</v>
      </c>
      <c r="G94" s="66">
        <v>2586.0337000000004</v>
      </c>
      <c r="H94" s="66">
        <v>384.85783365999998</v>
      </c>
      <c r="I94" s="66">
        <v>2579.2130567800004</v>
      </c>
      <c r="J94" s="66">
        <v>0.76716987999999997</v>
      </c>
      <c r="K94" s="66">
        <v>2956.9632698099999</v>
      </c>
      <c r="L94" s="66">
        <v>2575.2104673400004</v>
      </c>
      <c r="M94" s="66">
        <v>0</v>
      </c>
      <c r="N94" s="66">
        <v>381.75280247000001</v>
      </c>
      <c r="O94" s="67">
        <v>99.58147364204882</v>
      </c>
      <c r="P94" s="67">
        <v>99.193200470815128</v>
      </c>
      <c r="Q94" s="67">
        <v>12.910299102042263</v>
      </c>
      <c r="R94" s="66">
        <v>0.76716987999999997</v>
      </c>
      <c r="S94" s="67">
        <v>4.0025894400000483</v>
      </c>
    </row>
    <row r="95" spans="1:19" ht="15.75" x14ac:dyDescent="0.25">
      <c r="A95" s="8" t="s">
        <v>226</v>
      </c>
      <c r="B95" s="149">
        <v>84</v>
      </c>
      <c r="C95" s="189" t="s">
        <v>228</v>
      </c>
      <c r="D95" s="66">
        <v>683.72969999999998</v>
      </c>
      <c r="E95" s="66">
        <v>0</v>
      </c>
      <c r="F95" s="66">
        <v>1089.3821508599999</v>
      </c>
      <c r="G95" s="66">
        <v>683.72969999999998</v>
      </c>
      <c r="H95" s="66">
        <v>405.65245086000004</v>
      </c>
      <c r="I95" s="66">
        <v>683.72969943999999</v>
      </c>
      <c r="J95" s="66">
        <v>7.5177204500000006</v>
      </c>
      <c r="K95" s="66">
        <v>1089.3775777000001</v>
      </c>
      <c r="L95" s="66">
        <v>683.72534455999994</v>
      </c>
      <c r="M95" s="66">
        <v>0</v>
      </c>
      <c r="N95" s="66">
        <v>405.65223314000002</v>
      </c>
      <c r="O95" s="67">
        <v>99.999362988034591</v>
      </c>
      <c r="P95" s="67">
        <v>99.999946328439634</v>
      </c>
      <c r="Q95" s="67">
        <v>37.237064672879761</v>
      </c>
      <c r="R95" s="66">
        <v>7.3367414499999999</v>
      </c>
      <c r="S95" s="67">
        <v>0.18533388000000706</v>
      </c>
    </row>
    <row r="96" spans="1:19" s="62" customFormat="1" ht="15.75" x14ac:dyDescent="0.25">
      <c r="A96" s="56" t="s">
        <v>229</v>
      </c>
      <c r="B96" s="70">
        <v>85</v>
      </c>
      <c r="C96" s="190" t="s">
        <v>231</v>
      </c>
      <c r="D96" s="61">
        <v>3719.3262000000004</v>
      </c>
      <c r="E96" s="61">
        <v>0</v>
      </c>
      <c r="F96" s="61">
        <v>6457.1160046200011</v>
      </c>
      <c r="G96" s="61">
        <v>3719.3174000000004</v>
      </c>
      <c r="H96" s="61">
        <v>2737.7986046199994</v>
      </c>
      <c r="I96" s="61">
        <v>3635.2225048099995</v>
      </c>
      <c r="J96" s="61">
        <v>37.632210190000002</v>
      </c>
      <c r="K96" s="61">
        <v>6283.0794332600008</v>
      </c>
      <c r="L96" s="61">
        <v>3634.7380062500001</v>
      </c>
      <c r="M96" s="61">
        <v>0</v>
      </c>
      <c r="N96" s="61">
        <v>2648.3414270100002</v>
      </c>
      <c r="O96" s="61">
        <v>97.725943105850547</v>
      </c>
      <c r="P96" s="61">
        <v>96.732514310620161</v>
      </c>
      <c r="Q96" s="61">
        <v>42.150373159231215</v>
      </c>
      <c r="R96" s="61">
        <v>34.297836189999998</v>
      </c>
      <c r="S96" s="61">
        <v>3.8188725600000009</v>
      </c>
    </row>
    <row r="97" spans="1:19" ht="15.75" x14ac:dyDescent="0.25">
      <c r="A97" s="8" t="s">
        <v>232</v>
      </c>
      <c r="B97" s="149">
        <v>86</v>
      </c>
      <c r="C97" s="189" t="s">
        <v>234</v>
      </c>
      <c r="D97" s="66">
        <v>1171.4012</v>
      </c>
      <c r="E97" s="66">
        <v>0</v>
      </c>
      <c r="F97" s="66">
        <v>2484.642566</v>
      </c>
      <c r="G97" s="66">
        <v>1171.4012</v>
      </c>
      <c r="H97" s="66">
        <v>1313.241366</v>
      </c>
      <c r="I97" s="66">
        <v>1170.82140596</v>
      </c>
      <c r="J97" s="66">
        <v>6.4488039099999996</v>
      </c>
      <c r="K97" s="66">
        <v>2481.2917666200001</v>
      </c>
      <c r="L97" s="66">
        <v>1170.3857307799999</v>
      </c>
      <c r="M97" s="66">
        <v>0</v>
      </c>
      <c r="N97" s="66">
        <v>1310.9060358400002</v>
      </c>
      <c r="O97" s="67">
        <v>99.913311577621727</v>
      </c>
      <c r="P97" s="67">
        <v>99.82217053007453</v>
      </c>
      <c r="Q97" s="67">
        <v>52.831595762948425</v>
      </c>
      <c r="R97" s="66">
        <v>6.4488039099999996</v>
      </c>
      <c r="S97" s="67">
        <v>0.43567518000001382</v>
      </c>
    </row>
    <row r="98" spans="1:19" ht="15.75" x14ac:dyDescent="0.25">
      <c r="A98" s="8" t="s">
        <v>235</v>
      </c>
      <c r="B98" s="149">
        <v>87</v>
      </c>
      <c r="C98" s="189" t="s">
        <v>237</v>
      </c>
      <c r="D98" s="66">
        <v>121.2409</v>
      </c>
      <c r="E98" s="66">
        <v>0</v>
      </c>
      <c r="F98" s="66">
        <v>164.70846967</v>
      </c>
      <c r="G98" s="66">
        <v>121.2409</v>
      </c>
      <c r="H98" s="66">
        <v>43.467569670000003</v>
      </c>
      <c r="I98" s="66">
        <v>119.65106940000001</v>
      </c>
      <c r="J98" s="66">
        <v>5.6579830000000007</v>
      </c>
      <c r="K98" s="66">
        <v>162.99952493000001</v>
      </c>
      <c r="L98" s="66">
        <v>119.65106938000001</v>
      </c>
      <c r="M98" s="66">
        <v>0</v>
      </c>
      <c r="N98" s="66">
        <v>43.348455549999997</v>
      </c>
      <c r="O98" s="67">
        <v>98.688701073647593</v>
      </c>
      <c r="P98" s="67">
        <v>99.725970140718005</v>
      </c>
      <c r="Q98" s="67">
        <v>26.594222019123031</v>
      </c>
      <c r="R98" s="66">
        <v>2.3236089999999998</v>
      </c>
      <c r="S98" s="67">
        <v>3.3343740200000034</v>
      </c>
    </row>
    <row r="99" spans="1:19" ht="15.75" x14ac:dyDescent="0.25">
      <c r="A99" s="8" t="s">
        <v>238</v>
      </c>
      <c r="B99" s="149">
        <v>88</v>
      </c>
      <c r="C99" s="189" t="s">
        <v>240</v>
      </c>
      <c r="D99" s="66">
        <v>974.95150000000001</v>
      </c>
      <c r="E99" s="66">
        <v>0</v>
      </c>
      <c r="F99" s="66">
        <v>1582.20667334</v>
      </c>
      <c r="G99" s="66">
        <v>974.95150000000001</v>
      </c>
      <c r="H99" s="66">
        <v>607.25517333999994</v>
      </c>
      <c r="I99" s="66">
        <v>949.14648393999994</v>
      </c>
      <c r="J99" s="66">
        <v>18.86410326</v>
      </c>
      <c r="K99" s="66">
        <v>1540.4408627500002</v>
      </c>
      <c r="L99" s="66">
        <v>949.14648393999994</v>
      </c>
      <c r="M99" s="66">
        <v>0</v>
      </c>
      <c r="N99" s="66">
        <v>591.29437881000001</v>
      </c>
      <c r="O99" s="67">
        <v>97.353200024821746</v>
      </c>
      <c r="P99" s="67">
        <v>97.371649476082183</v>
      </c>
      <c r="Q99" s="67">
        <v>38.384750308065662</v>
      </c>
      <c r="R99" s="66">
        <v>18.86410326</v>
      </c>
      <c r="S99" s="67">
        <v>-2.1316282072803006E-14</v>
      </c>
    </row>
    <row r="100" spans="1:19" ht="15.75" x14ac:dyDescent="0.25">
      <c r="A100" s="8" t="s">
        <v>241</v>
      </c>
      <c r="B100" s="149">
        <v>89</v>
      </c>
      <c r="C100" s="189" t="s">
        <v>243</v>
      </c>
      <c r="D100" s="66">
        <v>135.64069999999998</v>
      </c>
      <c r="E100" s="66">
        <v>0</v>
      </c>
      <c r="F100" s="66">
        <v>221.27619332</v>
      </c>
      <c r="G100" s="66">
        <v>135.64069999999998</v>
      </c>
      <c r="H100" s="66">
        <v>85.635493320000009</v>
      </c>
      <c r="I100" s="66">
        <v>130.57983067000001</v>
      </c>
      <c r="J100" s="66">
        <v>0</v>
      </c>
      <c r="K100" s="66">
        <v>214.21045604</v>
      </c>
      <c r="L100" s="66">
        <v>130.57983067000001</v>
      </c>
      <c r="M100" s="66">
        <v>0</v>
      </c>
      <c r="N100" s="66">
        <v>83.630625370000004</v>
      </c>
      <c r="O100" s="67">
        <v>96.268915355052016</v>
      </c>
      <c r="P100" s="67">
        <v>97.658835288648035</v>
      </c>
      <c r="Q100" s="67">
        <v>39.041336691045309</v>
      </c>
      <c r="R100" s="66">
        <v>0</v>
      </c>
      <c r="S100" s="67">
        <v>0</v>
      </c>
    </row>
    <row r="101" spans="1:19" ht="15.75" x14ac:dyDescent="0.25">
      <c r="A101" s="8" t="s">
        <v>244</v>
      </c>
      <c r="B101" s="149">
        <v>90</v>
      </c>
      <c r="C101" s="189" t="s">
        <v>246</v>
      </c>
      <c r="D101" s="66">
        <v>954.84379999999999</v>
      </c>
      <c r="E101" s="66">
        <v>0</v>
      </c>
      <c r="F101" s="66">
        <v>1183.70794213</v>
      </c>
      <c r="G101" s="66">
        <v>954.84379999999999</v>
      </c>
      <c r="H101" s="66">
        <v>228.86414213</v>
      </c>
      <c r="I101" s="66">
        <v>946.4907646800001</v>
      </c>
      <c r="J101" s="66">
        <v>0.72145024999999996</v>
      </c>
      <c r="K101" s="66">
        <v>1171.3032639399999</v>
      </c>
      <c r="L101" s="66">
        <v>946.49076464000007</v>
      </c>
      <c r="M101" s="66">
        <v>0</v>
      </c>
      <c r="N101" s="66">
        <v>224.81249930000001</v>
      </c>
      <c r="O101" s="67">
        <v>99.125193527988557</v>
      </c>
      <c r="P101" s="67">
        <v>98.229673380769896</v>
      </c>
      <c r="Q101" s="67">
        <v>19.193364026305325</v>
      </c>
      <c r="R101" s="66">
        <v>0.72145024999999996</v>
      </c>
      <c r="S101" s="67">
        <v>4.0000007084373124E-8</v>
      </c>
    </row>
    <row r="102" spans="1:19" ht="15.75" x14ac:dyDescent="0.25">
      <c r="A102" s="8" t="s">
        <v>247</v>
      </c>
      <c r="B102" s="149">
        <v>91</v>
      </c>
      <c r="C102" s="189" t="s">
        <v>249</v>
      </c>
      <c r="D102" s="66">
        <v>30.165800000000001</v>
      </c>
      <c r="E102" s="66">
        <v>0</v>
      </c>
      <c r="F102" s="66">
        <v>59.674999999999997</v>
      </c>
      <c r="G102" s="66">
        <v>30.165800000000001</v>
      </c>
      <c r="H102" s="66">
        <v>29.5092</v>
      </c>
      <c r="I102" s="66">
        <v>30.140467510000001</v>
      </c>
      <c r="J102" s="66">
        <v>2.3595855999999999</v>
      </c>
      <c r="K102" s="66">
        <v>59.638998439999995</v>
      </c>
      <c r="L102" s="66">
        <v>30.140467510000001</v>
      </c>
      <c r="M102" s="66">
        <v>0</v>
      </c>
      <c r="N102" s="66">
        <v>29.498530930000001</v>
      </c>
      <c r="O102" s="67">
        <v>99.916022482413851</v>
      </c>
      <c r="P102" s="67">
        <v>99.963844936494382</v>
      </c>
      <c r="Q102" s="67">
        <v>49.461814754781791</v>
      </c>
      <c r="R102" s="66">
        <v>2.3595855999999999</v>
      </c>
      <c r="S102" s="67">
        <v>2.6645352591003757E-15</v>
      </c>
    </row>
    <row r="103" spans="1:19" ht="15.75" x14ac:dyDescent="0.25">
      <c r="A103" s="8" t="s">
        <v>250</v>
      </c>
      <c r="B103" s="149">
        <v>92</v>
      </c>
      <c r="C103" s="189" t="s">
        <v>252</v>
      </c>
      <c r="D103" s="66">
        <v>222.7527</v>
      </c>
      <c r="E103" s="66">
        <v>0</v>
      </c>
      <c r="F103" s="66">
        <v>620.81900000000007</v>
      </c>
      <c r="G103" s="66">
        <v>222.7527</v>
      </c>
      <c r="H103" s="66">
        <v>398.06630000000001</v>
      </c>
      <c r="I103" s="66">
        <v>181.74618724999999</v>
      </c>
      <c r="J103" s="66">
        <v>7.9814799999999991E-3</v>
      </c>
      <c r="K103" s="66">
        <v>515.83273120000013</v>
      </c>
      <c r="L103" s="66">
        <v>181.74478661000001</v>
      </c>
      <c r="M103" s="66">
        <v>0</v>
      </c>
      <c r="N103" s="66">
        <v>334.08794459000001</v>
      </c>
      <c r="O103" s="67">
        <v>81.590385485787593</v>
      </c>
      <c r="P103" s="67">
        <v>83.927713697441845</v>
      </c>
      <c r="Q103" s="67">
        <v>64.766720757094902</v>
      </c>
      <c r="R103" s="66">
        <v>7.9814799999999991E-3</v>
      </c>
      <c r="S103" s="67">
        <v>1.4006399999979408E-3</v>
      </c>
    </row>
    <row r="104" spans="1:19" ht="15.75" x14ac:dyDescent="0.25">
      <c r="A104" s="8" t="s">
        <v>253</v>
      </c>
      <c r="B104" s="149">
        <v>93</v>
      </c>
      <c r="C104" s="189" t="s">
        <v>254</v>
      </c>
      <c r="D104" s="66">
        <v>43.391800000000003</v>
      </c>
      <c r="E104" s="66">
        <v>0</v>
      </c>
      <c r="F104" s="66">
        <v>56.005760159999994</v>
      </c>
      <c r="G104" s="66">
        <v>43.391800000000003</v>
      </c>
      <c r="H104" s="66">
        <v>12.613960159999998</v>
      </c>
      <c r="I104" s="66">
        <v>41.717295399999998</v>
      </c>
      <c r="J104" s="66">
        <v>1.87750269</v>
      </c>
      <c r="K104" s="66">
        <v>53.287429339999996</v>
      </c>
      <c r="L104" s="66">
        <v>41.669872720000001</v>
      </c>
      <c r="M104" s="66">
        <v>0</v>
      </c>
      <c r="N104" s="66">
        <v>11.61755662</v>
      </c>
      <c r="O104" s="67">
        <v>96.031675846588513</v>
      </c>
      <c r="P104" s="67">
        <v>92.10078732324142</v>
      </c>
      <c r="Q104" s="67">
        <v>21.801683368650188</v>
      </c>
      <c r="R104" s="66">
        <v>1.87750269</v>
      </c>
      <c r="S104" s="67">
        <v>4.7422679999996831E-2</v>
      </c>
    </row>
    <row r="105" spans="1:19" ht="16.5" thickBot="1" x14ac:dyDescent="0.3">
      <c r="A105" s="19" t="s">
        <v>255</v>
      </c>
      <c r="B105" s="149">
        <v>94</v>
      </c>
      <c r="C105" s="189" t="s">
        <v>256</v>
      </c>
      <c r="D105" s="66">
        <v>64.937799999999996</v>
      </c>
      <c r="E105" s="66">
        <v>0</v>
      </c>
      <c r="F105" s="66">
        <v>84.074399999999997</v>
      </c>
      <c r="G105" s="66">
        <v>64.929000000000002</v>
      </c>
      <c r="H105" s="66">
        <v>19.145400000000002</v>
      </c>
      <c r="I105" s="66">
        <v>64.929000000000002</v>
      </c>
      <c r="J105" s="66">
        <v>1.6948000000000001</v>
      </c>
      <c r="K105" s="66">
        <v>84.074399999999997</v>
      </c>
      <c r="L105" s="66">
        <v>64.929000000000002</v>
      </c>
      <c r="M105" s="66">
        <v>0</v>
      </c>
      <c r="N105" s="66">
        <v>19.145400000000002</v>
      </c>
      <c r="O105" s="67">
        <v>100</v>
      </c>
      <c r="P105" s="67">
        <v>100</v>
      </c>
      <c r="Q105" s="67">
        <v>22.771973394993008</v>
      </c>
      <c r="R105" s="66">
        <v>1.6948000000000001</v>
      </c>
      <c r="S105" s="67">
        <v>6.6613381477509392E-16</v>
      </c>
    </row>
  </sheetData>
  <dataConsolidate/>
  <mergeCells count="19">
    <mergeCell ref="D2:M4"/>
    <mergeCell ref="O9:P10"/>
    <mergeCell ref="E9:E11"/>
    <mergeCell ref="F9:H9"/>
    <mergeCell ref="I9:I11"/>
    <mergeCell ref="F10:F11"/>
    <mergeCell ref="G10:H10"/>
    <mergeCell ref="D5:M5"/>
    <mergeCell ref="Q9:Q11"/>
    <mergeCell ref="B7:B11"/>
    <mergeCell ref="C7:C11"/>
    <mergeCell ref="D9:D11"/>
    <mergeCell ref="D7:S8"/>
    <mergeCell ref="R9:R11"/>
    <mergeCell ref="S9:S11"/>
    <mergeCell ref="L10:N10"/>
    <mergeCell ref="K9:N9"/>
    <mergeCell ref="J9:J11"/>
    <mergeCell ref="K10:K11"/>
  </mergeCells>
  <printOptions horizontalCentered="1"/>
  <pageMargins left="0.11811023622047245" right="0.11811023622047245" top="0.35433070866141736" bottom="0.15748031496062992" header="0.31496062992125984" footer="0.31496062992125984"/>
  <pageSetup paperSize="9" scale="4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R105"/>
  <sheetViews>
    <sheetView view="pageBreakPreview" zoomScale="60" zoomScaleNormal="70" workbookViewId="0">
      <pane xSplit="2" ySplit="12" topLeftCell="C13" activePane="bottomRight" state="frozen"/>
      <selection activeCell="F34" sqref="F34"/>
      <selection pane="topRight" activeCell="F34" sqref="F34"/>
      <selection pane="bottomLeft" activeCell="F34" sqref="F34"/>
      <selection pane="bottomRight" activeCell="D9" sqref="D9:D11"/>
    </sheetView>
  </sheetViews>
  <sheetFormatPr defaultRowHeight="15" outlineLevelCol="1" x14ac:dyDescent="0.25"/>
  <cols>
    <col min="1" max="1" width="5" customWidth="1"/>
    <col min="2" max="2" width="29" customWidth="1"/>
    <col min="3" max="3" width="21.140625" customWidth="1"/>
    <col min="4" max="4" width="18.7109375" customWidth="1"/>
    <col min="5" max="6" width="21" customWidth="1" outlineLevel="1"/>
    <col min="7" max="8" width="21" customWidth="1"/>
    <col min="9" max="9" width="18.7109375" customWidth="1"/>
    <col min="10" max="11" width="20.7109375" customWidth="1"/>
    <col min="12" max="12" width="12.5703125" customWidth="1"/>
    <col min="13" max="13" width="21.140625" customWidth="1"/>
    <col min="14" max="15" width="18.7109375" customWidth="1"/>
    <col min="16" max="16" width="18.7109375" customWidth="1" outlineLevel="1"/>
    <col min="17" max="17" width="15.5703125" customWidth="1" outlineLevel="1"/>
    <col min="18" max="18" width="17.28515625" customWidth="1" outlineLevel="1"/>
  </cols>
  <sheetData>
    <row r="1" spans="1:18" s="126" customFormat="1" ht="19.5" customHeight="1" x14ac:dyDescent="0.25">
      <c r="B1" s="127"/>
    </row>
    <row r="2" spans="1:18" s="126" customFormat="1" ht="19.5" customHeight="1" x14ac:dyDescent="0.3">
      <c r="C2" s="216"/>
      <c r="D2" s="217"/>
      <c r="E2" s="217"/>
      <c r="F2" s="217"/>
      <c r="G2" s="217"/>
      <c r="H2" s="217"/>
      <c r="I2" s="217"/>
      <c r="J2" s="217"/>
      <c r="K2" s="217"/>
      <c r="L2" s="217"/>
    </row>
    <row r="3" spans="1:18" s="126" customFormat="1" ht="19.5" customHeight="1" x14ac:dyDescent="0.3">
      <c r="A3" s="128"/>
      <c r="B3" s="128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38"/>
      <c r="N3" s="38"/>
      <c r="O3" s="38"/>
      <c r="P3" s="38"/>
    </row>
    <row r="4" spans="1:18" s="126" customFormat="1" ht="19.5" customHeight="1" x14ac:dyDescent="0.3">
      <c r="A4" s="128"/>
      <c r="B4" s="128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38"/>
      <c r="N4" s="38"/>
      <c r="O4" s="38"/>
      <c r="P4" s="38"/>
    </row>
    <row r="5" spans="1:18" s="126" customFormat="1" ht="19.5" customHeight="1" x14ac:dyDescent="0.3">
      <c r="A5" s="128"/>
      <c r="B5" s="128"/>
      <c r="D5" s="215"/>
      <c r="E5" s="215"/>
      <c r="F5" s="214"/>
      <c r="G5" s="42"/>
      <c r="H5" s="43"/>
      <c r="I5" s="43"/>
    </row>
    <row r="6" spans="1:18" ht="15.75" x14ac:dyDescent="0.25">
      <c r="B6" s="44" t="s">
        <v>1093</v>
      </c>
      <c r="C6" s="76"/>
      <c r="Q6" s="76"/>
      <c r="R6" s="76"/>
    </row>
    <row r="7" spans="1:18" ht="15" customHeight="1" x14ac:dyDescent="0.25">
      <c r="A7" s="275" t="s">
        <v>284</v>
      </c>
      <c r="B7" s="275" t="s">
        <v>285</v>
      </c>
      <c r="C7" s="282" t="s">
        <v>1000</v>
      </c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</row>
    <row r="8" spans="1:18" ht="15.75" customHeight="1" thickBot="1" x14ac:dyDescent="0.3">
      <c r="A8" s="275"/>
      <c r="B8" s="275"/>
      <c r="C8" s="284"/>
      <c r="D8" s="279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79"/>
    </row>
    <row r="9" spans="1:18" ht="15" customHeight="1" x14ac:dyDescent="0.25">
      <c r="A9" s="275"/>
      <c r="B9" s="275"/>
      <c r="C9" s="253" t="s">
        <v>315</v>
      </c>
      <c r="D9" s="268" t="s">
        <v>1096</v>
      </c>
      <c r="E9" s="268" t="s">
        <v>287</v>
      </c>
      <c r="F9" s="268"/>
      <c r="G9" s="268"/>
      <c r="H9" s="268" t="s">
        <v>312</v>
      </c>
      <c r="I9" s="268" t="s">
        <v>262</v>
      </c>
      <c r="J9" s="268" t="s">
        <v>288</v>
      </c>
      <c r="K9" s="268"/>
      <c r="L9" s="268"/>
      <c r="M9" s="268"/>
      <c r="N9" s="281" t="s">
        <v>289</v>
      </c>
      <c r="O9" s="281"/>
      <c r="P9" s="268" t="s">
        <v>290</v>
      </c>
      <c r="Q9" s="268" t="s">
        <v>266</v>
      </c>
      <c r="R9" s="268" t="s">
        <v>291</v>
      </c>
    </row>
    <row r="10" spans="1:18" ht="15" customHeight="1" x14ac:dyDescent="0.25">
      <c r="A10" s="275"/>
      <c r="B10" s="275"/>
      <c r="C10" s="220"/>
      <c r="D10" s="224"/>
      <c r="E10" s="224" t="s">
        <v>292</v>
      </c>
      <c r="F10" s="224" t="s">
        <v>293</v>
      </c>
      <c r="G10" s="224"/>
      <c r="H10" s="224"/>
      <c r="I10" s="224"/>
      <c r="J10" s="224" t="s">
        <v>292</v>
      </c>
      <c r="K10" s="224" t="s">
        <v>294</v>
      </c>
      <c r="L10" s="224"/>
      <c r="M10" s="224"/>
      <c r="N10" s="270"/>
      <c r="O10" s="270"/>
      <c r="P10" s="224"/>
      <c r="Q10" s="224"/>
      <c r="R10" s="224"/>
    </row>
    <row r="11" spans="1:18" ht="105" x14ac:dyDescent="0.25">
      <c r="A11" s="275"/>
      <c r="B11" s="275"/>
      <c r="C11" s="254"/>
      <c r="D11" s="224"/>
      <c r="E11" s="224"/>
      <c r="F11" s="99" t="s">
        <v>259</v>
      </c>
      <c r="G11" s="99" t="s">
        <v>260</v>
      </c>
      <c r="H11" s="224"/>
      <c r="I11" s="224"/>
      <c r="J11" s="224"/>
      <c r="K11" s="99" t="s">
        <v>264</v>
      </c>
      <c r="L11" s="99" t="s">
        <v>303</v>
      </c>
      <c r="M11" s="99" t="s">
        <v>260</v>
      </c>
      <c r="N11" s="99" t="s">
        <v>965</v>
      </c>
      <c r="O11" s="99" t="s">
        <v>295</v>
      </c>
      <c r="P11" s="224"/>
      <c r="Q11" s="224"/>
      <c r="R11" s="224"/>
    </row>
    <row r="12" spans="1:18" ht="31.5" x14ac:dyDescent="0.25">
      <c r="A12" s="50" t="s">
        <v>2</v>
      </c>
      <c r="B12" s="195" t="s">
        <v>3</v>
      </c>
      <c r="C12" s="53">
        <v>132711.01370000001</v>
      </c>
      <c r="D12" s="53">
        <v>0</v>
      </c>
      <c r="E12" s="53">
        <v>154240.06238521004</v>
      </c>
      <c r="F12" s="53">
        <v>132696.6048</v>
      </c>
      <c r="G12" s="53">
        <v>21543.457585209999</v>
      </c>
      <c r="H12" s="53">
        <v>132194.38537718999</v>
      </c>
      <c r="I12" s="53">
        <v>342.54435895</v>
      </c>
      <c r="J12" s="53">
        <v>152419.38981699999</v>
      </c>
      <c r="K12" s="53">
        <v>131266.38981485</v>
      </c>
      <c r="L12" s="53">
        <v>0</v>
      </c>
      <c r="M12" s="53">
        <v>21153.000002149998</v>
      </c>
      <c r="N12" s="53">
        <v>98.922191726528638</v>
      </c>
      <c r="O12" s="53">
        <v>98.187581628827971</v>
      </c>
      <c r="P12" s="53">
        <v>13.878155546710314</v>
      </c>
      <c r="Q12" s="53">
        <v>342.54114099000003</v>
      </c>
      <c r="R12" s="53">
        <v>927.99878029999991</v>
      </c>
    </row>
    <row r="13" spans="1:18" ht="15.75" x14ac:dyDescent="0.25">
      <c r="A13" s="57" t="s">
        <v>6</v>
      </c>
      <c r="B13" s="190" t="s">
        <v>7</v>
      </c>
      <c r="C13" s="61">
        <v>52060.2235</v>
      </c>
      <c r="D13" s="61">
        <v>0</v>
      </c>
      <c r="E13" s="61">
        <v>57387.076292510013</v>
      </c>
      <c r="F13" s="61">
        <v>52060.1273</v>
      </c>
      <c r="G13" s="61">
        <v>5326.9489925099997</v>
      </c>
      <c r="H13" s="61">
        <v>52010.930196919995</v>
      </c>
      <c r="I13" s="61">
        <v>4.6417767699999999</v>
      </c>
      <c r="J13" s="61">
        <v>56214.999681180001</v>
      </c>
      <c r="K13" s="61">
        <v>51144.757430549995</v>
      </c>
      <c r="L13" s="61">
        <v>0</v>
      </c>
      <c r="M13" s="61">
        <v>5070.2422506299999</v>
      </c>
      <c r="N13" s="61">
        <v>98.24170643268863</v>
      </c>
      <c r="O13" s="61">
        <v>95.180979914751489</v>
      </c>
      <c r="P13" s="61">
        <v>9.019376108486302</v>
      </c>
      <c r="Q13" s="61">
        <v>4.6385588100000001</v>
      </c>
      <c r="R13" s="61">
        <v>866.17598433000046</v>
      </c>
    </row>
    <row r="14" spans="1:18" ht="15.75" x14ac:dyDescent="0.25">
      <c r="A14" s="11" t="s">
        <v>9</v>
      </c>
      <c r="B14" s="189" t="s">
        <v>10</v>
      </c>
      <c r="C14" s="66">
        <v>7126.3370999999997</v>
      </c>
      <c r="D14" s="66">
        <v>0</v>
      </c>
      <c r="E14" s="66">
        <v>7501.4074779999992</v>
      </c>
      <c r="F14" s="66">
        <v>7126.3370999999997</v>
      </c>
      <c r="G14" s="66">
        <v>375.07037800000006</v>
      </c>
      <c r="H14" s="66">
        <v>7126.3370999999997</v>
      </c>
      <c r="I14" s="66">
        <v>0</v>
      </c>
      <c r="J14" s="66">
        <v>7501.4074756199998</v>
      </c>
      <c r="K14" s="66">
        <v>7126.3370999999997</v>
      </c>
      <c r="L14" s="66">
        <v>0</v>
      </c>
      <c r="M14" s="66">
        <v>375.07037562000005</v>
      </c>
      <c r="N14" s="67">
        <v>100</v>
      </c>
      <c r="O14" s="67">
        <v>99.999999365452425</v>
      </c>
      <c r="P14" s="67">
        <v>5.0000000245154004</v>
      </c>
      <c r="Q14" s="66">
        <v>0</v>
      </c>
      <c r="R14" s="67">
        <v>0</v>
      </c>
    </row>
    <row r="15" spans="1:18" ht="15.75" x14ac:dyDescent="0.25">
      <c r="A15" s="11" t="s">
        <v>12</v>
      </c>
      <c r="B15" s="189" t="s">
        <v>13</v>
      </c>
      <c r="C15" s="66">
        <v>10123.717000000002</v>
      </c>
      <c r="D15" s="66">
        <v>0</v>
      </c>
      <c r="E15" s="66">
        <v>10308.1002236</v>
      </c>
      <c r="F15" s="66">
        <v>10123.717000000002</v>
      </c>
      <c r="G15" s="66">
        <v>184.38322359999998</v>
      </c>
      <c r="H15" s="66">
        <v>10123.716942530002</v>
      </c>
      <c r="I15" s="66">
        <v>0</v>
      </c>
      <c r="J15" s="66">
        <v>10308.100157839999</v>
      </c>
      <c r="K15" s="66">
        <v>10123.716942530002</v>
      </c>
      <c r="L15" s="66">
        <v>0</v>
      </c>
      <c r="M15" s="66">
        <v>184.38321530999997</v>
      </c>
      <c r="N15" s="67">
        <v>99.999999432323122</v>
      </c>
      <c r="O15" s="67">
        <v>99.999995503929341</v>
      </c>
      <c r="P15" s="67">
        <v>1.7887216120010652</v>
      </c>
      <c r="Q15" s="66">
        <v>0</v>
      </c>
      <c r="R15" s="67">
        <v>0</v>
      </c>
    </row>
    <row r="16" spans="1:18" ht="15.75" x14ac:dyDescent="0.25">
      <c r="A16" s="11" t="s">
        <v>15</v>
      </c>
      <c r="B16" s="189" t="s">
        <v>16</v>
      </c>
      <c r="C16" s="66">
        <v>1020.9033999999999</v>
      </c>
      <c r="D16" s="66">
        <v>0</v>
      </c>
      <c r="E16" s="66">
        <v>1174.299</v>
      </c>
      <c r="F16" s="66">
        <v>1020.9033999999999</v>
      </c>
      <c r="G16" s="66">
        <v>153.39560000000003</v>
      </c>
      <c r="H16" s="66">
        <v>1020.9033999999999</v>
      </c>
      <c r="I16" s="66">
        <v>2.2205690000000002</v>
      </c>
      <c r="J16" s="66">
        <v>1174.299</v>
      </c>
      <c r="K16" s="66">
        <v>1020.9033999999999</v>
      </c>
      <c r="L16" s="66">
        <v>0</v>
      </c>
      <c r="M16" s="66">
        <v>153.39560000000003</v>
      </c>
      <c r="N16" s="67">
        <v>100</v>
      </c>
      <c r="O16" s="67">
        <v>100</v>
      </c>
      <c r="P16" s="67">
        <v>13.062737854669043</v>
      </c>
      <c r="Q16" s="66">
        <v>2.2205690000000002</v>
      </c>
      <c r="R16" s="67">
        <v>-4.5297099404706387E-14</v>
      </c>
    </row>
    <row r="17" spans="1:18" ht="15.75" x14ac:dyDescent="0.25">
      <c r="A17" s="11" t="s">
        <v>18</v>
      </c>
      <c r="B17" s="189" t="s">
        <v>19</v>
      </c>
      <c r="C17" s="66">
        <v>6995.4453000000003</v>
      </c>
      <c r="D17" s="66">
        <v>0</v>
      </c>
      <c r="E17" s="66">
        <v>8463.1274599999997</v>
      </c>
      <c r="F17" s="66">
        <v>6995.4453000000003</v>
      </c>
      <c r="G17" s="66">
        <v>1467.6821600000001</v>
      </c>
      <c r="H17" s="66">
        <v>6959.0628687199996</v>
      </c>
      <c r="I17" s="66">
        <v>0</v>
      </c>
      <c r="J17" s="66">
        <v>7339.5059007900009</v>
      </c>
      <c r="K17" s="66">
        <v>6120.87960578</v>
      </c>
      <c r="L17" s="66">
        <v>0</v>
      </c>
      <c r="M17" s="66">
        <v>1218.6262950099999</v>
      </c>
      <c r="N17" s="67">
        <v>87.498069719450172</v>
      </c>
      <c r="O17" s="67">
        <v>83.030667553389065</v>
      </c>
      <c r="P17" s="67">
        <v>16.603655770326867</v>
      </c>
      <c r="Q17" s="66">
        <v>0</v>
      </c>
      <c r="R17" s="67">
        <v>838.18326293999962</v>
      </c>
    </row>
    <row r="18" spans="1:18" ht="15.75" x14ac:dyDescent="0.25">
      <c r="A18" s="11" t="s">
        <v>21</v>
      </c>
      <c r="B18" s="189" t="s">
        <v>22</v>
      </c>
      <c r="C18" s="66">
        <v>342.34589999999997</v>
      </c>
      <c r="D18" s="66">
        <v>0</v>
      </c>
      <c r="E18" s="66">
        <v>364.75891928000004</v>
      </c>
      <c r="F18" s="66">
        <v>342.34589999999997</v>
      </c>
      <c r="G18" s="66">
        <v>22.41301928</v>
      </c>
      <c r="H18" s="66">
        <v>342.34524708999999</v>
      </c>
      <c r="I18" s="66">
        <v>0.66927300000000001</v>
      </c>
      <c r="J18" s="66">
        <v>364.75826637</v>
      </c>
      <c r="K18" s="66">
        <v>342.34524708999999</v>
      </c>
      <c r="L18" s="66">
        <v>0</v>
      </c>
      <c r="M18" s="66">
        <v>22.41301928</v>
      </c>
      <c r="N18" s="67">
        <v>99.999809283534574</v>
      </c>
      <c r="O18" s="67">
        <v>100</v>
      </c>
      <c r="P18" s="67">
        <v>6.1446227122005501</v>
      </c>
      <c r="Q18" s="66">
        <v>0.66927300000000001</v>
      </c>
      <c r="R18" s="67">
        <v>-2.4424906541753444E-14</v>
      </c>
    </row>
    <row r="19" spans="1:18" ht="15.75" x14ac:dyDescent="0.25">
      <c r="A19" s="11" t="s">
        <v>24</v>
      </c>
      <c r="B19" s="189" t="s">
        <v>25</v>
      </c>
      <c r="C19" s="66">
        <v>2793.1500999999998</v>
      </c>
      <c r="D19" s="66">
        <v>0</v>
      </c>
      <c r="E19" s="66">
        <v>2963.1333220000001</v>
      </c>
      <c r="F19" s="66">
        <v>2793.1500999999998</v>
      </c>
      <c r="G19" s="66">
        <v>169.98322200000001</v>
      </c>
      <c r="H19" s="66">
        <v>2793.1498954099998</v>
      </c>
      <c r="I19" s="66">
        <v>0</v>
      </c>
      <c r="J19" s="66">
        <v>2963.1331090900003</v>
      </c>
      <c r="K19" s="66">
        <v>2793.1498954099998</v>
      </c>
      <c r="L19" s="66">
        <v>0</v>
      </c>
      <c r="M19" s="66">
        <v>169.98321368000001</v>
      </c>
      <c r="N19" s="67">
        <v>99.999992675295175</v>
      </c>
      <c r="O19" s="67">
        <v>99.999995105399293</v>
      </c>
      <c r="P19" s="67">
        <v>5.7366040411260188</v>
      </c>
      <c r="Q19" s="66">
        <v>0</v>
      </c>
      <c r="R19" s="67">
        <v>0</v>
      </c>
    </row>
    <row r="20" spans="1:18" ht="15.75" x14ac:dyDescent="0.25">
      <c r="A20" s="11" t="s">
        <v>27</v>
      </c>
      <c r="B20" s="189" t="s">
        <v>28</v>
      </c>
      <c r="C20" s="66">
        <v>222.10670000000002</v>
      </c>
      <c r="D20" s="66">
        <v>0</v>
      </c>
      <c r="E20" s="66">
        <v>242.68852999999999</v>
      </c>
      <c r="F20" s="66">
        <v>222.10670000000002</v>
      </c>
      <c r="G20" s="66">
        <v>20.58183</v>
      </c>
      <c r="H20" s="66">
        <v>222.10405278000002</v>
      </c>
      <c r="I20" s="66">
        <v>1.0508415099999999</v>
      </c>
      <c r="J20" s="66">
        <v>242.68536047999999</v>
      </c>
      <c r="K20" s="66">
        <v>222.10370617000001</v>
      </c>
      <c r="L20" s="66">
        <v>0</v>
      </c>
      <c r="M20" s="66">
        <v>20.581654310000005</v>
      </c>
      <c r="N20" s="67">
        <v>99.998652075781592</v>
      </c>
      <c r="O20" s="67">
        <v>99.999146382999001</v>
      </c>
      <c r="P20" s="67">
        <v>8.4807976341433111</v>
      </c>
      <c r="Q20" s="66">
        <v>1.0508415099999999</v>
      </c>
      <c r="R20" s="67">
        <v>3.466100000062422E-4</v>
      </c>
    </row>
    <row r="21" spans="1:18" ht="15.75" x14ac:dyDescent="0.25">
      <c r="A21" s="11" t="s">
        <v>30</v>
      </c>
      <c r="B21" s="189" t="s">
        <v>31</v>
      </c>
      <c r="C21" s="66">
        <v>5738.3625999999995</v>
      </c>
      <c r="D21" s="66">
        <v>0</v>
      </c>
      <c r="E21" s="66">
        <v>6520.7497460000013</v>
      </c>
      <c r="F21" s="66">
        <v>5738.3625999999995</v>
      </c>
      <c r="G21" s="66">
        <v>782.38714600000003</v>
      </c>
      <c r="H21" s="66">
        <v>5730.4791719100003</v>
      </c>
      <c r="I21" s="66">
        <v>0</v>
      </c>
      <c r="J21" s="66">
        <v>6479.2416794499995</v>
      </c>
      <c r="K21" s="66">
        <v>5703.0446648499992</v>
      </c>
      <c r="L21" s="66">
        <v>0</v>
      </c>
      <c r="M21" s="66">
        <v>776.19701459999987</v>
      </c>
      <c r="N21" s="67">
        <v>99.384529392583161</v>
      </c>
      <c r="O21" s="67">
        <v>99.208814787966858</v>
      </c>
      <c r="P21" s="67">
        <v>11.979750918411312</v>
      </c>
      <c r="Q21" s="66">
        <v>0</v>
      </c>
      <c r="R21" s="67">
        <v>27.434507060001124</v>
      </c>
    </row>
    <row r="22" spans="1:18" ht="15.75" x14ac:dyDescent="0.25">
      <c r="A22" s="11" t="s">
        <v>33</v>
      </c>
      <c r="B22" s="189" t="s">
        <v>34</v>
      </c>
      <c r="C22" s="66">
        <v>3428.6372999999999</v>
      </c>
      <c r="D22" s="66">
        <v>0</v>
      </c>
      <c r="E22" s="66">
        <v>3639.0168262699999</v>
      </c>
      <c r="F22" s="66">
        <v>3428.6372999999999</v>
      </c>
      <c r="G22" s="66">
        <v>210.37952627000001</v>
      </c>
      <c r="H22" s="66">
        <v>3428.6351223000001</v>
      </c>
      <c r="I22" s="66">
        <v>0</v>
      </c>
      <c r="J22" s="66">
        <v>3639.0143353700005</v>
      </c>
      <c r="K22" s="66">
        <v>3428.6351223000001</v>
      </c>
      <c r="L22" s="66">
        <v>0</v>
      </c>
      <c r="M22" s="66">
        <v>210.37921306999996</v>
      </c>
      <c r="N22" s="67">
        <v>99.999936484970291</v>
      </c>
      <c r="O22" s="67">
        <v>99.999851126197683</v>
      </c>
      <c r="P22" s="67">
        <v>5.7812141882812735</v>
      </c>
      <c r="Q22" s="66">
        <v>0</v>
      </c>
      <c r="R22" s="67">
        <v>0</v>
      </c>
    </row>
    <row r="23" spans="1:18" ht="15.75" x14ac:dyDescent="0.25">
      <c r="A23" s="11" t="s">
        <v>36</v>
      </c>
      <c r="B23" s="189" t="s">
        <v>37</v>
      </c>
      <c r="C23" s="66">
        <v>2409.8047000000001</v>
      </c>
      <c r="D23" s="66">
        <v>0</v>
      </c>
      <c r="E23" s="66">
        <v>2734.7793521100002</v>
      </c>
      <c r="F23" s="66">
        <v>2409.8047000000001</v>
      </c>
      <c r="G23" s="66">
        <v>324.97465211000002</v>
      </c>
      <c r="H23" s="66">
        <v>2409.4968222499997</v>
      </c>
      <c r="I23" s="66">
        <v>0</v>
      </c>
      <c r="J23" s="66">
        <v>2734.1126907600001</v>
      </c>
      <c r="K23" s="66">
        <v>2409.21373718</v>
      </c>
      <c r="L23" s="66">
        <v>0</v>
      </c>
      <c r="M23" s="66">
        <v>324.89895358000001</v>
      </c>
      <c r="N23" s="67">
        <v>99.975476733861456</v>
      </c>
      <c r="O23" s="67">
        <v>99.976706327860185</v>
      </c>
      <c r="P23" s="67">
        <v>11.883158828017729</v>
      </c>
      <c r="Q23" s="66">
        <v>0</v>
      </c>
      <c r="R23" s="67">
        <v>0.2830850699997427</v>
      </c>
    </row>
    <row r="24" spans="1:18" ht="15.75" x14ac:dyDescent="0.25">
      <c r="A24" s="11" t="s">
        <v>39</v>
      </c>
      <c r="B24" s="189" t="s">
        <v>297</v>
      </c>
      <c r="C24" s="66">
        <v>9.6199999999999994E-2</v>
      </c>
      <c r="D24" s="66">
        <v>0</v>
      </c>
      <c r="E24" s="66">
        <v>0</v>
      </c>
      <c r="F24" s="66">
        <v>0</v>
      </c>
      <c r="G24" s="66">
        <v>0</v>
      </c>
      <c r="H24" s="66">
        <v>0</v>
      </c>
      <c r="I24" s="66">
        <v>0</v>
      </c>
      <c r="J24" s="66">
        <v>0</v>
      </c>
      <c r="K24" s="66">
        <v>0</v>
      </c>
      <c r="L24" s="66">
        <v>0</v>
      </c>
      <c r="M24" s="66">
        <v>0</v>
      </c>
      <c r="N24" s="67" t="s">
        <v>1094</v>
      </c>
      <c r="O24" s="67" t="s">
        <v>1094</v>
      </c>
      <c r="P24" s="67">
        <v>0</v>
      </c>
      <c r="Q24" s="66">
        <v>0</v>
      </c>
      <c r="R24" s="67">
        <v>0</v>
      </c>
    </row>
    <row r="25" spans="1:18" ht="15.75" x14ac:dyDescent="0.25">
      <c r="A25" s="11" t="s">
        <v>41</v>
      </c>
      <c r="B25" s="189" t="s">
        <v>42</v>
      </c>
      <c r="C25" s="66">
        <v>1755.4814000000001</v>
      </c>
      <c r="D25" s="66">
        <v>0</v>
      </c>
      <c r="E25" s="66">
        <v>1847.8751595300002</v>
      </c>
      <c r="F25" s="66">
        <v>1755.4814000000001</v>
      </c>
      <c r="G25" s="66">
        <v>92.393759529999997</v>
      </c>
      <c r="H25" s="66">
        <v>1755.4814000000001</v>
      </c>
      <c r="I25" s="66">
        <v>0</v>
      </c>
      <c r="J25" s="66">
        <v>1847.8751595300002</v>
      </c>
      <c r="K25" s="66">
        <v>1755.4814000000001</v>
      </c>
      <c r="L25" s="66">
        <v>0</v>
      </c>
      <c r="M25" s="66">
        <v>92.393759529999997</v>
      </c>
      <c r="N25" s="67">
        <v>100</v>
      </c>
      <c r="O25" s="67">
        <v>100</v>
      </c>
      <c r="P25" s="67">
        <v>5.0000000840695318</v>
      </c>
      <c r="Q25" s="66">
        <v>0</v>
      </c>
      <c r="R25" s="67">
        <v>0</v>
      </c>
    </row>
    <row r="26" spans="1:18" ht="15.75" x14ac:dyDescent="0.25">
      <c r="A26" s="11" t="s">
        <v>44</v>
      </c>
      <c r="B26" s="189" t="s">
        <v>45</v>
      </c>
      <c r="C26" s="66">
        <v>1719.0964000000001</v>
      </c>
      <c r="D26" s="66">
        <v>0</v>
      </c>
      <c r="E26" s="66">
        <v>1907.8598526399996</v>
      </c>
      <c r="F26" s="66">
        <v>1719.0964000000001</v>
      </c>
      <c r="G26" s="66">
        <v>188.76345263999997</v>
      </c>
      <c r="H26" s="66">
        <v>1719.08133445</v>
      </c>
      <c r="I26" s="66">
        <v>0</v>
      </c>
      <c r="J26" s="66">
        <v>1907.8439941399997</v>
      </c>
      <c r="K26" s="66">
        <v>1719.08133445</v>
      </c>
      <c r="L26" s="66">
        <v>0</v>
      </c>
      <c r="M26" s="66">
        <v>188.76265968999999</v>
      </c>
      <c r="N26" s="67">
        <v>99.999123635533167</v>
      </c>
      <c r="O26" s="67">
        <v>99.999579923979525</v>
      </c>
      <c r="P26" s="67">
        <v>9.8940301340041525</v>
      </c>
      <c r="Q26" s="66">
        <v>0</v>
      </c>
      <c r="R26" s="67">
        <v>0</v>
      </c>
    </row>
    <row r="27" spans="1:18" ht="15.75" x14ac:dyDescent="0.25">
      <c r="A27" s="11" t="s">
        <v>47</v>
      </c>
      <c r="B27" s="189" t="s">
        <v>48</v>
      </c>
      <c r="C27" s="66">
        <v>379.09530000000007</v>
      </c>
      <c r="D27" s="66">
        <v>0</v>
      </c>
      <c r="E27" s="66">
        <v>449.27559199999996</v>
      </c>
      <c r="F27" s="66">
        <v>379.09530000000007</v>
      </c>
      <c r="G27" s="66">
        <v>70.180292000000009</v>
      </c>
      <c r="H27" s="66">
        <v>379.01089205000005</v>
      </c>
      <c r="I27" s="66">
        <v>0</v>
      </c>
      <c r="J27" s="66">
        <v>448.8868678</v>
      </c>
      <c r="K27" s="66">
        <v>378.73932785</v>
      </c>
      <c r="L27" s="66">
        <v>0</v>
      </c>
      <c r="M27" s="66">
        <v>70.147539949999995</v>
      </c>
      <c r="N27" s="67">
        <v>99.906099561244872</v>
      </c>
      <c r="O27" s="67">
        <v>99.953331556386203</v>
      </c>
      <c r="P27" s="67">
        <v>15.626997575980322</v>
      </c>
      <c r="Q27" s="66">
        <v>0</v>
      </c>
      <c r="R27" s="67">
        <v>0.2715642000000571</v>
      </c>
    </row>
    <row r="28" spans="1:18" ht="15.75" x14ac:dyDescent="0.25">
      <c r="A28" s="11" t="s">
        <v>50</v>
      </c>
      <c r="B28" s="189" t="s">
        <v>51</v>
      </c>
      <c r="C28" s="66">
        <v>3039.9971</v>
      </c>
      <c r="D28" s="66">
        <v>0</v>
      </c>
      <c r="E28" s="66">
        <v>3583.01993507</v>
      </c>
      <c r="F28" s="66">
        <v>3039.9971</v>
      </c>
      <c r="G28" s="66">
        <v>543.02283507000004</v>
      </c>
      <c r="H28" s="66">
        <v>3039.9971</v>
      </c>
      <c r="I28" s="66">
        <v>0.22108142</v>
      </c>
      <c r="J28" s="66">
        <v>3583.01993507</v>
      </c>
      <c r="K28" s="66">
        <v>3039.9971</v>
      </c>
      <c r="L28" s="66">
        <v>0</v>
      </c>
      <c r="M28" s="66">
        <v>543.02283507000004</v>
      </c>
      <c r="N28" s="67">
        <v>100</v>
      </c>
      <c r="O28" s="67">
        <v>100</v>
      </c>
      <c r="P28" s="67">
        <v>15.155451125319827</v>
      </c>
      <c r="Q28" s="66">
        <v>0.21786345999999998</v>
      </c>
      <c r="R28" s="67">
        <v>3.21795999979127E-3</v>
      </c>
    </row>
    <row r="29" spans="1:18" ht="15.75" x14ac:dyDescent="0.25">
      <c r="A29" s="11" t="s">
        <v>53</v>
      </c>
      <c r="B29" s="189" t="s">
        <v>54</v>
      </c>
      <c r="C29" s="66">
        <v>2738.0195999999996</v>
      </c>
      <c r="D29" s="66">
        <v>0</v>
      </c>
      <c r="E29" s="66">
        <v>2988.6061999999993</v>
      </c>
      <c r="F29" s="66">
        <v>2738.0195999999996</v>
      </c>
      <c r="G29" s="66">
        <v>250.5866</v>
      </c>
      <c r="H29" s="66">
        <v>2734.2632837299998</v>
      </c>
      <c r="I29" s="66">
        <v>0.40975084000000001</v>
      </c>
      <c r="J29" s="66">
        <v>2983.5564536500001</v>
      </c>
      <c r="K29" s="66">
        <v>2734.2632837299998</v>
      </c>
      <c r="L29" s="66">
        <v>0</v>
      </c>
      <c r="M29" s="66">
        <v>249.29316992</v>
      </c>
      <c r="N29" s="67">
        <v>99.862809007283957</v>
      </c>
      <c r="O29" s="67">
        <v>99.483839087964</v>
      </c>
      <c r="P29" s="67">
        <v>8.3555707355569435</v>
      </c>
      <c r="Q29" s="66">
        <v>0.40975084000000001</v>
      </c>
      <c r="R29" s="67">
        <v>1.5154544286133387E-14</v>
      </c>
    </row>
    <row r="30" spans="1:18" ht="15.75" x14ac:dyDescent="0.25">
      <c r="A30" s="11" t="s">
        <v>56</v>
      </c>
      <c r="B30" s="189" t="s">
        <v>57</v>
      </c>
      <c r="C30" s="66">
        <v>1112.8958</v>
      </c>
      <c r="D30" s="66">
        <v>0</v>
      </c>
      <c r="E30" s="66">
        <v>1215.96425101</v>
      </c>
      <c r="F30" s="66">
        <v>1112.8958</v>
      </c>
      <c r="G30" s="66">
        <v>103.06845101</v>
      </c>
      <c r="H30" s="66">
        <v>1112.1339649899999</v>
      </c>
      <c r="I30" s="66">
        <v>1.8030999999999998E-2</v>
      </c>
      <c r="J30" s="66">
        <v>1215.14485201</v>
      </c>
      <c r="K30" s="66">
        <v>1112.1339649899999</v>
      </c>
      <c r="L30" s="66">
        <v>0</v>
      </c>
      <c r="M30" s="66">
        <v>103.01088702000001</v>
      </c>
      <c r="N30" s="67">
        <v>99.931544803206179</v>
      </c>
      <c r="O30" s="67">
        <v>99.944149747632864</v>
      </c>
      <c r="P30" s="67">
        <v>8.4772516502544732</v>
      </c>
      <c r="Q30" s="66">
        <v>1.8030999999999998E-2</v>
      </c>
      <c r="R30" s="67">
        <v>6.4524774412433317E-14</v>
      </c>
    </row>
    <row r="31" spans="1:18" ht="15.75" x14ac:dyDescent="0.25">
      <c r="A31" s="11" t="s">
        <v>59</v>
      </c>
      <c r="B31" s="189" t="s">
        <v>60</v>
      </c>
      <c r="C31" s="66">
        <v>1114.7316000000001</v>
      </c>
      <c r="D31" s="66">
        <v>0</v>
      </c>
      <c r="E31" s="66">
        <v>1482.4144450000001</v>
      </c>
      <c r="F31" s="66">
        <v>1114.7316000000001</v>
      </c>
      <c r="G31" s="66">
        <v>367.68284499999993</v>
      </c>
      <c r="H31" s="66">
        <v>1114.7315987100001</v>
      </c>
      <c r="I31" s="66">
        <v>5.2229999999999999E-2</v>
      </c>
      <c r="J31" s="66">
        <v>1482.4144432099999</v>
      </c>
      <c r="K31" s="66">
        <v>1114.73159822</v>
      </c>
      <c r="L31" s="66">
        <v>0</v>
      </c>
      <c r="M31" s="66">
        <v>367.68284499000004</v>
      </c>
      <c r="N31" s="67">
        <v>99.999999840320299</v>
      </c>
      <c r="O31" s="67">
        <v>99.999999997280298</v>
      </c>
      <c r="P31" s="67">
        <v>24.802972385632227</v>
      </c>
      <c r="Q31" s="66">
        <v>5.2229999999999999E-2</v>
      </c>
      <c r="R31" s="67">
        <v>4.9000005630794874E-7</v>
      </c>
    </row>
    <row r="32" spans="1:18" ht="15.75" x14ac:dyDescent="0.25">
      <c r="A32" s="57" t="s">
        <v>62</v>
      </c>
      <c r="B32" s="190" t="s">
        <v>63</v>
      </c>
      <c r="C32" s="61">
        <v>7552.1713999999993</v>
      </c>
      <c r="D32" s="61">
        <v>0</v>
      </c>
      <c r="E32" s="61">
        <v>8874.9071845399994</v>
      </c>
      <c r="F32" s="61">
        <v>7552.1713999999993</v>
      </c>
      <c r="G32" s="61">
        <v>1322.7357845400002</v>
      </c>
      <c r="H32" s="61">
        <v>7535.4472733399998</v>
      </c>
      <c r="I32" s="61">
        <v>4.0868439999999999E-2</v>
      </c>
      <c r="J32" s="61">
        <v>8852.6504759599993</v>
      </c>
      <c r="K32" s="61">
        <v>7535.4433471499997</v>
      </c>
      <c r="L32" s="61">
        <v>0</v>
      </c>
      <c r="M32" s="61">
        <v>1317.2071288100003</v>
      </c>
      <c r="N32" s="61">
        <v>99.778500090053583</v>
      </c>
      <c r="O32" s="61">
        <v>99.582028716950262</v>
      </c>
      <c r="P32" s="61">
        <v>14.879240204806118</v>
      </c>
      <c r="Q32" s="61">
        <v>4.0868439999999999E-2</v>
      </c>
      <c r="R32" s="61">
        <v>3.9261899999557606E-3</v>
      </c>
    </row>
    <row r="33" spans="1:18" ht="15.75" x14ac:dyDescent="0.25">
      <c r="A33" s="11" t="s">
        <v>65</v>
      </c>
      <c r="B33" s="189" t="s">
        <v>66</v>
      </c>
      <c r="C33" s="66">
        <v>160.11429999999999</v>
      </c>
      <c r="D33" s="66">
        <v>0</v>
      </c>
      <c r="E33" s="66">
        <v>168.54137900000001</v>
      </c>
      <c r="F33" s="66">
        <v>160.11429999999999</v>
      </c>
      <c r="G33" s="66">
        <v>8.4270790000000009</v>
      </c>
      <c r="H33" s="66">
        <v>160.09634654999999</v>
      </c>
      <c r="I33" s="66">
        <v>0</v>
      </c>
      <c r="J33" s="66">
        <v>168.51899811999999</v>
      </c>
      <c r="K33" s="66">
        <v>160.09304739000001</v>
      </c>
      <c r="L33" s="66">
        <v>0</v>
      </c>
      <c r="M33" s="66">
        <v>8.4259507300000003</v>
      </c>
      <c r="N33" s="67">
        <v>99.986726600934475</v>
      </c>
      <c r="O33" s="67">
        <v>99.986611375068392</v>
      </c>
      <c r="P33" s="67">
        <v>5.0000004889656422</v>
      </c>
      <c r="Q33" s="66">
        <v>0</v>
      </c>
      <c r="R33" s="67">
        <v>3.2991599999832033E-3</v>
      </c>
    </row>
    <row r="34" spans="1:18" ht="15.75" x14ac:dyDescent="0.25">
      <c r="A34" s="11" t="s">
        <v>68</v>
      </c>
      <c r="B34" s="189" t="s">
        <v>69</v>
      </c>
      <c r="C34" s="66">
        <v>149.28820000000002</v>
      </c>
      <c r="D34" s="66">
        <v>0</v>
      </c>
      <c r="E34" s="66">
        <v>277.23469</v>
      </c>
      <c r="F34" s="66">
        <v>149.28820000000002</v>
      </c>
      <c r="G34" s="66">
        <v>127.94648999999998</v>
      </c>
      <c r="H34" s="66">
        <v>149.28424794</v>
      </c>
      <c r="I34" s="66">
        <v>0</v>
      </c>
      <c r="J34" s="66">
        <v>277.22424223000002</v>
      </c>
      <c r="K34" s="66">
        <v>149.28367091000001</v>
      </c>
      <c r="L34" s="66">
        <v>0</v>
      </c>
      <c r="M34" s="66">
        <v>127.94057131999998</v>
      </c>
      <c r="N34" s="67">
        <v>99.996966210323379</v>
      </c>
      <c r="O34" s="67">
        <v>99.995374097405872</v>
      </c>
      <c r="P34" s="67">
        <v>46.150571209372679</v>
      </c>
      <c r="Q34" s="66">
        <v>0</v>
      </c>
      <c r="R34" s="67">
        <v>5.7702999998809901E-4</v>
      </c>
    </row>
    <row r="35" spans="1:18" ht="15.75" x14ac:dyDescent="0.25">
      <c r="A35" s="11" t="s">
        <v>71</v>
      </c>
      <c r="B35" s="189" t="s">
        <v>72</v>
      </c>
      <c r="C35" s="66">
        <v>347.36379999999997</v>
      </c>
      <c r="D35" s="66">
        <v>0</v>
      </c>
      <c r="E35" s="66">
        <v>375.00314200999998</v>
      </c>
      <c r="F35" s="66">
        <v>347.36379999999997</v>
      </c>
      <c r="G35" s="66">
        <v>27.639342009999996</v>
      </c>
      <c r="H35" s="66">
        <v>347.32436432999998</v>
      </c>
      <c r="I35" s="66">
        <v>0</v>
      </c>
      <c r="J35" s="66">
        <v>374.95941503</v>
      </c>
      <c r="K35" s="66">
        <v>347.32431432999999</v>
      </c>
      <c r="L35" s="66">
        <v>0</v>
      </c>
      <c r="M35" s="66">
        <v>27.635100699999999</v>
      </c>
      <c r="N35" s="67">
        <v>99.988632761963117</v>
      </c>
      <c r="O35" s="67">
        <v>99.984654808358087</v>
      </c>
      <c r="P35" s="67">
        <v>7.3701578336922005</v>
      </c>
      <c r="Q35" s="66">
        <v>0</v>
      </c>
      <c r="R35" s="67">
        <v>4.9999999987448973E-5</v>
      </c>
    </row>
    <row r="36" spans="1:18" ht="15.75" x14ac:dyDescent="0.25">
      <c r="A36" s="11" t="s">
        <v>74</v>
      </c>
      <c r="B36" s="189" t="s">
        <v>298</v>
      </c>
      <c r="C36" s="66">
        <v>39.907499999999999</v>
      </c>
      <c r="D36" s="66">
        <v>0</v>
      </c>
      <c r="E36" s="66">
        <v>188.74160000000001</v>
      </c>
      <c r="F36" s="66">
        <v>39.907499999999999</v>
      </c>
      <c r="G36" s="66">
        <v>148.83410000000001</v>
      </c>
      <c r="H36" s="66">
        <v>39.907499080000001</v>
      </c>
      <c r="I36" s="66">
        <v>0</v>
      </c>
      <c r="J36" s="66">
        <v>188.74159908000001</v>
      </c>
      <c r="K36" s="66">
        <v>39.907499080000001</v>
      </c>
      <c r="L36" s="66">
        <v>0</v>
      </c>
      <c r="M36" s="66">
        <v>148.83410000000001</v>
      </c>
      <c r="N36" s="67">
        <v>99.999997694668934</v>
      </c>
      <c r="O36" s="67">
        <v>100</v>
      </c>
      <c r="P36" s="67">
        <v>78.856013049309382</v>
      </c>
      <c r="Q36" s="66">
        <v>0</v>
      </c>
      <c r="R36" s="67">
        <v>0</v>
      </c>
    </row>
    <row r="37" spans="1:18" ht="15.75" x14ac:dyDescent="0.25">
      <c r="A37" s="11" t="s">
        <v>76</v>
      </c>
      <c r="B37" s="189" t="s">
        <v>77</v>
      </c>
      <c r="C37" s="66">
        <v>728.61819999999989</v>
      </c>
      <c r="D37" s="66">
        <v>0</v>
      </c>
      <c r="E37" s="66">
        <v>766.96653000000003</v>
      </c>
      <c r="F37" s="66">
        <v>728.61819999999989</v>
      </c>
      <c r="G37" s="66">
        <v>38.348330000000004</v>
      </c>
      <c r="H37" s="66">
        <v>726.63836816000003</v>
      </c>
      <c r="I37" s="66">
        <v>0</v>
      </c>
      <c r="J37" s="66">
        <v>764.88249497000004</v>
      </c>
      <c r="K37" s="66">
        <v>726.63836816000003</v>
      </c>
      <c r="L37" s="66">
        <v>0</v>
      </c>
      <c r="M37" s="66">
        <v>38.244126810000004</v>
      </c>
      <c r="N37" s="67">
        <v>99.728275818528843</v>
      </c>
      <c r="O37" s="67">
        <v>99.728271896064314</v>
      </c>
      <c r="P37" s="67">
        <v>5.0000002695185231</v>
      </c>
      <c r="Q37" s="66">
        <v>0</v>
      </c>
      <c r="R37" s="67">
        <v>0</v>
      </c>
    </row>
    <row r="38" spans="1:18" ht="15.75" x14ac:dyDescent="0.25">
      <c r="A38" s="11" t="s">
        <v>79</v>
      </c>
      <c r="B38" s="189" t="s">
        <v>80</v>
      </c>
      <c r="C38" s="66">
        <v>2431.1994</v>
      </c>
      <c r="D38" s="66">
        <v>0</v>
      </c>
      <c r="E38" s="66">
        <v>2830.85221</v>
      </c>
      <c r="F38" s="66">
        <v>2431.1994</v>
      </c>
      <c r="G38" s="66">
        <v>399.65280999999999</v>
      </c>
      <c r="H38" s="66">
        <v>2419.80204112</v>
      </c>
      <c r="I38" s="66">
        <v>0</v>
      </c>
      <c r="J38" s="66">
        <v>2818.6289980000001</v>
      </c>
      <c r="K38" s="66">
        <v>2419.80204112</v>
      </c>
      <c r="L38" s="66">
        <v>0</v>
      </c>
      <c r="M38" s="66">
        <v>398.82695688000001</v>
      </c>
      <c r="N38" s="67">
        <v>99.531204273906951</v>
      </c>
      <c r="O38" s="67">
        <v>99.79335735935399</v>
      </c>
      <c r="P38" s="67">
        <v>14.149679051872155</v>
      </c>
      <c r="Q38" s="66">
        <v>0</v>
      </c>
      <c r="R38" s="67">
        <v>0</v>
      </c>
    </row>
    <row r="39" spans="1:18" ht="15.75" x14ac:dyDescent="0.25">
      <c r="A39" s="11" t="s">
        <v>82</v>
      </c>
      <c r="B39" s="189" t="s">
        <v>83</v>
      </c>
      <c r="C39" s="66">
        <v>1509.3571999999999</v>
      </c>
      <c r="D39" s="66">
        <v>0</v>
      </c>
      <c r="E39" s="66">
        <v>1659.2416105300001</v>
      </c>
      <c r="F39" s="66">
        <v>1509.3571999999999</v>
      </c>
      <c r="G39" s="66">
        <v>149.88441053</v>
      </c>
      <c r="H39" s="66">
        <v>1509.3571999999999</v>
      </c>
      <c r="I39" s="66">
        <v>0</v>
      </c>
      <c r="J39" s="66">
        <v>1659.24083329</v>
      </c>
      <c r="K39" s="66">
        <v>1509.3571999999999</v>
      </c>
      <c r="L39" s="66">
        <v>0</v>
      </c>
      <c r="M39" s="66">
        <v>149.88363329000001</v>
      </c>
      <c r="N39" s="67">
        <v>100</v>
      </c>
      <c r="O39" s="67">
        <v>99.999481440399805</v>
      </c>
      <c r="P39" s="67">
        <v>9.0332657130192224</v>
      </c>
      <c r="Q39" s="66">
        <v>0</v>
      </c>
      <c r="R39" s="67">
        <v>0</v>
      </c>
    </row>
    <row r="40" spans="1:18" ht="15.75" x14ac:dyDescent="0.25">
      <c r="A40" s="11" t="s">
        <v>85</v>
      </c>
      <c r="B40" s="189" t="s">
        <v>299</v>
      </c>
      <c r="C40" s="66">
        <v>70.302599999999998</v>
      </c>
      <c r="D40" s="66">
        <v>0</v>
      </c>
      <c r="E40" s="66">
        <v>86.9131</v>
      </c>
      <c r="F40" s="66">
        <v>70.302599999999998</v>
      </c>
      <c r="G40" s="66">
        <v>16.610499999999998</v>
      </c>
      <c r="H40" s="66">
        <v>70.302599999999998</v>
      </c>
      <c r="I40" s="66">
        <v>0</v>
      </c>
      <c r="J40" s="66">
        <v>86.9131</v>
      </c>
      <c r="K40" s="66">
        <v>70.302599999999998</v>
      </c>
      <c r="L40" s="66">
        <v>0</v>
      </c>
      <c r="M40" s="66">
        <v>16.610499999999998</v>
      </c>
      <c r="N40" s="67">
        <v>100</v>
      </c>
      <c r="O40" s="67">
        <v>100</v>
      </c>
      <c r="P40" s="67">
        <v>19.111618386641368</v>
      </c>
      <c r="Q40" s="66">
        <v>0</v>
      </c>
      <c r="R40" s="67">
        <v>0</v>
      </c>
    </row>
    <row r="41" spans="1:18" ht="15.75" x14ac:dyDescent="0.25">
      <c r="A41" s="11" t="s">
        <v>87</v>
      </c>
      <c r="B41" s="189" t="s">
        <v>88</v>
      </c>
      <c r="C41" s="66">
        <v>45.634</v>
      </c>
      <c r="D41" s="66">
        <v>0</v>
      </c>
      <c r="E41" s="66">
        <v>76.841669999999993</v>
      </c>
      <c r="F41" s="66">
        <v>45.634</v>
      </c>
      <c r="G41" s="66">
        <v>31.20767</v>
      </c>
      <c r="H41" s="66">
        <v>43.44212289</v>
      </c>
      <c r="I41" s="66">
        <v>4.0868439999999999E-2</v>
      </c>
      <c r="J41" s="66">
        <v>70.328427669999996</v>
      </c>
      <c r="K41" s="66">
        <v>43.44212289</v>
      </c>
      <c r="L41" s="66">
        <v>0</v>
      </c>
      <c r="M41" s="66">
        <v>26.886304780000003</v>
      </c>
      <c r="N41" s="67">
        <v>95.196833260288386</v>
      </c>
      <c r="O41" s="67">
        <v>86.152874533728422</v>
      </c>
      <c r="P41" s="67">
        <v>38.229640091141832</v>
      </c>
      <c r="Q41" s="66">
        <v>4.0868439999999999E-2</v>
      </c>
      <c r="R41" s="67">
        <v>-2.9906632725840154E-15</v>
      </c>
    </row>
    <row r="42" spans="1:18" ht="15.75" x14ac:dyDescent="0.25">
      <c r="A42" s="11" t="s">
        <v>90</v>
      </c>
      <c r="B42" s="189" t="s">
        <v>91</v>
      </c>
      <c r="C42" s="66">
        <v>518.84649999999999</v>
      </c>
      <c r="D42" s="66">
        <v>0</v>
      </c>
      <c r="E42" s="66">
        <v>680.752027</v>
      </c>
      <c r="F42" s="66">
        <v>518.84649999999999</v>
      </c>
      <c r="G42" s="66">
        <v>161.90552700000003</v>
      </c>
      <c r="H42" s="66">
        <v>517.95086442000002</v>
      </c>
      <c r="I42" s="66">
        <v>0</v>
      </c>
      <c r="J42" s="66">
        <v>679.61361008999995</v>
      </c>
      <c r="K42" s="66">
        <v>517.95086442000002</v>
      </c>
      <c r="L42" s="66">
        <v>0</v>
      </c>
      <c r="M42" s="66">
        <v>161.66274567000002</v>
      </c>
      <c r="N42" s="67">
        <v>99.827379469650467</v>
      </c>
      <c r="O42" s="67">
        <v>99.850047534201835</v>
      </c>
      <c r="P42" s="67">
        <v>23.787449702278817</v>
      </c>
      <c r="Q42" s="66">
        <v>0</v>
      </c>
      <c r="R42" s="67">
        <v>0</v>
      </c>
    </row>
    <row r="43" spans="1:18" ht="15.75" x14ac:dyDescent="0.25">
      <c r="A43" s="68">
        <v>32</v>
      </c>
      <c r="B43" s="189" t="s">
        <v>93</v>
      </c>
      <c r="C43" s="66">
        <v>1551.5396999999998</v>
      </c>
      <c r="D43" s="66">
        <v>0</v>
      </c>
      <c r="E43" s="66">
        <v>1763.8192260000001</v>
      </c>
      <c r="F43" s="66">
        <v>1551.5396999999998</v>
      </c>
      <c r="G43" s="66">
        <v>212.279526</v>
      </c>
      <c r="H43" s="66">
        <v>1551.3416188499998</v>
      </c>
      <c r="I43" s="66">
        <v>0</v>
      </c>
      <c r="J43" s="66">
        <v>1763.5987574799999</v>
      </c>
      <c r="K43" s="66">
        <v>1551.3416188499998</v>
      </c>
      <c r="L43" s="66">
        <v>0</v>
      </c>
      <c r="M43" s="66">
        <v>212.25713863000001</v>
      </c>
      <c r="N43" s="67">
        <v>99.987233252877772</v>
      </c>
      <c r="O43" s="67">
        <v>99.989453825141865</v>
      </c>
      <c r="P43" s="67">
        <v>12.035455215067939</v>
      </c>
      <c r="Q43" s="66">
        <v>0</v>
      </c>
      <c r="R43" s="67">
        <v>0</v>
      </c>
    </row>
    <row r="44" spans="1:18" ht="15.75" x14ac:dyDescent="0.25">
      <c r="A44" s="70">
        <v>33</v>
      </c>
      <c r="B44" s="191" t="s">
        <v>95</v>
      </c>
      <c r="C44" s="61">
        <v>12585.116400000001</v>
      </c>
      <c r="D44" s="61">
        <v>0</v>
      </c>
      <c r="E44" s="61">
        <v>13770.74320562</v>
      </c>
      <c r="F44" s="61">
        <v>12585.116400000001</v>
      </c>
      <c r="G44" s="61">
        <v>1185.6268056199999</v>
      </c>
      <c r="H44" s="61">
        <v>12539.94234331</v>
      </c>
      <c r="I44" s="61">
        <v>0.15149536999999999</v>
      </c>
      <c r="J44" s="61">
        <v>13723.70825286</v>
      </c>
      <c r="K44" s="61">
        <v>12539.908700080001</v>
      </c>
      <c r="L44" s="61">
        <v>0</v>
      </c>
      <c r="M44" s="61">
        <v>1183.7995527799999</v>
      </c>
      <c r="N44" s="61">
        <v>99.640784411656298</v>
      </c>
      <c r="O44" s="61">
        <v>99.845882968288279</v>
      </c>
      <c r="P44" s="61">
        <v>8.6259451962139888</v>
      </c>
      <c r="Q44" s="61">
        <v>0.15149536999999999</v>
      </c>
      <c r="R44" s="61">
        <v>3.3643229999959307E-2</v>
      </c>
    </row>
    <row r="45" spans="1:18" ht="15.75" x14ac:dyDescent="0.25">
      <c r="A45" s="72">
        <v>34</v>
      </c>
      <c r="B45" s="192" t="s">
        <v>97</v>
      </c>
      <c r="C45" s="66">
        <v>279.23179999999996</v>
      </c>
      <c r="D45" s="66">
        <v>0</v>
      </c>
      <c r="E45" s="66">
        <v>293.92821051999999</v>
      </c>
      <c r="F45" s="66">
        <v>279.23179999999996</v>
      </c>
      <c r="G45" s="66">
        <v>14.696410519999999</v>
      </c>
      <c r="H45" s="66">
        <v>279.23179999999996</v>
      </c>
      <c r="I45" s="66">
        <v>0</v>
      </c>
      <c r="J45" s="66">
        <v>293.92821051999999</v>
      </c>
      <c r="K45" s="66">
        <v>279.23179999999996</v>
      </c>
      <c r="L45" s="66">
        <v>0</v>
      </c>
      <c r="M45" s="66">
        <v>14.696410519999999</v>
      </c>
      <c r="N45" s="67">
        <v>100</v>
      </c>
      <c r="O45" s="67">
        <v>100</v>
      </c>
      <c r="P45" s="67">
        <v>4.9999999979586853</v>
      </c>
      <c r="Q45" s="66">
        <v>0</v>
      </c>
      <c r="R45" s="67">
        <v>0</v>
      </c>
    </row>
    <row r="46" spans="1:18" ht="15.75" x14ac:dyDescent="0.25">
      <c r="A46" s="72">
        <v>35</v>
      </c>
      <c r="B46" s="192" t="s">
        <v>99</v>
      </c>
      <c r="C46" s="66">
        <v>681.56829999999991</v>
      </c>
      <c r="D46" s="66">
        <v>0</v>
      </c>
      <c r="E46" s="66">
        <v>713.28058727000007</v>
      </c>
      <c r="F46" s="66">
        <v>681.56829999999991</v>
      </c>
      <c r="G46" s="66">
        <v>31.712287270000001</v>
      </c>
      <c r="H46" s="66">
        <v>670.53329676999988</v>
      </c>
      <c r="I46" s="66">
        <v>0</v>
      </c>
      <c r="J46" s="66">
        <v>702.20334675000004</v>
      </c>
      <c r="K46" s="66">
        <v>670.53329676999988</v>
      </c>
      <c r="L46" s="66">
        <v>0</v>
      </c>
      <c r="M46" s="66">
        <v>31.670049980000002</v>
      </c>
      <c r="N46" s="67">
        <v>98.380939484714887</v>
      </c>
      <c r="O46" s="67">
        <v>99.866810963080681</v>
      </c>
      <c r="P46" s="67">
        <v>4.5100967015577673</v>
      </c>
      <c r="Q46" s="66">
        <v>0</v>
      </c>
      <c r="R46" s="67">
        <v>0</v>
      </c>
    </row>
    <row r="47" spans="1:18" s="126" customFormat="1" ht="15.75" x14ac:dyDescent="0.25">
      <c r="A47" s="136">
        <v>36</v>
      </c>
      <c r="B47" s="189" t="s">
        <v>318</v>
      </c>
      <c r="C47" s="66">
        <v>1608.1522</v>
      </c>
      <c r="D47" s="66">
        <v>0</v>
      </c>
      <c r="E47" s="66">
        <v>1706.2470759999999</v>
      </c>
      <c r="F47" s="66">
        <v>1608.1522</v>
      </c>
      <c r="G47" s="66">
        <v>98.094875999999999</v>
      </c>
      <c r="H47" s="66">
        <v>1607.9412319899998</v>
      </c>
      <c r="I47" s="66">
        <v>0</v>
      </c>
      <c r="J47" s="66">
        <v>1706.0250723699999</v>
      </c>
      <c r="K47" s="66">
        <v>1607.9412319899998</v>
      </c>
      <c r="L47" s="66">
        <v>0</v>
      </c>
      <c r="M47" s="66">
        <v>98.083840379999998</v>
      </c>
      <c r="N47" s="67">
        <v>99.986881340584546</v>
      </c>
      <c r="O47" s="67">
        <v>99.98875005459</v>
      </c>
      <c r="P47" s="67">
        <v>5.7492613659975413</v>
      </c>
      <c r="Q47" s="66">
        <v>0</v>
      </c>
      <c r="R47" s="67">
        <v>0</v>
      </c>
    </row>
    <row r="48" spans="1:18" ht="15.75" x14ac:dyDescent="0.25">
      <c r="A48" s="72">
        <v>37</v>
      </c>
      <c r="B48" s="192" t="s">
        <v>101</v>
      </c>
      <c r="C48" s="66">
        <v>4225.4146000000001</v>
      </c>
      <c r="D48" s="66">
        <v>0</v>
      </c>
      <c r="E48" s="66">
        <v>4591.5932999999995</v>
      </c>
      <c r="F48" s="66">
        <v>4225.4146000000001</v>
      </c>
      <c r="G48" s="66">
        <v>366.17869999999999</v>
      </c>
      <c r="H48" s="66">
        <v>4191.5418763899997</v>
      </c>
      <c r="I48" s="66">
        <v>0</v>
      </c>
      <c r="J48" s="66">
        <v>4555.9378035999998</v>
      </c>
      <c r="K48" s="66">
        <v>4191.5299112599996</v>
      </c>
      <c r="L48" s="66">
        <v>0</v>
      </c>
      <c r="M48" s="66">
        <v>364.40789233999999</v>
      </c>
      <c r="N48" s="67">
        <v>99.198074225899617</v>
      </c>
      <c r="O48" s="67">
        <v>99.51640888451459</v>
      </c>
      <c r="P48" s="67">
        <v>7.9985264955121442</v>
      </c>
      <c r="Q48" s="66">
        <v>0</v>
      </c>
      <c r="R48" s="67">
        <v>1.1965130000135105E-2</v>
      </c>
    </row>
    <row r="49" spans="1:18" ht="15.75" x14ac:dyDescent="0.25">
      <c r="A49" s="72">
        <v>38</v>
      </c>
      <c r="B49" s="192" t="s">
        <v>103</v>
      </c>
      <c r="C49" s="66">
        <v>436.87819999999999</v>
      </c>
      <c r="D49" s="66">
        <v>0</v>
      </c>
      <c r="E49" s="66">
        <v>484.93233682999994</v>
      </c>
      <c r="F49" s="66">
        <v>436.87819999999999</v>
      </c>
      <c r="G49" s="66">
        <v>48.054136829999997</v>
      </c>
      <c r="H49" s="66">
        <v>436.87565026000004</v>
      </c>
      <c r="I49" s="66">
        <v>0.15149536999999999</v>
      </c>
      <c r="J49" s="66">
        <v>484.92587913999995</v>
      </c>
      <c r="K49" s="66">
        <v>436.87350016000005</v>
      </c>
      <c r="L49" s="66">
        <v>0</v>
      </c>
      <c r="M49" s="66">
        <v>48.05237898</v>
      </c>
      <c r="N49" s="67">
        <v>99.998924221899841</v>
      </c>
      <c r="O49" s="67">
        <v>99.996341938247241</v>
      </c>
      <c r="P49" s="67">
        <v>9.9092213979627797</v>
      </c>
      <c r="Q49" s="66">
        <v>0.15149536999999999</v>
      </c>
      <c r="R49" s="67">
        <v>2.1501000000149484E-3</v>
      </c>
    </row>
    <row r="50" spans="1:18" ht="15.75" x14ac:dyDescent="0.25">
      <c r="A50" s="72">
        <v>39</v>
      </c>
      <c r="B50" s="192" t="s">
        <v>105</v>
      </c>
      <c r="C50" s="66">
        <v>2019.6396999999999</v>
      </c>
      <c r="D50" s="66">
        <v>0</v>
      </c>
      <c r="E50" s="66">
        <v>2178.5509950000001</v>
      </c>
      <c r="F50" s="66">
        <v>2019.6396999999999</v>
      </c>
      <c r="G50" s="66">
        <v>158.91129500000002</v>
      </c>
      <c r="H50" s="66">
        <v>2019.6396709999999</v>
      </c>
      <c r="I50" s="66">
        <v>0</v>
      </c>
      <c r="J50" s="66">
        <v>2178.5304100000003</v>
      </c>
      <c r="K50" s="66">
        <v>2019.6201430000001</v>
      </c>
      <c r="L50" s="66">
        <v>0</v>
      </c>
      <c r="M50" s="66">
        <v>158.91026700000003</v>
      </c>
      <c r="N50" s="67">
        <v>99.99903165896373</v>
      </c>
      <c r="O50" s="67">
        <v>99.999353098217469</v>
      </c>
      <c r="P50" s="67">
        <v>7.2943791039391552</v>
      </c>
      <c r="Q50" s="66">
        <v>0</v>
      </c>
      <c r="R50" s="67">
        <v>1.9527999999809253E-2</v>
      </c>
    </row>
    <row r="51" spans="1:18" ht="15.75" x14ac:dyDescent="0.25">
      <c r="A51" s="68">
        <v>40</v>
      </c>
      <c r="B51" s="192" t="s">
        <v>107</v>
      </c>
      <c r="C51" s="66">
        <v>3192.8978000000002</v>
      </c>
      <c r="D51" s="66">
        <v>0</v>
      </c>
      <c r="E51" s="66">
        <v>3641.1698999999994</v>
      </c>
      <c r="F51" s="66">
        <v>3192.8978000000002</v>
      </c>
      <c r="G51" s="66">
        <v>448.27210000000002</v>
      </c>
      <c r="H51" s="66">
        <v>3192.8929472100003</v>
      </c>
      <c r="I51" s="66">
        <v>0</v>
      </c>
      <c r="J51" s="66">
        <v>3641.1647830000002</v>
      </c>
      <c r="K51" s="66">
        <v>3192.8929472100003</v>
      </c>
      <c r="L51" s="66">
        <v>0</v>
      </c>
      <c r="M51" s="66">
        <v>448.27183578999995</v>
      </c>
      <c r="N51" s="67">
        <v>99.999848012986831</v>
      </c>
      <c r="O51" s="67">
        <v>99.999941060351489</v>
      </c>
      <c r="P51" s="67">
        <v>12.311220790745518</v>
      </c>
      <c r="Q51" s="66">
        <v>0</v>
      </c>
      <c r="R51" s="67">
        <v>0</v>
      </c>
    </row>
    <row r="52" spans="1:18" s="126" customFormat="1" ht="15.75" x14ac:dyDescent="0.25">
      <c r="A52" s="136">
        <v>41</v>
      </c>
      <c r="B52" s="189" t="s">
        <v>319</v>
      </c>
      <c r="C52" s="66">
        <v>141.3338</v>
      </c>
      <c r="D52" s="66">
        <v>0</v>
      </c>
      <c r="E52" s="66">
        <v>161.04079999999999</v>
      </c>
      <c r="F52" s="66">
        <v>141.3338</v>
      </c>
      <c r="G52" s="66">
        <v>19.707000000000001</v>
      </c>
      <c r="H52" s="66">
        <v>141.28586969</v>
      </c>
      <c r="I52" s="66">
        <v>0</v>
      </c>
      <c r="J52" s="66">
        <v>160.99274747999999</v>
      </c>
      <c r="K52" s="66">
        <v>141.28586969</v>
      </c>
      <c r="L52" s="66">
        <v>0</v>
      </c>
      <c r="M52" s="66">
        <v>19.70687779</v>
      </c>
      <c r="N52" s="67">
        <v>99.96608715678768</v>
      </c>
      <c r="O52" s="67">
        <v>99.999379865022576</v>
      </c>
      <c r="P52" s="67">
        <v>12.240848173889429</v>
      </c>
      <c r="Q52" s="66">
        <v>0</v>
      </c>
      <c r="R52" s="67">
        <v>0</v>
      </c>
    </row>
    <row r="53" spans="1:18" ht="31.5" x14ac:dyDescent="0.25">
      <c r="A53" s="70">
        <v>42</v>
      </c>
      <c r="B53" s="193" t="s">
        <v>109</v>
      </c>
      <c r="C53" s="61">
        <v>13170.882299999999</v>
      </c>
      <c r="D53" s="61">
        <v>0</v>
      </c>
      <c r="E53" s="61">
        <v>14598.580217680001</v>
      </c>
      <c r="F53" s="61">
        <v>13158.3094</v>
      </c>
      <c r="G53" s="61">
        <v>1440.2708176799999</v>
      </c>
      <c r="H53" s="61">
        <v>13060.45189043</v>
      </c>
      <c r="I53" s="61">
        <v>0</v>
      </c>
      <c r="J53" s="61">
        <v>14453.224760030002</v>
      </c>
      <c r="K53" s="61">
        <v>13045.663311979999</v>
      </c>
      <c r="L53" s="61">
        <v>0</v>
      </c>
      <c r="M53" s="61">
        <v>1407.5614480499999</v>
      </c>
      <c r="N53" s="61">
        <v>99.143916709999218</v>
      </c>
      <c r="O53" s="61">
        <v>97.728943110665213</v>
      </c>
      <c r="P53" s="61">
        <v>9.7387363126225832</v>
      </c>
      <c r="Q53" s="61">
        <v>0</v>
      </c>
      <c r="R53" s="61">
        <v>14.788578449999875</v>
      </c>
    </row>
    <row r="54" spans="1:18" ht="15.75" x14ac:dyDescent="0.25">
      <c r="A54" s="72">
        <v>43</v>
      </c>
      <c r="B54" s="192" t="s">
        <v>111</v>
      </c>
      <c r="C54" s="66">
        <v>1656.9475</v>
      </c>
      <c r="D54" s="66">
        <v>0</v>
      </c>
      <c r="E54" s="66">
        <v>1748.3827505700001</v>
      </c>
      <c r="F54" s="66">
        <v>1656.9475</v>
      </c>
      <c r="G54" s="66">
        <v>91.435250569999994</v>
      </c>
      <c r="H54" s="66">
        <v>1656.9474868499999</v>
      </c>
      <c r="I54" s="66">
        <v>0</v>
      </c>
      <c r="J54" s="66">
        <v>1748.3827374100001</v>
      </c>
      <c r="K54" s="66">
        <v>1656.9474868499999</v>
      </c>
      <c r="L54" s="66">
        <v>0</v>
      </c>
      <c r="M54" s="66">
        <v>91.43525056</v>
      </c>
      <c r="N54" s="67">
        <v>99.999999206371953</v>
      </c>
      <c r="O54" s="67">
        <v>99.999999989063298</v>
      </c>
      <c r="P54" s="67">
        <v>5.2297044922468938</v>
      </c>
      <c r="Q54" s="66">
        <v>0</v>
      </c>
      <c r="R54" s="67">
        <v>0</v>
      </c>
    </row>
    <row r="55" spans="1:18" ht="15.75" x14ac:dyDescent="0.25">
      <c r="A55" s="72">
        <v>44</v>
      </c>
      <c r="B55" s="192" t="s">
        <v>113</v>
      </c>
      <c r="C55" s="66">
        <v>211.69490000000002</v>
      </c>
      <c r="D55" s="66">
        <v>0</v>
      </c>
      <c r="E55" s="66">
        <v>222.83707895000003</v>
      </c>
      <c r="F55" s="66">
        <v>211.69490000000002</v>
      </c>
      <c r="G55" s="66">
        <v>11.142178950000002</v>
      </c>
      <c r="H55" s="66">
        <v>211.69490000000002</v>
      </c>
      <c r="I55" s="66">
        <v>0</v>
      </c>
      <c r="J55" s="66">
        <v>222.83707895000003</v>
      </c>
      <c r="K55" s="66">
        <v>211.69490000000002</v>
      </c>
      <c r="L55" s="66">
        <v>0</v>
      </c>
      <c r="M55" s="66">
        <v>11.142178950000002</v>
      </c>
      <c r="N55" s="67">
        <v>100</v>
      </c>
      <c r="O55" s="67">
        <v>100</v>
      </c>
      <c r="P55" s="67">
        <v>5.0001458475858378</v>
      </c>
      <c r="Q55" s="66">
        <v>0</v>
      </c>
      <c r="R55" s="67">
        <v>0</v>
      </c>
    </row>
    <row r="56" spans="1:18" ht="31.5" x14ac:dyDescent="0.25">
      <c r="A56" s="72">
        <v>45</v>
      </c>
      <c r="B56" s="192" t="s">
        <v>115</v>
      </c>
      <c r="C56" s="66">
        <v>1503.6503999999998</v>
      </c>
      <c r="D56" s="66">
        <v>0</v>
      </c>
      <c r="E56" s="66">
        <v>1626.5463</v>
      </c>
      <c r="F56" s="66">
        <v>1503.6503999999998</v>
      </c>
      <c r="G56" s="66">
        <v>122.8959</v>
      </c>
      <c r="H56" s="66">
        <v>1475.8663731899999</v>
      </c>
      <c r="I56" s="66">
        <v>0</v>
      </c>
      <c r="J56" s="66">
        <v>1579.5813592599998</v>
      </c>
      <c r="K56" s="66">
        <v>1468.7778731899998</v>
      </c>
      <c r="L56" s="66">
        <v>0</v>
      </c>
      <c r="M56" s="66">
        <v>110.80348606999999</v>
      </c>
      <c r="N56" s="67">
        <v>97.680808862884618</v>
      </c>
      <c r="O56" s="67">
        <v>90.160441536292097</v>
      </c>
      <c r="P56" s="67">
        <v>7.014737507532316</v>
      </c>
      <c r="Q56" s="66">
        <v>0</v>
      </c>
      <c r="R56" s="67">
        <v>7.0885000000000673</v>
      </c>
    </row>
    <row r="57" spans="1:18" ht="31.5" x14ac:dyDescent="0.25">
      <c r="A57" s="72">
        <v>46</v>
      </c>
      <c r="B57" s="192" t="s">
        <v>117</v>
      </c>
      <c r="C57" s="66">
        <v>800.52009999999996</v>
      </c>
      <c r="D57" s="66">
        <v>0</v>
      </c>
      <c r="E57" s="66">
        <v>842.6538737599999</v>
      </c>
      <c r="F57" s="66">
        <v>800.52009999999996</v>
      </c>
      <c r="G57" s="66">
        <v>42.133773760000004</v>
      </c>
      <c r="H57" s="66">
        <v>800.52009999999996</v>
      </c>
      <c r="I57" s="66">
        <v>0</v>
      </c>
      <c r="J57" s="66">
        <v>842.65383691999989</v>
      </c>
      <c r="K57" s="66">
        <v>800.52009999999996</v>
      </c>
      <c r="L57" s="66">
        <v>0</v>
      </c>
      <c r="M57" s="66">
        <v>42.133736920000004</v>
      </c>
      <c r="N57" s="67">
        <v>100</v>
      </c>
      <c r="O57" s="67">
        <v>99.999912564205118</v>
      </c>
      <c r="P57" s="67">
        <v>5.0001240217458482</v>
      </c>
      <c r="Q57" s="66">
        <v>0</v>
      </c>
      <c r="R57" s="67">
        <v>0</v>
      </c>
    </row>
    <row r="58" spans="1:18" ht="31.5" x14ac:dyDescent="0.25">
      <c r="A58" s="72">
        <v>47</v>
      </c>
      <c r="B58" s="192" t="s">
        <v>119</v>
      </c>
      <c r="C58" s="66">
        <v>260.12459999999999</v>
      </c>
      <c r="D58" s="66">
        <v>0</v>
      </c>
      <c r="E58" s="66">
        <v>273.01722000000001</v>
      </c>
      <c r="F58" s="66">
        <v>247.55169999999998</v>
      </c>
      <c r="G58" s="66">
        <v>25.465519999999998</v>
      </c>
      <c r="H58" s="66">
        <v>246.38575836999999</v>
      </c>
      <c r="I58" s="66">
        <v>0</v>
      </c>
      <c r="J58" s="66">
        <v>270.24597455999998</v>
      </c>
      <c r="K58" s="66">
        <v>245.72113314999999</v>
      </c>
      <c r="L58" s="66">
        <v>0</v>
      </c>
      <c r="M58" s="66">
        <v>24.524841410000001</v>
      </c>
      <c r="N58" s="67">
        <v>99.260531497056974</v>
      </c>
      <c r="O58" s="67">
        <v>96.306069579572707</v>
      </c>
      <c r="P58" s="67">
        <v>9.0750071115508888</v>
      </c>
      <c r="Q58" s="66">
        <v>0</v>
      </c>
      <c r="R58" s="67">
        <v>0.6646252200000049</v>
      </c>
    </row>
    <row r="59" spans="1:18" ht="15.75" x14ac:dyDescent="0.25">
      <c r="A59" s="11">
        <v>48</v>
      </c>
      <c r="B59" s="192" t="s">
        <v>122</v>
      </c>
      <c r="C59" s="66">
        <v>3509.4339999999997</v>
      </c>
      <c r="D59" s="66">
        <v>0</v>
      </c>
      <c r="E59" s="66">
        <v>3694.1411600000001</v>
      </c>
      <c r="F59" s="66">
        <v>3509.4339999999997</v>
      </c>
      <c r="G59" s="66">
        <v>184.70715999999999</v>
      </c>
      <c r="H59" s="66">
        <v>3509.4339999999997</v>
      </c>
      <c r="I59" s="66">
        <v>0</v>
      </c>
      <c r="J59" s="66">
        <v>3694.1410526500003</v>
      </c>
      <c r="K59" s="66">
        <v>3509.4339999999997</v>
      </c>
      <c r="L59" s="66">
        <v>0</v>
      </c>
      <c r="M59" s="66">
        <v>184.70705265000001</v>
      </c>
      <c r="N59" s="67">
        <v>100</v>
      </c>
      <c r="O59" s="67">
        <v>99.999941880975285</v>
      </c>
      <c r="P59" s="67">
        <v>5.0000000004737224</v>
      </c>
      <c r="Q59" s="66">
        <v>0</v>
      </c>
      <c r="R59" s="67">
        <v>0</v>
      </c>
    </row>
    <row r="60" spans="1:18" ht="15.75" x14ac:dyDescent="0.25">
      <c r="A60" s="74">
        <v>49</v>
      </c>
      <c r="B60" s="192" t="s">
        <v>125</v>
      </c>
      <c r="C60" s="66">
        <v>5228.5108</v>
      </c>
      <c r="D60" s="66">
        <v>0</v>
      </c>
      <c r="E60" s="66">
        <v>6191.0018344</v>
      </c>
      <c r="F60" s="66">
        <v>5228.5108</v>
      </c>
      <c r="G60" s="66">
        <v>962.49103439999988</v>
      </c>
      <c r="H60" s="66">
        <v>5159.6032720200001</v>
      </c>
      <c r="I60" s="66">
        <v>0</v>
      </c>
      <c r="J60" s="66">
        <v>6095.3827202800003</v>
      </c>
      <c r="K60" s="66">
        <v>5152.5678187900003</v>
      </c>
      <c r="L60" s="66">
        <v>0</v>
      </c>
      <c r="M60" s="66">
        <v>942.8149014899999</v>
      </c>
      <c r="N60" s="67">
        <v>98.547521768339848</v>
      </c>
      <c r="O60" s="67">
        <v>97.955707408509454</v>
      </c>
      <c r="P60" s="67">
        <v>15.467689967246065</v>
      </c>
      <c r="Q60" s="66">
        <v>0</v>
      </c>
      <c r="R60" s="67">
        <v>7.0354532299998027</v>
      </c>
    </row>
    <row r="61" spans="1:18" ht="15.75" x14ac:dyDescent="0.25">
      <c r="A61" s="57">
        <v>50</v>
      </c>
      <c r="B61" s="190" t="s">
        <v>128</v>
      </c>
      <c r="C61" s="61">
        <v>26685.887499999997</v>
      </c>
      <c r="D61" s="61">
        <v>0</v>
      </c>
      <c r="E61" s="61">
        <v>30763.887838609997</v>
      </c>
      <c r="F61" s="61">
        <v>26685.887499999997</v>
      </c>
      <c r="G61" s="61">
        <v>4078.0003386100002</v>
      </c>
      <c r="H61" s="61">
        <v>26562.181791700001</v>
      </c>
      <c r="I61" s="61">
        <v>315.94218508</v>
      </c>
      <c r="J61" s="61">
        <v>30582.081357369996</v>
      </c>
      <c r="K61" s="61">
        <v>26520.548108009996</v>
      </c>
      <c r="L61" s="61">
        <v>0</v>
      </c>
      <c r="M61" s="61">
        <v>4061.5332493599999</v>
      </c>
      <c r="N61" s="61">
        <v>99.380423858902944</v>
      </c>
      <c r="O61" s="61">
        <v>99.596196962170609</v>
      </c>
      <c r="P61" s="61">
        <v>13.280761377548323</v>
      </c>
      <c r="Q61" s="61">
        <v>315.94218508</v>
      </c>
      <c r="R61" s="61">
        <v>41.633683689999714</v>
      </c>
    </row>
    <row r="62" spans="1:18" ht="15.75" x14ac:dyDescent="0.25">
      <c r="A62" s="11">
        <v>51</v>
      </c>
      <c r="B62" s="189" t="s">
        <v>131</v>
      </c>
      <c r="C62" s="66">
        <v>3055.8908000000001</v>
      </c>
      <c r="D62" s="66">
        <v>0</v>
      </c>
      <c r="E62" s="66">
        <v>3482.1699788799997</v>
      </c>
      <c r="F62" s="66">
        <v>3055.8908000000001</v>
      </c>
      <c r="G62" s="66">
        <v>426.27917888000002</v>
      </c>
      <c r="H62" s="66">
        <v>3055.8907735500002</v>
      </c>
      <c r="I62" s="66">
        <v>0</v>
      </c>
      <c r="J62" s="66">
        <v>3482.16994488</v>
      </c>
      <c r="K62" s="66">
        <v>3055.8907735500002</v>
      </c>
      <c r="L62" s="66">
        <v>0</v>
      </c>
      <c r="M62" s="66">
        <v>426.27917133</v>
      </c>
      <c r="N62" s="67">
        <v>99.999999134458605</v>
      </c>
      <c r="O62" s="67">
        <v>99.99999822886025</v>
      </c>
      <c r="P62" s="67">
        <v>12.241768152550351</v>
      </c>
      <c r="Q62" s="66">
        <v>0</v>
      </c>
      <c r="R62" s="67">
        <v>0</v>
      </c>
    </row>
    <row r="63" spans="1:18" ht="15.75" x14ac:dyDescent="0.25">
      <c r="A63" s="11">
        <v>52</v>
      </c>
      <c r="B63" s="189" t="s">
        <v>134</v>
      </c>
      <c r="C63" s="66">
        <v>1495.5182000000002</v>
      </c>
      <c r="D63" s="66">
        <v>0</v>
      </c>
      <c r="E63" s="66">
        <v>1574.2296841699999</v>
      </c>
      <c r="F63" s="66">
        <v>1495.5182000000002</v>
      </c>
      <c r="G63" s="66">
        <v>78.711484170000006</v>
      </c>
      <c r="H63" s="66">
        <v>1495.5182000000002</v>
      </c>
      <c r="I63" s="66">
        <v>314.94144208</v>
      </c>
      <c r="J63" s="66">
        <v>1531.1075429000002</v>
      </c>
      <c r="K63" s="66">
        <v>1454.5521658000002</v>
      </c>
      <c r="L63" s="66">
        <v>0</v>
      </c>
      <c r="M63" s="66">
        <v>76.555377100000001</v>
      </c>
      <c r="N63" s="67">
        <v>97.260746529196368</v>
      </c>
      <c r="O63" s="67">
        <v>97.26074651909336</v>
      </c>
      <c r="P63" s="67">
        <v>4.999999997060951</v>
      </c>
      <c r="Q63" s="66">
        <v>314.94144208</v>
      </c>
      <c r="R63" s="67">
        <v>40.966034200000081</v>
      </c>
    </row>
    <row r="64" spans="1:18" ht="15.75" x14ac:dyDescent="0.25">
      <c r="A64" s="11">
        <v>53</v>
      </c>
      <c r="B64" s="189" t="s">
        <v>137</v>
      </c>
      <c r="C64" s="66">
        <v>1616.7058</v>
      </c>
      <c r="D64" s="66">
        <v>0</v>
      </c>
      <c r="E64" s="66">
        <v>1745.5472569999999</v>
      </c>
      <c r="F64" s="66">
        <v>1616.7058</v>
      </c>
      <c r="G64" s="66">
        <v>128.84145700000002</v>
      </c>
      <c r="H64" s="66">
        <v>1616.7058</v>
      </c>
      <c r="I64" s="66">
        <v>0</v>
      </c>
      <c r="J64" s="66">
        <v>1745.5472569999999</v>
      </c>
      <c r="K64" s="66">
        <v>1616.7058</v>
      </c>
      <c r="L64" s="66">
        <v>0</v>
      </c>
      <c r="M64" s="66">
        <v>128.84145700000002</v>
      </c>
      <c r="N64" s="67">
        <v>100</v>
      </c>
      <c r="O64" s="67">
        <v>100</v>
      </c>
      <c r="P64" s="67">
        <v>7.3811497502184231</v>
      </c>
      <c r="Q64" s="66">
        <v>0</v>
      </c>
      <c r="R64" s="67">
        <v>0</v>
      </c>
    </row>
    <row r="65" spans="1:18" ht="15.75" x14ac:dyDescent="0.25">
      <c r="A65" s="11">
        <v>54</v>
      </c>
      <c r="B65" s="189" t="s">
        <v>140</v>
      </c>
      <c r="C65" s="66">
        <v>7202.5335999999998</v>
      </c>
      <c r="D65" s="66">
        <v>0</v>
      </c>
      <c r="E65" s="66">
        <v>8024.6041523099993</v>
      </c>
      <c r="F65" s="66">
        <v>7202.5335999999998</v>
      </c>
      <c r="G65" s="66">
        <v>822.07055231000004</v>
      </c>
      <c r="H65" s="66">
        <v>7188.00570152</v>
      </c>
      <c r="I65" s="66">
        <v>0</v>
      </c>
      <c r="J65" s="66">
        <v>8009.3116263099992</v>
      </c>
      <c r="K65" s="66">
        <v>7188.00570152</v>
      </c>
      <c r="L65" s="66">
        <v>0</v>
      </c>
      <c r="M65" s="66">
        <v>821.30592478999995</v>
      </c>
      <c r="N65" s="67">
        <v>99.79829461010776</v>
      </c>
      <c r="O65" s="67">
        <v>99.906987603697573</v>
      </c>
      <c r="P65" s="67">
        <v>10.254388430736924</v>
      </c>
      <c r="Q65" s="66">
        <v>0</v>
      </c>
      <c r="R65" s="67">
        <v>0</v>
      </c>
    </row>
    <row r="66" spans="1:18" ht="15.75" x14ac:dyDescent="0.25">
      <c r="A66" s="11">
        <v>55</v>
      </c>
      <c r="B66" s="189" t="s">
        <v>143</v>
      </c>
      <c r="C66" s="66">
        <v>1065.7203999999999</v>
      </c>
      <c r="D66" s="66">
        <v>0</v>
      </c>
      <c r="E66" s="66">
        <v>1133.8054749999999</v>
      </c>
      <c r="F66" s="66">
        <v>1065.7203999999999</v>
      </c>
      <c r="G66" s="66">
        <v>68.085074999999989</v>
      </c>
      <c r="H66" s="66">
        <v>1055.2478557099998</v>
      </c>
      <c r="I66" s="66">
        <v>0.58059300000000003</v>
      </c>
      <c r="J66" s="66">
        <v>1121.41285659</v>
      </c>
      <c r="K66" s="66">
        <v>1055.2393944399998</v>
      </c>
      <c r="L66" s="66">
        <v>0</v>
      </c>
      <c r="M66" s="66">
        <v>66.173462150000006</v>
      </c>
      <c r="N66" s="67">
        <v>99.016533270827878</v>
      </c>
      <c r="O66" s="67">
        <v>97.1923173323963</v>
      </c>
      <c r="P66" s="67">
        <v>5.9009009715851422</v>
      </c>
      <c r="Q66" s="66">
        <v>0.58059300000000003</v>
      </c>
      <c r="R66" s="67">
        <v>8.4612699999059293E-3</v>
      </c>
    </row>
    <row r="67" spans="1:18" ht="15.75" x14ac:dyDescent="0.25">
      <c r="A67" s="11">
        <v>56</v>
      </c>
      <c r="B67" s="189" t="s">
        <v>146</v>
      </c>
      <c r="C67" s="66">
        <v>1563.0457999999999</v>
      </c>
      <c r="D67" s="66">
        <v>0</v>
      </c>
      <c r="E67" s="66">
        <v>1645.31143686</v>
      </c>
      <c r="F67" s="66">
        <v>1563.0457999999999</v>
      </c>
      <c r="G67" s="66">
        <v>82.265636859999987</v>
      </c>
      <c r="H67" s="66">
        <v>1559.3464140100002</v>
      </c>
      <c r="I67" s="66">
        <v>0.14641999999999999</v>
      </c>
      <c r="J67" s="66">
        <v>1641.4172777599999</v>
      </c>
      <c r="K67" s="66">
        <v>1559.3464140100002</v>
      </c>
      <c r="L67" s="66">
        <v>0</v>
      </c>
      <c r="M67" s="66">
        <v>82.070863750000001</v>
      </c>
      <c r="N67" s="67">
        <v>99.763321971115644</v>
      </c>
      <c r="O67" s="67">
        <v>99.76323879880556</v>
      </c>
      <c r="P67" s="67">
        <v>4.9999999915926319</v>
      </c>
      <c r="Q67" s="66">
        <v>0.14641999999999999</v>
      </c>
      <c r="R67" s="67">
        <v>3.4638958368304884E-14</v>
      </c>
    </row>
    <row r="68" spans="1:18" ht="15.75" x14ac:dyDescent="0.25">
      <c r="A68" s="11">
        <v>57</v>
      </c>
      <c r="B68" s="189" t="s">
        <v>149</v>
      </c>
      <c r="C68" s="66">
        <v>1075.5869</v>
      </c>
      <c r="D68" s="66">
        <v>0</v>
      </c>
      <c r="E68" s="66">
        <v>1710.2476685800002</v>
      </c>
      <c r="F68" s="66">
        <v>1075.5869</v>
      </c>
      <c r="G68" s="66">
        <v>634.66076857999997</v>
      </c>
      <c r="H68" s="66">
        <v>1000.40509615</v>
      </c>
      <c r="I68" s="66">
        <v>0</v>
      </c>
      <c r="J68" s="66">
        <v>1630.0502922600001</v>
      </c>
      <c r="K68" s="66">
        <v>999.75576995000006</v>
      </c>
      <c r="L68" s="66">
        <v>0</v>
      </c>
      <c r="M68" s="66">
        <v>630.29452231000005</v>
      </c>
      <c r="N68" s="67">
        <v>92.949790477180414</v>
      </c>
      <c r="O68" s="67">
        <v>99.312034635484238</v>
      </c>
      <c r="P68" s="67">
        <v>38.667182558896492</v>
      </c>
      <c r="Q68" s="66">
        <v>0</v>
      </c>
      <c r="R68" s="67">
        <v>0.64932619999990493</v>
      </c>
    </row>
    <row r="69" spans="1:18" ht="15.75" x14ac:dyDescent="0.25">
      <c r="A69" s="11">
        <v>58</v>
      </c>
      <c r="B69" s="189" t="s">
        <v>152</v>
      </c>
      <c r="C69" s="66">
        <v>1595.1874</v>
      </c>
      <c r="D69" s="66">
        <v>0</v>
      </c>
      <c r="E69" s="66">
        <v>1717.45803217</v>
      </c>
      <c r="F69" s="66">
        <v>1595.1874</v>
      </c>
      <c r="G69" s="66">
        <v>122.27063217</v>
      </c>
      <c r="H69" s="66">
        <v>1595.1843077799999</v>
      </c>
      <c r="I69" s="66">
        <v>0</v>
      </c>
      <c r="J69" s="66">
        <v>1717.4547748800001</v>
      </c>
      <c r="K69" s="66">
        <v>1595.1843055700001</v>
      </c>
      <c r="L69" s="66">
        <v>0</v>
      </c>
      <c r="M69" s="66">
        <v>122.27046931</v>
      </c>
      <c r="N69" s="67">
        <v>99.999806014641294</v>
      </c>
      <c r="O69" s="67">
        <v>99.999866803665682</v>
      </c>
      <c r="P69" s="67">
        <v>7.1192832031657511</v>
      </c>
      <c r="Q69" s="66">
        <v>0</v>
      </c>
      <c r="R69" s="67">
        <v>2.2099998204794247E-6</v>
      </c>
    </row>
    <row r="70" spans="1:18" ht="15.75" x14ac:dyDescent="0.25">
      <c r="A70" s="11">
        <v>59</v>
      </c>
      <c r="B70" s="189" t="s">
        <v>155</v>
      </c>
      <c r="C70" s="66">
        <v>1387.7357999999999</v>
      </c>
      <c r="D70" s="66">
        <v>0</v>
      </c>
      <c r="E70" s="66">
        <v>1985.0060009999997</v>
      </c>
      <c r="F70" s="66">
        <v>1387.7357999999999</v>
      </c>
      <c r="G70" s="66">
        <v>597.27020100000004</v>
      </c>
      <c r="H70" s="66">
        <v>1387.7357920499999</v>
      </c>
      <c r="I70" s="66">
        <v>0.27372999999999997</v>
      </c>
      <c r="J70" s="66">
        <v>1985.0059919999999</v>
      </c>
      <c r="K70" s="66">
        <v>1387.7357920499999</v>
      </c>
      <c r="L70" s="66">
        <v>0</v>
      </c>
      <c r="M70" s="66">
        <v>597.27019995000001</v>
      </c>
      <c r="N70" s="67">
        <v>99.999999427124379</v>
      </c>
      <c r="O70" s="67">
        <v>99.99999982420016</v>
      </c>
      <c r="P70" s="67">
        <v>30.089088010672366</v>
      </c>
      <c r="Q70" s="66">
        <v>0.27372999999999997</v>
      </c>
      <c r="R70" s="67">
        <v>-1.1318723736053471E-13</v>
      </c>
    </row>
    <row r="71" spans="1:18" ht="15.75" x14ac:dyDescent="0.25">
      <c r="A71" s="11">
        <v>60</v>
      </c>
      <c r="B71" s="189" t="s">
        <v>158</v>
      </c>
      <c r="C71" s="66">
        <v>1754.8215</v>
      </c>
      <c r="D71" s="66">
        <v>0</v>
      </c>
      <c r="E71" s="66">
        <v>2241.6761000000001</v>
      </c>
      <c r="F71" s="66">
        <v>1754.8215</v>
      </c>
      <c r="G71" s="66">
        <v>486.8546</v>
      </c>
      <c r="H71" s="66">
        <v>1754.15751987</v>
      </c>
      <c r="I71" s="66">
        <v>0</v>
      </c>
      <c r="J71" s="66">
        <v>2240.7215477900004</v>
      </c>
      <c r="K71" s="66">
        <v>1754.15751987</v>
      </c>
      <c r="L71" s="66">
        <v>0</v>
      </c>
      <c r="M71" s="66">
        <v>486.56402791999994</v>
      </c>
      <c r="N71" s="67">
        <v>99.962162525932115</v>
      </c>
      <c r="O71" s="67">
        <v>99.94031645587819</v>
      </c>
      <c r="P71" s="67">
        <v>21.714613687715588</v>
      </c>
      <c r="Q71" s="66">
        <v>0</v>
      </c>
      <c r="R71" s="67">
        <v>0</v>
      </c>
    </row>
    <row r="72" spans="1:18" ht="15.75" x14ac:dyDescent="0.25">
      <c r="A72" s="11">
        <v>61</v>
      </c>
      <c r="B72" s="189" t="s">
        <v>161</v>
      </c>
      <c r="C72" s="66">
        <v>1774.6353000000001</v>
      </c>
      <c r="D72" s="66">
        <v>0</v>
      </c>
      <c r="E72" s="66">
        <v>1868.0371657899998</v>
      </c>
      <c r="F72" s="66">
        <v>1774.6353000000001</v>
      </c>
      <c r="G72" s="66">
        <v>93.401865789999988</v>
      </c>
      <c r="H72" s="66">
        <v>1774.63212</v>
      </c>
      <c r="I72" s="66">
        <v>0</v>
      </c>
      <c r="J72" s="66">
        <v>1868.0338108099997</v>
      </c>
      <c r="K72" s="66">
        <v>1774.63212</v>
      </c>
      <c r="L72" s="66">
        <v>0</v>
      </c>
      <c r="M72" s="66">
        <v>93.401690810000005</v>
      </c>
      <c r="N72" s="67">
        <v>99.999820808252821</v>
      </c>
      <c r="O72" s="67">
        <v>99.99981265898866</v>
      </c>
      <c r="P72" s="67">
        <v>5.0000000144269352</v>
      </c>
      <c r="Q72" s="66">
        <v>0</v>
      </c>
      <c r="R72" s="67">
        <v>0</v>
      </c>
    </row>
    <row r="73" spans="1:18" ht="15.75" x14ac:dyDescent="0.25">
      <c r="A73" s="11">
        <v>62</v>
      </c>
      <c r="B73" s="189" t="s">
        <v>164</v>
      </c>
      <c r="C73" s="66">
        <v>1019.1976999999999</v>
      </c>
      <c r="D73" s="66">
        <v>0</v>
      </c>
      <c r="E73" s="66">
        <v>1334.0275020099998</v>
      </c>
      <c r="F73" s="66">
        <v>1019.1976999999999</v>
      </c>
      <c r="G73" s="66">
        <v>314.82980200999998</v>
      </c>
      <c r="H73" s="66">
        <v>1019.18882001</v>
      </c>
      <c r="I73" s="66">
        <v>0</v>
      </c>
      <c r="J73" s="66">
        <v>1333.9999055800001</v>
      </c>
      <c r="K73" s="66">
        <v>1019.1789601999999</v>
      </c>
      <c r="L73" s="66">
        <v>0</v>
      </c>
      <c r="M73" s="66">
        <v>314.82094538000001</v>
      </c>
      <c r="N73" s="67">
        <v>99.998161318456653</v>
      </c>
      <c r="O73" s="67">
        <v>99.99718685145325</v>
      </c>
      <c r="P73" s="67">
        <v>23.599772688373715</v>
      </c>
      <c r="Q73" s="66">
        <v>0</v>
      </c>
      <c r="R73" s="67">
        <v>9.8598100000799604E-3</v>
      </c>
    </row>
    <row r="74" spans="1:18" ht="15.75" x14ac:dyDescent="0.25">
      <c r="A74" s="11">
        <v>63</v>
      </c>
      <c r="B74" s="189" t="s">
        <v>167</v>
      </c>
      <c r="C74" s="66">
        <v>1548.4069999999999</v>
      </c>
      <c r="D74" s="66">
        <v>0</v>
      </c>
      <c r="E74" s="66">
        <v>1628.36608484</v>
      </c>
      <c r="F74" s="66">
        <v>1548.4069999999999</v>
      </c>
      <c r="G74" s="66">
        <v>79.959084840000003</v>
      </c>
      <c r="H74" s="66">
        <v>1548.4051103199999</v>
      </c>
      <c r="I74" s="66">
        <v>0</v>
      </c>
      <c r="J74" s="66">
        <v>1628.36414158</v>
      </c>
      <c r="K74" s="66">
        <v>1548.4051103199999</v>
      </c>
      <c r="L74" s="66">
        <v>0</v>
      </c>
      <c r="M74" s="66">
        <v>79.959031260000003</v>
      </c>
      <c r="N74" s="67">
        <v>99.9998779597354</v>
      </c>
      <c r="O74" s="67">
        <v>99.999932990728809</v>
      </c>
      <c r="P74" s="67">
        <v>4.9103900791143582</v>
      </c>
      <c r="Q74" s="66">
        <v>0</v>
      </c>
      <c r="R74" s="67">
        <v>0</v>
      </c>
    </row>
    <row r="75" spans="1:18" ht="15.75" x14ac:dyDescent="0.25">
      <c r="A75" s="74">
        <v>64</v>
      </c>
      <c r="B75" s="189" t="s">
        <v>170</v>
      </c>
      <c r="C75" s="66">
        <v>530.90129999999999</v>
      </c>
      <c r="D75" s="66">
        <v>0</v>
      </c>
      <c r="E75" s="66">
        <v>673.40129999999999</v>
      </c>
      <c r="F75" s="66">
        <v>530.90129999999999</v>
      </c>
      <c r="G75" s="66">
        <v>142.5</v>
      </c>
      <c r="H75" s="66">
        <v>511.75828073000002</v>
      </c>
      <c r="I75" s="66">
        <v>0</v>
      </c>
      <c r="J75" s="66">
        <v>647.48438703000011</v>
      </c>
      <c r="K75" s="66">
        <v>511.75828073000002</v>
      </c>
      <c r="L75" s="66">
        <v>0</v>
      </c>
      <c r="M75" s="66">
        <v>135.72610630000003</v>
      </c>
      <c r="N75" s="67">
        <v>96.394241402309618</v>
      </c>
      <c r="O75" s="67">
        <v>95.246390385964929</v>
      </c>
      <c r="P75" s="67">
        <v>20.962066270442964</v>
      </c>
      <c r="Q75" s="66">
        <v>0</v>
      </c>
      <c r="R75" s="67">
        <v>0</v>
      </c>
    </row>
    <row r="76" spans="1:18" ht="15.75" x14ac:dyDescent="0.25">
      <c r="A76" s="57">
        <v>65</v>
      </c>
      <c r="B76" s="190" t="s">
        <v>173</v>
      </c>
      <c r="C76" s="61">
        <v>5527.5646000000006</v>
      </c>
      <c r="D76" s="61">
        <v>0</v>
      </c>
      <c r="E76" s="61">
        <v>9448.9519129</v>
      </c>
      <c r="F76" s="61">
        <v>5525.8335999999999</v>
      </c>
      <c r="G76" s="61">
        <v>3923.1183129000001</v>
      </c>
      <c r="H76" s="61">
        <v>5428.1783710399995</v>
      </c>
      <c r="I76" s="61">
        <v>2.34127945</v>
      </c>
      <c r="J76" s="61">
        <v>9319.1337370799993</v>
      </c>
      <c r="K76" s="61">
        <v>5427.91946052</v>
      </c>
      <c r="L76" s="61">
        <v>0</v>
      </c>
      <c r="M76" s="61">
        <v>3891.2142765599997</v>
      </c>
      <c r="N76" s="61">
        <v>98.228065726047191</v>
      </c>
      <c r="O76" s="61">
        <v>99.186768437875202</v>
      </c>
      <c r="P76" s="61">
        <v>41.755107141312997</v>
      </c>
      <c r="Q76" s="61">
        <v>2.34127945</v>
      </c>
      <c r="R76" s="61">
        <v>0.25891051999974657</v>
      </c>
    </row>
    <row r="77" spans="1:18" ht="15.75" x14ac:dyDescent="0.25">
      <c r="A77" s="11">
        <v>66</v>
      </c>
      <c r="B77" s="189" t="s">
        <v>176</v>
      </c>
      <c r="C77" s="66">
        <v>569.31550000000004</v>
      </c>
      <c r="D77" s="66">
        <v>0</v>
      </c>
      <c r="E77" s="66">
        <v>632.14449048999995</v>
      </c>
      <c r="F77" s="66">
        <v>569.31550000000004</v>
      </c>
      <c r="G77" s="66">
        <v>62.828990489999995</v>
      </c>
      <c r="H77" s="66">
        <v>569.31550000000004</v>
      </c>
      <c r="I77" s="66">
        <v>0</v>
      </c>
      <c r="J77" s="66">
        <v>632.14449048999995</v>
      </c>
      <c r="K77" s="66">
        <v>569.31550000000004</v>
      </c>
      <c r="L77" s="66">
        <v>0</v>
      </c>
      <c r="M77" s="66">
        <v>62.828990489999995</v>
      </c>
      <c r="N77" s="67">
        <v>100</v>
      </c>
      <c r="O77" s="67">
        <v>100</v>
      </c>
      <c r="P77" s="67">
        <v>9.9390236623432067</v>
      </c>
      <c r="Q77" s="66">
        <v>0</v>
      </c>
      <c r="R77" s="67">
        <v>0</v>
      </c>
    </row>
    <row r="78" spans="1:18" ht="15.75" x14ac:dyDescent="0.25">
      <c r="A78" s="11">
        <v>67</v>
      </c>
      <c r="B78" s="189" t="s">
        <v>179</v>
      </c>
      <c r="C78" s="66">
        <v>1083.3284000000001</v>
      </c>
      <c r="D78" s="66">
        <v>0</v>
      </c>
      <c r="E78" s="66">
        <v>2848.9071089999998</v>
      </c>
      <c r="F78" s="66">
        <v>1083.3284000000001</v>
      </c>
      <c r="G78" s="66">
        <v>1765.5787089999999</v>
      </c>
      <c r="H78" s="66">
        <v>1074.11953475</v>
      </c>
      <c r="I78" s="66">
        <v>0</v>
      </c>
      <c r="J78" s="66">
        <v>2837.44314472</v>
      </c>
      <c r="K78" s="66">
        <v>1074.11953475</v>
      </c>
      <c r="L78" s="66">
        <v>0</v>
      </c>
      <c r="M78" s="66">
        <v>1763.32360997</v>
      </c>
      <c r="N78" s="67">
        <v>99.149947028989544</v>
      </c>
      <c r="O78" s="67">
        <v>99.872274228358975</v>
      </c>
      <c r="P78" s="67">
        <v>62.144808548895369</v>
      </c>
      <c r="Q78" s="66">
        <v>0</v>
      </c>
      <c r="R78" s="67">
        <v>0</v>
      </c>
    </row>
    <row r="79" spans="1:18" ht="15.75" x14ac:dyDescent="0.25">
      <c r="A79" s="11">
        <v>68</v>
      </c>
      <c r="B79" s="189" t="s">
        <v>182</v>
      </c>
      <c r="C79" s="66">
        <v>1515.0829000000003</v>
      </c>
      <c r="D79" s="66">
        <v>0</v>
      </c>
      <c r="E79" s="66">
        <v>2906.5549460000002</v>
      </c>
      <c r="F79" s="66">
        <v>1515.0829000000003</v>
      </c>
      <c r="G79" s="66">
        <v>1391.4720460000001</v>
      </c>
      <c r="H79" s="66">
        <v>1426.6379787800001</v>
      </c>
      <c r="I79" s="66">
        <v>0</v>
      </c>
      <c r="J79" s="66">
        <v>2788.2245689000001</v>
      </c>
      <c r="K79" s="66">
        <v>1426.4002685100002</v>
      </c>
      <c r="L79" s="66">
        <v>0</v>
      </c>
      <c r="M79" s="66">
        <v>1361.82430039</v>
      </c>
      <c r="N79" s="67">
        <v>94.146681248267001</v>
      </c>
      <c r="O79" s="67">
        <v>97.869325101052013</v>
      </c>
      <c r="P79" s="67">
        <v>48.841987678462417</v>
      </c>
      <c r="Q79" s="66">
        <v>0</v>
      </c>
      <c r="R79" s="67">
        <v>0.23771026999997957</v>
      </c>
    </row>
    <row r="80" spans="1:18" ht="31.5" x14ac:dyDescent="0.25">
      <c r="A80" s="11">
        <v>69</v>
      </c>
      <c r="B80" s="194" t="s">
        <v>300</v>
      </c>
      <c r="C80" s="66">
        <v>30.227999999999998</v>
      </c>
      <c r="D80" s="66">
        <v>0</v>
      </c>
      <c r="E80" s="66">
        <v>57.0996253</v>
      </c>
      <c r="F80" s="66">
        <v>28.501300000000004</v>
      </c>
      <c r="G80" s="66">
        <v>28.598325299999999</v>
      </c>
      <c r="H80" s="66">
        <v>28.501299910000004</v>
      </c>
      <c r="I80" s="66">
        <v>0</v>
      </c>
      <c r="J80" s="66">
        <v>57.099625209999999</v>
      </c>
      <c r="K80" s="66">
        <v>28.501299910000004</v>
      </c>
      <c r="L80" s="66">
        <v>0</v>
      </c>
      <c r="M80" s="66">
        <v>28.598325299999999</v>
      </c>
      <c r="N80" s="67">
        <v>99.999999684224932</v>
      </c>
      <c r="O80" s="67">
        <v>100</v>
      </c>
      <c r="P80" s="67">
        <v>50.08496149461854</v>
      </c>
      <c r="Q80" s="66">
        <v>0</v>
      </c>
      <c r="R80" s="67">
        <v>0</v>
      </c>
    </row>
    <row r="81" spans="1:18" ht="31.5" x14ac:dyDescent="0.25">
      <c r="A81" s="11">
        <v>70</v>
      </c>
      <c r="B81" s="194" t="s">
        <v>301</v>
      </c>
      <c r="C81" s="66">
        <v>20.450600000000001</v>
      </c>
      <c r="D81" s="66">
        <v>0</v>
      </c>
      <c r="E81" s="66">
        <v>123.53829999999999</v>
      </c>
      <c r="F81" s="66">
        <v>20.446300000000001</v>
      </c>
      <c r="G81" s="66">
        <v>103.092</v>
      </c>
      <c r="H81" s="66">
        <v>20.446300000000001</v>
      </c>
      <c r="I81" s="66">
        <v>0</v>
      </c>
      <c r="J81" s="66">
        <v>123.53829999999999</v>
      </c>
      <c r="K81" s="66">
        <v>20.446300000000001</v>
      </c>
      <c r="L81" s="66">
        <v>0</v>
      </c>
      <c r="M81" s="66">
        <v>103.092</v>
      </c>
      <c r="N81" s="67">
        <v>100</v>
      </c>
      <c r="O81" s="67">
        <v>100</v>
      </c>
      <c r="P81" s="67">
        <v>83.449424186669248</v>
      </c>
      <c r="Q81" s="66">
        <v>0</v>
      </c>
      <c r="R81" s="67">
        <v>0</v>
      </c>
    </row>
    <row r="82" spans="1:18" ht="15.75" x14ac:dyDescent="0.25">
      <c r="A82" s="74">
        <v>71</v>
      </c>
      <c r="B82" s="189" t="s">
        <v>189</v>
      </c>
      <c r="C82" s="66">
        <v>2309.1592000000001</v>
      </c>
      <c r="D82" s="66">
        <v>0</v>
      </c>
      <c r="E82" s="66">
        <v>2880.7074421100001</v>
      </c>
      <c r="F82" s="66">
        <v>2309.1592000000001</v>
      </c>
      <c r="G82" s="66">
        <v>571.54824211000005</v>
      </c>
      <c r="H82" s="66">
        <v>2309.1577576</v>
      </c>
      <c r="I82" s="66">
        <v>2.34127945</v>
      </c>
      <c r="J82" s="66">
        <v>2880.6836077600001</v>
      </c>
      <c r="K82" s="66">
        <v>2309.1365573500002</v>
      </c>
      <c r="L82" s="66">
        <v>0</v>
      </c>
      <c r="M82" s="66">
        <v>571.54705041</v>
      </c>
      <c r="N82" s="67">
        <v>99.999019441795099</v>
      </c>
      <c r="O82" s="67">
        <v>99.999791496165642</v>
      </c>
      <c r="P82" s="67">
        <v>19.84067423685002</v>
      </c>
      <c r="Q82" s="66">
        <v>2.34127945</v>
      </c>
      <c r="R82" s="67">
        <v>2.1200249999766996E-2</v>
      </c>
    </row>
    <row r="83" spans="1:18" ht="15.75" x14ac:dyDescent="0.25">
      <c r="A83" s="57">
        <v>72</v>
      </c>
      <c r="B83" s="190" t="s">
        <v>192</v>
      </c>
      <c r="C83" s="61">
        <v>12110.941000000001</v>
      </c>
      <c r="D83" s="61">
        <v>0</v>
      </c>
      <c r="E83" s="61">
        <v>14318.378654149998</v>
      </c>
      <c r="F83" s="61">
        <v>12110.941000000001</v>
      </c>
      <c r="G83" s="61">
        <v>2207.4376541500001</v>
      </c>
      <c r="H83" s="61">
        <v>12090.220081810001</v>
      </c>
      <c r="I83" s="61">
        <v>10.435707149999999</v>
      </c>
      <c r="J83" s="61">
        <v>14286.697388409999</v>
      </c>
      <c r="K83" s="61">
        <v>12085.600526480001</v>
      </c>
      <c r="L83" s="61">
        <v>0</v>
      </c>
      <c r="M83" s="61">
        <v>2201.0968619299997</v>
      </c>
      <c r="N83" s="61">
        <v>99.790763793498783</v>
      </c>
      <c r="O83" s="61">
        <v>99.712753281702902</v>
      </c>
      <c r="P83" s="61">
        <v>15.406617793386083</v>
      </c>
      <c r="Q83" s="61">
        <v>10.435707149999999</v>
      </c>
      <c r="R83" s="61">
        <v>4.6195553300001526</v>
      </c>
    </row>
    <row r="84" spans="1:18" ht="15.75" x14ac:dyDescent="0.25">
      <c r="A84" s="11">
        <v>73</v>
      </c>
      <c r="B84" s="189" t="s">
        <v>195</v>
      </c>
      <c r="C84" s="66">
        <v>268.67399999999998</v>
      </c>
      <c r="D84" s="66">
        <v>0</v>
      </c>
      <c r="E84" s="66">
        <v>342.15636253999998</v>
      </c>
      <c r="F84" s="66">
        <v>268.67399999999998</v>
      </c>
      <c r="G84" s="66">
        <v>73.482362539999997</v>
      </c>
      <c r="H84" s="66">
        <v>268.67399999999998</v>
      </c>
      <c r="I84" s="66">
        <v>0</v>
      </c>
      <c r="J84" s="66">
        <v>342.15636253999998</v>
      </c>
      <c r="K84" s="66">
        <v>268.67399999999998</v>
      </c>
      <c r="L84" s="66">
        <v>0</v>
      </c>
      <c r="M84" s="66">
        <v>73.482362539999997</v>
      </c>
      <c r="N84" s="67">
        <v>100</v>
      </c>
      <c r="O84" s="67">
        <v>100</v>
      </c>
      <c r="P84" s="67">
        <v>21.476251966937923</v>
      </c>
      <c r="Q84" s="66">
        <v>0</v>
      </c>
      <c r="R84" s="67">
        <v>0</v>
      </c>
    </row>
    <row r="85" spans="1:18" ht="15.75" x14ac:dyDescent="0.25">
      <c r="A85" s="11">
        <v>74</v>
      </c>
      <c r="B85" s="189" t="s">
        <v>198</v>
      </c>
      <c r="C85" s="66">
        <v>339.8895</v>
      </c>
      <c r="D85" s="66">
        <v>0</v>
      </c>
      <c r="E85" s="66">
        <v>440.29024442000002</v>
      </c>
      <c r="F85" s="66">
        <v>339.8895</v>
      </c>
      <c r="G85" s="66">
        <v>100.40074442000001</v>
      </c>
      <c r="H85" s="66">
        <v>339.8895</v>
      </c>
      <c r="I85" s="66">
        <v>0</v>
      </c>
      <c r="J85" s="66">
        <v>440.29024442000002</v>
      </c>
      <c r="K85" s="66">
        <v>339.8895</v>
      </c>
      <c r="L85" s="66">
        <v>0</v>
      </c>
      <c r="M85" s="66">
        <v>100.40074442000001</v>
      </c>
      <c r="N85" s="67">
        <v>100</v>
      </c>
      <c r="O85" s="67">
        <v>100</v>
      </c>
      <c r="P85" s="67">
        <v>22.803308883724917</v>
      </c>
      <c r="Q85" s="66">
        <v>0</v>
      </c>
      <c r="R85" s="67">
        <v>0</v>
      </c>
    </row>
    <row r="86" spans="1:18" ht="15.75" x14ac:dyDescent="0.25">
      <c r="A86" s="11">
        <v>75</v>
      </c>
      <c r="B86" s="189" t="s">
        <v>201</v>
      </c>
      <c r="C86" s="66">
        <v>204.93129999999999</v>
      </c>
      <c r="D86" s="66">
        <v>0</v>
      </c>
      <c r="E86" s="66">
        <v>302.01179999999999</v>
      </c>
      <c r="F86" s="66">
        <v>204.93129999999999</v>
      </c>
      <c r="G86" s="66">
        <v>97.080500000000001</v>
      </c>
      <c r="H86" s="66">
        <v>204.93129999999999</v>
      </c>
      <c r="I86" s="66">
        <v>3.6799999999999999E-2</v>
      </c>
      <c r="J86" s="66">
        <v>302.01179999999999</v>
      </c>
      <c r="K86" s="66">
        <v>204.93129999999999</v>
      </c>
      <c r="L86" s="66">
        <v>0</v>
      </c>
      <c r="M86" s="66">
        <v>97.080500000000001</v>
      </c>
      <c r="N86" s="67">
        <v>100</v>
      </c>
      <c r="O86" s="67">
        <v>100</v>
      </c>
      <c r="P86" s="67">
        <v>32.144604945899466</v>
      </c>
      <c r="Q86" s="66">
        <v>3.6799999999999999E-2</v>
      </c>
      <c r="R86" s="67">
        <v>-4.9960036108132044E-16</v>
      </c>
    </row>
    <row r="87" spans="1:18" ht="15.75" x14ac:dyDescent="0.25">
      <c r="A87" s="11">
        <v>76</v>
      </c>
      <c r="B87" s="189" t="s">
        <v>204</v>
      </c>
      <c r="C87" s="66">
        <v>262.541</v>
      </c>
      <c r="D87" s="66">
        <v>0</v>
      </c>
      <c r="E87" s="66">
        <v>330.78399999999999</v>
      </c>
      <c r="F87" s="66">
        <v>262.541</v>
      </c>
      <c r="G87" s="66">
        <v>68.242999999999995</v>
      </c>
      <c r="H87" s="66">
        <v>255.58418366000001</v>
      </c>
      <c r="I87" s="66">
        <v>0</v>
      </c>
      <c r="J87" s="66">
        <v>321.46234393999998</v>
      </c>
      <c r="K87" s="66">
        <v>255.47215936999999</v>
      </c>
      <c r="L87" s="66">
        <v>0</v>
      </c>
      <c r="M87" s="66">
        <v>65.990184569999997</v>
      </c>
      <c r="N87" s="67">
        <v>97.307528869776533</v>
      </c>
      <c r="O87" s="67">
        <v>96.698832949899625</v>
      </c>
      <c r="P87" s="67">
        <v>20.528122753412408</v>
      </c>
      <c r="Q87" s="66">
        <v>0</v>
      </c>
      <c r="R87" s="67">
        <v>0.11202429000002212</v>
      </c>
    </row>
    <row r="88" spans="1:18" ht="15.75" x14ac:dyDescent="0.25">
      <c r="A88" s="11">
        <v>77</v>
      </c>
      <c r="B88" s="189" t="s">
        <v>207</v>
      </c>
      <c r="C88" s="66">
        <v>2507.1379999999999</v>
      </c>
      <c r="D88" s="66">
        <v>0</v>
      </c>
      <c r="E88" s="66">
        <v>2639.0999157899996</v>
      </c>
      <c r="F88" s="66">
        <v>2507.1379999999999</v>
      </c>
      <c r="G88" s="66">
        <v>131.96191579000001</v>
      </c>
      <c r="H88" s="66">
        <v>2507.1379999999999</v>
      </c>
      <c r="I88" s="66">
        <v>0</v>
      </c>
      <c r="J88" s="66">
        <v>2639.0999157899996</v>
      </c>
      <c r="K88" s="66">
        <v>2507.1379999999999</v>
      </c>
      <c r="L88" s="66">
        <v>0</v>
      </c>
      <c r="M88" s="66">
        <v>131.96191579000001</v>
      </c>
      <c r="N88" s="67">
        <v>100</v>
      </c>
      <c r="O88" s="67">
        <v>100</v>
      </c>
      <c r="P88" s="67">
        <v>5.0002622106294128</v>
      </c>
      <c r="Q88" s="66">
        <v>0</v>
      </c>
      <c r="R88" s="67">
        <v>0</v>
      </c>
    </row>
    <row r="89" spans="1:18" ht="15.75" x14ac:dyDescent="0.25">
      <c r="A89" s="11">
        <v>78</v>
      </c>
      <c r="B89" s="189" t="s">
        <v>210</v>
      </c>
      <c r="C89" s="66">
        <v>398.67070000000001</v>
      </c>
      <c r="D89" s="66">
        <v>0</v>
      </c>
      <c r="E89" s="66">
        <v>570.84569999999997</v>
      </c>
      <c r="F89" s="66">
        <v>398.67070000000001</v>
      </c>
      <c r="G89" s="66">
        <v>172.17500000000001</v>
      </c>
      <c r="H89" s="66">
        <v>398.67070000000001</v>
      </c>
      <c r="I89" s="66">
        <v>0.36272720000000003</v>
      </c>
      <c r="J89" s="66">
        <v>570.84569999999997</v>
      </c>
      <c r="K89" s="66">
        <v>398.67070000000001</v>
      </c>
      <c r="L89" s="66">
        <v>0</v>
      </c>
      <c r="M89" s="66">
        <v>172.17500000000001</v>
      </c>
      <c r="N89" s="67">
        <v>100</v>
      </c>
      <c r="O89" s="67">
        <v>100</v>
      </c>
      <c r="P89" s="67">
        <v>30.16139037221442</v>
      </c>
      <c r="Q89" s="66">
        <v>0.36272720000000003</v>
      </c>
      <c r="R89" s="67">
        <v>-5.2180482157382357E-15</v>
      </c>
    </row>
    <row r="90" spans="1:18" ht="15.75" x14ac:dyDescent="0.25">
      <c r="A90" s="11">
        <v>79</v>
      </c>
      <c r="B90" s="189" t="s">
        <v>213</v>
      </c>
      <c r="C90" s="66">
        <v>1279.6012000000001</v>
      </c>
      <c r="D90" s="66">
        <v>0</v>
      </c>
      <c r="E90" s="66">
        <v>1369.9756894699999</v>
      </c>
      <c r="F90" s="66">
        <v>1279.6012000000001</v>
      </c>
      <c r="G90" s="66">
        <v>90.374489469999986</v>
      </c>
      <c r="H90" s="66">
        <v>1279.5813318799999</v>
      </c>
      <c r="I90" s="66">
        <v>1.4707802000000001</v>
      </c>
      <c r="J90" s="66">
        <v>1369.6681639199999</v>
      </c>
      <c r="K90" s="66">
        <v>1279.32710731</v>
      </c>
      <c r="L90" s="66">
        <v>0</v>
      </c>
      <c r="M90" s="66">
        <v>90.34105661000001</v>
      </c>
      <c r="N90" s="67">
        <v>99.978579834873543</v>
      </c>
      <c r="O90" s="67">
        <v>99.96300630831108</v>
      </c>
      <c r="P90" s="67">
        <v>6.5958353263788556</v>
      </c>
      <c r="Q90" s="66">
        <v>1.4707802000000001</v>
      </c>
      <c r="R90" s="67">
        <v>0.25422456999994125</v>
      </c>
    </row>
    <row r="91" spans="1:18" ht="15.75" x14ac:dyDescent="0.25">
      <c r="A91" s="11">
        <v>80</v>
      </c>
      <c r="B91" s="189" t="s">
        <v>216</v>
      </c>
      <c r="C91" s="66">
        <v>773.39029999999991</v>
      </c>
      <c r="D91" s="66">
        <v>0</v>
      </c>
      <c r="E91" s="66">
        <v>1006.553764</v>
      </c>
      <c r="F91" s="66">
        <v>773.39029999999991</v>
      </c>
      <c r="G91" s="66">
        <v>233.16346399999998</v>
      </c>
      <c r="H91" s="66">
        <v>773.39029999999991</v>
      </c>
      <c r="I91" s="66">
        <v>0</v>
      </c>
      <c r="J91" s="66">
        <v>1006.553764</v>
      </c>
      <c r="K91" s="66">
        <v>773.39029999999991</v>
      </c>
      <c r="L91" s="66">
        <v>0</v>
      </c>
      <c r="M91" s="66">
        <v>233.16346399999998</v>
      </c>
      <c r="N91" s="67">
        <v>100</v>
      </c>
      <c r="O91" s="67">
        <v>100</v>
      </c>
      <c r="P91" s="67">
        <v>23.164531527200168</v>
      </c>
      <c r="Q91" s="66">
        <v>0</v>
      </c>
      <c r="R91" s="67">
        <v>0</v>
      </c>
    </row>
    <row r="92" spans="1:18" ht="15.75" x14ac:dyDescent="0.25">
      <c r="A92" s="11">
        <v>81</v>
      </c>
      <c r="B92" s="189" t="s">
        <v>219</v>
      </c>
      <c r="C92" s="66">
        <v>568.21209999999996</v>
      </c>
      <c r="D92" s="66">
        <v>0</v>
      </c>
      <c r="E92" s="66">
        <v>598.11817895000001</v>
      </c>
      <c r="F92" s="66">
        <v>568.21209999999996</v>
      </c>
      <c r="G92" s="66">
        <v>29.906078950000001</v>
      </c>
      <c r="H92" s="66">
        <v>568.21165016999998</v>
      </c>
      <c r="I92" s="66">
        <v>1.6786972</v>
      </c>
      <c r="J92" s="66">
        <v>598.11771081999996</v>
      </c>
      <c r="K92" s="66">
        <v>568.21165016999998</v>
      </c>
      <c r="L92" s="66">
        <v>0</v>
      </c>
      <c r="M92" s="66">
        <v>29.906060650000001</v>
      </c>
      <c r="N92" s="67">
        <v>99.999920834139218</v>
      </c>
      <c r="O92" s="67">
        <v>99.99993880842743</v>
      </c>
      <c r="P92" s="67">
        <v>5.0000292766786263</v>
      </c>
      <c r="Q92" s="66">
        <v>1.6786972</v>
      </c>
      <c r="R92" s="67">
        <v>-1.2212453270876722E-14</v>
      </c>
    </row>
    <row r="93" spans="1:18" ht="15.75" x14ac:dyDescent="0.25">
      <c r="A93" s="11">
        <v>82</v>
      </c>
      <c r="B93" s="189" t="s">
        <v>222</v>
      </c>
      <c r="C93" s="66">
        <v>2376.4096</v>
      </c>
      <c r="D93" s="66">
        <v>0</v>
      </c>
      <c r="E93" s="66">
        <v>2906.7741900000001</v>
      </c>
      <c r="F93" s="66">
        <v>2376.4096</v>
      </c>
      <c r="G93" s="66">
        <v>530.36459000000002</v>
      </c>
      <c r="H93" s="66">
        <v>2365.1884957800003</v>
      </c>
      <c r="I93" s="66">
        <v>0</v>
      </c>
      <c r="J93" s="66">
        <v>2891.58988021</v>
      </c>
      <c r="K93" s="66">
        <v>2364.9421336300002</v>
      </c>
      <c r="L93" s="66">
        <v>0</v>
      </c>
      <c r="M93" s="66">
        <v>526.64774657999999</v>
      </c>
      <c r="N93" s="67">
        <v>99.51744571432468</v>
      </c>
      <c r="O93" s="67">
        <v>99.299190879240257</v>
      </c>
      <c r="P93" s="67">
        <v>18.21308582466586</v>
      </c>
      <c r="Q93" s="66">
        <v>0</v>
      </c>
      <c r="R93" s="67">
        <v>0.24636215000009543</v>
      </c>
    </row>
    <row r="94" spans="1:18" ht="15.75" x14ac:dyDescent="0.25">
      <c r="A94" s="11">
        <v>83</v>
      </c>
      <c r="B94" s="189" t="s">
        <v>225</v>
      </c>
      <c r="C94" s="66">
        <v>2499.4762000000001</v>
      </c>
      <c r="D94" s="66">
        <v>0</v>
      </c>
      <c r="E94" s="66">
        <v>2818.8340336599999</v>
      </c>
      <c r="F94" s="66">
        <v>2499.4762000000001</v>
      </c>
      <c r="G94" s="66">
        <v>319.35783365999998</v>
      </c>
      <c r="H94" s="66">
        <v>2496.9535208800003</v>
      </c>
      <c r="I94" s="66">
        <v>0</v>
      </c>
      <c r="J94" s="66">
        <v>2811.9713006100001</v>
      </c>
      <c r="K94" s="66">
        <v>2492.9509314400002</v>
      </c>
      <c r="L94" s="66">
        <v>0</v>
      </c>
      <c r="M94" s="66">
        <v>319.02036916999998</v>
      </c>
      <c r="N94" s="67">
        <v>99.73893455916884</v>
      </c>
      <c r="O94" s="67">
        <v>99.894330292095077</v>
      </c>
      <c r="P94" s="67">
        <v>11.345079130103318</v>
      </c>
      <c r="Q94" s="66">
        <v>0</v>
      </c>
      <c r="R94" s="67">
        <v>4.0025894400000652</v>
      </c>
    </row>
    <row r="95" spans="1:18" ht="15.75" x14ac:dyDescent="0.25">
      <c r="A95" s="74">
        <v>84</v>
      </c>
      <c r="B95" s="189" t="s">
        <v>228</v>
      </c>
      <c r="C95" s="66">
        <v>632.00710000000004</v>
      </c>
      <c r="D95" s="66">
        <v>0</v>
      </c>
      <c r="E95" s="66">
        <v>992.93477531999997</v>
      </c>
      <c r="F95" s="66">
        <v>632.00710000000004</v>
      </c>
      <c r="G95" s="66">
        <v>360.92767531999999</v>
      </c>
      <c r="H95" s="66">
        <v>632.00709944000005</v>
      </c>
      <c r="I95" s="66">
        <v>6.8867025499999999</v>
      </c>
      <c r="J95" s="66">
        <v>992.93020216000002</v>
      </c>
      <c r="K95" s="66">
        <v>632.00274456</v>
      </c>
      <c r="L95" s="66">
        <v>0</v>
      </c>
      <c r="M95" s="66">
        <v>360.92745759999997</v>
      </c>
      <c r="N95" s="67">
        <v>99.99931085584322</v>
      </c>
      <c r="O95" s="67">
        <v>99.999939677665381</v>
      </c>
      <c r="P95" s="67">
        <v>36.3497310097775</v>
      </c>
      <c r="Q95" s="66">
        <v>6.8867025499999999</v>
      </c>
      <c r="R95" s="67">
        <v>4.3548800000463572E-3</v>
      </c>
    </row>
    <row r="96" spans="1:18" ht="15.75" x14ac:dyDescent="0.25">
      <c r="A96" s="57">
        <v>85</v>
      </c>
      <c r="B96" s="190" t="s">
        <v>231</v>
      </c>
      <c r="C96" s="61">
        <v>3018.2269999999999</v>
      </c>
      <c r="D96" s="61">
        <v>0</v>
      </c>
      <c r="E96" s="61">
        <v>5077.5370791999994</v>
      </c>
      <c r="F96" s="61">
        <v>3018.2181999999998</v>
      </c>
      <c r="G96" s="61">
        <v>2059.3188792000001</v>
      </c>
      <c r="H96" s="61">
        <v>2967.0334286399993</v>
      </c>
      <c r="I96" s="61">
        <v>8.9910466899999992</v>
      </c>
      <c r="J96" s="61">
        <v>4986.89416411</v>
      </c>
      <c r="K96" s="61">
        <v>2966.54893008</v>
      </c>
      <c r="L96" s="61">
        <v>0</v>
      </c>
      <c r="M96" s="61">
        <v>2020.34523403</v>
      </c>
      <c r="N96" s="61">
        <v>98.288086993842924</v>
      </c>
      <c r="O96" s="61">
        <v>98.107449722155678</v>
      </c>
      <c r="P96" s="61">
        <v>40.513096278845261</v>
      </c>
      <c r="Q96" s="61">
        <v>8.9910466899999992</v>
      </c>
      <c r="R96" s="61">
        <v>0.48449856000003211</v>
      </c>
    </row>
    <row r="97" spans="1:18" ht="15.75" x14ac:dyDescent="0.25">
      <c r="A97" s="11">
        <v>86</v>
      </c>
      <c r="B97" s="189" t="s">
        <v>234</v>
      </c>
      <c r="C97" s="66">
        <v>598.97619999999995</v>
      </c>
      <c r="D97" s="66">
        <v>0</v>
      </c>
      <c r="E97" s="66">
        <v>1513.522706</v>
      </c>
      <c r="F97" s="66">
        <v>598.97619999999995</v>
      </c>
      <c r="G97" s="66">
        <v>914.54650600000002</v>
      </c>
      <c r="H97" s="66">
        <v>598.39640595999992</v>
      </c>
      <c r="I97" s="66">
        <v>6.4488039099999996</v>
      </c>
      <c r="J97" s="66">
        <v>1510.1719066199998</v>
      </c>
      <c r="K97" s="66">
        <v>597.96073077999995</v>
      </c>
      <c r="L97" s="66">
        <v>0</v>
      </c>
      <c r="M97" s="66">
        <v>912.21117584000012</v>
      </c>
      <c r="N97" s="67">
        <v>99.830465848225685</v>
      </c>
      <c r="O97" s="67">
        <v>99.744646101135515</v>
      </c>
      <c r="P97" s="67">
        <v>60.404459375864761</v>
      </c>
      <c r="Q97" s="66">
        <v>6.4488039099999996</v>
      </c>
      <c r="R97" s="67">
        <v>0.43567518000001382</v>
      </c>
    </row>
    <row r="98" spans="1:18" ht="15.75" x14ac:dyDescent="0.25">
      <c r="A98" s="11">
        <v>87</v>
      </c>
      <c r="B98" s="189" t="s">
        <v>237</v>
      </c>
      <c r="C98" s="66">
        <v>113.63509999999999</v>
      </c>
      <c r="D98" s="66">
        <v>0</v>
      </c>
      <c r="E98" s="66">
        <v>156.70236441</v>
      </c>
      <c r="F98" s="66">
        <v>113.63509999999999</v>
      </c>
      <c r="G98" s="66">
        <v>43.06726441</v>
      </c>
      <c r="H98" s="66">
        <v>112.04526940000001</v>
      </c>
      <c r="I98" s="66">
        <v>0.92249999999999999</v>
      </c>
      <c r="J98" s="66">
        <v>154.99341967000001</v>
      </c>
      <c r="K98" s="66">
        <v>112.04526938000001</v>
      </c>
      <c r="L98" s="66">
        <v>0</v>
      </c>
      <c r="M98" s="66">
        <v>42.948150289999994</v>
      </c>
      <c r="N98" s="67">
        <v>98.600933496780499</v>
      </c>
      <c r="O98" s="67">
        <v>99.723423064752765</v>
      </c>
      <c r="P98" s="67">
        <v>27.709660436837819</v>
      </c>
      <c r="Q98" s="66">
        <v>0.92249999999999999</v>
      </c>
      <c r="R98" s="67">
        <v>2.0000001099695908E-8</v>
      </c>
    </row>
    <row r="99" spans="1:18" ht="15.75" x14ac:dyDescent="0.25">
      <c r="A99" s="11">
        <v>88</v>
      </c>
      <c r="B99" s="189" t="s">
        <v>240</v>
      </c>
      <c r="C99" s="66">
        <v>956.0154</v>
      </c>
      <c r="D99" s="66">
        <v>0</v>
      </c>
      <c r="E99" s="66">
        <v>1485.2705733400001</v>
      </c>
      <c r="F99" s="66">
        <v>956.0154</v>
      </c>
      <c r="G99" s="66">
        <v>529.25517333999994</v>
      </c>
      <c r="H99" s="66">
        <v>930.25047141999994</v>
      </c>
      <c r="I99" s="66">
        <v>0</v>
      </c>
      <c r="J99" s="66">
        <v>1443.7099752200002</v>
      </c>
      <c r="K99" s="66">
        <v>930.25047141999994</v>
      </c>
      <c r="L99" s="66">
        <v>0</v>
      </c>
      <c r="M99" s="66">
        <v>513.45950379999999</v>
      </c>
      <c r="N99" s="67">
        <v>97.304967202411163</v>
      </c>
      <c r="O99" s="67">
        <v>97.015490762174821</v>
      </c>
      <c r="P99" s="67">
        <v>35.565280604351045</v>
      </c>
      <c r="Q99" s="66">
        <v>0</v>
      </c>
      <c r="R99" s="67">
        <v>0</v>
      </c>
    </row>
    <row r="100" spans="1:18" ht="15.75" x14ac:dyDescent="0.25">
      <c r="A100" s="11">
        <v>89</v>
      </c>
      <c r="B100" s="189" t="s">
        <v>243</v>
      </c>
      <c r="C100" s="66">
        <v>115.51169999999999</v>
      </c>
      <c r="D100" s="66">
        <v>0</v>
      </c>
      <c r="E100" s="66">
        <v>174.39729332000002</v>
      </c>
      <c r="F100" s="66">
        <v>115.51169999999999</v>
      </c>
      <c r="G100" s="66">
        <v>58.885593320000005</v>
      </c>
      <c r="H100" s="66">
        <v>111.19376035000001</v>
      </c>
      <c r="I100" s="66">
        <v>0</v>
      </c>
      <c r="J100" s="66">
        <v>168.39288425000001</v>
      </c>
      <c r="K100" s="66">
        <v>111.19376035000001</v>
      </c>
      <c r="L100" s="66">
        <v>0</v>
      </c>
      <c r="M100" s="66">
        <v>57.199123900000004</v>
      </c>
      <c r="N100" s="67">
        <v>96.261902776948148</v>
      </c>
      <c r="O100" s="67">
        <v>97.136023728528514</v>
      </c>
      <c r="P100" s="67">
        <v>33.967660898949184</v>
      </c>
      <c r="Q100" s="66">
        <v>0</v>
      </c>
      <c r="R100" s="67">
        <v>0</v>
      </c>
    </row>
    <row r="101" spans="1:18" ht="15.75" x14ac:dyDescent="0.25">
      <c r="A101" s="11">
        <v>90</v>
      </c>
      <c r="B101" s="189" t="s">
        <v>246</v>
      </c>
      <c r="C101" s="66">
        <v>917.16039999999998</v>
      </c>
      <c r="D101" s="66">
        <v>0</v>
      </c>
      <c r="E101" s="66">
        <v>1124.96154213</v>
      </c>
      <c r="F101" s="66">
        <v>917.16039999999998</v>
      </c>
      <c r="G101" s="66">
        <v>207.80114213000002</v>
      </c>
      <c r="H101" s="66">
        <v>908.80736468000009</v>
      </c>
      <c r="I101" s="66">
        <v>0</v>
      </c>
      <c r="J101" s="66">
        <v>1112.5568639399999</v>
      </c>
      <c r="K101" s="66">
        <v>908.80736464000006</v>
      </c>
      <c r="L101" s="66">
        <v>0</v>
      </c>
      <c r="M101" s="66">
        <v>203.74949930000002</v>
      </c>
      <c r="N101" s="67">
        <v>99.089250325243</v>
      </c>
      <c r="O101" s="67">
        <v>98.050230721318513</v>
      </c>
      <c r="P101" s="67">
        <v>18.313625658507306</v>
      </c>
      <c r="Q101" s="66">
        <v>0</v>
      </c>
      <c r="R101" s="67">
        <v>4.000003173132427E-8</v>
      </c>
    </row>
    <row r="102" spans="1:18" ht="15.75" x14ac:dyDescent="0.25">
      <c r="A102" s="11">
        <v>91</v>
      </c>
      <c r="B102" s="189" t="s">
        <v>249</v>
      </c>
      <c r="C102" s="66">
        <v>30.165800000000001</v>
      </c>
      <c r="D102" s="66">
        <v>0</v>
      </c>
      <c r="E102" s="66">
        <v>59.674999999999997</v>
      </c>
      <c r="F102" s="66">
        <v>30.165800000000001</v>
      </c>
      <c r="G102" s="66">
        <v>29.5092</v>
      </c>
      <c r="H102" s="66">
        <v>30.140467510000001</v>
      </c>
      <c r="I102" s="66">
        <v>0</v>
      </c>
      <c r="J102" s="66">
        <v>59.638998439999995</v>
      </c>
      <c r="K102" s="66">
        <v>30.140467510000001</v>
      </c>
      <c r="L102" s="66">
        <v>0</v>
      </c>
      <c r="M102" s="66">
        <v>29.498530930000001</v>
      </c>
      <c r="N102" s="67">
        <v>99.916022482413851</v>
      </c>
      <c r="O102" s="67">
        <v>99.963844936494382</v>
      </c>
      <c r="P102" s="67">
        <v>49.461814754781791</v>
      </c>
      <c r="Q102" s="66">
        <v>0</v>
      </c>
      <c r="R102" s="67">
        <v>0</v>
      </c>
    </row>
    <row r="103" spans="1:18" ht="15.75" x14ac:dyDescent="0.25">
      <c r="A103" s="11">
        <v>92</v>
      </c>
      <c r="B103" s="189" t="s">
        <v>252</v>
      </c>
      <c r="C103" s="66">
        <v>179.4451</v>
      </c>
      <c r="D103" s="66">
        <v>0</v>
      </c>
      <c r="E103" s="66">
        <v>429.37240000000003</v>
      </c>
      <c r="F103" s="66">
        <v>179.4451</v>
      </c>
      <c r="G103" s="66">
        <v>249.9273</v>
      </c>
      <c r="H103" s="66">
        <v>170.56568725</v>
      </c>
      <c r="I103" s="66">
        <v>0</v>
      </c>
      <c r="J103" s="66">
        <v>406.51323120000006</v>
      </c>
      <c r="K103" s="66">
        <v>170.56428661000001</v>
      </c>
      <c r="L103" s="66">
        <v>0</v>
      </c>
      <c r="M103" s="66">
        <v>235.94894459</v>
      </c>
      <c r="N103" s="67">
        <v>95.050957986593119</v>
      </c>
      <c r="O103" s="67">
        <v>94.407031400731327</v>
      </c>
      <c r="P103" s="67">
        <v>58.042131591509182</v>
      </c>
      <c r="Q103" s="66">
        <v>0</v>
      </c>
      <c r="R103" s="67">
        <v>1.4006399999857422E-3</v>
      </c>
    </row>
    <row r="104" spans="1:18" ht="15.75" x14ac:dyDescent="0.25">
      <c r="A104" s="11">
        <v>93</v>
      </c>
      <c r="B104" s="189" t="s">
        <v>254</v>
      </c>
      <c r="C104" s="66">
        <v>42.585900000000002</v>
      </c>
      <c r="D104" s="66">
        <v>0</v>
      </c>
      <c r="E104" s="66">
        <v>52.600299999999997</v>
      </c>
      <c r="F104" s="66">
        <v>42.585900000000002</v>
      </c>
      <c r="G104" s="66">
        <v>10.014399999999998</v>
      </c>
      <c r="H104" s="66">
        <v>40.911402069999994</v>
      </c>
      <c r="I104" s="66">
        <v>1.6197427799999999</v>
      </c>
      <c r="J104" s="66">
        <v>49.881984769999995</v>
      </c>
      <c r="K104" s="66">
        <v>40.863979389999997</v>
      </c>
      <c r="L104" s="66">
        <v>0</v>
      </c>
      <c r="M104" s="66">
        <v>9.01800538</v>
      </c>
      <c r="N104" s="67">
        <v>95.956594530114415</v>
      </c>
      <c r="O104" s="67">
        <v>90.050381250998583</v>
      </c>
      <c r="P104" s="67">
        <v>18.078681956183118</v>
      </c>
      <c r="Q104" s="66">
        <v>1.6197427799999999</v>
      </c>
      <c r="R104" s="67">
        <v>4.7422679999999717E-2</v>
      </c>
    </row>
    <row r="105" spans="1:18" ht="15.75" x14ac:dyDescent="0.25">
      <c r="A105" s="9">
        <v>94</v>
      </c>
      <c r="B105" s="189" t="s">
        <v>256</v>
      </c>
      <c r="C105" s="66">
        <v>64.731399999999994</v>
      </c>
      <c r="D105" s="66">
        <v>0</v>
      </c>
      <c r="E105" s="66">
        <v>81.034899999999993</v>
      </c>
      <c r="F105" s="66">
        <v>64.7226</v>
      </c>
      <c r="G105" s="66">
        <v>16.3123</v>
      </c>
      <c r="H105" s="66">
        <v>64.7226</v>
      </c>
      <c r="I105" s="66">
        <v>0</v>
      </c>
      <c r="J105" s="66">
        <v>81.034899999999993</v>
      </c>
      <c r="K105" s="66">
        <v>64.7226</v>
      </c>
      <c r="L105" s="66">
        <v>0</v>
      </c>
      <c r="M105" s="66">
        <v>16.3123</v>
      </c>
      <c r="N105" s="67">
        <v>100</v>
      </c>
      <c r="O105" s="67">
        <v>100</v>
      </c>
      <c r="P105" s="67">
        <v>20.129968692501627</v>
      </c>
      <c r="Q105" s="66">
        <v>0</v>
      </c>
      <c r="R105" s="67">
        <v>0</v>
      </c>
    </row>
  </sheetData>
  <mergeCells count="17">
    <mergeCell ref="N9:O10"/>
    <mergeCell ref="P9:P11"/>
    <mergeCell ref="Q9:Q11"/>
    <mergeCell ref="A7:A11"/>
    <mergeCell ref="B7:B11"/>
    <mergeCell ref="C7:R8"/>
    <mergeCell ref="C9:C11"/>
    <mergeCell ref="R9:R11"/>
    <mergeCell ref="J10:J11"/>
    <mergeCell ref="K10:M10"/>
    <mergeCell ref="D9:D11"/>
    <mergeCell ref="E9:G9"/>
    <mergeCell ref="H9:H11"/>
    <mergeCell ref="I9:I11"/>
    <mergeCell ref="E10:E11"/>
    <mergeCell ref="F10:G10"/>
    <mergeCell ref="J9:M9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R105"/>
  <sheetViews>
    <sheetView view="pageBreakPreview" zoomScale="60" zoomScaleNormal="70" workbookViewId="0">
      <pane xSplit="2" ySplit="12" topLeftCell="C13" activePane="bottomRight" state="frozen"/>
      <selection activeCell="F34" sqref="F34"/>
      <selection pane="topRight" activeCell="F34" sqref="F34"/>
      <selection pane="bottomLeft" activeCell="F34" sqref="F34"/>
      <selection pane="bottomRight" activeCell="D17" sqref="D17"/>
    </sheetView>
  </sheetViews>
  <sheetFormatPr defaultRowHeight="15" outlineLevelCol="1" x14ac:dyDescent="0.25"/>
  <cols>
    <col min="1" max="1" width="5" customWidth="1"/>
    <col min="2" max="2" width="32" customWidth="1"/>
    <col min="3" max="4" width="18.7109375" customWidth="1"/>
    <col min="5" max="6" width="18.7109375" customWidth="1" outlineLevel="1"/>
    <col min="7" max="15" width="18.7109375" customWidth="1"/>
    <col min="16" max="18" width="18.7109375" customWidth="1" outlineLevel="1"/>
  </cols>
  <sheetData>
    <row r="1" spans="1:18" s="126" customFormat="1" ht="12.75" customHeight="1" x14ac:dyDescent="0.25">
      <c r="B1" s="127"/>
    </row>
    <row r="2" spans="1:18" s="126" customFormat="1" ht="12.75" customHeight="1" x14ac:dyDescent="0.3">
      <c r="D2" s="217"/>
      <c r="E2" s="217"/>
      <c r="F2" s="217"/>
      <c r="G2" s="217"/>
      <c r="H2" s="217"/>
      <c r="I2" s="217"/>
      <c r="J2" s="217"/>
      <c r="K2" s="217"/>
      <c r="L2" s="217"/>
    </row>
    <row r="3" spans="1:18" s="126" customFormat="1" ht="12.75" customHeight="1" x14ac:dyDescent="0.3">
      <c r="A3" s="128"/>
      <c r="B3" s="12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38"/>
      <c r="N3" s="38"/>
      <c r="O3" s="38"/>
      <c r="P3" s="38"/>
    </row>
    <row r="4" spans="1:18" s="126" customFormat="1" ht="12.75" customHeight="1" x14ac:dyDescent="0.3">
      <c r="A4" s="128"/>
      <c r="B4" s="128"/>
      <c r="D4" s="40"/>
      <c r="E4" s="40"/>
      <c r="F4" s="40"/>
      <c r="G4" s="40"/>
      <c r="H4" s="40"/>
      <c r="I4" s="40"/>
      <c r="J4" s="40"/>
      <c r="K4" s="40"/>
      <c r="L4" s="40"/>
      <c r="M4" s="38"/>
      <c r="N4" s="38"/>
      <c r="O4" s="38"/>
      <c r="P4" s="38"/>
    </row>
    <row r="5" spans="1:18" s="126" customFormat="1" ht="12.75" customHeight="1" x14ac:dyDescent="0.3">
      <c r="A5" s="128"/>
      <c r="B5" s="128"/>
      <c r="D5" s="215"/>
      <c r="E5" s="215"/>
      <c r="F5" s="214"/>
      <c r="G5" s="42"/>
      <c r="H5" s="43"/>
      <c r="I5" s="43"/>
    </row>
    <row r="6" spans="1:18" ht="15.75" x14ac:dyDescent="0.25">
      <c r="B6" s="44" t="s">
        <v>1093</v>
      </c>
      <c r="C6" s="76"/>
      <c r="Q6" s="76"/>
      <c r="R6" s="76"/>
    </row>
    <row r="7" spans="1:18" ht="15" customHeight="1" x14ac:dyDescent="0.25">
      <c r="A7" s="275" t="s">
        <v>284</v>
      </c>
      <c r="B7" s="275" t="s">
        <v>285</v>
      </c>
      <c r="C7" s="282" t="s">
        <v>1001</v>
      </c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</row>
    <row r="8" spans="1:18" ht="15.75" customHeight="1" thickBot="1" x14ac:dyDescent="0.3">
      <c r="A8" s="275"/>
      <c r="B8" s="275"/>
      <c r="C8" s="284"/>
      <c r="D8" s="279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79"/>
    </row>
    <row r="9" spans="1:18" ht="15" customHeight="1" x14ac:dyDescent="0.25">
      <c r="A9" s="275"/>
      <c r="B9" s="275"/>
      <c r="C9" s="253" t="s">
        <v>315</v>
      </c>
      <c r="D9" s="254" t="s">
        <v>1096</v>
      </c>
      <c r="E9" s="254" t="s">
        <v>287</v>
      </c>
      <c r="F9" s="254"/>
      <c r="G9" s="254"/>
      <c r="H9" s="254" t="s">
        <v>312</v>
      </c>
      <c r="I9" s="254" t="s">
        <v>262</v>
      </c>
      <c r="J9" s="254" t="s">
        <v>288</v>
      </c>
      <c r="K9" s="254"/>
      <c r="L9" s="254"/>
      <c r="M9" s="254"/>
      <c r="N9" s="269" t="s">
        <v>289</v>
      </c>
      <c r="O9" s="269"/>
      <c r="P9" s="254" t="s">
        <v>290</v>
      </c>
      <c r="Q9" s="254" t="s">
        <v>266</v>
      </c>
      <c r="R9" s="254" t="s">
        <v>291</v>
      </c>
    </row>
    <row r="10" spans="1:18" ht="15" customHeight="1" x14ac:dyDescent="0.25">
      <c r="A10" s="275"/>
      <c r="B10" s="275"/>
      <c r="C10" s="220"/>
      <c r="D10" s="224"/>
      <c r="E10" s="224" t="s">
        <v>292</v>
      </c>
      <c r="F10" s="224" t="s">
        <v>293</v>
      </c>
      <c r="G10" s="224"/>
      <c r="H10" s="224"/>
      <c r="I10" s="224"/>
      <c r="J10" s="224" t="s">
        <v>292</v>
      </c>
      <c r="K10" s="224" t="s">
        <v>294</v>
      </c>
      <c r="L10" s="224"/>
      <c r="M10" s="224"/>
      <c r="N10" s="270"/>
      <c r="O10" s="270"/>
      <c r="P10" s="224"/>
      <c r="Q10" s="224"/>
      <c r="R10" s="224"/>
    </row>
    <row r="11" spans="1:18" ht="105" x14ac:dyDescent="0.25">
      <c r="A11" s="275"/>
      <c r="B11" s="275"/>
      <c r="C11" s="254"/>
      <c r="D11" s="224"/>
      <c r="E11" s="224"/>
      <c r="F11" s="99" t="s">
        <v>259</v>
      </c>
      <c r="G11" s="99" t="s">
        <v>260</v>
      </c>
      <c r="H11" s="224"/>
      <c r="I11" s="224"/>
      <c r="J11" s="224"/>
      <c r="K11" s="99" t="s">
        <v>264</v>
      </c>
      <c r="L11" s="99" t="s">
        <v>303</v>
      </c>
      <c r="M11" s="99" t="s">
        <v>260</v>
      </c>
      <c r="N11" s="99" t="s">
        <v>965</v>
      </c>
      <c r="O11" s="99" t="s">
        <v>295</v>
      </c>
      <c r="P11" s="224"/>
      <c r="Q11" s="224"/>
      <c r="R11" s="224"/>
    </row>
    <row r="12" spans="1:18" ht="31.5" x14ac:dyDescent="0.25">
      <c r="A12" s="50" t="s">
        <v>2</v>
      </c>
      <c r="B12" s="195" t="s">
        <v>3</v>
      </c>
      <c r="C12" s="53">
        <v>11341.778899999999</v>
      </c>
      <c r="D12" s="53">
        <v>0</v>
      </c>
      <c r="E12" s="53">
        <v>14571.47585913</v>
      </c>
      <c r="F12" s="53">
        <v>11341.3279</v>
      </c>
      <c r="G12" s="53">
        <v>3230.1479591299999</v>
      </c>
      <c r="H12" s="53">
        <v>11293.00772704</v>
      </c>
      <c r="I12" s="53">
        <v>9.380198870000001</v>
      </c>
      <c r="J12" s="53">
        <v>14510.131513709999</v>
      </c>
      <c r="K12" s="53">
        <v>11286.989835079999</v>
      </c>
      <c r="L12" s="53">
        <v>0</v>
      </c>
      <c r="M12" s="53">
        <v>3223.1416786299997</v>
      </c>
      <c r="N12" s="53">
        <v>99.520884455514235</v>
      </c>
      <c r="O12" s="53">
        <v>99.783097226856228</v>
      </c>
      <c r="P12" s="53">
        <v>22.213042490928437</v>
      </c>
      <c r="Q12" s="53">
        <v>9.3769809100000003</v>
      </c>
      <c r="R12" s="53">
        <v>6.0211099199999794</v>
      </c>
    </row>
    <row r="13" spans="1:18" ht="15.75" x14ac:dyDescent="0.25">
      <c r="A13" s="57" t="s">
        <v>6</v>
      </c>
      <c r="B13" s="190" t="s">
        <v>7</v>
      </c>
      <c r="C13" s="61">
        <v>1702.3020000000001</v>
      </c>
      <c r="D13" s="61">
        <v>0</v>
      </c>
      <c r="E13" s="61">
        <v>1921.6006996299998</v>
      </c>
      <c r="F13" s="61">
        <v>1702.2058000000002</v>
      </c>
      <c r="G13" s="61">
        <v>219.39489962999997</v>
      </c>
      <c r="H13" s="61">
        <v>1662.8297045100001</v>
      </c>
      <c r="I13" s="61">
        <v>1.3703662599999999</v>
      </c>
      <c r="J13" s="61">
        <v>1878.4939131799999</v>
      </c>
      <c r="K13" s="61">
        <v>1661.5161163200003</v>
      </c>
      <c r="L13" s="61">
        <v>0</v>
      </c>
      <c r="M13" s="61">
        <v>216.97779686000001</v>
      </c>
      <c r="N13" s="61">
        <v>97.609590821509357</v>
      </c>
      <c r="O13" s="61">
        <v>98.898286708544134</v>
      </c>
      <c r="P13" s="61">
        <v>11.550625495117529</v>
      </c>
      <c r="Q13" s="61">
        <v>1.3671483</v>
      </c>
      <c r="R13" s="61">
        <v>1.3168061499999946</v>
      </c>
    </row>
    <row r="14" spans="1:18" ht="15.75" x14ac:dyDescent="0.25">
      <c r="A14" s="11" t="s">
        <v>9</v>
      </c>
      <c r="B14" s="189" t="s">
        <v>10</v>
      </c>
      <c r="C14" s="66">
        <v>26.108699999999999</v>
      </c>
      <c r="D14" s="66">
        <v>0</v>
      </c>
      <c r="E14" s="66">
        <v>27.482842999999999</v>
      </c>
      <c r="F14" s="66">
        <v>26.108699999999999</v>
      </c>
      <c r="G14" s="66">
        <v>1.3741429999999999</v>
      </c>
      <c r="H14" s="66">
        <v>26.108699999999999</v>
      </c>
      <c r="I14" s="66">
        <v>0</v>
      </c>
      <c r="J14" s="66">
        <v>27.482842999999999</v>
      </c>
      <c r="K14" s="66">
        <v>26.108699999999999</v>
      </c>
      <c r="L14" s="66">
        <v>0</v>
      </c>
      <c r="M14" s="66">
        <v>1.3741429999999999</v>
      </c>
      <c r="N14" s="67">
        <v>100</v>
      </c>
      <c r="O14" s="67">
        <v>100</v>
      </c>
      <c r="P14" s="67">
        <v>5.0000030928386847</v>
      </c>
      <c r="Q14" s="67">
        <v>0</v>
      </c>
      <c r="R14" s="67">
        <v>0</v>
      </c>
    </row>
    <row r="15" spans="1:18" ht="15.75" x14ac:dyDescent="0.25">
      <c r="A15" s="11" t="s">
        <v>12</v>
      </c>
      <c r="B15" s="189" t="s">
        <v>13</v>
      </c>
      <c r="C15" s="66">
        <v>257.35410000000002</v>
      </c>
      <c r="D15" s="66">
        <v>0</v>
      </c>
      <c r="E15" s="66">
        <v>270.89905299999998</v>
      </c>
      <c r="F15" s="66">
        <v>257.35410000000002</v>
      </c>
      <c r="G15" s="66">
        <v>13.544953</v>
      </c>
      <c r="H15" s="66">
        <v>257.35410000000002</v>
      </c>
      <c r="I15" s="66">
        <v>0</v>
      </c>
      <c r="J15" s="66">
        <v>270.89905299999998</v>
      </c>
      <c r="K15" s="66">
        <v>257.35410000000002</v>
      </c>
      <c r="L15" s="66">
        <v>0</v>
      </c>
      <c r="M15" s="66">
        <v>13.544953</v>
      </c>
      <c r="N15" s="67">
        <v>100</v>
      </c>
      <c r="O15" s="67">
        <v>100</v>
      </c>
      <c r="P15" s="67">
        <v>5.0000001291994183</v>
      </c>
      <c r="Q15" s="67">
        <v>0</v>
      </c>
      <c r="R15" s="67">
        <v>0</v>
      </c>
    </row>
    <row r="16" spans="1:18" ht="15.75" x14ac:dyDescent="0.25">
      <c r="A16" s="11" t="s">
        <v>15</v>
      </c>
      <c r="B16" s="189" t="s">
        <v>16</v>
      </c>
      <c r="C16" s="66">
        <v>74.855099999999993</v>
      </c>
      <c r="D16" s="66">
        <v>0</v>
      </c>
      <c r="E16" s="66">
        <v>78.794899999999998</v>
      </c>
      <c r="F16" s="66">
        <v>74.855099999999993</v>
      </c>
      <c r="G16" s="66">
        <v>3.9398</v>
      </c>
      <c r="H16" s="66">
        <v>74.855099999999993</v>
      </c>
      <c r="I16" s="66">
        <v>0</v>
      </c>
      <c r="J16" s="66">
        <v>78.794899999999998</v>
      </c>
      <c r="K16" s="66">
        <v>74.855099999999993</v>
      </c>
      <c r="L16" s="66">
        <v>0</v>
      </c>
      <c r="M16" s="66">
        <v>3.9398</v>
      </c>
      <c r="N16" s="67">
        <v>100</v>
      </c>
      <c r="O16" s="67">
        <v>100</v>
      </c>
      <c r="P16" s="67">
        <v>5.0000698014719225</v>
      </c>
      <c r="Q16" s="67">
        <v>0</v>
      </c>
      <c r="R16" s="67">
        <v>0</v>
      </c>
    </row>
    <row r="17" spans="1:18" ht="15.75" x14ac:dyDescent="0.25">
      <c r="A17" s="11" t="s">
        <v>18</v>
      </c>
      <c r="B17" s="189" t="s">
        <v>19</v>
      </c>
      <c r="C17" s="66">
        <v>53.833199999999998</v>
      </c>
      <c r="D17" s="66">
        <v>0</v>
      </c>
      <c r="E17" s="66">
        <v>56.7072</v>
      </c>
      <c r="F17" s="66">
        <v>53.833199999999998</v>
      </c>
      <c r="G17" s="66">
        <v>2.8740000000000001</v>
      </c>
      <c r="H17" s="66">
        <v>23.153761979999999</v>
      </c>
      <c r="I17" s="66">
        <v>0</v>
      </c>
      <c r="J17" s="66">
        <v>23.304676000000001</v>
      </c>
      <c r="K17" s="66">
        <v>22.123562379999999</v>
      </c>
      <c r="L17" s="66">
        <v>0</v>
      </c>
      <c r="M17" s="66">
        <v>1.1811136200000001</v>
      </c>
      <c r="N17" s="67">
        <v>41.096502492885435</v>
      </c>
      <c r="O17" s="67">
        <v>41.09650730688935</v>
      </c>
      <c r="P17" s="67">
        <v>5.0681400591023023</v>
      </c>
      <c r="Q17" s="67">
        <v>0</v>
      </c>
      <c r="R17" s="67">
        <v>1.0301995999999995</v>
      </c>
    </row>
    <row r="18" spans="1:18" ht="15.75" x14ac:dyDescent="0.25">
      <c r="A18" s="11" t="s">
        <v>21</v>
      </c>
      <c r="B18" s="189" t="s">
        <v>22</v>
      </c>
      <c r="C18" s="66">
        <v>57.719200000000001</v>
      </c>
      <c r="D18" s="66">
        <v>0</v>
      </c>
      <c r="E18" s="66">
        <v>60.757052630000004</v>
      </c>
      <c r="F18" s="66">
        <v>57.719200000000001</v>
      </c>
      <c r="G18" s="66">
        <v>3.0378526299999997</v>
      </c>
      <c r="H18" s="66">
        <v>57.719200000000001</v>
      </c>
      <c r="I18" s="66">
        <v>0.66927300000000001</v>
      </c>
      <c r="J18" s="66">
        <v>60.757052630000004</v>
      </c>
      <c r="K18" s="66">
        <v>57.719200000000001</v>
      </c>
      <c r="L18" s="66">
        <v>0</v>
      </c>
      <c r="M18" s="66">
        <v>3.0378526299999997</v>
      </c>
      <c r="N18" s="67">
        <v>100</v>
      </c>
      <c r="O18" s="67">
        <v>100</v>
      </c>
      <c r="P18" s="67">
        <v>4.99999999753115</v>
      </c>
      <c r="Q18" s="67">
        <v>0.66927300000000001</v>
      </c>
      <c r="R18" s="67">
        <v>-3.1086244689504383E-15</v>
      </c>
    </row>
    <row r="19" spans="1:18" ht="15.75" x14ac:dyDescent="0.25">
      <c r="A19" s="11" t="s">
        <v>24</v>
      </c>
      <c r="B19" s="189" t="s">
        <v>25</v>
      </c>
      <c r="C19" s="66">
        <v>70.4679</v>
      </c>
      <c r="D19" s="66">
        <v>0</v>
      </c>
      <c r="E19" s="66">
        <v>79.177899999999994</v>
      </c>
      <c r="F19" s="66">
        <v>70.4679</v>
      </c>
      <c r="G19" s="66">
        <v>8.7100000000000009</v>
      </c>
      <c r="H19" s="66">
        <v>70.4679</v>
      </c>
      <c r="I19" s="66">
        <v>0</v>
      </c>
      <c r="J19" s="66">
        <v>79.177899999999994</v>
      </c>
      <c r="K19" s="66">
        <v>70.4679</v>
      </c>
      <c r="L19" s="66">
        <v>0</v>
      </c>
      <c r="M19" s="66">
        <v>8.7100000000000009</v>
      </c>
      <c r="N19" s="67">
        <v>100</v>
      </c>
      <c r="O19" s="67">
        <v>100</v>
      </c>
      <c r="P19" s="67">
        <v>11.000544343813111</v>
      </c>
      <c r="Q19" s="67">
        <v>0</v>
      </c>
      <c r="R19" s="67">
        <v>0</v>
      </c>
    </row>
    <row r="20" spans="1:18" ht="15.75" x14ac:dyDescent="0.25">
      <c r="A20" s="11" t="s">
        <v>27</v>
      </c>
      <c r="B20" s="189" t="s">
        <v>28</v>
      </c>
      <c r="C20" s="66">
        <v>65.410899999999998</v>
      </c>
      <c r="D20" s="66">
        <v>0</v>
      </c>
      <c r="E20" s="66">
        <v>68.853899999999996</v>
      </c>
      <c r="F20" s="66">
        <v>65.410899999999998</v>
      </c>
      <c r="G20" s="66">
        <v>3.4430000000000001</v>
      </c>
      <c r="H20" s="66">
        <v>65.410899999999998</v>
      </c>
      <c r="I20" s="66">
        <v>0</v>
      </c>
      <c r="J20" s="66">
        <v>68.853578949999999</v>
      </c>
      <c r="K20" s="66">
        <v>65.410595000000001</v>
      </c>
      <c r="L20" s="66">
        <v>0</v>
      </c>
      <c r="M20" s="66">
        <v>3.4429839500000003</v>
      </c>
      <c r="N20" s="67">
        <v>99.999533716857599</v>
      </c>
      <c r="O20" s="67">
        <v>99.999533836770269</v>
      </c>
      <c r="P20" s="67">
        <v>5.0004429726161685</v>
      </c>
      <c r="Q20" s="67">
        <v>0</v>
      </c>
      <c r="R20" s="67">
        <v>3.0499999999733518E-4</v>
      </c>
    </row>
    <row r="21" spans="1:18" ht="15.75" x14ac:dyDescent="0.25">
      <c r="A21" s="11" t="s">
        <v>30</v>
      </c>
      <c r="B21" s="189" t="s">
        <v>31</v>
      </c>
      <c r="C21" s="66">
        <v>11.1434</v>
      </c>
      <c r="D21" s="66">
        <v>0</v>
      </c>
      <c r="E21" s="66">
        <v>11.729895000000001</v>
      </c>
      <c r="F21" s="66">
        <v>11.1434</v>
      </c>
      <c r="G21" s="66">
        <v>0.58649499999999999</v>
      </c>
      <c r="H21" s="66">
        <v>3.3080975000000001</v>
      </c>
      <c r="I21" s="66">
        <v>0</v>
      </c>
      <c r="J21" s="66">
        <v>3.482208</v>
      </c>
      <c r="K21" s="66">
        <v>3.3080975000000001</v>
      </c>
      <c r="L21" s="66">
        <v>0</v>
      </c>
      <c r="M21" s="66">
        <v>0.1741105</v>
      </c>
      <c r="N21" s="67">
        <v>29.686608216522785</v>
      </c>
      <c r="O21" s="67">
        <v>29.686612844099269</v>
      </c>
      <c r="P21" s="67">
        <v>5.000002871741148</v>
      </c>
      <c r="Q21" s="67">
        <v>0</v>
      </c>
      <c r="R21" s="67">
        <v>0</v>
      </c>
    </row>
    <row r="22" spans="1:18" ht="15.75" x14ac:dyDescent="0.25">
      <c r="A22" s="11" t="s">
        <v>33</v>
      </c>
      <c r="B22" s="189" t="s">
        <v>34</v>
      </c>
      <c r="C22" s="66">
        <v>8.81</v>
      </c>
      <c r="D22" s="66">
        <v>0</v>
      </c>
      <c r="E22" s="66">
        <v>9.5760869999999993</v>
      </c>
      <c r="F22" s="66">
        <v>8.81</v>
      </c>
      <c r="G22" s="66">
        <v>0.76608699999999996</v>
      </c>
      <c r="H22" s="66">
        <v>8.8099994400000003</v>
      </c>
      <c r="I22" s="66">
        <v>0</v>
      </c>
      <c r="J22" s="66">
        <v>9.5760864399999992</v>
      </c>
      <c r="K22" s="66">
        <v>8.8099994400000003</v>
      </c>
      <c r="L22" s="66">
        <v>0</v>
      </c>
      <c r="M22" s="66">
        <v>0.76608699999999996</v>
      </c>
      <c r="N22" s="67">
        <v>99.999993643586834</v>
      </c>
      <c r="O22" s="67">
        <v>100</v>
      </c>
      <c r="P22" s="67">
        <v>8.0000008855392082</v>
      </c>
      <c r="Q22" s="67">
        <v>0</v>
      </c>
      <c r="R22" s="67">
        <v>0</v>
      </c>
    </row>
    <row r="23" spans="1:18" ht="15.75" x14ac:dyDescent="0.25">
      <c r="A23" s="11" t="s">
        <v>36</v>
      </c>
      <c r="B23" s="189" t="s">
        <v>37</v>
      </c>
      <c r="C23" s="66">
        <v>168.2978</v>
      </c>
      <c r="D23" s="66">
        <v>0</v>
      </c>
      <c r="E23" s="66">
        <v>186.99780000000001</v>
      </c>
      <c r="F23" s="66">
        <v>168.2978</v>
      </c>
      <c r="G23" s="66">
        <v>18.7</v>
      </c>
      <c r="H23" s="66">
        <v>168.2978</v>
      </c>
      <c r="I23" s="66">
        <v>0</v>
      </c>
      <c r="J23" s="66">
        <v>186.68326299</v>
      </c>
      <c r="K23" s="66">
        <v>168.01471641000001</v>
      </c>
      <c r="L23" s="66">
        <v>0</v>
      </c>
      <c r="M23" s="66">
        <v>18.668546579999997</v>
      </c>
      <c r="N23" s="67">
        <v>99.831796024665806</v>
      </c>
      <c r="O23" s="67">
        <v>99.831799893048128</v>
      </c>
      <c r="P23" s="67">
        <v>10.000117997187573</v>
      </c>
      <c r="Q23" s="67">
        <v>0</v>
      </c>
      <c r="R23" s="67">
        <v>0.28308358999998973</v>
      </c>
    </row>
    <row r="24" spans="1:18" ht="15.75" x14ac:dyDescent="0.25">
      <c r="A24" s="11" t="s">
        <v>39</v>
      </c>
      <c r="B24" s="189" t="s">
        <v>297</v>
      </c>
      <c r="C24" s="66">
        <v>9.6199999999999994E-2</v>
      </c>
      <c r="D24" s="66">
        <v>0</v>
      </c>
      <c r="E24" s="66">
        <v>0</v>
      </c>
      <c r="F24" s="66">
        <v>0</v>
      </c>
      <c r="G24" s="66">
        <v>0</v>
      </c>
      <c r="H24" s="66">
        <v>0</v>
      </c>
      <c r="I24" s="66">
        <v>0</v>
      </c>
      <c r="J24" s="66">
        <v>0</v>
      </c>
      <c r="K24" s="66">
        <v>0</v>
      </c>
      <c r="L24" s="66">
        <v>0</v>
      </c>
      <c r="M24" s="66">
        <v>0</v>
      </c>
      <c r="N24" s="67" t="s">
        <v>1094</v>
      </c>
      <c r="O24" s="67" t="s">
        <v>1094</v>
      </c>
      <c r="P24" s="67">
        <v>0</v>
      </c>
      <c r="Q24" s="67">
        <v>0</v>
      </c>
      <c r="R24" s="67">
        <v>0</v>
      </c>
    </row>
    <row r="25" spans="1:18" ht="15.75" x14ac:dyDescent="0.25">
      <c r="A25" s="11" t="s">
        <v>41</v>
      </c>
      <c r="B25" s="189" t="s">
        <v>42</v>
      </c>
      <c r="C25" s="66">
        <v>279.3596</v>
      </c>
      <c r="D25" s="66">
        <v>0</v>
      </c>
      <c r="E25" s="66">
        <v>294.06273700000003</v>
      </c>
      <c r="F25" s="66">
        <v>279.3596</v>
      </c>
      <c r="G25" s="66">
        <v>14.703137</v>
      </c>
      <c r="H25" s="66">
        <v>279.3596</v>
      </c>
      <c r="I25" s="66">
        <v>0</v>
      </c>
      <c r="J25" s="66">
        <v>294.06273700000003</v>
      </c>
      <c r="K25" s="66">
        <v>279.3596</v>
      </c>
      <c r="L25" s="66">
        <v>0</v>
      </c>
      <c r="M25" s="66">
        <v>14.703137</v>
      </c>
      <c r="N25" s="67">
        <v>100</v>
      </c>
      <c r="O25" s="67">
        <v>100</v>
      </c>
      <c r="P25" s="67">
        <v>5.0000000510095228</v>
      </c>
      <c r="Q25" s="67">
        <v>0</v>
      </c>
      <c r="R25" s="67">
        <v>0</v>
      </c>
    </row>
    <row r="26" spans="1:18" ht="15.75" x14ac:dyDescent="0.25">
      <c r="A26" s="11" t="s">
        <v>44</v>
      </c>
      <c r="B26" s="189" t="s">
        <v>45</v>
      </c>
      <c r="C26" s="66">
        <v>196.62899999999999</v>
      </c>
      <c r="D26" s="66">
        <v>0</v>
      </c>
      <c r="E26" s="66">
        <v>252.12899999999999</v>
      </c>
      <c r="F26" s="66">
        <v>196.62899999999999</v>
      </c>
      <c r="G26" s="66">
        <v>55.5</v>
      </c>
      <c r="H26" s="66">
        <v>196.62899999999999</v>
      </c>
      <c r="I26" s="66">
        <v>0</v>
      </c>
      <c r="J26" s="66">
        <v>252.12899999999999</v>
      </c>
      <c r="K26" s="66">
        <v>196.62899999999999</v>
      </c>
      <c r="L26" s="66">
        <v>0</v>
      </c>
      <c r="M26" s="66">
        <v>55.5</v>
      </c>
      <c r="N26" s="67">
        <v>100</v>
      </c>
      <c r="O26" s="67">
        <v>100</v>
      </c>
      <c r="P26" s="67">
        <v>22.012541199148057</v>
      </c>
      <c r="Q26" s="67">
        <v>0</v>
      </c>
      <c r="R26" s="67">
        <v>0</v>
      </c>
    </row>
    <row r="27" spans="1:18" ht="15.75" x14ac:dyDescent="0.25">
      <c r="A27" s="11" t="s">
        <v>47</v>
      </c>
      <c r="B27" s="189" t="s">
        <v>48</v>
      </c>
      <c r="C27" s="66">
        <v>90.076700000000002</v>
      </c>
      <c r="D27" s="66">
        <v>0</v>
      </c>
      <c r="E27" s="66">
        <v>101.0767</v>
      </c>
      <c r="F27" s="66">
        <v>90.076700000000002</v>
      </c>
      <c r="G27" s="66">
        <v>11</v>
      </c>
      <c r="H27" s="66">
        <v>90.076700000000002</v>
      </c>
      <c r="I27" s="66">
        <v>0</v>
      </c>
      <c r="J27" s="66">
        <v>101.0767</v>
      </c>
      <c r="K27" s="66">
        <v>90.076700000000002</v>
      </c>
      <c r="L27" s="66">
        <v>0</v>
      </c>
      <c r="M27" s="66">
        <v>11</v>
      </c>
      <c r="N27" s="67">
        <v>100</v>
      </c>
      <c r="O27" s="67">
        <v>100</v>
      </c>
      <c r="P27" s="67">
        <v>10.882824627238524</v>
      </c>
      <c r="Q27" s="67">
        <v>0</v>
      </c>
      <c r="R27" s="67">
        <v>0</v>
      </c>
    </row>
    <row r="28" spans="1:18" ht="15.75" x14ac:dyDescent="0.25">
      <c r="A28" s="11" t="s">
        <v>50</v>
      </c>
      <c r="B28" s="189" t="s">
        <v>51</v>
      </c>
      <c r="C28" s="66">
        <v>11.8148</v>
      </c>
      <c r="D28" s="66">
        <v>0</v>
      </c>
      <c r="E28" s="66">
        <v>12.436631999999999</v>
      </c>
      <c r="F28" s="66">
        <v>11.8148</v>
      </c>
      <c r="G28" s="66">
        <v>0.62183200000000005</v>
      </c>
      <c r="H28" s="66">
        <v>11.8148</v>
      </c>
      <c r="I28" s="66">
        <v>0.22108142</v>
      </c>
      <c r="J28" s="66">
        <v>12.436631999999999</v>
      </c>
      <c r="K28" s="66">
        <v>11.8148</v>
      </c>
      <c r="L28" s="66">
        <v>0</v>
      </c>
      <c r="M28" s="66">
        <v>0.62183200000000005</v>
      </c>
      <c r="N28" s="67">
        <v>100</v>
      </c>
      <c r="O28" s="67">
        <v>100</v>
      </c>
      <c r="P28" s="67">
        <v>5.0000032163048651</v>
      </c>
      <c r="Q28" s="67">
        <v>0.21786345999999998</v>
      </c>
      <c r="R28" s="67">
        <v>3.2179600000008801E-3</v>
      </c>
    </row>
    <row r="29" spans="1:18" ht="15.75" x14ac:dyDescent="0.25">
      <c r="A29" s="11" t="s">
        <v>53</v>
      </c>
      <c r="B29" s="189" t="s">
        <v>54</v>
      </c>
      <c r="C29" s="66">
        <v>110.68089999999999</v>
      </c>
      <c r="D29" s="66">
        <v>0</v>
      </c>
      <c r="E29" s="66">
        <v>147.5745</v>
      </c>
      <c r="F29" s="66">
        <v>110.68089999999999</v>
      </c>
      <c r="G29" s="66">
        <v>36.893599999999999</v>
      </c>
      <c r="H29" s="66">
        <v>109.83971285</v>
      </c>
      <c r="I29" s="66">
        <v>0.40975084000000001</v>
      </c>
      <c r="J29" s="66">
        <v>146.45295046000001</v>
      </c>
      <c r="K29" s="66">
        <v>109.83971285</v>
      </c>
      <c r="L29" s="66">
        <v>0</v>
      </c>
      <c r="M29" s="66">
        <v>36.613237609999999</v>
      </c>
      <c r="N29" s="67">
        <v>99.239988877936483</v>
      </c>
      <c r="O29" s="67">
        <v>99.240078523104273</v>
      </c>
      <c r="P29" s="67">
        <v>24.999999996585931</v>
      </c>
      <c r="Q29" s="67">
        <v>0.40975084000000001</v>
      </c>
      <c r="R29" s="67">
        <v>9.4368957093138306E-16</v>
      </c>
    </row>
    <row r="30" spans="1:18" ht="15.75" x14ac:dyDescent="0.25">
      <c r="A30" s="11" t="s">
        <v>56</v>
      </c>
      <c r="B30" s="189" t="s">
        <v>57</v>
      </c>
      <c r="C30" s="66">
        <v>157.02959999999999</v>
      </c>
      <c r="D30" s="66">
        <v>0</v>
      </c>
      <c r="E30" s="66">
        <v>169.2296</v>
      </c>
      <c r="F30" s="66">
        <v>157.02959999999999</v>
      </c>
      <c r="G30" s="66">
        <v>12.2</v>
      </c>
      <c r="H30" s="66">
        <v>157.00943303</v>
      </c>
      <c r="I30" s="66">
        <v>1.8030999999999998E-2</v>
      </c>
      <c r="J30" s="66">
        <v>169.20943299999999</v>
      </c>
      <c r="K30" s="66">
        <v>157.00943303</v>
      </c>
      <c r="L30" s="66">
        <v>0</v>
      </c>
      <c r="M30" s="66">
        <v>12.19999997</v>
      </c>
      <c r="N30" s="67">
        <v>99.987157217492765</v>
      </c>
      <c r="O30" s="67">
        <v>99.999999754098368</v>
      </c>
      <c r="P30" s="67">
        <v>7.2099999117661486</v>
      </c>
      <c r="Q30" s="67">
        <v>1.8030999999999998E-2</v>
      </c>
      <c r="R30" s="67">
        <v>7.6813555516253018E-15</v>
      </c>
    </row>
    <row r="31" spans="1:18" ht="15.75" x14ac:dyDescent="0.25">
      <c r="A31" s="11" t="s">
        <v>59</v>
      </c>
      <c r="B31" s="189" t="s">
        <v>60</v>
      </c>
      <c r="C31" s="66">
        <v>62.614899999999999</v>
      </c>
      <c r="D31" s="66">
        <v>0</v>
      </c>
      <c r="E31" s="66">
        <v>94.114900000000006</v>
      </c>
      <c r="F31" s="66">
        <v>62.614899999999999</v>
      </c>
      <c r="G31" s="66">
        <v>31.5</v>
      </c>
      <c r="H31" s="66">
        <v>62.614899710000003</v>
      </c>
      <c r="I31" s="66">
        <v>5.2229999999999999E-2</v>
      </c>
      <c r="J31" s="66">
        <v>94.114899709999989</v>
      </c>
      <c r="K31" s="66">
        <v>62.614899710000003</v>
      </c>
      <c r="L31" s="66">
        <v>0</v>
      </c>
      <c r="M31" s="66">
        <v>31.5</v>
      </c>
      <c r="N31" s="67">
        <v>99.999999536851462</v>
      </c>
      <c r="O31" s="67">
        <v>100</v>
      </c>
      <c r="P31" s="67">
        <v>33.46972700078544</v>
      </c>
      <c r="Q31" s="67">
        <v>5.2229999999999999E-2</v>
      </c>
      <c r="R31" s="67">
        <v>1.5543122344752192E-15</v>
      </c>
    </row>
    <row r="32" spans="1:18" ht="15.75" x14ac:dyDescent="0.25">
      <c r="A32" s="57" t="s">
        <v>62</v>
      </c>
      <c r="B32" s="190" t="s">
        <v>63</v>
      </c>
      <c r="C32" s="61">
        <v>380.6223</v>
      </c>
      <c r="D32" s="61">
        <v>0</v>
      </c>
      <c r="E32" s="61">
        <v>537.25724999999989</v>
      </c>
      <c r="F32" s="61">
        <v>380.6223</v>
      </c>
      <c r="G32" s="61">
        <v>156.63495</v>
      </c>
      <c r="H32" s="61">
        <v>380.58553811000002</v>
      </c>
      <c r="I32" s="61">
        <v>0</v>
      </c>
      <c r="J32" s="61">
        <v>537.21219861999998</v>
      </c>
      <c r="K32" s="61">
        <v>380.58223894999998</v>
      </c>
      <c r="L32" s="61">
        <v>0</v>
      </c>
      <c r="M32" s="61">
        <v>156.62995967000001</v>
      </c>
      <c r="N32" s="61">
        <v>99.989474854731313</v>
      </c>
      <c r="O32" s="61">
        <v>99.996814037990887</v>
      </c>
      <c r="P32" s="61">
        <v>29.156069067745253</v>
      </c>
      <c r="Q32" s="61">
        <v>0</v>
      </c>
      <c r="R32" s="61">
        <v>3.2991599999991905E-3</v>
      </c>
    </row>
    <row r="33" spans="1:18" ht="15.75" x14ac:dyDescent="0.25">
      <c r="A33" s="11" t="s">
        <v>65</v>
      </c>
      <c r="B33" s="189" t="s">
        <v>66</v>
      </c>
      <c r="C33" s="66">
        <v>10.465199999999999</v>
      </c>
      <c r="D33" s="66">
        <v>0</v>
      </c>
      <c r="E33" s="66">
        <v>11.016</v>
      </c>
      <c r="F33" s="66">
        <v>10.465199999999999</v>
      </c>
      <c r="G33" s="66">
        <v>0.55079999999999996</v>
      </c>
      <c r="H33" s="66">
        <v>10.46519971</v>
      </c>
      <c r="I33" s="66">
        <v>0</v>
      </c>
      <c r="J33" s="66">
        <v>11.01252691</v>
      </c>
      <c r="K33" s="66">
        <v>10.461900550000001</v>
      </c>
      <c r="L33" s="66">
        <v>0</v>
      </c>
      <c r="M33" s="66">
        <v>0.55062635999999998</v>
      </c>
      <c r="N33" s="67">
        <v>99.968472174444841</v>
      </c>
      <c r="O33" s="67">
        <v>99.968474945533771</v>
      </c>
      <c r="P33" s="67">
        <v>5.0000001316682363</v>
      </c>
      <c r="Q33" s="67">
        <v>0</v>
      </c>
      <c r="R33" s="67">
        <v>3.2991599999991905E-3</v>
      </c>
    </row>
    <row r="34" spans="1:18" ht="15.75" x14ac:dyDescent="0.25">
      <c r="A34" s="11" t="s">
        <v>68</v>
      </c>
      <c r="B34" s="189" t="s">
        <v>69</v>
      </c>
      <c r="C34" s="66">
        <v>8.1283999999999992</v>
      </c>
      <c r="D34" s="66">
        <v>0</v>
      </c>
      <c r="E34" s="66">
        <v>17.770399999999999</v>
      </c>
      <c r="F34" s="66">
        <v>8.1283999999999992</v>
      </c>
      <c r="G34" s="66">
        <v>9.6419999999999995</v>
      </c>
      <c r="H34" s="66">
        <v>8.1283999999999992</v>
      </c>
      <c r="I34" s="66">
        <v>0</v>
      </c>
      <c r="J34" s="66">
        <v>17.770399999999999</v>
      </c>
      <c r="K34" s="66">
        <v>8.1283999999999992</v>
      </c>
      <c r="L34" s="66">
        <v>0</v>
      </c>
      <c r="M34" s="66">
        <v>9.6419999999999995</v>
      </c>
      <c r="N34" s="67">
        <v>100</v>
      </c>
      <c r="O34" s="67">
        <v>100</v>
      </c>
      <c r="P34" s="67">
        <v>54.258767388466211</v>
      </c>
      <c r="Q34" s="67">
        <v>0</v>
      </c>
      <c r="R34" s="67">
        <v>0</v>
      </c>
    </row>
    <row r="35" spans="1:18" ht="15.75" x14ac:dyDescent="0.25">
      <c r="A35" s="11" t="s">
        <v>71</v>
      </c>
      <c r="B35" s="189" t="s">
        <v>72</v>
      </c>
      <c r="C35" s="66">
        <v>20.464600000000001</v>
      </c>
      <c r="D35" s="66">
        <v>0</v>
      </c>
      <c r="E35" s="66">
        <v>22.743600000000001</v>
      </c>
      <c r="F35" s="66">
        <v>20.464600000000001</v>
      </c>
      <c r="G35" s="66">
        <v>2.2789999999999999</v>
      </c>
      <c r="H35" s="66">
        <v>20.427838399999999</v>
      </c>
      <c r="I35" s="66">
        <v>0</v>
      </c>
      <c r="J35" s="66">
        <v>22.702744429999999</v>
      </c>
      <c r="K35" s="66">
        <v>20.427838399999999</v>
      </c>
      <c r="L35" s="66">
        <v>0</v>
      </c>
      <c r="M35" s="66">
        <v>2.2749060299999999</v>
      </c>
      <c r="N35" s="67">
        <v>99.820364922842359</v>
      </c>
      <c r="O35" s="67">
        <v>99.820361123299691</v>
      </c>
      <c r="P35" s="67">
        <v>10.020401000479394</v>
      </c>
      <c r="Q35" s="67">
        <v>0</v>
      </c>
      <c r="R35" s="67">
        <v>0</v>
      </c>
    </row>
    <row r="36" spans="1:18" ht="15.75" x14ac:dyDescent="0.25">
      <c r="A36" s="11" t="s">
        <v>74</v>
      </c>
      <c r="B36" s="189" t="s">
        <v>298</v>
      </c>
      <c r="C36" s="66">
        <v>0</v>
      </c>
      <c r="D36" s="66">
        <v>0</v>
      </c>
      <c r="E36" s="66">
        <v>0</v>
      </c>
      <c r="F36" s="66">
        <v>0</v>
      </c>
      <c r="G36" s="66">
        <v>0</v>
      </c>
      <c r="H36" s="66">
        <v>0</v>
      </c>
      <c r="I36" s="66">
        <v>0</v>
      </c>
      <c r="J36" s="66">
        <v>0</v>
      </c>
      <c r="K36" s="66">
        <v>0</v>
      </c>
      <c r="L36" s="66">
        <v>0</v>
      </c>
      <c r="M36" s="66">
        <v>0</v>
      </c>
      <c r="N36" s="67" t="s">
        <v>1094</v>
      </c>
      <c r="O36" s="67" t="s">
        <v>1094</v>
      </c>
      <c r="P36" s="67">
        <v>0</v>
      </c>
      <c r="Q36" s="67">
        <v>0</v>
      </c>
      <c r="R36" s="67">
        <v>0</v>
      </c>
    </row>
    <row r="37" spans="1:18" ht="15.75" x14ac:dyDescent="0.25">
      <c r="A37" s="11" t="s">
        <v>76</v>
      </c>
      <c r="B37" s="189" t="s">
        <v>77</v>
      </c>
      <c r="C37" s="66">
        <v>96.408799999999999</v>
      </c>
      <c r="D37" s="66">
        <v>0</v>
      </c>
      <c r="E37" s="66">
        <v>101.48295</v>
      </c>
      <c r="F37" s="66">
        <v>96.408799999999999</v>
      </c>
      <c r="G37" s="66">
        <v>5.0741500000000004</v>
      </c>
      <c r="H37" s="66">
        <v>96.408799999999999</v>
      </c>
      <c r="I37" s="66">
        <v>0</v>
      </c>
      <c r="J37" s="66">
        <v>101.4829495</v>
      </c>
      <c r="K37" s="66">
        <v>96.408799999999999</v>
      </c>
      <c r="L37" s="66">
        <v>0</v>
      </c>
      <c r="M37" s="66">
        <v>5.0741494999999999</v>
      </c>
      <c r="N37" s="67">
        <v>100</v>
      </c>
      <c r="O37" s="67">
        <v>99.999990146132845</v>
      </c>
      <c r="P37" s="67">
        <v>5.0000019954090904</v>
      </c>
      <c r="Q37" s="67">
        <v>0</v>
      </c>
      <c r="R37" s="67">
        <v>0</v>
      </c>
    </row>
    <row r="38" spans="1:18" ht="15.75" x14ac:dyDescent="0.25">
      <c r="A38" s="11" t="s">
        <v>79</v>
      </c>
      <c r="B38" s="189" t="s">
        <v>80</v>
      </c>
      <c r="C38" s="66">
        <v>58.806100000000001</v>
      </c>
      <c r="D38" s="66">
        <v>0</v>
      </c>
      <c r="E38" s="66">
        <v>163.80609999999999</v>
      </c>
      <c r="F38" s="66">
        <v>58.806100000000001</v>
      </c>
      <c r="G38" s="66">
        <v>105</v>
      </c>
      <c r="H38" s="66">
        <v>58.806100000000001</v>
      </c>
      <c r="I38" s="66">
        <v>0</v>
      </c>
      <c r="J38" s="66">
        <v>163.80609999999999</v>
      </c>
      <c r="K38" s="66">
        <v>58.806100000000001</v>
      </c>
      <c r="L38" s="66">
        <v>0</v>
      </c>
      <c r="M38" s="66">
        <v>105</v>
      </c>
      <c r="N38" s="67">
        <v>100</v>
      </c>
      <c r="O38" s="67">
        <v>100</v>
      </c>
      <c r="P38" s="67">
        <v>64.10017697753625</v>
      </c>
      <c r="Q38" s="67">
        <v>0</v>
      </c>
      <c r="R38" s="67">
        <v>0</v>
      </c>
    </row>
    <row r="39" spans="1:18" ht="15.75" x14ac:dyDescent="0.25">
      <c r="A39" s="11" t="s">
        <v>82</v>
      </c>
      <c r="B39" s="189" t="s">
        <v>83</v>
      </c>
      <c r="C39" s="66">
        <v>68.843500000000006</v>
      </c>
      <c r="D39" s="66">
        <v>0</v>
      </c>
      <c r="E39" s="66">
        <v>76.493499999999997</v>
      </c>
      <c r="F39" s="66">
        <v>68.843500000000006</v>
      </c>
      <c r="G39" s="66">
        <v>7.65</v>
      </c>
      <c r="H39" s="66">
        <v>68.843500000000006</v>
      </c>
      <c r="I39" s="66">
        <v>0</v>
      </c>
      <c r="J39" s="66">
        <v>76.492777779999997</v>
      </c>
      <c r="K39" s="66">
        <v>68.843500000000006</v>
      </c>
      <c r="L39" s="66">
        <v>0</v>
      </c>
      <c r="M39" s="66">
        <v>7.6492777800000002</v>
      </c>
      <c r="N39" s="67">
        <v>100</v>
      </c>
      <c r="O39" s="67">
        <v>99.990559215686275</v>
      </c>
      <c r="P39" s="67">
        <v>10.000000002614627</v>
      </c>
      <c r="Q39" s="67">
        <v>0</v>
      </c>
      <c r="R39" s="67">
        <v>0</v>
      </c>
    </row>
    <row r="40" spans="1:18" ht="15.75" x14ac:dyDescent="0.25">
      <c r="A40" s="11" t="s">
        <v>85</v>
      </c>
      <c r="B40" s="189" t="s">
        <v>299</v>
      </c>
      <c r="C40" s="66">
        <v>0</v>
      </c>
      <c r="D40" s="66">
        <v>0</v>
      </c>
      <c r="E40" s="66">
        <v>0</v>
      </c>
      <c r="F40" s="66">
        <v>0</v>
      </c>
      <c r="G40" s="66">
        <v>0</v>
      </c>
      <c r="H40" s="66">
        <v>0</v>
      </c>
      <c r="I40" s="66">
        <v>0</v>
      </c>
      <c r="J40" s="66">
        <v>0</v>
      </c>
      <c r="K40" s="66">
        <v>0</v>
      </c>
      <c r="L40" s="66">
        <v>0</v>
      </c>
      <c r="M40" s="66">
        <v>0</v>
      </c>
      <c r="N40" s="67" t="s">
        <v>1094</v>
      </c>
      <c r="O40" s="67" t="s">
        <v>1094</v>
      </c>
      <c r="P40" s="67">
        <v>0</v>
      </c>
      <c r="Q40" s="67">
        <v>0</v>
      </c>
      <c r="R40" s="67">
        <v>0</v>
      </c>
    </row>
    <row r="41" spans="1:18" ht="15.75" x14ac:dyDescent="0.25">
      <c r="A41" s="11" t="s">
        <v>87</v>
      </c>
      <c r="B41" s="189" t="s">
        <v>88</v>
      </c>
      <c r="C41" s="66">
        <v>1.2545999999999999</v>
      </c>
      <c r="D41" s="66">
        <v>0</v>
      </c>
      <c r="E41" s="66">
        <v>3.7545999999999999</v>
      </c>
      <c r="F41" s="66">
        <v>1.2545999999999999</v>
      </c>
      <c r="G41" s="66">
        <v>2.5</v>
      </c>
      <c r="H41" s="66">
        <v>1.2545999999999999</v>
      </c>
      <c r="I41" s="66">
        <v>0</v>
      </c>
      <c r="J41" s="66">
        <v>3.7545999999999999</v>
      </c>
      <c r="K41" s="66">
        <v>1.2545999999999999</v>
      </c>
      <c r="L41" s="66">
        <v>0</v>
      </c>
      <c r="M41" s="66">
        <v>2.5</v>
      </c>
      <c r="N41" s="67">
        <v>100</v>
      </c>
      <c r="O41" s="67">
        <v>100</v>
      </c>
      <c r="P41" s="67">
        <v>66.584989080061803</v>
      </c>
      <c r="Q41" s="67">
        <v>0</v>
      </c>
      <c r="R41" s="67">
        <v>0</v>
      </c>
    </row>
    <row r="42" spans="1:18" ht="15.75" x14ac:dyDescent="0.25">
      <c r="A42" s="11" t="s">
        <v>90</v>
      </c>
      <c r="B42" s="189" t="s">
        <v>91</v>
      </c>
      <c r="C42" s="66">
        <v>60.050699999999999</v>
      </c>
      <c r="D42" s="66">
        <v>0</v>
      </c>
      <c r="E42" s="66">
        <v>81.031700000000001</v>
      </c>
      <c r="F42" s="66">
        <v>60.050699999999999</v>
      </c>
      <c r="G42" s="66">
        <v>20.981000000000002</v>
      </c>
      <c r="H42" s="66">
        <v>60.050699999999999</v>
      </c>
      <c r="I42" s="66">
        <v>0</v>
      </c>
      <c r="J42" s="66">
        <v>81.031700000000001</v>
      </c>
      <c r="K42" s="66">
        <v>60.050699999999999</v>
      </c>
      <c r="L42" s="66">
        <v>0</v>
      </c>
      <c r="M42" s="66">
        <v>20.981000000000002</v>
      </c>
      <c r="N42" s="67">
        <v>100</v>
      </c>
      <c r="O42" s="67">
        <v>100</v>
      </c>
      <c r="P42" s="67">
        <v>25.892335962345602</v>
      </c>
      <c r="Q42" s="67">
        <v>0</v>
      </c>
      <c r="R42" s="67">
        <v>0</v>
      </c>
    </row>
    <row r="43" spans="1:18" ht="15.75" x14ac:dyDescent="0.25">
      <c r="A43" s="68">
        <v>32</v>
      </c>
      <c r="B43" s="189" t="s">
        <v>93</v>
      </c>
      <c r="C43" s="66">
        <v>56.200400000000002</v>
      </c>
      <c r="D43" s="66">
        <v>0</v>
      </c>
      <c r="E43" s="66">
        <v>59.1584</v>
      </c>
      <c r="F43" s="66">
        <v>56.200400000000002</v>
      </c>
      <c r="G43" s="66">
        <v>2.9580000000000002</v>
      </c>
      <c r="H43" s="66">
        <v>56.200400000000002</v>
      </c>
      <c r="I43" s="66">
        <v>0</v>
      </c>
      <c r="J43" s="66">
        <v>59.1584</v>
      </c>
      <c r="K43" s="66">
        <v>56.200400000000002</v>
      </c>
      <c r="L43" s="66">
        <v>0</v>
      </c>
      <c r="M43" s="66">
        <v>2.9580000000000002</v>
      </c>
      <c r="N43" s="67">
        <v>100</v>
      </c>
      <c r="O43" s="67">
        <v>100</v>
      </c>
      <c r="P43" s="67">
        <v>5.0001352301617352</v>
      </c>
      <c r="Q43" s="67">
        <v>0</v>
      </c>
      <c r="R43" s="67">
        <v>0</v>
      </c>
    </row>
    <row r="44" spans="1:18" ht="15.75" x14ac:dyDescent="0.25">
      <c r="A44" s="70">
        <v>33</v>
      </c>
      <c r="B44" s="191" t="s">
        <v>95</v>
      </c>
      <c r="C44" s="61">
        <v>1071.9822999999999</v>
      </c>
      <c r="D44" s="61">
        <v>0</v>
      </c>
      <c r="E44" s="61">
        <v>1128.4566217900001</v>
      </c>
      <c r="F44" s="61">
        <v>1071.9822999999999</v>
      </c>
      <c r="G44" s="61">
        <v>56.474321789999998</v>
      </c>
      <c r="H44" s="61">
        <v>1071.9822313599998</v>
      </c>
      <c r="I44" s="61">
        <v>0</v>
      </c>
      <c r="J44" s="61">
        <v>1128.4565495600002</v>
      </c>
      <c r="K44" s="61">
        <v>1071.9822313599998</v>
      </c>
      <c r="L44" s="61">
        <v>0</v>
      </c>
      <c r="M44" s="61">
        <v>56.474318199999999</v>
      </c>
      <c r="N44" s="61">
        <v>99.999993596909192</v>
      </c>
      <c r="O44" s="61">
        <v>99.999993643128619</v>
      </c>
      <c r="P44" s="61">
        <v>5.0045629335059525</v>
      </c>
      <c r="Q44" s="61">
        <v>0</v>
      </c>
      <c r="R44" s="61">
        <v>0</v>
      </c>
    </row>
    <row r="45" spans="1:18" ht="15.75" x14ac:dyDescent="0.25">
      <c r="A45" s="72">
        <v>34</v>
      </c>
      <c r="B45" s="192" t="s">
        <v>97</v>
      </c>
      <c r="C45" s="66">
        <v>39.478499999999997</v>
      </c>
      <c r="D45" s="66">
        <v>0</v>
      </c>
      <c r="E45" s="66">
        <v>41.556315789999999</v>
      </c>
      <c r="F45" s="66">
        <v>39.478499999999997</v>
      </c>
      <c r="G45" s="66">
        <v>2.0778157899999998</v>
      </c>
      <c r="H45" s="66">
        <v>39.478499999999997</v>
      </c>
      <c r="I45" s="66">
        <v>0</v>
      </c>
      <c r="J45" s="66">
        <v>41.556315789999999</v>
      </c>
      <c r="K45" s="66">
        <v>39.478499999999997</v>
      </c>
      <c r="L45" s="66">
        <v>0</v>
      </c>
      <c r="M45" s="66">
        <v>2.0778157899999998</v>
      </c>
      <c r="N45" s="67">
        <v>100</v>
      </c>
      <c r="O45" s="67">
        <v>100</v>
      </c>
      <c r="P45" s="67">
        <v>5.0000000012031869</v>
      </c>
      <c r="Q45" s="67">
        <v>0</v>
      </c>
      <c r="R45" s="67">
        <v>0</v>
      </c>
    </row>
    <row r="46" spans="1:18" ht="15.75" x14ac:dyDescent="0.25">
      <c r="A46" s="72">
        <v>35</v>
      </c>
      <c r="B46" s="192" t="s">
        <v>99</v>
      </c>
      <c r="C46" s="66">
        <v>63.289299999999997</v>
      </c>
      <c r="D46" s="66">
        <v>0</v>
      </c>
      <c r="E46" s="66">
        <v>66.620400000000004</v>
      </c>
      <c r="F46" s="66">
        <v>63.289299999999997</v>
      </c>
      <c r="G46" s="66">
        <v>3.3311000000000002</v>
      </c>
      <c r="H46" s="66">
        <v>63.289299999999997</v>
      </c>
      <c r="I46" s="66">
        <v>0</v>
      </c>
      <c r="J46" s="66">
        <v>66.620400000000004</v>
      </c>
      <c r="K46" s="66">
        <v>63.289299999999997</v>
      </c>
      <c r="L46" s="66">
        <v>0</v>
      </c>
      <c r="M46" s="66">
        <v>3.3311000000000002</v>
      </c>
      <c r="N46" s="67">
        <v>100</v>
      </c>
      <c r="O46" s="67">
        <v>100</v>
      </c>
      <c r="P46" s="67">
        <v>5.0001200833378361</v>
      </c>
      <c r="Q46" s="67">
        <v>0</v>
      </c>
      <c r="R46" s="67">
        <v>0</v>
      </c>
    </row>
    <row r="47" spans="1:18" s="126" customFormat="1" ht="15.75" x14ac:dyDescent="0.25">
      <c r="A47" s="136">
        <v>36</v>
      </c>
      <c r="B47" s="189" t="s">
        <v>318</v>
      </c>
      <c r="C47" s="66">
        <v>136.56829999999999</v>
      </c>
      <c r="D47" s="66">
        <v>0</v>
      </c>
      <c r="E47" s="66">
        <v>143.75610599999999</v>
      </c>
      <c r="F47" s="66">
        <v>136.56829999999999</v>
      </c>
      <c r="G47" s="66">
        <v>7.1878060000000001</v>
      </c>
      <c r="H47" s="66">
        <v>136.56829926</v>
      </c>
      <c r="I47" s="66">
        <v>0</v>
      </c>
      <c r="J47" s="66">
        <v>143.75610526</v>
      </c>
      <c r="K47" s="66">
        <v>136.56829926</v>
      </c>
      <c r="L47" s="66">
        <v>0</v>
      </c>
      <c r="M47" s="66">
        <v>7.1878060000000001</v>
      </c>
      <c r="N47" s="67">
        <v>99.99999945814659</v>
      </c>
      <c r="O47" s="67">
        <v>100</v>
      </c>
      <c r="P47" s="67">
        <v>5.0000005126738785</v>
      </c>
      <c r="Q47" s="67">
        <v>0</v>
      </c>
      <c r="R47" s="67">
        <v>0</v>
      </c>
    </row>
    <row r="48" spans="1:18" ht="15.75" x14ac:dyDescent="0.25">
      <c r="A48" s="72">
        <v>37</v>
      </c>
      <c r="B48" s="192" t="s">
        <v>101</v>
      </c>
      <c r="C48" s="66">
        <v>148.178</v>
      </c>
      <c r="D48" s="66">
        <v>0</v>
      </c>
      <c r="E48" s="66">
        <v>155.9769</v>
      </c>
      <c r="F48" s="66">
        <v>148.178</v>
      </c>
      <c r="G48" s="66">
        <v>7.7988999999999997</v>
      </c>
      <c r="H48" s="66">
        <v>148.178</v>
      </c>
      <c r="I48" s="66">
        <v>0</v>
      </c>
      <c r="J48" s="66">
        <v>155.9769</v>
      </c>
      <c r="K48" s="66">
        <v>148.178</v>
      </c>
      <c r="L48" s="66">
        <v>0</v>
      </c>
      <c r="M48" s="66">
        <v>7.7988999999999997</v>
      </c>
      <c r="N48" s="67">
        <v>100</v>
      </c>
      <c r="O48" s="67">
        <v>100</v>
      </c>
      <c r="P48" s="67">
        <v>5.0000352616316901</v>
      </c>
      <c r="Q48" s="67">
        <v>0</v>
      </c>
      <c r="R48" s="67">
        <v>0</v>
      </c>
    </row>
    <row r="49" spans="1:18" ht="15.75" x14ac:dyDescent="0.25">
      <c r="A49" s="72">
        <v>38</v>
      </c>
      <c r="B49" s="192" t="s">
        <v>103</v>
      </c>
      <c r="C49" s="66">
        <v>71.572100000000006</v>
      </c>
      <c r="D49" s="66">
        <v>0</v>
      </c>
      <c r="E49" s="66">
        <v>75.339100000000002</v>
      </c>
      <c r="F49" s="66">
        <v>71.572100000000006</v>
      </c>
      <c r="G49" s="66">
        <v>3.7669999999999999</v>
      </c>
      <c r="H49" s="66">
        <v>71.572100000000006</v>
      </c>
      <c r="I49" s="66">
        <v>0</v>
      </c>
      <c r="J49" s="66">
        <v>75.339100000000002</v>
      </c>
      <c r="K49" s="66">
        <v>71.572100000000006</v>
      </c>
      <c r="L49" s="66">
        <v>0</v>
      </c>
      <c r="M49" s="66">
        <v>3.7669999999999999</v>
      </c>
      <c r="N49" s="67">
        <v>100</v>
      </c>
      <c r="O49" s="67">
        <v>100</v>
      </c>
      <c r="P49" s="67">
        <v>5.0000597299410261</v>
      </c>
      <c r="Q49" s="67">
        <v>0</v>
      </c>
      <c r="R49" s="67">
        <v>0</v>
      </c>
    </row>
    <row r="50" spans="1:18" ht="15.75" x14ac:dyDescent="0.25">
      <c r="A50" s="72">
        <v>39</v>
      </c>
      <c r="B50" s="192" t="s">
        <v>105</v>
      </c>
      <c r="C50" s="66">
        <v>526.39570000000003</v>
      </c>
      <c r="D50" s="66">
        <v>0</v>
      </c>
      <c r="E50" s="66">
        <v>554.10170000000005</v>
      </c>
      <c r="F50" s="66">
        <v>526.39570000000003</v>
      </c>
      <c r="G50" s="66">
        <v>27.706</v>
      </c>
      <c r="H50" s="66">
        <v>526.39570000000003</v>
      </c>
      <c r="I50" s="66">
        <v>0</v>
      </c>
      <c r="J50" s="66">
        <v>554.10170000000005</v>
      </c>
      <c r="K50" s="66">
        <v>526.39570000000003</v>
      </c>
      <c r="L50" s="66">
        <v>0</v>
      </c>
      <c r="M50" s="66">
        <v>27.706</v>
      </c>
      <c r="N50" s="67">
        <v>100</v>
      </c>
      <c r="O50" s="67">
        <v>100</v>
      </c>
      <c r="P50" s="67">
        <v>5.0001651321409035</v>
      </c>
      <c r="Q50" s="67">
        <v>0</v>
      </c>
      <c r="R50" s="67">
        <v>0</v>
      </c>
    </row>
    <row r="51" spans="1:18" s="126" customFormat="1" ht="15.75" x14ac:dyDescent="0.25">
      <c r="A51" s="68">
        <v>40</v>
      </c>
      <c r="B51" s="192" t="s">
        <v>107</v>
      </c>
      <c r="C51" s="66">
        <v>86.329700000000003</v>
      </c>
      <c r="D51" s="66">
        <v>0</v>
      </c>
      <c r="E51" s="66">
        <v>90.873400000000004</v>
      </c>
      <c r="F51" s="66">
        <v>86.329700000000003</v>
      </c>
      <c r="G51" s="66">
        <v>4.5437000000000003</v>
      </c>
      <c r="H51" s="66">
        <v>86.329632099999998</v>
      </c>
      <c r="I51" s="66">
        <v>0</v>
      </c>
      <c r="J51" s="66">
        <v>90.873328510000007</v>
      </c>
      <c r="K51" s="66">
        <v>86.329632099999998</v>
      </c>
      <c r="L51" s="66">
        <v>0</v>
      </c>
      <c r="M51" s="66">
        <v>4.5436964099999999</v>
      </c>
      <c r="N51" s="67">
        <v>99.999921348041283</v>
      </c>
      <c r="O51" s="67">
        <v>99.999920989501945</v>
      </c>
      <c r="P51" s="67">
        <v>5.0000329959301499</v>
      </c>
      <c r="Q51" s="67">
        <v>0</v>
      </c>
      <c r="R51" s="67">
        <v>0</v>
      </c>
    </row>
    <row r="52" spans="1:18" ht="15.75" x14ac:dyDescent="0.25">
      <c r="A52" s="136">
        <v>41</v>
      </c>
      <c r="B52" s="189" t="s">
        <v>319</v>
      </c>
      <c r="C52" s="66">
        <v>0.17069999999999999</v>
      </c>
      <c r="D52" s="66">
        <v>0</v>
      </c>
      <c r="E52" s="66">
        <v>0.23269999999999999</v>
      </c>
      <c r="F52" s="66">
        <v>0.17069999999999999</v>
      </c>
      <c r="G52" s="66">
        <v>6.2E-2</v>
      </c>
      <c r="H52" s="66">
        <v>0.17069999999999999</v>
      </c>
      <c r="I52" s="66">
        <v>0</v>
      </c>
      <c r="J52" s="66">
        <v>0.23269999999999999</v>
      </c>
      <c r="K52" s="66">
        <v>0.17069999999999999</v>
      </c>
      <c r="L52" s="66">
        <v>0</v>
      </c>
      <c r="M52" s="66">
        <v>6.2E-2</v>
      </c>
      <c r="N52" s="67">
        <v>100</v>
      </c>
      <c r="O52" s="67">
        <v>100</v>
      </c>
      <c r="P52" s="67">
        <v>26.643747314138377</v>
      </c>
      <c r="Q52" s="67">
        <v>0</v>
      </c>
      <c r="R52" s="67">
        <v>0</v>
      </c>
    </row>
    <row r="53" spans="1:18" ht="31.5" x14ac:dyDescent="0.25">
      <c r="A53" s="70">
        <v>42</v>
      </c>
      <c r="B53" s="193" t="s">
        <v>109</v>
      </c>
      <c r="C53" s="61">
        <v>459.77839999999998</v>
      </c>
      <c r="D53" s="61">
        <v>0</v>
      </c>
      <c r="E53" s="61">
        <v>484.64906999999999</v>
      </c>
      <c r="F53" s="61">
        <v>459.77839999999998</v>
      </c>
      <c r="G53" s="61">
        <v>24.87067</v>
      </c>
      <c r="H53" s="61">
        <v>459.40596624</v>
      </c>
      <c r="I53" s="61">
        <v>0</v>
      </c>
      <c r="J53" s="61">
        <v>479.30763662999993</v>
      </c>
      <c r="K53" s="61">
        <v>454.75354295</v>
      </c>
      <c r="L53" s="61">
        <v>0</v>
      </c>
      <c r="M53" s="61">
        <v>24.554093680000001</v>
      </c>
      <c r="N53" s="61">
        <v>98.9071132854436</v>
      </c>
      <c r="O53" s="61">
        <v>98.727109804440332</v>
      </c>
      <c r="P53" s="61">
        <v>5.1228254681355017</v>
      </c>
      <c r="Q53" s="61">
        <v>0</v>
      </c>
      <c r="R53" s="61">
        <v>4.6524232900000015</v>
      </c>
    </row>
    <row r="54" spans="1:18" ht="15.75" x14ac:dyDescent="0.25">
      <c r="A54" s="72">
        <v>43</v>
      </c>
      <c r="B54" s="192" t="s">
        <v>111</v>
      </c>
      <c r="C54" s="66">
        <v>49.798099999999998</v>
      </c>
      <c r="D54" s="66">
        <v>0</v>
      </c>
      <c r="E54" s="66">
        <v>52.423099999999998</v>
      </c>
      <c r="F54" s="66">
        <v>49.798099999999998</v>
      </c>
      <c r="G54" s="66">
        <v>2.625</v>
      </c>
      <c r="H54" s="66">
        <v>49.798099999999998</v>
      </c>
      <c r="I54" s="66">
        <v>0</v>
      </c>
      <c r="J54" s="66">
        <v>52.423099999999998</v>
      </c>
      <c r="K54" s="66">
        <v>49.798099999999998</v>
      </c>
      <c r="L54" s="66">
        <v>0</v>
      </c>
      <c r="M54" s="66">
        <v>2.625</v>
      </c>
      <c r="N54" s="67">
        <v>100</v>
      </c>
      <c r="O54" s="67">
        <v>100</v>
      </c>
      <c r="P54" s="67">
        <v>5.0073345528974826</v>
      </c>
      <c r="Q54" s="67">
        <v>0</v>
      </c>
      <c r="R54" s="67">
        <v>0</v>
      </c>
    </row>
    <row r="55" spans="1:18" ht="15.75" x14ac:dyDescent="0.25">
      <c r="A55" s="72">
        <v>44</v>
      </c>
      <c r="B55" s="192" t="s">
        <v>113</v>
      </c>
      <c r="C55" s="66">
        <v>18.4283</v>
      </c>
      <c r="D55" s="66">
        <v>0</v>
      </c>
      <c r="E55" s="66">
        <v>19.398299999999999</v>
      </c>
      <c r="F55" s="66">
        <v>18.4283</v>
      </c>
      <c r="G55" s="66">
        <v>0.97</v>
      </c>
      <c r="H55" s="66">
        <v>18.4283</v>
      </c>
      <c r="I55" s="66">
        <v>0</v>
      </c>
      <c r="J55" s="66">
        <v>19.398299999999999</v>
      </c>
      <c r="K55" s="66">
        <v>18.4283</v>
      </c>
      <c r="L55" s="66">
        <v>0</v>
      </c>
      <c r="M55" s="66">
        <v>0.97</v>
      </c>
      <c r="N55" s="67">
        <v>100</v>
      </c>
      <c r="O55" s="67">
        <v>100</v>
      </c>
      <c r="P55" s="67">
        <v>5.0004381827273532</v>
      </c>
      <c r="Q55" s="67">
        <v>0</v>
      </c>
      <c r="R55" s="67">
        <v>0</v>
      </c>
    </row>
    <row r="56" spans="1:18" ht="31.5" x14ac:dyDescent="0.25">
      <c r="A56" s="72">
        <v>45</v>
      </c>
      <c r="B56" s="192" t="s">
        <v>115</v>
      </c>
      <c r="C56" s="66">
        <v>168.20679999999999</v>
      </c>
      <c r="D56" s="66">
        <v>0</v>
      </c>
      <c r="E56" s="66">
        <v>177.0598</v>
      </c>
      <c r="F56" s="66">
        <v>168.20679999999999</v>
      </c>
      <c r="G56" s="66">
        <v>8.8529999999999998</v>
      </c>
      <c r="H56" s="66">
        <v>167.83436624000001</v>
      </c>
      <c r="I56" s="66">
        <v>0</v>
      </c>
      <c r="J56" s="66">
        <v>176.66775425999998</v>
      </c>
      <c r="K56" s="66">
        <v>167.83436624000001</v>
      </c>
      <c r="L56" s="66">
        <v>0</v>
      </c>
      <c r="M56" s="66">
        <v>8.8333880199999992</v>
      </c>
      <c r="N56" s="67">
        <v>99.778585788446136</v>
      </c>
      <c r="O56" s="67">
        <v>99.778470800858472</v>
      </c>
      <c r="P56" s="67">
        <v>5.0000001737725155</v>
      </c>
      <c r="Q56" s="67">
        <v>0</v>
      </c>
      <c r="R56" s="67">
        <v>0</v>
      </c>
    </row>
    <row r="57" spans="1:18" ht="31.5" x14ac:dyDescent="0.25">
      <c r="A57" s="72">
        <v>46</v>
      </c>
      <c r="B57" s="192" t="s">
        <v>117</v>
      </c>
      <c r="C57" s="66">
        <v>29.686599999999999</v>
      </c>
      <c r="D57" s="66">
        <v>0</v>
      </c>
      <c r="E57" s="66">
        <v>31.249099999999999</v>
      </c>
      <c r="F57" s="66">
        <v>29.686599999999999</v>
      </c>
      <c r="G57" s="66">
        <v>1.5625</v>
      </c>
      <c r="H57" s="66">
        <v>29.686599999999999</v>
      </c>
      <c r="I57" s="66">
        <v>0</v>
      </c>
      <c r="J57" s="66">
        <v>31.249099999999999</v>
      </c>
      <c r="K57" s="66">
        <v>29.686599999999999</v>
      </c>
      <c r="L57" s="66">
        <v>0</v>
      </c>
      <c r="M57" s="66">
        <v>1.5625</v>
      </c>
      <c r="N57" s="67">
        <v>100</v>
      </c>
      <c r="O57" s="67">
        <v>100</v>
      </c>
      <c r="P57" s="67">
        <v>5.0001440041473195</v>
      </c>
      <c r="Q57" s="67">
        <v>0</v>
      </c>
      <c r="R57" s="67">
        <v>0</v>
      </c>
    </row>
    <row r="58" spans="1:18" ht="31.5" x14ac:dyDescent="0.25">
      <c r="A58" s="72">
        <v>47</v>
      </c>
      <c r="B58" s="192" t="s">
        <v>119</v>
      </c>
      <c r="C58" s="66">
        <v>75.439099999999996</v>
      </c>
      <c r="D58" s="66">
        <v>0</v>
      </c>
      <c r="E58" s="66">
        <v>79.4101</v>
      </c>
      <c r="F58" s="66">
        <v>75.439099999999996</v>
      </c>
      <c r="G58" s="66">
        <v>3.9710000000000001</v>
      </c>
      <c r="H58" s="66">
        <v>75.439099999999996</v>
      </c>
      <c r="I58" s="66">
        <v>0</v>
      </c>
      <c r="J58" s="66">
        <v>79.4101</v>
      </c>
      <c r="K58" s="66">
        <v>75.439099999999996</v>
      </c>
      <c r="L58" s="66">
        <v>0</v>
      </c>
      <c r="M58" s="66">
        <v>3.9710000000000001</v>
      </c>
      <c r="N58" s="67">
        <v>100</v>
      </c>
      <c r="O58" s="67">
        <v>100</v>
      </c>
      <c r="P58" s="67">
        <v>5.0006233464005208</v>
      </c>
      <c r="Q58" s="67">
        <v>0</v>
      </c>
      <c r="R58" s="67">
        <v>0</v>
      </c>
    </row>
    <row r="59" spans="1:18" ht="15.75" x14ac:dyDescent="0.25">
      <c r="A59" s="11">
        <v>48</v>
      </c>
      <c r="B59" s="192" t="s">
        <v>122</v>
      </c>
      <c r="C59" s="66">
        <v>58.649000000000001</v>
      </c>
      <c r="D59" s="66">
        <v>0</v>
      </c>
      <c r="E59" s="66">
        <v>61.735790000000001</v>
      </c>
      <c r="F59" s="66">
        <v>58.649000000000001</v>
      </c>
      <c r="G59" s="66">
        <v>3.0867900000000001</v>
      </c>
      <c r="H59" s="66">
        <v>58.649000000000001</v>
      </c>
      <c r="I59" s="66">
        <v>0</v>
      </c>
      <c r="J59" s="66">
        <v>61.735789479999994</v>
      </c>
      <c r="K59" s="66">
        <v>58.649000000000001</v>
      </c>
      <c r="L59" s="66">
        <v>0</v>
      </c>
      <c r="M59" s="66">
        <v>3.0867894800000002</v>
      </c>
      <c r="N59" s="67">
        <v>100</v>
      </c>
      <c r="O59" s="67">
        <v>99.999983154020839</v>
      </c>
      <c r="P59" s="67">
        <v>5.0000000097188364</v>
      </c>
      <c r="Q59" s="67">
        <v>0</v>
      </c>
      <c r="R59" s="67">
        <v>0</v>
      </c>
    </row>
    <row r="60" spans="1:18" ht="15.75" x14ac:dyDescent="0.25">
      <c r="A60" s="74">
        <v>49</v>
      </c>
      <c r="B60" s="192" t="s">
        <v>125</v>
      </c>
      <c r="C60" s="66">
        <v>59.570500000000003</v>
      </c>
      <c r="D60" s="66">
        <v>0</v>
      </c>
      <c r="E60" s="66">
        <v>63.372880000000002</v>
      </c>
      <c r="F60" s="66">
        <v>59.570500000000003</v>
      </c>
      <c r="G60" s="66">
        <v>3.8023799999999999</v>
      </c>
      <c r="H60" s="66">
        <v>59.570500000000003</v>
      </c>
      <c r="I60" s="66">
        <v>0</v>
      </c>
      <c r="J60" s="66">
        <v>58.423492889999999</v>
      </c>
      <c r="K60" s="66">
        <v>54.918076710000001</v>
      </c>
      <c r="L60" s="66">
        <v>0</v>
      </c>
      <c r="M60" s="66">
        <v>3.5054161800000001</v>
      </c>
      <c r="N60" s="67">
        <v>92.190054993662969</v>
      </c>
      <c r="O60" s="67">
        <v>92.190054123996035</v>
      </c>
      <c r="P60" s="67">
        <v>6.0000113081222519</v>
      </c>
      <c r="Q60" s="67">
        <v>0</v>
      </c>
      <c r="R60" s="67">
        <v>4.6524232900000015</v>
      </c>
    </row>
    <row r="61" spans="1:18" ht="15.75" x14ac:dyDescent="0.25">
      <c r="A61" s="57">
        <v>50</v>
      </c>
      <c r="B61" s="190" t="s">
        <v>128</v>
      </c>
      <c r="C61" s="61">
        <v>3929.8636000000001</v>
      </c>
      <c r="D61" s="61">
        <v>0</v>
      </c>
      <c r="E61" s="61">
        <v>5089.577043700001</v>
      </c>
      <c r="F61" s="61">
        <v>3929.8636000000001</v>
      </c>
      <c r="G61" s="61">
        <v>1159.7134437</v>
      </c>
      <c r="H61" s="61">
        <v>3922.3494591500003</v>
      </c>
      <c r="I61" s="61">
        <v>1.0007429999999999</v>
      </c>
      <c r="J61" s="61">
        <v>5079.3916186499991</v>
      </c>
      <c r="K61" s="61">
        <v>3922.3494591500003</v>
      </c>
      <c r="L61" s="61">
        <v>0</v>
      </c>
      <c r="M61" s="61">
        <v>1157.0421594999998</v>
      </c>
      <c r="N61" s="61">
        <v>99.80879385101305</v>
      </c>
      <c r="O61" s="61">
        <v>99.769659978116877</v>
      </c>
      <c r="P61" s="61">
        <v>22.779148495888542</v>
      </c>
      <c r="Q61" s="61">
        <v>1.0007429999999999</v>
      </c>
      <c r="R61" s="61">
        <v>-5.5511151231257827E-17</v>
      </c>
    </row>
    <row r="62" spans="1:18" ht="15.75" x14ac:dyDescent="0.25">
      <c r="A62" s="11">
        <v>51</v>
      </c>
      <c r="B62" s="189" t="s">
        <v>131</v>
      </c>
      <c r="C62" s="66">
        <v>473.38279999999997</v>
      </c>
      <c r="D62" s="66">
        <v>0</v>
      </c>
      <c r="E62" s="66">
        <v>498.29858999999999</v>
      </c>
      <c r="F62" s="66">
        <v>473.38279999999997</v>
      </c>
      <c r="G62" s="66">
        <v>24.915790000000001</v>
      </c>
      <c r="H62" s="66">
        <v>473.38279999999997</v>
      </c>
      <c r="I62" s="66">
        <v>0</v>
      </c>
      <c r="J62" s="66">
        <v>498.29858999999999</v>
      </c>
      <c r="K62" s="66">
        <v>473.38279999999997</v>
      </c>
      <c r="L62" s="66">
        <v>0</v>
      </c>
      <c r="M62" s="66">
        <v>24.915790000000001</v>
      </c>
      <c r="N62" s="67">
        <v>100</v>
      </c>
      <c r="O62" s="67">
        <v>100</v>
      </c>
      <c r="P62" s="67">
        <v>5.0001726876249037</v>
      </c>
      <c r="Q62" s="67">
        <v>0</v>
      </c>
      <c r="R62" s="67">
        <v>0</v>
      </c>
    </row>
    <row r="63" spans="1:18" ht="15.75" x14ac:dyDescent="0.25">
      <c r="A63" s="11">
        <v>52</v>
      </c>
      <c r="B63" s="189" t="s">
        <v>134</v>
      </c>
      <c r="C63" s="66">
        <v>65.177599999999998</v>
      </c>
      <c r="D63" s="66">
        <v>0</v>
      </c>
      <c r="E63" s="66">
        <v>68.608000000000004</v>
      </c>
      <c r="F63" s="66">
        <v>65.177599999999998</v>
      </c>
      <c r="G63" s="66">
        <v>3.4304000000000001</v>
      </c>
      <c r="H63" s="66">
        <v>65.177599999999998</v>
      </c>
      <c r="I63" s="66">
        <v>0</v>
      </c>
      <c r="J63" s="66">
        <v>68.608000000000004</v>
      </c>
      <c r="K63" s="66">
        <v>65.177599999999998</v>
      </c>
      <c r="L63" s="66">
        <v>0</v>
      </c>
      <c r="M63" s="66">
        <v>3.4304000000000001</v>
      </c>
      <c r="N63" s="67">
        <v>100</v>
      </c>
      <c r="O63" s="67">
        <v>100</v>
      </c>
      <c r="P63" s="67">
        <v>5</v>
      </c>
      <c r="Q63" s="67">
        <v>0</v>
      </c>
      <c r="R63" s="67">
        <v>0</v>
      </c>
    </row>
    <row r="64" spans="1:18" ht="15.75" x14ac:dyDescent="0.25">
      <c r="A64" s="11">
        <v>53</v>
      </c>
      <c r="B64" s="189" t="s">
        <v>137</v>
      </c>
      <c r="C64" s="66">
        <v>186.54769999999999</v>
      </c>
      <c r="D64" s="66">
        <v>0</v>
      </c>
      <c r="E64" s="66">
        <v>196.36600000000001</v>
      </c>
      <c r="F64" s="66">
        <v>186.54769999999999</v>
      </c>
      <c r="G64" s="66">
        <v>9.8183000000000007</v>
      </c>
      <c r="H64" s="66">
        <v>186.54769999999999</v>
      </c>
      <c r="I64" s="66">
        <v>0</v>
      </c>
      <c r="J64" s="66">
        <v>196.36600000000001</v>
      </c>
      <c r="K64" s="66">
        <v>186.54769999999999</v>
      </c>
      <c r="L64" s="66">
        <v>0</v>
      </c>
      <c r="M64" s="66">
        <v>9.8183000000000007</v>
      </c>
      <c r="N64" s="67">
        <v>100</v>
      </c>
      <c r="O64" s="67">
        <v>100</v>
      </c>
      <c r="P64" s="67">
        <v>5</v>
      </c>
      <c r="Q64" s="67">
        <v>0</v>
      </c>
      <c r="R64" s="67">
        <v>0</v>
      </c>
    </row>
    <row r="65" spans="1:18" ht="15.75" x14ac:dyDescent="0.25">
      <c r="A65" s="11">
        <v>54</v>
      </c>
      <c r="B65" s="189" t="s">
        <v>140</v>
      </c>
      <c r="C65" s="66">
        <v>498.74509999999998</v>
      </c>
      <c r="D65" s="66">
        <v>0</v>
      </c>
      <c r="E65" s="66">
        <v>554.16129999999998</v>
      </c>
      <c r="F65" s="66">
        <v>498.74509999999998</v>
      </c>
      <c r="G65" s="66">
        <v>55.416200000000003</v>
      </c>
      <c r="H65" s="66">
        <v>498.74509999999998</v>
      </c>
      <c r="I65" s="66">
        <v>0</v>
      </c>
      <c r="J65" s="66">
        <v>554.16129999999998</v>
      </c>
      <c r="K65" s="66">
        <v>498.74509999999998</v>
      </c>
      <c r="L65" s="66">
        <v>0</v>
      </c>
      <c r="M65" s="66">
        <v>55.416200000000003</v>
      </c>
      <c r="N65" s="67">
        <v>100</v>
      </c>
      <c r="O65" s="67">
        <v>100</v>
      </c>
      <c r="P65" s="67">
        <v>10.000012631701276</v>
      </c>
      <c r="Q65" s="67">
        <v>0</v>
      </c>
      <c r="R65" s="67">
        <v>0</v>
      </c>
    </row>
    <row r="66" spans="1:18" ht="15.75" x14ac:dyDescent="0.25">
      <c r="A66" s="11">
        <v>55</v>
      </c>
      <c r="B66" s="189" t="s">
        <v>143</v>
      </c>
      <c r="C66" s="66">
        <v>199.70189999999999</v>
      </c>
      <c r="D66" s="66">
        <v>0</v>
      </c>
      <c r="E66" s="66">
        <v>210.21289999999999</v>
      </c>
      <c r="F66" s="66">
        <v>199.70189999999999</v>
      </c>
      <c r="G66" s="66">
        <v>10.510999999999999</v>
      </c>
      <c r="H66" s="66">
        <v>199.68931340999998</v>
      </c>
      <c r="I66" s="66">
        <v>0.58059300000000003</v>
      </c>
      <c r="J66" s="66">
        <v>210.19965124000001</v>
      </c>
      <c r="K66" s="66">
        <v>199.68931340999998</v>
      </c>
      <c r="L66" s="66">
        <v>0</v>
      </c>
      <c r="M66" s="66">
        <v>10.510337829999999</v>
      </c>
      <c r="N66" s="67">
        <v>99.993697310841796</v>
      </c>
      <c r="O66" s="67">
        <v>99.993700218818375</v>
      </c>
      <c r="P66" s="67">
        <v>5.0001690145525473</v>
      </c>
      <c r="Q66" s="67">
        <v>0.58059300000000003</v>
      </c>
      <c r="R66" s="67">
        <v>-6.7723604502134549E-15</v>
      </c>
    </row>
    <row r="67" spans="1:18" ht="15.75" x14ac:dyDescent="0.25">
      <c r="A67" s="11">
        <v>56</v>
      </c>
      <c r="B67" s="189" t="s">
        <v>146</v>
      </c>
      <c r="C67" s="66">
        <v>117.3364</v>
      </c>
      <c r="D67" s="66">
        <v>0</v>
      </c>
      <c r="E67" s="66">
        <v>123.512</v>
      </c>
      <c r="F67" s="66">
        <v>117.3364</v>
      </c>
      <c r="G67" s="66">
        <v>6.1756000000000002</v>
      </c>
      <c r="H67" s="66">
        <v>117.3364</v>
      </c>
      <c r="I67" s="66">
        <v>0.14641999999999999</v>
      </c>
      <c r="J67" s="66">
        <v>123.51199997000001</v>
      </c>
      <c r="K67" s="66">
        <v>117.3364</v>
      </c>
      <c r="L67" s="66">
        <v>0</v>
      </c>
      <c r="M67" s="66">
        <v>6.1755999699999995</v>
      </c>
      <c r="N67" s="67">
        <v>100</v>
      </c>
      <c r="O67" s="67">
        <v>99.999999514217237</v>
      </c>
      <c r="P67" s="67">
        <v>4.9999999769253183</v>
      </c>
      <c r="Q67" s="67">
        <v>0.14641999999999999</v>
      </c>
      <c r="R67" s="67">
        <v>6.2172489379008766E-15</v>
      </c>
    </row>
    <row r="68" spans="1:18" ht="15.75" x14ac:dyDescent="0.25">
      <c r="A68" s="11">
        <v>57</v>
      </c>
      <c r="B68" s="189" t="s">
        <v>149</v>
      </c>
      <c r="C68" s="66">
        <v>144.75049999999999</v>
      </c>
      <c r="D68" s="66">
        <v>0</v>
      </c>
      <c r="E68" s="66">
        <v>496.0505</v>
      </c>
      <c r="F68" s="66">
        <v>144.75049999999999</v>
      </c>
      <c r="G68" s="66">
        <v>351.3</v>
      </c>
      <c r="H68" s="66">
        <v>144.74631463999998</v>
      </c>
      <c r="I68" s="66">
        <v>0</v>
      </c>
      <c r="J68" s="66">
        <v>496.04631462999998</v>
      </c>
      <c r="K68" s="66">
        <v>144.74631463999998</v>
      </c>
      <c r="L68" s="66">
        <v>0</v>
      </c>
      <c r="M68" s="66">
        <v>351.29999999</v>
      </c>
      <c r="N68" s="67">
        <v>99.997108569573157</v>
      </c>
      <c r="O68" s="67">
        <v>99.999999997153438</v>
      </c>
      <c r="P68" s="67">
        <v>70.819999993757449</v>
      </c>
      <c r="Q68" s="67">
        <v>0</v>
      </c>
      <c r="R68" s="67">
        <v>0</v>
      </c>
    </row>
    <row r="69" spans="1:18" ht="15.75" x14ac:dyDescent="0.25">
      <c r="A69" s="11">
        <v>58</v>
      </c>
      <c r="B69" s="189" t="s">
        <v>152</v>
      </c>
      <c r="C69" s="66">
        <v>189.62010000000001</v>
      </c>
      <c r="D69" s="66">
        <v>0</v>
      </c>
      <c r="E69" s="66">
        <v>209.62010000000001</v>
      </c>
      <c r="F69" s="66">
        <v>189.62010000000001</v>
      </c>
      <c r="G69" s="66">
        <v>20</v>
      </c>
      <c r="H69" s="66">
        <v>189.62010000000001</v>
      </c>
      <c r="I69" s="66">
        <v>0</v>
      </c>
      <c r="J69" s="66">
        <v>209.62010000000001</v>
      </c>
      <c r="K69" s="66">
        <v>189.62010000000001</v>
      </c>
      <c r="L69" s="66">
        <v>0</v>
      </c>
      <c r="M69" s="66">
        <v>20</v>
      </c>
      <c r="N69" s="67">
        <v>100</v>
      </c>
      <c r="O69" s="67">
        <v>100</v>
      </c>
      <c r="P69" s="67">
        <v>9.541069773366198</v>
      </c>
      <c r="Q69" s="67">
        <v>0</v>
      </c>
      <c r="R69" s="67">
        <v>0</v>
      </c>
    </row>
    <row r="70" spans="1:18" ht="15.75" x14ac:dyDescent="0.25">
      <c r="A70" s="11">
        <v>59</v>
      </c>
      <c r="B70" s="189" t="s">
        <v>155</v>
      </c>
      <c r="C70" s="66">
        <v>242.66589999999999</v>
      </c>
      <c r="D70" s="66">
        <v>0</v>
      </c>
      <c r="E70" s="66">
        <v>452.66590000000002</v>
      </c>
      <c r="F70" s="66">
        <v>242.66589999999999</v>
      </c>
      <c r="G70" s="66">
        <v>210</v>
      </c>
      <c r="H70" s="66">
        <v>242.66589999999999</v>
      </c>
      <c r="I70" s="66">
        <v>0.27372999999999997</v>
      </c>
      <c r="J70" s="66">
        <v>452.66590000000002</v>
      </c>
      <c r="K70" s="66">
        <v>242.66589999999999</v>
      </c>
      <c r="L70" s="66">
        <v>0</v>
      </c>
      <c r="M70" s="66">
        <v>210</v>
      </c>
      <c r="N70" s="67">
        <v>100</v>
      </c>
      <c r="O70" s="67">
        <v>100</v>
      </c>
      <c r="P70" s="67">
        <v>46.391831149640382</v>
      </c>
      <c r="Q70" s="67">
        <v>0.27372999999999997</v>
      </c>
      <c r="R70" s="67">
        <v>4.9960036108132044E-16</v>
      </c>
    </row>
    <row r="71" spans="1:18" ht="15.75" x14ac:dyDescent="0.25">
      <c r="A71" s="11">
        <v>60</v>
      </c>
      <c r="B71" s="189" t="s">
        <v>158</v>
      </c>
      <c r="C71" s="66">
        <v>627.15599999999995</v>
      </c>
      <c r="D71" s="66">
        <v>0</v>
      </c>
      <c r="E71" s="66">
        <v>901.92880000000002</v>
      </c>
      <c r="F71" s="66">
        <v>627.15599999999995</v>
      </c>
      <c r="G71" s="66">
        <v>274.77280000000002</v>
      </c>
      <c r="H71" s="66">
        <v>626.49393574999999</v>
      </c>
      <c r="I71" s="66">
        <v>0</v>
      </c>
      <c r="J71" s="66">
        <v>900.97667932000002</v>
      </c>
      <c r="K71" s="66">
        <v>626.49393574999999</v>
      </c>
      <c r="L71" s="66">
        <v>0</v>
      </c>
      <c r="M71" s="66">
        <v>274.48274356999997</v>
      </c>
      <c r="N71" s="67">
        <v>99.894433880884506</v>
      </c>
      <c r="O71" s="67">
        <v>99.894437720909764</v>
      </c>
      <c r="P71" s="67">
        <v>30.465022000032466</v>
      </c>
      <c r="Q71" s="67">
        <v>0</v>
      </c>
      <c r="R71" s="67">
        <v>0</v>
      </c>
    </row>
    <row r="72" spans="1:18" ht="15.75" x14ac:dyDescent="0.25">
      <c r="A72" s="11">
        <v>61</v>
      </c>
      <c r="B72" s="189" t="s">
        <v>161</v>
      </c>
      <c r="C72" s="66">
        <v>215.96979999999999</v>
      </c>
      <c r="D72" s="66">
        <v>0</v>
      </c>
      <c r="E72" s="66">
        <v>227.33663200000001</v>
      </c>
      <c r="F72" s="66">
        <v>215.96979999999999</v>
      </c>
      <c r="G72" s="66">
        <v>11.366832</v>
      </c>
      <c r="H72" s="66">
        <v>215.96979999999999</v>
      </c>
      <c r="I72" s="66">
        <v>0</v>
      </c>
      <c r="J72" s="66">
        <v>227.33663158000002</v>
      </c>
      <c r="K72" s="66">
        <v>215.96979999999999</v>
      </c>
      <c r="L72" s="66">
        <v>0</v>
      </c>
      <c r="M72" s="66">
        <v>11.366831579999999</v>
      </c>
      <c r="N72" s="67">
        <v>100</v>
      </c>
      <c r="O72" s="67">
        <v>99.999996305039076</v>
      </c>
      <c r="P72" s="67">
        <v>5.0000000004398757</v>
      </c>
      <c r="Q72" s="67">
        <v>0</v>
      </c>
      <c r="R72" s="67">
        <v>0</v>
      </c>
    </row>
    <row r="73" spans="1:18" ht="15.75" x14ac:dyDescent="0.25">
      <c r="A73" s="11">
        <v>62</v>
      </c>
      <c r="B73" s="189" t="s">
        <v>164</v>
      </c>
      <c r="C73" s="66">
        <v>294.59500000000003</v>
      </c>
      <c r="D73" s="66">
        <v>0</v>
      </c>
      <c r="E73" s="66">
        <v>396.9748017</v>
      </c>
      <c r="F73" s="66">
        <v>294.59500000000003</v>
      </c>
      <c r="G73" s="66">
        <v>102.3798017</v>
      </c>
      <c r="H73" s="66">
        <v>294.59489063000001</v>
      </c>
      <c r="I73" s="66">
        <v>0</v>
      </c>
      <c r="J73" s="66">
        <v>396.97465391000003</v>
      </c>
      <c r="K73" s="66">
        <v>294.59489063000001</v>
      </c>
      <c r="L73" s="66">
        <v>0</v>
      </c>
      <c r="M73" s="66">
        <v>102.37976328000001</v>
      </c>
      <c r="N73" s="67">
        <v>99.999962874454752</v>
      </c>
      <c r="O73" s="67">
        <v>99.999962473066603</v>
      </c>
      <c r="P73" s="67">
        <v>25.790000009222503</v>
      </c>
      <c r="Q73" s="67">
        <v>0</v>
      </c>
      <c r="R73" s="67">
        <v>0</v>
      </c>
    </row>
    <row r="74" spans="1:18" ht="15.75" x14ac:dyDescent="0.25">
      <c r="A74" s="11">
        <v>63</v>
      </c>
      <c r="B74" s="189" t="s">
        <v>167</v>
      </c>
      <c r="C74" s="66">
        <v>524.90750000000003</v>
      </c>
      <c r="D74" s="66">
        <v>0</v>
      </c>
      <c r="E74" s="66">
        <v>552.53422</v>
      </c>
      <c r="F74" s="66">
        <v>524.90750000000003</v>
      </c>
      <c r="G74" s="66">
        <v>27.626719999999999</v>
      </c>
      <c r="H74" s="66">
        <v>524.90750000000003</v>
      </c>
      <c r="I74" s="66">
        <v>0</v>
      </c>
      <c r="J74" s="66">
        <v>552.53422</v>
      </c>
      <c r="K74" s="66">
        <v>524.90750000000003</v>
      </c>
      <c r="L74" s="66">
        <v>0</v>
      </c>
      <c r="M74" s="66">
        <v>27.626719999999999</v>
      </c>
      <c r="N74" s="67">
        <v>100</v>
      </c>
      <c r="O74" s="67">
        <v>100</v>
      </c>
      <c r="P74" s="67">
        <v>5.0000016288583895</v>
      </c>
      <c r="Q74" s="67">
        <v>0</v>
      </c>
      <c r="R74" s="67">
        <v>0</v>
      </c>
    </row>
    <row r="75" spans="1:18" ht="15.75" x14ac:dyDescent="0.25">
      <c r="A75" s="74">
        <v>64</v>
      </c>
      <c r="B75" s="189" t="s">
        <v>170</v>
      </c>
      <c r="C75" s="66">
        <v>149.3073</v>
      </c>
      <c r="D75" s="66">
        <v>0</v>
      </c>
      <c r="E75" s="66">
        <v>201.3073</v>
      </c>
      <c r="F75" s="66">
        <v>149.3073</v>
      </c>
      <c r="G75" s="66">
        <v>52</v>
      </c>
      <c r="H75" s="66">
        <v>142.47210472</v>
      </c>
      <c r="I75" s="66">
        <v>0</v>
      </c>
      <c r="J75" s="66">
        <v>192.091578</v>
      </c>
      <c r="K75" s="66">
        <v>142.47210472</v>
      </c>
      <c r="L75" s="66">
        <v>0</v>
      </c>
      <c r="M75" s="66">
        <v>49.619473280000001</v>
      </c>
      <c r="N75" s="67">
        <v>95.422062230045029</v>
      </c>
      <c r="O75" s="67">
        <v>95.422064000000006</v>
      </c>
      <c r="P75" s="67">
        <v>25.831155012949086</v>
      </c>
      <c r="Q75" s="67">
        <v>0</v>
      </c>
      <c r="R75" s="67">
        <v>0</v>
      </c>
    </row>
    <row r="76" spans="1:18" ht="15.75" x14ac:dyDescent="0.25">
      <c r="A76" s="57">
        <v>65</v>
      </c>
      <c r="B76" s="190" t="s">
        <v>173</v>
      </c>
      <c r="C76" s="61">
        <v>900.34809999999993</v>
      </c>
      <c r="D76" s="61">
        <v>0</v>
      </c>
      <c r="E76" s="61">
        <v>1674.8900059999999</v>
      </c>
      <c r="F76" s="61">
        <v>899.99329999999998</v>
      </c>
      <c r="G76" s="61">
        <v>774.89670599999999</v>
      </c>
      <c r="H76" s="61">
        <v>899.99329999999998</v>
      </c>
      <c r="I76" s="61">
        <v>2.34127945</v>
      </c>
      <c r="J76" s="61">
        <v>1674.8900059999999</v>
      </c>
      <c r="K76" s="61">
        <v>899.99329999999998</v>
      </c>
      <c r="L76" s="61">
        <v>0</v>
      </c>
      <c r="M76" s="61">
        <v>774.89670599999999</v>
      </c>
      <c r="N76" s="61">
        <v>100</v>
      </c>
      <c r="O76" s="61">
        <v>100</v>
      </c>
      <c r="P76" s="61">
        <v>46.26552807790771</v>
      </c>
      <c r="Q76" s="61">
        <v>2.34127945</v>
      </c>
      <c r="R76" s="61">
        <v>1.7763568394002505E-15</v>
      </c>
    </row>
    <row r="77" spans="1:18" ht="15.75" x14ac:dyDescent="0.25">
      <c r="A77" s="11">
        <v>66</v>
      </c>
      <c r="B77" s="189" t="s">
        <v>176</v>
      </c>
      <c r="C77" s="66">
        <v>248.0204</v>
      </c>
      <c r="D77" s="66">
        <v>0</v>
      </c>
      <c r="E77" s="66">
        <v>261.07410599999997</v>
      </c>
      <c r="F77" s="66">
        <v>248.0204</v>
      </c>
      <c r="G77" s="66">
        <v>13.053706</v>
      </c>
      <c r="H77" s="66">
        <v>248.0204</v>
      </c>
      <c r="I77" s="66">
        <v>0</v>
      </c>
      <c r="J77" s="66">
        <v>261.07410599999997</v>
      </c>
      <c r="K77" s="66">
        <v>248.0204</v>
      </c>
      <c r="L77" s="66">
        <v>0</v>
      </c>
      <c r="M77" s="66">
        <v>13.053706</v>
      </c>
      <c r="N77" s="67">
        <v>100</v>
      </c>
      <c r="O77" s="67">
        <v>100</v>
      </c>
      <c r="P77" s="67">
        <v>5.0000002681231059</v>
      </c>
      <c r="Q77" s="67">
        <v>0</v>
      </c>
      <c r="R77" s="67">
        <v>0</v>
      </c>
    </row>
    <row r="78" spans="1:18" ht="15.75" x14ac:dyDescent="0.25">
      <c r="A78" s="11">
        <v>67</v>
      </c>
      <c r="B78" s="189" t="s">
        <v>179</v>
      </c>
      <c r="C78" s="66">
        <v>175.85640000000001</v>
      </c>
      <c r="D78" s="66">
        <v>0</v>
      </c>
      <c r="E78" s="66">
        <v>477.95639999999997</v>
      </c>
      <c r="F78" s="66">
        <v>175.85640000000001</v>
      </c>
      <c r="G78" s="66">
        <v>302.10000000000002</v>
      </c>
      <c r="H78" s="66">
        <v>175.85640000000001</v>
      </c>
      <c r="I78" s="66">
        <v>0</v>
      </c>
      <c r="J78" s="66">
        <v>477.95639999999997</v>
      </c>
      <c r="K78" s="66">
        <v>175.85640000000001</v>
      </c>
      <c r="L78" s="66">
        <v>0</v>
      </c>
      <c r="M78" s="66">
        <v>302.10000000000002</v>
      </c>
      <c r="N78" s="67">
        <v>100</v>
      </c>
      <c r="O78" s="67">
        <v>100</v>
      </c>
      <c r="P78" s="67">
        <v>63.206602108476851</v>
      </c>
      <c r="Q78" s="67">
        <v>0</v>
      </c>
      <c r="R78" s="67">
        <v>0</v>
      </c>
    </row>
    <row r="79" spans="1:18" ht="15.75" x14ac:dyDescent="0.25">
      <c r="A79" s="11">
        <v>68</v>
      </c>
      <c r="B79" s="189" t="s">
        <v>182</v>
      </c>
      <c r="C79" s="66">
        <v>179.3955</v>
      </c>
      <c r="D79" s="66">
        <v>0</v>
      </c>
      <c r="E79" s="66">
        <v>444.93849999999998</v>
      </c>
      <c r="F79" s="66">
        <v>179.3955</v>
      </c>
      <c r="G79" s="66">
        <v>265.54300000000001</v>
      </c>
      <c r="H79" s="66">
        <v>179.3955</v>
      </c>
      <c r="I79" s="66">
        <v>0</v>
      </c>
      <c r="J79" s="66">
        <v>444.93849999999998</v>
      </c>
      <c r="K79" s="66">
        <v>179.3955</v>
      </c>
      <c r="L79" s="66">
        <v>0</v>
      </c>
      <c r="M79" s="66">
        <v>265.54300000000001</v>
      </c>
      <c r="N79" s="67">
        <v>100</v>
      </c>
      <c r="O79" s="67">
        <v>100</v>
      </c>
      <c r="P79" s="67">
        <v>59.680832294800304</v>
      </c>
      <c r="Q79" s="67">
        <v>0</v>
      </c>
      <c r="R79" s="67">
        <v>0</v>
      </c>
    </row>
    <row r="80" spans="1:18" ht="31.5" x14ac:dyDescent="0.25">
      <c r="A80" s="11">
        <v>69</v>
      </c>
      <c r="B80" s="194" t="s">
        <v>300</v>
      </c>
      <c r="C80" s="66">
        <v>0.35049999999999998</v>
      </c>
      <c r="D80" s="66">
        <v>0</v>
      </c>
      <c r="E80" s="66">
        <v>0</v>
      </c>
      <c r="F80" s="66">
        <v>0</v>
      </c>
      <c r="G80" s="66">
        <v>0</v>
      </c>
      <c r="H80" s="66">
        <v>0</v>
      </c>
      <c r="I80" s="66">
        <v>0</v>
      </c>
      <c r="J80" s="66">
        <v>0</v>
      </c>
      <c r="K80" s="66">
        <v>0</v>
      </c>
      <c r="L80" s="66">
        <v>0</v>
      </c>
      <c r="M80" s="66">
        <v>0</v>
      </c>
      <c r="N80" s="67" t="s">
        <v>1094</v>
      </c>
      <c r="O80" s="67" t="s">
        <v>1094</v>
      </c>
      <c r="P80" s="67">
        <v>0</v>
      </c>
      <c r="Q80" s="67">
        <v>0</v>
      </c>
      <c r="R80" s="67">
        <v>0</v>
      </c>
    </row>
    <row r="81" spans="1:18" ht="31.5" x14ac:dyDescent="0.25">
      <c r="A81" s="11">
        <v>70</v>
      </c>
      <c r="B81" s="194" t="s">
        <v>301</v>
      </c>
      <c r="C81" s="66">
        <v>4.3E-3</v>
      </c>
      <c r="D81" s="66">
        <v>0</v>
      </c>
      <c r="E81" s="66">
        <v>0</v>
      </c>
      <c r="F81" s="66">
        <v>0</v>
      </c>
      <c r="G81" s="66">
        <v>0</v>
      </c>
      <c r="H81" s="66">
        <v>0</v>
      </c>
      <c r="I81" s="66">
        <v>0</v>
      </c>
      <c r="J81" s="66">
        <v>0</v>
      </c>
      <c r="K81" s="66">
        <v>0</v>
      </c>
      <c r="L81" s="66">
        <v>0</v>
      </c>
      <c r="M81" s="66">
        <v>0</v>
      </c>
      <c r="N81" s="67" t="s">
        <v>1094</v>
      </c>
      <c r="O81" s="67" t="s">
        <v>1094</v>
      </c>
      <c r="P81" s="67">
        <v>0</v>
      </c>
      <c r="Q81" s="67">
        <v>0</v>
      </c>
      <c r="R81" s="67">
        <v>0</v>
      </c>
    </row>
    <row r="82" spans="1:18" ht="15.75" x14ac:dyDescent="0.25">
      <c r="A82" s="74">
        <v>71</v>
      </c>
      <c r="B82" s="189" t="s">
        <v>189</v>
      </c>
      <c r="C82" s="66">
        <v>296.721</v>
      </c>
      <c r="D82" s="66">
        <v>0</v>
      </c>
      <c r="E82" s="66">
        <v>490.92099999999999</v>
      </c>
      <c r="F82" s="66">
        <v>296.721</v>
      </c>
      <c r="G82" s="66">
        <v>194.2</v>
      </c>
      <c r="H82" s="66">
        <v>296.721</v>
      </c>
      <c r="I82" s="66">
        <v>2.34127945</v>
      </c>
      <c r="J82" s="66">
        <v>490.92099999999999</v>
      </c>
      <c r="K82" s="66">
        <v>296.721</v>
      </c>
      <c r="L82" s="66">
        <v>0</v>
      </c>
      <c r="M82" s="66">
        <v>194.2</v>
      </c>
      <c r="N82" s="67">
        <v>100</v>
      </c>
      <c r="O82" s="67">
        <v>100</v>
      </c>
      <c r="P82" s="67">
        <v>39.558299604213303</v>
      </c>
      <c r="Q82" s="67">
        <v>2.34127945</v>
      </c>
      <c r="R82" s="67">
        <v>1.7763568394002505E-15</v>
      </c>
    </row>
    <row r="83" spans="1:18" ht="15.75" x14ac:dyDescent="0.25">
      <c r="A83" s="57">
        <v>72</v>
      </c>
      <c r="B83" s="190" t="s">
        <v>192</v>
      </c>
      <c r="C83" s="61">
        <v>2738.6591000000003</v>
      </c>
      <c r="D83" s="61">
        <v>0</v>
      </c>
      <c r="E83" s="61">
        <v>3414.1911913199997</v>
      </c>
      <c r="F83" s="61">
        <v>2738.6591000000003</v>
      </c>
      <c r="G83" s="61">
        <v>675.53209131999995</v>
      </c>
      <c r="H83" s="61">
        <v>2738.5450083599999</v>
      </c>
      <c r="I83" s="61">
        <v>3.4871381100000005</v>
      </c>
      <c r="J83" s="61">
        <v>3414.0745678899998</v>
      </c>
      <c r="K83" s="61">
        <v>2738.5438497200003</v>
      </c>
      <c r="L83" s="61">
        <v>0</v>
      </c>
      <c r="M83" s="61">
        <v>675.53071817</v>
      </c>
      <c r="N83" s="61">
        <v>99.995791725958156</v>
      </c>
      <c r="O83" s="61">
        <v>99.999796730604274</v>
      </c>
      <c r="P83" s="61">
        <v>19.786642170135675</v>
      </c>
      <c r="Q83" s="61">
        <v>3.4871381100000005</v>
      </c>
      <c r="R83" s="61">
        <v>1.1586399999829883E-3</v>
      </c>
    </row>
    <row r="84" spans="1:18" ht="15.75" x14ac:dyDescent="0.25">
      <c r="A84" s="11">
        <v>73</v>
      </c>
      <c r="B84" s="189" t="s">
        <v>195</v>
      </c>
      <c r="C84" s="66">
        <v>23.347000000000001</v>
      </c>
      <c r="D84" s="66">
        <v>0</v>
      </c>
      <c r="E84" s="66">
        <v>33.847000000000001</v>
      </c>
      <c r="F84" s="66">
        <v>23.347000000000001</v>
      </c>
      <c r="G84" s="66">
        <v>10.5</v>
      </c>
      <c r="H84" s="66">
        <v>23.347000000000001</v>
      </c>
      <c r="I84" s="66">
        <v>0</v>
      </c>
      <c r="J84" s="66">
        <v>33.847000000000001</v>
      </c>
      <c r="K84" s="66">
        <v>23.347000000000001</v>
      </c>
      <c r="L84" s="66">
        <v>0</v>
      </c>
      <c r="M84" s="66">
        <v>10.5</v>
      </c>
      <c r="N84" s="67">
        <v>100</v>
      </c>
      <c r="O84" s="67">
        <v>100</v>
      </c>
      <c r="P84" s="67">
        <v>31.021951723934173</v>
      </c>
      <c r="Q84" s="67">
        <v>0</v>
      </c>
      <c r="R84" s="67">
        <v>0</v>
      </c>
    </row>
    <row r="85" spans="1:18" ht="15.75" x14ac:dyDescent="0.25">
      <c r="A85" s="11">
        <v>74</v>
      </c>
      <c r="B85" s="189" t="s">
        <v>198</v>
      </c>
      <c r="C85" s="66">
        <v>38.902000000000001</v>
      </c>
      <c r="D85" s="66">
        <v>0</v>
      </c>
      <c r="E85" s="66">
        <v>66.528899999999993</v>
      </c>
      <c r="F85" s="66">
        <v>38.902000000000001</v>
      </c>
      <c r="G85" s="66">
        <v>27.626899999999999</v>
      </c>
      <c r="H85" s="66">
        <v>38.902000000000001</v>
      </c>
      <c r="I85" s="66">
        <v>0</v>
      </c>
      <c r="J85" s="66">
        <v>66.528899999999993</v>
      </c>
      <c r="K85" s="66">
        <v>38.902000000000001</v>
      </c>
      <c r="L85" s="66">
        <v>0</v>
      </c>
      <c r="M85" s="66">
        <v>27.626899999999999</v>
      </c>
      <c r="N85" s="67">
        <v>100</v>
      </c>
      <c r="O85" s="67">
        <v>100</v>
      </c>
      <c r="P85" s="67">
        <v>41.526163817528925</v>
      </c>
      <c r="Q85" s="67">
        <v>0</v>
      </c>
      <c r="R85" s="67">
        <v>0</v>
      </c>
    </row>
    <row r="86" spans="1:18" ht="15.75" x14ac:dyDescent="0.25">
      <c r="A86" s="11">
        <v>75</v>
      </c>
      <c r="B86" s="189" t="s">
        <v>201</v>
      </c>
      <c r="C86" s="66">
        <v>5.8817000000000004</v>
      </c>
      <c r="D86" s="66">
        <v>0</v>
      </c>
      <c r="E86" s="66">
        <v>9.4918999999999993</v>
      </c>
      <c r="F86" s="66">
        <v>5.8817000000000004</v>
      </c>
      <c r="G86" s="66">
        <v>3.6101999999999999</v>
      </c>
      <c r="H86" s="66">
        <v>5.8817000000000004</v>
      </c>
      <c r="I86" s="66">
        <v>3.6799999999999999E-2</v>
      </c>
      <c r="J86" s="66">
        <v>9.4918999999999993</v>
      </c>
      <c r="K86" s="66">
        <v>5.8817000000000004</v>
      </c>
      <c r="L86" s="66">
        <v>0</v>
      </c>
      <c r="M86" s="66">
        <v>3.6101999999999999</v>
      </c>
      <c r="N86" s="67">
        <v>100</v>
      </c>
      <c r="O86" s="67">
        <v>100</v>
      </c>
      <c r="P86" s="67">
        <v>38.034534708540967</v>
      </c>
      <c r="Q86" s="67">
        <v>3.6799999999999999E-2</v>
      </c>
      <c r="R86" s="67">
        <v>3.8857805861880479E-16</v>
      </c>
    </row>
    <row r="87" spans="1:18" ht="15.75" x14ac:dyDescent="0.25">
      <c r="A87" s="11">
        <v>76</v>
      </c>
      <c r="B87" s="189" t="s">
        <v>204</v>
      </c>
      <c r="C87" s="66">
        <v>50.922600000000003</v>
      </c>
      <c r="D87" s="66">
        <v>0</v>
      </c>
      <c r="E87" s="66">
        <v>89.922600000000003</v>
      </c>
      <c r="F87" s="66">
        <v>50.922600000000003</v>
      </c>
      <c r="G87" s="66">
        <v>39</v>
      </c>
      <c r="H87" s="66">
        <v>50.921963770000005</v>
      </c>
      <c r="I87" s="66">
        <v>0</v>
      </c>
      <c r="J87" s="66">
        <v>89.919432</v>
      </c>
      <c r="K87" s="66">
        <v>50.920805130000005</v>
      </c>
      <c r="L87" s="66">
        <v>0</v>
      </c>
      <c r="M87" s="66">
        <v>38.998626869999995</v>
      </c>
      <c r="N87" s="67">
        <v>99.996475297804906</v>
      </c>
      <c r="O87" s="67">
        <v>99.996479153846138</v>
      </c>
      <c r="P87" s="67">
        <v>43.370633024016428</v>
      </c>
      <c r="Q87" s="67">
        <v>0</v>
      </c>
      <c r="R87" s="67">
        <v>1.1586399999998775E-3</v>
      </c>
    </row>
    <row r="88" spans="1:18" ht="15.75" x14ac:dyDescent="0.25">
      <c r="A88" s="11">
        <v>77</v>
      </c>
      <c r="B88" s="189" t="s">
        <v>207</v>
      </c>
      <c r="C88" s="66">
        <v>913.79459999999995</v>
      </c>
      <c r="D88" s="66">
        <v>0</v>
      </c>
      <c r="E88" s="66">
        <v>961.89459999999997</v>
      </c>
      <c r="F88" s="66">
        <v>913.79459999999995</v>
      </c>
      <c r="G88" s="66">
        <v>48.1</v>
      </c>
      <c r="H88" s="66">
        <v>913.79459999999995</v>
      </c>
      <c r="I88" s="66">
        <v>0</v>
      </c>
      <c r="J88" s="66">
        <v>961.89459999999997</v>
      </c>
      <c r="K88" s="66">
        <v>913.79459999999995</v>
      </c>
      <c r="L88" s="66">
        <v>0</v>
      </c>
      <c r="M88" s="66">
        <v>48.1</v>
      </c>
      <c r="N88" s="67">
        <v>100</v>
      </c>
      <c r="O88" s="67">
        <v>100</v>
      </c>
      <c r="P88" s="67">
        <v>5.000547877075098</v>
      </c>
      <c r="Q88" s="67">
        <v>0</v>
      </c>
      <c r="R88" s="67">
        <v>0</v>
      </c>
    </row>
    <row r="89" spans="1:18" ht="15.75" x14ac:dyDescent="0.25">
      <c r="A89" s="11">
        <v>78</v>
      </c>
      <c r="B89" s="189" t="s">
        <v>210</v>
      </c>
      <c r="C89" s="66">
        <v>39.976399999999998</v>
      </c>
      <c r="D89" s="66">
        <v>0</v>
      </c>
      <c r="E89" s="66">
        <v>137.11269999999999</v>
      </c>
      <c r="F89" s="66">
        <v>39.976399999999998</v>
      </c>
      <c r="G89" s="66">
        <v>97.136300000000006</v>
      </c>
      <c r="H89" s="66">
        <v>39.976399999999998</v>
      </c>
      <c r="I89" s="66">
        <v>0.36272720000000003</v>
      </c>
      <c r="J89" s="66">
        <v>137.11269999999999</v>
      </c>
      <c r="K89" s="66">
        <v>39.976399999999998</v>
      </c>
      <c r="L89" s="66">
        <v>0</v>
      </c>
      <c r="M89" s="66">
        <v>97.136300000000006</v>
      </c>
      <c r="N89" s="67">
        <v>100</v>
      </c>
      <c r="O89" s="67">
        <v>100</v>
      </c>
      <c r="P89" s="67">
        <v>70.844130412427162</v>
      </c>
      <c r="Q89" s="67">
        <v>0.36272720000000003</v>
      </c>
      <c r="R89" s="67">
        <v>1.8873791418627661E-15</v>
      </c>
    </row>
    <row r="90" spans="1:18" ht="15.75" x14ac:dyDescent="0.25">
      <c r="A90" s="11">
        <v>79</v>
      </c>
      <c r="B90" s="189" t="s">
        <v>213</v>
      </c>
      <c r="C90" s="66">
        <v>295.04199999999997</v>
      </c>
      <c r="D90" s="66">
        <v>0</v>
      </c>
      <c r="E90" s="66">
        <v>310.57052632</v>
      </c>
      <c r="F90" s="66">
        <v>295.04199999999997</v>
      </c>
      <c r="G90" s="66">
        <v>15.528526320000001</v>
      </c>
      <c r="H90" s="66">
        <v>295.04199999999997</v>
      </c>
      <c r="I90" s="66">
        <v>1.3899742900000001</v>
      </c>
      <c r="J90" s="66">
        <v>310.57052630000004</v>
      </c>
      <c r="K90" s="66">
        <v>295.04199999999997</v>
      </c>
      <c r="L90" s="66">
        <v>0</v>
      </c>
      <c r="M90" s="66">
        <v>15.528526300000001</v>
      </c>
      <c r="N90" s="67">
        <v>100</v>
      </c>
      <c r="O90" s="67">
        <v>99.999999871204778</v>
      </c>
      <c r="P90" s="67">
        <v>4.999999995170179</v>
      </c>
      <c r="Q90" s="67">
        <v>1.3899742900000001</v>
      </c>
      <c r="R90" s="67">
        <v>-2.2204460492503131E-15</v>
      </c>
    </row>
    <row r="91" spans="1:18" ht="15.75" x14ac:dyDescent="0.25">
      <c r="A91" s="11">
        <v>80</v>
      </c>
      <c r="B91" s="189" t="s">
        <v>216</v>
      </c>
      <c r="C91" s="66">
        <v>133.0778</v>
      </c>
      <c r="D91" s="66">
        <v>0</v>
      </c>
      <c r="E91" s="66">
        <v>265.27780000000001</v>
      </c>
      <c r="F91" s="66">
        <v>133.0778</v>
      </c>
      <c r="G91" s="66">
        <v>132.19999999999999</v>
      </c>
      <c r="H91" s="66">
        <v>133.0778</v>
      </c>
      <c r="I91" s="66">
        <v>0</v>
      </c>
      <c r="J91" s="66">
        <v>265.27780000000001</v>
      </c>
      <c r="K91" s="66">
        <v>133.0778</v>
      </c>
      <c r="L91" s="66">
        <v>0</v>
      </c>
      <c r="M91" s="66">
        <v>132.19999999999999</v>
      </c>
      <c r="N91" s="67">
        <v>100</v>
      </c>
      <c r="O91" s="67">
        <v>100</v>
      </c>
      <c r="P91" s="67">
        <v>49.834550799199931</v>
      </c>
      <c r="Q91" s="67">
        <v>0</v>
      </c>
      <c r="R91" s="67">
        <v>0</v>
      </c>
    </row>
    <row r="92" spans="1:18" ht="15.75" x14ac:dyDescent="0.25">
      <c r="A92" s="11">
        <v>81</v>
      </c>
      <c r="B92" s="189" t="s">
        <v>219</v>
      </c>
      <c r="C92" s="66">
        <v>167.6568</v>
      </c>
      <c r="D92" s="66">
        <v>0</v>
      </c>
      <c r="E92" s="66">
        <v>176.48089999999999</v>
      </c>
      <c r="F92" s="66">
        <v>167.6568</v>
      </c>
      <c r="G92" s="66">
        <v>8.8240999999999996</v>
      </c>
      <c r="H92" s="66">
        <v>167.6568</v>
      </c>
      <c r="I92" s="66">
        <v>1.6786972</v>
      </c>
      <c r="J92" s="66">
        <v>176.48089999999999</v>
      </c>
      <c r="K92" s="66">
        <v>167.6568</v>
      </c>
      <c r="L92" s="66">
        <v>0</v>
      </c>
      <c r="M92" s="66">
        <v>8.8240999999999996</v>
      </c>
      <c r="N92" s="67">
        <v>100</v>
      </c>
      <c r="O92" s="67">
        <v>100</v>
      </c>
      <c r="P92" s="67">
        <v>5.0000311648456011</v>
      </c>
      <c r="Q92" s="67">
        <v>1.6786972</v>
      </c>
      <c r="R92" s="67">
        <v>-1.2212453270876722E-14</v>
      </c>
    </row>
    <row r="93" spans="1:18" ht="15.75" x14ac:dyDescent="0.25">
      <c r="A93" s="11">
        <v>82</v>
      </c>
      <c r="B93" s="189" t="s">
        <v>222</v>
      </c>
      <c r="C93" s="66">
        <v>416.67160000000001</v>
      </c>
      <c r="D93" s="66">
        <v>0</v>
      </c>
      <c r="E93" s="66">
        <v>534.19359999999995</v>
      </c>
      <c r="F93" s="66">
        <v>416.67160000000001</v>
      </c>
      <c r="G93" s="66">
        <v>117.52200000000001</v>
      </c>
      <c r="H93" s="66">
        <v>416.67160000000001</v>
      </c>
      <c r="I93" s="66">
        <v>0</v>
      </c>
      <c r="J93" s="66">
        <v>534.19359999999995</v>
      </c>
      <c r="K93" s="66">
        <v>416.67160000000001</v>
      </c>
      <c r="L93" s="66">
        <v>0</v>
      </c>
      <c r="M93" s="66">
        <v>117.52200000000001</v>
      </c>
      <c r="N93" s="67">
        <v>100</v>
      </c>
      <c r="O93" s="67">
        <v>100</v>
      </c>
      <c r="P93" s="67">
        <v>21.999889178754671</v>
      </c>
      <c r="Q93" s="67">
        <v>0</v>
      </c>
      <c r="R93" s="67">
        <v>0</v>
      </c>
    </row>
    <row r="94" spans="1:18" ht="15.75" x14ac:dyDescent="0.25">
      <c r="A94" s="11">
        <v>83</v>
      </c>
      <c r="B94" s="189" t="s">
        <v>225</v>
      </c>
      <c r="C94" s="66">
        <v>562.98680000000002</v>
      </c>
      <c r="D94" s="66">
        <v>0</v>
      </c>
      <c r="E94" s="66">
        <v>690.67086500000005</v>
      </c>
      <c r="F94" s="66">
        <v>562.98680000000002</v>
      </c>
      <c r="G94" s="66">
        <v>127.684065</v>
      </c>
      <c r="H94" s="66">
        <v>562.87334458999999</v>
      </c>
      <c r="I94" s="66">
        <v>0</v>
      </c>
      <c r="J94" s="66">
        <v>690.55740959000002</v>
      </c>
      <c r="K94" s="66">
        <v>562.87334458999999</v>
      </c>
      <c r="L94" s="66">
        <v>0</v>
      </c>
      <c r="M94" s="66">
        <v>127.684065</v>
      </c>
      <c r="N94" s="67">
        <v>99.97984758967705</v>
      </c>
      <c r="O94" s="67">
        <v>100</v>
      </c>
      <c r="P94" s="67">
        <v>18.489999995193592</v>
      </c>
      <c r="Q94" s="67">
        <v>0</v>
      </c>
      <c r="R94" s="67">
        <v>0</v>
      </c>
    </row>
    <row r="95" spans="1:18" ht="15.75" x14ac:dyDescent="0.25">
      <c r="A95" s="74">
        <v>84</v>
      </c>
      <c r="B95" s="189" t="s">
        <v>228</v>
      </c>
      <c r="C95" s="66">
        <v>90.399799999999999</v>
      </c>
      <c r="D95" s="66">
        <v>0</v>
      </c>
      <c r="E95" s="66">
        <v>138.19980000000001</v>
      </c>
      <c r="F95" s="66">
        <v>90.399799999999999</v>
      </c>
      <c r="G95" s="66">
        <v>47.8</v>
      </c>
      <c r="H95" s="66">
        <v>90.399799999999999</v>
      </c>
      <c r="I95" s="66">
        <v>1.8939419999999998E-2</v>
      </c>
      <c r="J95" s="66">
        <v>138.19980000000001</v>
      </c>
      <c r="K95" s="66">
        <v>90.399799999999999</v>
      </c>
      <c r="L95" s="66">
        <v>0</v>
      </c>
      <c r="M95" s="66">
        <v>47.8</v>
      </c>
      <c r="N95" s="67">
        <v>100</v>
      </c>
      <c r="O95" s="67">
        <v>100</v>
      </c>
      <c r="P95" s="67">
        <v>34.587604323595258</v>
      </c>
      <c r="Q95" s="67">
        <v>1.8939419999999998E-2</v>
      </c>
      <c r="R95" s="67">
        <v>-4.7323256424647298E-15</v>
      </c>
    </row>
    <row r="96" spans="1:18" ht="15.75" x14ac:dyDescent="0.25">
      <c r="A96" s="57">
        <v>85</v>
      </c>
      <c r="B96" s="190" t="s">
        <v>231</v>
      </c>
      <c r="C96" s="61">
        <v>158.22309999999999</v>
      </c>
      <c r="D96" s="61">
        <v>0</v>
      </c>
      <c r="E96" s="61">
        <v>320.85397669000002</v>
      </c>
      <c r="F96" s="61">
        <v>158.22309999999999</v>
      </c>
      <c r="G96" s="61">
        <v>162.63087669000001</v>
      </c>
      <c r="H96" s="61">
        <v>157.31651930999999</v>
      </c>
      <c r="I96" s="61">
        <v>1.1806720500000001</v>
      </c>
      <c r="J96" s="61">
        <v>318.30502318000003</v>
      </c>
      <c r="K96" s="61">
        <v>157.26909663000001</v>
      </c>
      <c r="L96" s="61">
        <v>0</v>
      </c>
      <c r="M96" s="61">
        <v>161.03592655</v>
      </c>
      <c r="N96" s="61">
        <v>99.397051776889739</v>
      </c>
      <c r="O96" s="61">
        <v>99.019282086857203</v>
      </c>
      <c r="P96" s="61">
        <v>50.591701299961869</v>
      </c>
      <c r="Q96" s="61">
        <v>1.1806720500000001</v>
      </c>
      <c r="R96" s="61">
        <v>4.7422679999999606E-2</v>
      </c>
    </row>
    <row r="97" spans="1:18" ht="15.75" x14ac:dyDescent="0.25">
      <c r="A97" s="11">
        <v>86</v>
      </c>
      <c r="B97" s="189" t="s">
        <v>234</v>
      </c>
      <c r="C97" s="66">
        <v>13.438800000000001</v>
      </c>
      <c r="D97" s="66">
        <v>0</v>
      </c>
      <c r="E97" s="66">
        <v>43.468800000000002</v>
      </c>
      <c r="F97" s="66">
        <v>13.438800000000001</v>
      </c>
      <c r="G97" s="66">
        <v>30.03</v>
      </c>
      <c r="H97" s="66">
        <v>13.438800000000001</v>
      </c>
      <c r="I97" s="66">
        <v>0</v>
      </c>
      <c r="J97" s="66">
        <v>43.468800000000002</v>
      </c>
      <c r="K97" s="66">
        <v>13.438800000000001</v>
      </c>
      <c r="L97" s="66">
        <v>0</v>
      </c>
      <c r="M97" s="66">
        <v>30.03</v>
      </c>
      <c r="N97" s="67">
        <v>100</v>
      </c>
      <c r="O97" s="67">
        <v>100</v>
      </c>
      <c r="P97" s="67">
        <v>69.084032685512369</v>
      </c>
      <c r="Q97" s="67">
        <v>0</v>
      </c>
      <c r="R97" s="67">
        <v>0</v>
      </c>
    </row>
    <row r="98" spans="1:18" ht="15.75" x14ac:dyDescent="0.25">
      <c r="A98" s="11">
        <v>87</v>
      </c>
      <c r="B98" s="189" t="s">
        <v>237</v>
      </c>
      <c r="C98" s="66">
        <v>7.3947000000000003</v>
      </c>
      <c r="D98" s="66">
        <v>0</v>
      </c>
      <c r="E98" s="66">
        <v>8.8546999999999993</v>
      </c>
      <c r="F98" s="66">
        <v>7.3947000000000003</v>
      </c>
      <c r="G98" s="66">
        <v>1.46</v>
      </c>
      <c r="H98" s="66">
        <v>7.3946999800000004</v>
      </c>
      <c r="I98" s="66">
        <v>0.92249999999999999</v>
      </c>
      <c r="J98" s="66">
        <v>8.8546999800000012</v>
      </c>
      <c r="K98" s="66">
        <v>7.3946999800000004</v>
      </c>
      <c r="L98" s="66">
        <v>0</v>
      </c>
      <c r="M98" s="66">
        <v>1.46</v>
      </c>
      <c r="N98" s="67">
        <v>99.999999729536015</v>
      </c>
      <c r="O98" s="67">
        <v>100</v>
      </c>
      <c r="P98" s="67">
        <v>16.488418617205365</v>
      </c>
      <c r="Q98" s="67">
        <v>0.92249999999999999</v>
      </c>
      <c r="R98" s="67">
        <v>-5.5511151231257827E-16</v>
      </c>
    </row>
    <row r="99" spans="1:18" ht="15.75" x14ac:dyDescent="0.25">
      <c r="A99" s="11">
        <v>88</v>
      </c>
      <c r="B99" s="189" t="s">
        <v>240</v>
      </c>
      <c r="C99" s="66">
        <v>56.5105</v>
      </c>
      <c r="D99" s="66">
        <v>0</v>
      </c>
      <c r="E99" s="66">
        <v>118.219582</v>
      </c>
      <c r="F99" s="66">
        <v>56.5105</v>
      </c>
      <c r="G99" s="66">
        <v>61.709082000000002</v>
      </c>
      <c r="H99" s="66">
        <v>56.5105</v>
      </c>
      <c r="I99" s="66">
        <v>0</v>
      </c>
      <c r="J99" s="66">
        <v>118.219582</v>
      </c>
      <c r="K99" s="66">
        <v>56.5105</v>
      </c>
      <c r="L99" s="66">
        <v>0</v>
      </c>
      <c r="M99" s="66">
        <v>61.709082000000002</v>
      </c>
      <c r="N99" s="67">
        <v>100</v>
      </c>
      <c r="O99" s="67">
        <v>100</v>
      </c>
      <c r="P99" s="67">
        <v>52.198697505122297</v>
      </c>
      <c r="Q99" s="67">
        <v>0</v>
      </c>
      <c r="R99" s="67">
        <v>0</v>
      </c>
    </row>
    <row r="100" spans="1:18" ht="15.75" x14ac:dyDescent="0.25">
      <c r="A100" s="11">
        <v>89</v>
      </c>
      <c r="B100" s="189" t="s">
        <v>243</v>
      </c>
      <c r="C100" s="66">
        <v>10.3466</v>
      </c>
      <c r="D100" s="66">
        <v>0</v>
      </c>
      <c r="E100" s="66">
        <v>63.669800000000002</v>
      </c>
      <c r="F100" s="66">
        <v>10.3466</v>
      </c>
      <c r="G100" s="66">
        <v>53.3232</v>
      </c>
      <c r="H100" s="66">
        <v>10.06180906</v>
      </c>
      <c r="I100" s="66">
        <v>0</v>
      </c>
      <c r="J100" s="66">
        <v>61.91728561</v>
      </c>
      <c r="K100" s="66">
        <v>10.06180906</v>
      </c>
      <c r="L100" s="66">
        <v>0</v>
      </c>
      <c r="M100" s="66">
        <v>51.855476549999999</v>
      </c>
      <c r="N100" s="67">
        <v>97.247492509616677</v>
      </c>
      <c r="O100" s="67">
        <v>97.247495555405521</v>
      </c>
      <c r="P100" s="67">
        <v>83.749595995895916</v>
      </c>
      <c r="Q100" s="67">
        <v>0</v>
      </c>
      <c r="R100" s="67">
        <v>0</v>
      </c>
    </row>
    <row r="101" spans="1:18" ht="15.75" x14ac:dyDescent="0.25">
      <c r="A101" s="11">
        <v>90</v>
      </c>
      <c r="B101" s="189" t="s">
        <v>246</v>
      </c>
      <c r="C101" s="66">
        <v>56.774099999999997</v>
      </c>
      <c r="D101" s="66">
        <v>0</v>
      </c>
      <c r="E101" s="66">
        <v>59.77479469</v>
      </c>
      <c r="F101" s="66">
        <v>56.774099999999997</v>
      </c>
      <c r="G101" s="66">
        <v>3.00069469</v>
      </c>
      <c r="H101" s="66">
        <v>56.774099999999997</v>
      </c>
      <c r="I101" s="66">
        <v>0</v>
      </c>
      <c r="J101" s="66">
        <v>59.77479469</v>
      </c>
      <c r="K101" s="66">
        <v>56.774099999999997</v>
      </c>
      <c r="L101" s="66">
        <v>0</v>
      </c>
      <c r="M101" s="66">
        <v>3.00069469</v>
      </c>
      <c r="N101" s="67">
        <v>100</v>
      </c>
      <c r="O101" s="67">
        <v>100</v>
      </c>
      <c r="P101" s="67">
        <v>5.0199999942484119</v>
      </c>
      <c r="Q101" s="67">
        <v>0</v>
      </c>
      <c r="R101" s="67">
        <v>0</v>
      </c>
    </row>
    <row r="102" spans="1:18" ht="15.75" x14ac:dyDescent="0.25">
      <c r="A102" s="11">
        <v>91</v>
      </c>
      <c r="B102" s="189" t="s">
        <v>249</v>
      </c>
      <c r="C102" s="66">
        <v>1.6677</v>
      </c>
      <c r="D102" s="66">
        <v>0</v>
      </c>
      <c r="E102" s="66">
        <v>9.2943999999999996</v>
      </c>
      <c r="F102" s="66">
        <v>1.6677</v>
      </c>
      <c r="G102" s="66">
        <v>7.6266999999999996</v>
      </c>
      <c r="H102" s="66">
        <v>1.6677</v>
      </c>
      <c r="I102" s="66">
        <v>0</v>
      </c>
      <c r="J102" s="66">
        <v>9.2943999999999996</v>
      </c>
      <c r="K102" s="66">
        <v>1.6677</v>
      </c>
      <c r="L102" s="66">
        <v>0</v>
      </c>
      <c r="M102" s="66">
        <v>7.6266999999999996</v>
      </c>
      <c r="N102" s="67">
        <v>100</v>
      </c>
      <c r="O102" s="67">
        <v>100</v>
      </c>
      <c r="P102" s="67">
        <v>82.05693751075917</v>
      </c>
      <c r="Q102" s="67">
        <v>0</v>
      </c>
      <c r="R102" s="67">
        <v>0</v>
      </c>
    </row>
    <row r="103" spans="1:18" ht="15.75" x14ac:dyDescent="0.25">
      <c r="A103" s="11">
        <v>92</v>
      </c>
      <c r="B103" s="189" t="s">
        <v>252</v>
      </c>
      <c r="C103" s="66">
        <v>6.1468999999999996</v>
      </c>
      <c r="D103" s="66">
        <v>0</v>
      </c>
      <c r="E103" s="66">
        <v>10.498100000000001</v>
      </c>
      <c r="F103" s="66">
        <v>6.1468999999999996</v>
      </c>
      <c r="G103" s="66">
        <v>4.3512000000000004</v>
      </c>
      <c r="H103" s="66">
        <v>6.1468999999999996</v>
      </c>
      <c r="I103" s="66">
        <v>0</v>
      </c>
      <c r="J103" s="66">
        <v>10.498100000000001</v>
      </c>
      <c r="K103" s="66">
        <v>6.1468999999999996</v>
      </c>
      <c r="L103" s="66">
        <v>0</v>
      </c>
      <c r="M103" s="66">
        <v>4.3512000000000004</v>
      </c>
      <c r="N103" s="67">
        <v>100</v>
      </c>
      <c r="O103" s="67">
        <v>100</v>
      </c>
      <c r="P103" s="67">
        <v>41.447500023813831</v>
      </c>
      <c r="Q103" s="67">
        <v>0</v>
      </c>
      <c r="R103" s="67">
        <v>0</v>
      </c>
    </row>
    <row r="104" spans="1:18" ht="15.75" x14ac:dyDescent="0.25">
      <c r="A104" s="11">
        <v>93</v>
      </c>
      <c r="B104" s="189" t="s">
        <v>254</v>
      </c>
      <c r="C104" s="66">
        <v>5.9438000000000004</v>
      </c>
      <c r="D104" s="66">
        <v>0</v>
      </c>
      <c r="E104" s="66">
        <v>7.0738000000000003</v>
      </c>
      <c r="F104" s="66">
        <v>5.9438000000000004</v>
      </c>
      <c r="G104" s="66">
        <v>1.1299999999999999</v>
      </c>
      <c r="H104" s="66">
        <v>5.3220102699999998</v>
      </c>
      <c r="I104" s="66">
        <v>0.25817204999999999</v>
      </c>
      <c r="J104" s="66">
        <v>6.2773609000000006</v>
      </c>
      <c r="K104" s="66">
        <v>5.2745875899999994</v>
      </c>
      <c r="L104" s="66">
        <v>0</v>
      </c>
      <c r="M104" s="66">
        <v>1.00277331</v>
      </c>
      <c r="N104" s="67">
        <v>88.741000538376099</v>
      </c>
      <c r="O104" s="67">
        <v>88.741000884955767</v>
      </c>
      <c r="P104" s="67">
        <v>15.974440946990956</v>
      </c>
      <c r="Q104" s="67">
        <v>0.25817204999999999</v>
      </c>
      <c r="R104" s="67">
        <v>4.7422680000000161E-2</v>
      </c>
    </row>
    <row r="105" spans="1:18" ht="15.75" x14ac:dyDescent="0.25">
      <c r="A105" s="9">
        <v>94</v>
      </c>
      <c r="B105" s="189" t="s">
        <v>256</v>
      </c>
      <c r="C105" s="66">
        <v>0</v>
      </c>
      <c r="D105" s="66">
        <v>0</v>
      </c>
      <c r="E105" s="66">
        <v>0</v>
      </c>
      <c r="F105" s="66">
        <v>0</v>
      </c>
      <c r="G105" s="66">
        <v>0</v>
      </c>
      <c r="H105" s="66">
        <v>0</v>
      </c>
      <c r="I105" s="66">
        <v>0</v>
      </c>
      <c r="J105" s="66">
        <v>0</v>
      </c>
      <c r="K105" s="66">
        <v>0</v>
      </c>
      <c r="L105" s="66">
        <v>0</v>
      </c>
      <c r="M105" s="66">
        <v>0</v>
      </c>
      <c r="N105" s="67" t="s">
        <v>1094</v>
      </c>
      <c r="O105" s="67" t="s">
        <v>1094</v>
      </c>
      <c r="P105" s="67">
        <v>0</v>
      </c>
      <c r="Q105" s="67">
        <v>0</v>
      </c>
      <c r="R105" s="67">
        <v>0</v>
      </c>
    </row>
  </sheetData>
  <mergeCells count="17">
    <mergeCell ref="R9:R11"/>
    <mergeCell ref="C7:R8"/>
    <mergeCell ref="C9:C11"/>
    <mergeCell ref="D9:D11"/>
    <mergeCell ref="P9:P11"/>
    <mergeCell ref="Q9:Q11"/>
    <mergeCell ref="A7:A11"/>
    <mergeCell ref="B7:B11"/>
    <mergeCell ref="N9:O10"/>
    <mergeCell ref="E10:E11"/>
    <mergeCell ref="F10:G10"/>
    <mergeCell ref="J10:J11"/>
    <mergeCell ref="K10:M10"/>
    <mergeCell ref="E9:G9"/>
    <mergeCell ref="H9:H11"/>
    <mergeCell ref="I9:I11"/>
    <mergeCell ref="J9:M9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X105"/>
  <sheetViews>
    <sheetView view="pageBreakPreview" zoomScale="60" zoomScaleNormal="70" workbookViewId="0">
      <pane xSplit="2" ySplit="12" topLeftCell="C13" activePane="bottomRight" state="frozen"/>
      <selection activeCell="F34" sqref="F34"/>
      <selection pane="topRight" activeCell="F34" sqref="F34"/>
      <selection pane="bottomLeft" activeCell="F34" sqref="F34"/>
      <selection pane="bottomRight" activeCell="AJ9" sqref="AJ9:AJ11"/>
    </sheetView>
  </sheetViews>
  <sheetFormatPr defaultRowHeight="15" outlineLevelCol="1" x14ac:dyDescent="0.25"/>
  <cols>
    <col min="1" max="1" width="5" customWidth="1"/>
    <col min="2" max="2" width="31.5703125" customWidth="1"/>
    <col min="3" max="4" width="18.7109375" style="126" customWidth="1"/>
    <col min="5" max="6" width="18.7109375" style="126" customWidth="1" outlineLevel="1"/>
    <col min="7" max="15" width="18.7109375" style="126" customWidth="1"/>
    <col min="16" max="18" width="18.7109375" style="126" customWidth="1" outlineLevel="1"/>
    <col min="19" max="20" width="18.7109375" style="126" customWidth="1"/>
    <col min="21" max="22" width="18.7109375" style="126" customWidth="1" outlineLevel="1"/>
    <col min="23" max="31" width="18.7109375" style="126" customWidth="1"/>
    <col min="32" max="34" width="18.7109375" style="126" customWidth="1" outlineLevel="1"/>
    <col min="35" max="36" width="18.7109375" style="126" customWidth="1"/>
    <col min="37" max="38" width="18.7109375" style="126" customWidth="1" outlineLevel="1"/>
    <col min="39" max="47" width="18.7109375" style="126" customWidth="1"/>
    <col min="48" max="50" width="18.7109375" style="126" customWidth="1" outlineLevel="1"/>
  </cols>
  <sheetData>
    <row r="1" spans="1:50" s="126" customFormat="1" ht="18" customHeight="1" x14ac:dyDescent="0.25">
      <c r="B1" s="127"/>
    </row>
    <row r="2" spans="1:50" s="126" customFormat="1" ht="18" customHeight="1" x14ac:dyDescent="0.3">
      <c r="T2" s="217"/>
      <c r="U2" s="217"/>
      <c r="V2" s="217"/>
      <c r="W2" s="217"/>
      <c r="X2" s="217"/>
      <c r="Y2" s="217"/>
      <c r="Z2" s="217"/>
      <c r="AA2" s="217"/>
      <c r="AB2" s="217"/>
      <c r="AJ2" s="217"/>
      <c r="AK2" s="217"/>
      <c r="AL2" s="217"/>
      <c r="AM2" s="217"/>
      <c r="AN2" s="217"/>
      <c r="AO2" s="217"/>
      <c r="AP2" s="217"/>
      <c r="AQ2" s="217"/>
      <c r="AR2" s="217"/>
    </row>
    <row r="3" spans="1:50" s="126" customFormat="1" ht="18" customHeight="1" x14ac:dyDescent="0.3">
      <c r="A3" s="128"/>
      <c r="B3" s="12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38"/>
      <c r="AD3" s="38"/>
      <c r="AE3" s="38"/>
      <c r="AF3" s="38"/>
      <c r="AS3" s="38"/>
      <c r="AT3" s="38"/>
      <c r="AU3" s="38"/>
      <c r="AV3" s="38"/>
    </row>
    <row r="4" spans="1:50" s="126" customFormat="1" ht="18" customHeight="1" x14ac:dyDescent="0.3">
      <c r="A4" s="128"/>
      <c r="B4" s="128"/>
      <c r="C4" s="40"/>
      <c r="D4" s="40"/>
      <c r="E4" s="40"/>
      <c r="F4" s="40"/>
      <c r="G4" s="40"/>
      <c r="H4" s="40"/>
      <c r="I4" s="40"/>
      <c r="J4" s="40"/>
      <c r="K4" s="40"/>
      <c r="L4" s="40"/>
      <c r="M4" s="38"/>
      <c r="N4" s="38"/>
      <c r="O4" s="38"/>
      <c r="P4" s="38"/>
      <c r="T4" s="40"/>
      <c r="U4" s="40"/>
      <c r="V4" s="40"/>
      <c r="W4" s="40"/>
      <c r="X4" s="40"/>
      <c r="Y4" s="40"/>
      <c r="Z4" s="40"/>
      <c r="AA4" s="40"/>
      <c r="AB4" s="40"/>
      <c r="AC4" s="38"/>
      <c r="AD4" s="38"/>
      <c r="AE4" s="38"/>
      <c r="AF4" s="38"/>
      <c r="AJ4" s="40"/>
      <c r="AK4" s="40"/>
      <c r="AL4" s="40"/>
      <c r="AM4" s="40"/>
      <c r="AN4" s="40"/>
      <c r="AO4" s="40"/>
      <c r="AP4" s="40"/>
      <c r="AQ4" s="40"/>
      <c r="AR4" s="40"/>
      <c r="AS4" s="38"/>
      <c r="AT4" s="38"/>
      <c r="AU4" s="38"/>
      <c r="AV4" s="38"/>
    </row>
    <row r="5" spans="1:50" s="126" customFormat="1" ht="18" customHeight="1" x14ac:dyDescent="0.3">
      <c r="A5" s="128"/>
      <c r="B5" s="128"/>
      <c r="D5" s="215"/>
      <c r="E5" s="215"/>
      <c r="F5" s="214"/>
      <c r="G5" s="42"/>
      <c r="H5" s="43"/>
      <c r="I5" s="43"/>
      <c r="T5" s="215"/>
      <c r="U5" s="215"/>
      <c r="V5" s="214"/>
      <c r="W5" s="42"/>
      <c r="X5" s="43"/>
      <c r="Y5" s="43"/>
      <c r="AJ5" s="215"/>
      <c r="AK5" s="215"/>
      <c r="AL5" s="214"/>
      <c r="AM5" s="42"/>
      <c r="AN5" s="43"/>
      <c r="AO5" s="43"/>
    </row>
    <row r="6" spans="1:50" ht="15.75" x14ac:dyDescent="0.25">
      <c r="B6" s="44" t="s">
        <v>1093</v>
      </c>
      <c r="C6" s="76"/>
      <c r="Q6" s="76"/>
      <c r="R6" s="76"/>
      <c r="S6" s="76"/>
      <c r="AG6" s="76"/>
      <c r="AH6" s="76"/>
      <c r="AI6" s="76"/>
      <c r="AW6" s="76"/>
      <c r="AX6" s="76"/>
    </row>
    <row r="7" spans="1:50" ht="15" customHeight="1" x14ac:dyDescent="0.25">
      <c r="A7" s="275" t="s">
        <v>284</v>
      </c>
      <c r="B7" s="275" t="s">
        <v>285</v>
      </c>
      <c r="C7" s="282" t="s">
        <v>999</v>
      </c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  <c r="S7" s="282" t="s">
        <v>1014</v>
      </c>
      <c r="T7" s="283"/>
      <c r="U7" s="283"/>
      <c r="V7" s="283"/>
      <c r="W7" s="283"/>
      <c r="X7" s="283"/>
      <c r="Y7" s="283"/>
      <c r="Z7" s="283"/>
      <c r="AA7" s="283"/>
      <c r="AB7" s="283"/>
      <c r="AC7" s="283"/>
      <c r="AD7" s="283"/>
      <c r="AE7" s="283"/>
      <c r="AF7" s="283"/>
      <c r="AG7" s="283"/>
      <c r="AH7" s="283"/>
      <c r="AI7" s="282" t="s">
        <v>1015</v>
      </c>
      <c r="AJ7" s="283"/>
      <c r="AK7" s="283"/>
      <c r="AL7" s="283"/>
      <c r="AM7" s="283"/>
      <c r="AN7" s="283"/>
      <c r="AO7" s="283"/>
      <c r="AP7" s="283"/>
      <c r="AQ7" s="283"/>
      <c r="AR7" s="283"/>
      <c r="AS7" s="283"/>
      <c r="AT7" s="283"/>
      <c r="AU7" s="283"/>
      <c r="AV7" s="283"/>
      <c r="AW7" s="283"/>
      <c r="AX7" s="283"/>
    </row>
    <row r="8" spans="1:50" ht="15.75" customHeight="1" thickBot="1" x14ac:dyDescent="0.3">
      <c r="A8" s="275"/>
      <c r="B8" s="275"/>
      <c r="C8" s="284"/>
      <c r="D8" s="279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79"/>
      <c r="S8" s="284"/>
      <c r="T8" s="279"/>
      <c r="U8" s="279"/>
      <c r="V8" s="279"/>
      <c r="W8" s="279"/>
      <c r="X8" s="279"/>
      <c r="Y8" s="279"/>
      <c r="Z8" s="279"/>
      <c r="AA8" s="279"/>
      <c r="AB8" s="279"/>
      <c r="AC8" s="279"/>
      <c r="AD8" s="279"/>
      <c r="AE8" s="279"/>
      <c r="AF8" s="279"/>
      <c r="AG8" s="279"/>
      <c r="AH8" s="279"/>
      <c r="AI8" s="284"/>
      <c r="AJ8" s="279"/>
      <c r="AK8" s="279"/>
      <c r="AL8" s="279"/>
      <c r="AM8" s="279"/>
      <c r="AN8" s="279"/>
      <c r="AO8" s="279"/>
      <c r="AP8" s="279"/>
      <c r="AQ8" s="279"/>
      <c r="AR8" s="279"/>
      <c r="AS8" s="279"/>
      <c r="AT8" s="279"/>
      <c r="AU8" s="279"/>
      <c r="AV8" s="279"/>
      <c r="AW8" s="279"/>
      <c r="AX8" s="279"/>
    </row>
    <row r="9" spans="1:50" ht="15" customHeight="1" x14ac:dyDescent="0.25">
      <c r="A9" s="275"/>
      <c r="B9" s="275"/>
      <c r="C9" s="253" t="s">
        <v>315</v>
      </c>
      <c r="D9" s="268" t="s">
        <v>1096</v>
      </c>
      <c r="E9" s="268" t="s">
        <v>287</v>
      </c>
      <c r="F9" s="268"/>
      <c r="G9" s="268"/>
      <c r="H9" s="268" t="s">
        <v>312</v>
      </c>
      <c r="I9" s="268" t="s">
        <v>262</v>
      </c>
      <c r="J9" s="268" t="s">
        <v>288</v>
      </c>
      <c r="K9" s="268"/>
      <c r="L9" s="268"/>
      <c r="M9" s="268"/>
      <c r="N9" s="281" t="s">
        <v>289</v>
      </c>
      <c r="O9" s="281"/>
      <c r="P9" s="268" t="s">
        <v>290</v>
      </c>
      <c r="Q9" s="268" t="s">
        <v>266</v>
      </c>
      <c r="R9" s="268" t="s">
        <v>291</v>
      </c>
      <c r="S9" s="253" t="s">
        <v>315</v>
      </c>
      <c r="T9" s="254" t="s">
        <v>1096</v>
      </c>
      <c r="U9" s="254" t="s">
        <v>287</v>
      </c>
      <c r="V9" s="254"/>
      <c r="W9" s="254"/>
      <c r="X9" s="254" t="s">
        <v>312</v>
      </c>
      <c r="Y9" s="254" t="s">
        <v>262</v>
      </c>
      <c r="Z9" s="254" t="s">
        <v>288</v>
      </c>
      <c r="AA9" s="254"/>
      <c r="AB9" s="254"/>
      <c r="AC9" s="254"/>
      <c r="AD9" s="269" t="s">
        <v>289</v>
      </c>
      <c r="AE9" s="269"/>
      <c r="AF9" s="254" t="s">
        <v>290</v>
      </c>
      <c r="AG9" s="254" t="s">
        <v>266</v>
      </c>
      <c r="AH9" s="254" t="s">
        <v>291</v>
      </c>
      <c r="AI9" s="253" t="s">
        <v>315</v>
      </c>
      <c r="AJ9" s="254" t="s">
        <v>1096</v>
      </c>
      <c r="AK9" s="254" t="s">
        <v>287</v>
      </c>
      <c r="AL9" s="254"/>
      <c r="AM9" s="254"/>
      <c r="AN9" s="254" t="s">
        <v>312</v>
      </c>
      <c r="AO9" s="254" t="s">
        <v>262</v>
      </c>
      <c r="AP9" s="254" t="s">
        <v>288</v>
      </c>
      <c r="AQ9" s="254"/>
      <c r="AR9" s="254"/>
      <c r="AS9" s="254"/>
      <c r="AT9" s="269" t="s">
        <v>289</v>
      </c>
      <c r="AU9" s="269"/>
      <c r="AV9" s="254" t="s">
        <v>290</v>
      </c>
      <c r="AW9" s="254" t="s">
        <v>266</v>
      </c>
      <c r="AX9" s="254" t="s">
        <v>291</v>
      </c>
    </row>
    <row r="10" spans="1:50" ht="15" customHeight="1" x14ac:dyDescent="0.25">
      <c r="A10" s="275"/>
      <c r="B10" s="275"/>
      <c r="C10" s="220"/>
      <c r="D10" s="224"/>
      <c r="E10" s="224" t="s">
        <v>292</v>
      </c>
      <c r="F10" s="224" t="s">
        <v>293</v>
      </c>
      <c r="G10" s="224"/>
      <c r="H10" s="224"/>
      <c r="I10" s="224"/>
      <c r="J10" s="224" t="s">
        <v>292</v>
      </c>
      <c r="K10" s="224" t="s">
        <v>294</v>
      </c>
      <c r="L10" s="224"/>
      <c r="M10" s="224"/>
      <c r="N10" s="270"/>
      <c r="O10" s="270"/>
      <c r="P10" s="224"/>
      <c r="Q10" s="224"/>
      <c r="R10" s="224"/>
      <c r="S10" s="220"/>
      <c r="T10" s="224"/>
      <c r="U10" s="224" t="s">
        <v>292</v>
      </c>
      <c r="V10" s="224" t="s">
        <v>293</v>
      </c>
      <c r="W10" s="224"/>
      <c r="X10" s="224"/>
      <c r="Y10" s="224"/>
      <c r="Z10" s="224" t="s">
        <v>292</v>
      </c>
      <c r="AA10" s="224" t="s">
        <v>294</v>
      </c>
      <c r="AB10" s="224"/>
      <c r="AC10" s="224"/>
      <c r="AD10" s="270"/>
      <c r="AE10" s="270"/>
      <c r="AF10" s="224"/>
      <c r="AG10" s="224"/>
      <c r="AH10" s="224"/>
      <c r="AI10" s="220"/>
      <c r="AJ10" s="224"/>
      <c r="AK10" s="224" t="s">
        <v>292</v>
      </c>
      <c r="AL10" s="224" t="s">
        <v>293</v>
      </c>
      <c r="AM10" s="224"/>
      <c r="AN10" s="224"/>
      <c r="AO10" s="224"/>
      <c r="AP10" s="224" t="s">
        <v>292</v>
      </c>
      <c r="AQ10" s="224" t="s">
        <v>294</v>
      </c>
      <c r="AR10" s="224"/>
      <c r="AS10" s="224"/>
      <c r="AT10" s="270"/>
      <c r="AU10" s="270"/>
      <c r="AV10" s="224"/>
      <c r="AW10" s="224"/>
      <c r="AX10" s="224"/>
    </row>
    <row r="11" spans="1:50" ht="105" x14ac:dyDescent="0.25">
      <c r="A11" s="275"/>
      <c r="B11" s="275"/>
      <c r="C11" s="254"/>
      <c r="D11" s="224"/>
      <c r="E11" s="224"/>
      <c r="F11" s="205" t="s">
        <v>259</v>
      </c>
      <c r="G11" s="205" t="s">
        <v>260</v>
      </c>
      <c r="H11" s="224"/>
      <c r="I11" s="224"/>
      <c r="J11" s="224"/>
      <c r="K11" s="205" t="s">
        <v>264</v>
      </c>
      <c r="L11" s="205" t="s">
        <v>303</v>
      </c>
      <c r="M11" s="205" t="s">
        <v>260</v>
      </c>
      <c r="N11" s="205" t="s">
        <v>965</v>
      </c>
      <c r="O11" s="205" t="s">
        <v>295</v>
      </c>
      <c r="P11" s="224"/>
      <c r="Q11" s="224"/>
      <c r="R11" s="224"/>
      <c r="S11" s="254"/>
      <c r="T11" s="224"/>
      <c r="U11" s="224"/>
      <c r="V11" s="205" t="s">
        <v>259</v>
      </c>
      <c r="W11" s="205" t="s">
        <v>260</v>
      </c>
      <c r="X11" s="224"/>
      <c r="Y11" s="224"/>
      <c r="Z11" s="224"/>
      <c r="AA11" s="205" t="s">
        <v>264</v>
      </c>
      <c r="AB11" s="205" t="s">
        <v>303</v>
      </c>
      <c r="AC11" s="205" t="s">
        <v>260</v>
      </c>
      <c r="AD11" s="205" t="s">
        <v>965</v>
      </c>
      <c r="AE11" s="205" t="s">
        <v>295</v>
      </c>
      <c r="AF11" s="224"/>
      <c r="AG11" s="224"/>
      <c r="AH11" s="224"/>
      <c r="AI11" s="254"/>
      <c r="AJ11" s="224"/>
      <c r="AK11" s="224"/>
      <c r="AL11" s="205" t="s">
        <v>259</v>
      </c>
      <c r="AM11" s="205" t="s">
        <v>260</v>
      </c>
      <c r="AN11" s="224"/>
      <c r="AO11" s="224"/>
      <c r="AP11" s="224"/>
      <c r="AQ11" s="205" t="s">
        <v>264</v>
      </c>
      <c r="AR11" s="205" t="s">
        <v>303</v>
      </c>
      <c r="AS11" s="205" t="s">
        <v>260</v>
      </c>
      <c r="AT11" s="205" t="s">
        <v>965</v>
      </c>
      <c r="AU11" s="205" t="s">
        <v>295</v>
      </c>
      <c r="AV11" s="224"/>
      <c r="AW11" s="224"/>
      <c r="AX11" s="224"/>
    </row>
    <row r="12" spans="1:50" ht="31.5" x14ac:dyDescent="0.25">
      <c r="A12" s="50" t="s">
        <v>2</v>
      </c>
      <c r="B12" s="195" t="s">
        <v>3</v>
      </c>
      <c r="C12" s="53">
        <v>8084.395199999999</v>
      </c>
      <c r="D12" s="53">
        <v>0</v>
      </c>
      <c r="E12" s="53">
        <v>12826.359517720002</v>
      </c>
      <c r="F12" s="53">
        <v>8084.3863999999994</v>
      </c>
      <c r="G12" s="53">
        <v>4741.973117720001</v>
      </c>
      <c r="H12" s="53">
        <v>8073.2832303299992</v>
      </c>
      <c r="I12" s="53">
        <v>6.1381449999999997</v>
      </c>
      <c r="J12" s="53">
        <v>12797.013111849999</v>
      </c>
      <c r="K12" s="53">
        <v>8072.9942225700006</v>
      </c>
      <c r="L12" s="53">
        <v>0</v>
      </c>
      <c r="M12" s="53">
        <v>4724.0188892800006</v>
      </c>
      <c r="N12" s="53">
        <v>99.859084204213715</v>
      </c>
      <c r="O12" s="53">
        <v>99.621376418754721</v>
      </c>
      <c r="P12" s="53">
        <v>36.915011713987944</v>
      </c>
      <c r="Q12" s="53">
        <v>6.1381449999999997</v>
      </c>
      <c r="R12" s="53">
        <v>0.2890077600000005</v>
      </c>
      <c r="S12" s="53">
        <v>7964.395199999999</v>
      </c>
      <c r="T12" s="53">
        <v>0</v>
      </c>
      <c r="U12" s="53">
        <v>12700.043727720002</v>
      </c>
      <c r="V12" s="53">
        <v>7964.3863999999994</v>
      </c>
      <c r="W12" s="53">
        <v>4735.6573277200014</v>
      </c>
      <c r="X12" s="53">
        <v>7953.2832303299992</v>
      </c>
      <c r="Y12" s="53">
        <v>6.1381449999999997</v>
      </c>
      <c r="Z12" s="53">
        <v>12670.697322380001</v>
      </c>
      <c r="AA12" s="53">
        <v>7952.9942225700006</v>
      </c>
      <c r="AB12" s="53">
        <v>0</v>
      </c>
      <c r="AC12" s="53">
        <v>4717.7030998099999</v>
      </c>
      <c r="AD12" s="53">
        <v>99.856961015477623</v>
      </c>
      <c r="AE12" s="53">
        <v>99.620871472162747</v>
      </c>
      <c r="AF12" s="53">
        <v>37.233176515685642</v>
      </c>
      <c r="AG12" s="53">
        <v>6.1381449999999997</v>
      </c>
      <c r="AH12" s="53">
        <v>0.2890077600000005</v>
      </c>
      <c r="AI12" s="53">
        <v>120</v>
      </c>
      <c r="AJ12" s="53">
        <v>0</v>
      </c>
      <c r="AK12" s="53">
        <v>126.31579000000001</v>
      </c>
      <c r="AL12" s="53">
        <v>120</v>
      </c>
      <c r="AM12" s="53">
        <v>6.3157899999999998</v>
      </c>
      <c r="AN12" s="53">
        <v>120</v>
      </c>
      <c r="AO12" s="53">
        <v>0</v>
      </c>
      <c r="AP12" s="53">
        <v>126.31578947</v>
      </c>
      <c r="AQ12" s="53">
        <v>120</v>
      </c>
      <c r="AR12" s="53">
        <v>0</v>
      </c>
      <c r="AS12" s="53">
        <v>6.3157894699999995</v>
      </c>
      <c r="AT12" s="53">
        <v>100</v>
      </c>
      <c r="AU12" s="53">
        <v>99.999991608334028</v>
      </c>
      <c r="AV12" s="53">
        <v>4.9999999972291658</v>
      </c>
      <c r="AW12" s="53">
        <v>0</v>
      </c>
      <c r="AX12" s="53">
        <v>0</v>
      </c>
    </row>
    <row r="13" spans="1:50" ht="15.75" x14ac:dyDescent="0.25">
      <c r="A13" s="57" t="s">
        <v>6</v>
      </c>
      <c r="B13" s="190" t="s">
        <v>7</v>
      </c>
      <c r="C13" s="61">
        <v>2146.4825000000001</v>
      </c>
      <c r="D13" s="61">
        <v>0</v>
      </c>
      <c r="E13" s="61">
        <v>2481.5096637900006</v>
      </c>
      <c r="F13" s="61">
        <v>2146.4825000000001</v>
      </c>
      <c r="G13" s="61">
        <v>335.02716379000003</v>
      </c>
      <c r="H13" s="61">
        <v>2146.1329450099997</v>
      </c>
      <c r="I13" s="61">
        <v>0</v>
      </c>
      <c r="J13" s="61">
        <v>2480.7525394499999</v>
      </c>
      <c r="K13" s="61">
        <v>2145.8613169699997</v>
      </c>
      <c r="L13" s="61">
        <v>0</v>
      </c>
      <c r="M13" s="61">
        <v>334.89122248000001</v>
      </c>
      <c r="N13" s="61">
        <v>99.971060419546845</v>
      </c>
      <c r="O13" s="61">
        <v>99.959423794637374</v>
      </c>
      <c r="P13" s="61">
        <v>13.499581967746277</v>
      </c>
      <c r="Q13" s="61">
        <v>0</v>
      </c>
      <c r="R13" s="61">
        <v>0.27162804000000307</v>
      </c>
      <c r="S13" s="61">
        <v>2146.4825000000001</v>
      </c>
      <c r="T13" s="61">
        <v>0</v>
      </c>
      <c r="U13" s="61">
        <v>2481.5096637900006</v>
      </c>
      <c r="V13" s="61">
        <v>2146.4825000000001</v>
      </c>
      <c r="W13" s="61">
        <v>335.02716379000003</v>
      </c>
      <c r="X13" s="61">
        <v>2146.1329450099997</v>
      </c>
      <c r="Y13" s="61">
        <v>0</v>
      </c>
      <c r="Z13" s="61">
        <v>2480.7525394499999</v>
      </c>
      <c r="AA13" s="61">
        <v>2145.8613169699997</v>
      </c>
      <c r="AB13" s="61">
        <v>0</v>
      </c>
      <c r="AC13" s="61">
        <v>334.89122248000001</v>
      </c>
      <c r="AD13" s="61">
        <v>99.971060419546845</v>
      </c>
      <c r="AE13" s="61">
        <v>99.959423794637374</v>
      </c>
      <c r="AF13" s="61">
        <v>13.499581967746277</v>
      </c>
      <c r="AG13" s="61">
        <v>0</v>
      </c>
      <c r="AH13" s="61">
        <v>0.27162804000000307</v>
      </c>
      <c r="AI13" s="61">
        <v>0</v>
      </c>
      <c r="AJ13" s="61">
        <v>0</v>
      </c>
      <c r="AK13" s="61">
        <v>0</v>
      </c>
      <c r="AL13" s="61">
        <v>0</v>
      </c>
      <c r="AM13" s="61">
        <v>0</v>
      </c>
      <c r="AN13" s="61">
        <v>0</v>
      </c>
      <c r="AO13" s="61">
        <v>0</v>
      </c>
      <c r="AP13" s="61">
        <v>0</v>
      </c>
      <c r="AQ13" s="61">
        <v>0</v>
      </c>
      <c r="AR13" s="61">
        <v>0</v>
      </c>
      <c r="AS13" s="61">
        <v>0</v>
      </c>
      <c r="AT13" s="61" t="s">
        <v>1094</v>
      </c>
      <c r="AU13" s="61" t="s">
        <v>1094</v>
      </c>
      <c r="AV13" s="61">
        <v>0</v>
      </c>
      <c r="AW13" s="61">
        <v>0</v>
      </c>
      <c r="AX13" s="61">
        <v>0</v>
      </c>
    </row>
    <row r="14" spans="1:50" ht="15.75" x14ac:dyDescent="0.25">
      <c r="A14" s="11" t="s">
        <v>9</v>
      </c>
      <c r="B14" s="189" t="s">
        <v>10</v>
      </c>
      <c r="C14" s="66">
        <v>190.9375</v>
      </c>
      <c r="D14" s="66">
        <v>0</v>
      </c>
      <c r="E14" s="66">
        <v>200.98684299999999</v>
      </c>
      <c r="F14" s="66">
        <v>190.9375</v>
      </c>
      <c r="G14" s="66">
        <v>10.049343</v>
      </c>
      <c r="H14" s="66">
        <v>190.9375</v>
      </c>
      <c r="I14" s="66">
        <v>0</v>
      </c>
      <c r="J14" s="66">
        <v>200.98684212000001</v>
      </c>
      <c r="K14" s="66">
        <v>190.9375</v>
      </c>
      <c r="L14" s="66">
        <v>0</v>
      </c>
      <c r="M14" s="66">
        <v>10.049342119999999</v>
      </c>
      <c r="N14" s="67">
        <v>100</v>
      </c>
      <c r="O14" s="67">
        <v>99.999991243208626</v>
      </c>
      <c r="P14" s="67">
        <v>5.000000006965629</v>
      </c>
      <c r="Q14" s="66">
        <v>0</v>
      </c>
      <c r="R14" s="67">
        <v>0</v>
      </c>
      <c r="S14" s="66">
        <v>190.9375</v>
      </c>
      <c r="T14" s="66">
        <v>0</v>
      </c>
      <c r="U14" s="66">
        <v>200.98684299999999</v>
      </c>
      <c r="V14" s="66">
        <v>190.9375</v>
      </c>
      <c r="W14" s="66">
        <v>10.049343</v>
      </c>
      <c r="X14" s="66">
        <v>190.9375</v>
      </c>
      <c r="Y14" s="66">
        <v>0</v>
      </c>
      <c r="Z14" s="66">
        <v>200.98684212000001</v>
      </c>
      <c r="AA14" s="66">
        <v>190.9375</v>
      </c>
      <c r="AB14" s="66">
        <v>0</v>
      </c>
      <c r="AC14" s="66">
        <v>10.049342119999999</v>
      </c>
      <c r="AD14" s="67">
        <v>100</v>
      </c>
      <c r="AE14" s="67">
        <v>99.999991243208626</v>
      </c>
      <c r="AF14" s="67">
        <v>5.000000006965629</v>
      </c>
      <c r="AG14" s="210">
        <v>0</v>
      </c>
      <c r="AH14" s="67">
        <v>0</v>
      </c>
      <c r="AI14" s="66">
        <v>0</v>
      </c>
      <c r="AJ14" s="66">
        <v>0</v>
      </c>
      <c r="AK14" s="66">
        <v>0</v>
      </c>
      <c r="AL14" s="66">
        <v>0</v>
      </c>
      <c r="AM14" s="66">
        <v>0</v>
      </c>
      <c r="AN14" s="66">
        <v>0</v>
      </c>
      <c r="AO14" s="66">
        <v>0</v>
      </c>
      <c r="AP14" s="66">
        <v>0</v>
      </c>
      <c r="AQ14" s="66">
        <v>0</v>
      </c>
      <c r="AR14" s="66">
        <v>0</v>
      </c>
      <c r="AS14" s="66">
        <v>0</v>
      </c>
      <c r="AT14" s="67" t="s">
        <v>1094</v>
      </c>
      <c r="AU14" s="67" t="s">
        <v>1094</v>
      </c>
      <c r="AV14" s="67">
        <v>0</v>
      </c>
      <c r="AW14" s="210">
        <v>0</v>
      </c>
      <c r="AX14" s="67">
        <v>0</v>
      </c>
    </row>
    <row r="15" spans="1:50" ht="15.75" x14ac:dyDescent="0.25">
      <c r="A15" s="11" t="s">
        <v>12</v>
      </c>
      <c r="B15" s="189" t="s">
        <v>13</v>
      </c>
      <c r="C15" s="66">
        <v>116.41759999999999</v>
      </c>
      <c r="D15" s="66">
        <v>0</v>
      </c>
      <c r="E15" s="66">
        <v>122.544843</v>
      </c>
      <c r="F15" s="66">
        <v>116.41759999999999</v>
      </c>
      <c r="G15" s="66">
        <v>6.127243</v>
      </c>
      <c r="H15" s="66">
        <v>116.41759999999999</v>
      </c>
      <c r="I15" s="66">
        <v>0</v>
      </c>
      <c r="J15" s="66">
        <v>122.544843</v>
      </c>
      <c r="K15" s="66">
        <v>116.41759999999999</v>
      </c>
      <c r="L15" s="66">
        <v>0</v>
      </c>
      <c r="M15" s="66">
        <v>6.127243</v>
      </c>
      <c r="N15" s="67">
        <v>100</v>
      </c>
      <c r="O15" s="67">
        <v>100</v>
      </c>
      <c r="P15" s="67">
        <v>5.0000006936236394</v>
      </c>
      <c r="Q15" s="66">
        <v>0</v>
      </c>
      <c r="R15" s="67">
        <v>0</v>
      </c>
      <c r="S15" s="66">
        <v>116.41759999999999</v>
      </c>
      <c r="T15" s="66">
        <v>0</v>
      </c>
      <c r="U15" s="66">
        <v>122.544843</v>
      </c>
      <c r="V15" s="66">
        <v>116.41759999999999</v>
      </c>
      <c r="W15" s="66">
        <v>6.127243</v>
      </c>
      <c r="X15" s="66">
        <v>116.41759999999999</v>
      </c>
      <c r="Y15" s="66">
        <v>0</v>
      </c>
      <c r="Z15" s="66">
        <v>122.544843</v>
      </c>
      <c r="AA15" s="66">
        <v>116.41759999999999</v>
      </c>
      <c r="AB15" s="66">
        <v>0</v>
      </c>
      <c r="AC15" s="66">
        <v>6.127243</v>
      </c>
      <c r="AD15" s="67">
        <v>100</v>
      </c>
      <c r="AE15" s="67">
        <v>100</v>
      </c>
      <c r="AF15" s="67">
        <v>5.0000006936236394</v>
      </c>
      <c r="AG15" s="210">
        <v>0</v>
      </c>
      <c r="AH15" s="67">
        <v>0</v>
      </c>
      <c r="AI15" s="66">
        <v>0</v>
      </c>
      <c r="AJ15" s="66">
        <v>0</v>
      </c>
      <c r="AK15" s="66">
        <v>0</v>
      </c>
      <c r="AL15" s="66">
        <v>0</v>
      </c>
      <c r="AM15" s="66">
        <v>0</v>
      </c>
      <c r="AN15" s="66">
        <v>0</v>
      </c>
      <c r="AO15" s="66">
        <v>0</v>
      </c>
      <c r="AP15" s="66">
        <v>0</v>
      </c>
      <c r="AQ15" s="66">
        <v>0</v>
      </c>
      <c r="AR15" s="66">
        <v>0</v>
      </c>
      <c r="AS15" s="66">
        <v>0</v>
      </c>
      <c r="AT15" s="67" t="s">
        <v>1094</v>
      </c>
      <c r="AU15" s="67" t="s">
        <v>1094</v>
      </c>
      <c r="AV15" s="67">
        <v>0</v>
      </c>
      <c r="AW15" s="210">
        <v>0</v>
      </c>
      <c r="AX15" s="67">
        <v>0</v>
      </c>
    </row>
    <row r="16" spans="1:50" ht="15.75" x14ac:dyDescent="0.25">
      <c r="A16" s="11" t="s">
        <v>15</v>
      </c>
      <c r="B16" s="189" t="s">
        <v>16</v>
      </c>
      <c r="C16" s="66">
        <v>242.66149999999999</v>
      </c>
      <c r="D16" s="66">
        <v>0</v>
      </c>
      <c r="E16" s="66">
        <v>255.4332</v>
      </c>
      <c r="F16" s="66">
        <v>242.66149999999999</v>
      </c>
      <c r="G16" s="66">
        <v>12.771699999999999</v>
      </c>
      <c r="H16" s="66">
        <v>242.66149999999999</v>
      </c>
      <c r="I16" s="66">
        <v>0</v>
      </c>
      <c r="J16" s="66">
        <v>255.4332</v>
      </c>
      <c r="K16" s="66">
        <v>242.66149999999999</v>
      </c>
      <c r="L16" s="66">
        <v>0</v>
      </c>
      <c r="M16" s="66">
        <v>12.771699999999999</v>
      </c>
      <c r="N16" s="67">
        <v>100</v>
      </c>
      <c r="O16" s="67">
        <v>100</v>
      </c>
      <c r="P16" s="67">
        <v>5.0000156596714911</v>
      </c>
      <c r="Q16" s="66">
        <v>0</v>
      </c>
      <c r="R16" s="67">
        <v>0</v>
      </c>
      <c r="S16" s="66">
        <v>242.66149999999999</v>
      </c>
      <c r="T16" s="66">
        <v>0</v>
      </c>
      <c r="U16" s="66">
        <v>255.4332</v>
      </c>
      <c r="V16" s="66">
        <v>242.66149999999999</v>
      </c>
      <c r="W16" s="66">
        <v>12.771699999999999</v>
      </c>
      <c r="X16" s="66">
        <v>242.66149999999999</v>
      </c>
      <c r="Y16" s="66">
        <v>0</v>
      </c>
      <c r="Z16" s="66">
        <v>255.4332</v>
      </c>
      <c r="AA16" s="66">
        <v>242.66149999999999</v>
      </c>
      <c r="AB16" s="66">
        <v>0</v>
      </c>
      <c r="AC16" s="66">
        <v>12.771699999999999</v>
      </c>
      <c r="AD16" s="67">
        <v>100</v>
      </c>
      <c r="AE16" s="67">
        <v>100</v>
      </c>
      <c r="AF16" s="67">
        <v>5.0000156596714911</v>
      </c>
      <c r="AG16" s="210">
        <v>0</v>
      </c>
      <c r="AH16" s="67">
        <v>0</v>
      </c>
      <c r="AI16" s="66">
        <v>0</v>
      </c>
      <c r="AJ16" s="66">
        <v>0</v>
      </c>
      <c r="AK16" s="66">
        <v>0</v>
      </c>
      <c r="AL16" s="66">
        <v>0</v>
      </c>
      <c r="AM16" s="66">
        <v>0</v>
      </c>
      <c r="AN16" s="66">
        <v>0</v>
      </c>
      <c r="AO16" s="66">
        <v>0</v>
      </c>
      <c r="AP16" s="66">
        <v>0</v>
      </c>
      <c r="AQ16" s="66">
        <v>0</v>
      </c>
      <c r="AR16" s="66">
        <v>0</v>
      </c>
      <c r="AS16" s="66">
        <v>0</v>
      </c>
      <c r="AT16" s="67" t="s">
        <v>1094</v>
      </c>
      <c r="AU16" s="67" t="s">
        <v>1094</v>
      </c>
      <c r="AV16" s="67">
        <v>0</v>
      </c>
      <c r="AW16" s="210">
        <v>0</v>
      </c>
      <c r="AX16" s="67">
        <v>0</v>
      </c>
    </row>
    <row r="17" spans="1:50" ht="15.75" x14ac:dyDescent="0.25">
      <c r="A17" s="11" t="s">
        <v>18</v>
      </c>
      <c r="B17" s="189" t="s">
        <v>19</v>
      </c>
      <c r="C17" s="66">
        <v>265.00909999999999</v>
      </c>
      <c r="D17" s="66">
        <v>0</v>
      </c>
      <c r="E17" s="66">
        <v>339.7561</v>
      </c>
      <c r="F17" s="66">
        <v>265.00909999999999</v>
      </c>
      <c r="G17" s="66">
        <v>74.747</v>
      </c>
      <c r="H17" s="66">
        <v>264.76026275999999</v>
      </c>
      <c r="I17" s="66">
        <v>0</v>
      </c>
      <c r="J17" s="66">
        <v>339.43615311000002</v>
      </c>
      <c r="K17" s="66">
        <v>264.76019941999999</v>
      </c>
      <c r="L17" s="66">
        <v>0</v>
      </c>
      <c r="M17" s="66">
        <v>74.67595369</v>
      </c>
      <c r="N17" s="67">
        <v>99.906078478059811</v>
      </c>
      <c r="O17" s="67">
        <v>99.904950954553357</v>
      </c>
      <c r="P17" s="67">
        <v>22.000000001708713</v>
      </c>
      <c r="Q17" s="66">
        <v>0</v>
      </c>
      <c r="R17" s="67">
        <v>6.3339999996969709E-5</v>
      </c>
      <c r="S17" s="66">
        <v>265.00909999999999</v>
      </c>
      <c r="T17" s="66">
        <v>0</v>
      </c>
      <c r="U17" s="66">
        <v>339.7561</v>
      </c>
      <c r="V17" s="66">
        <v>265.00909999999999</v>
      </c>
      <c r="W17" s="66">
        <v>74.747</v>
      </c>
      <c r="X17" s="66">
        <v>264.76026275999999</v>
      </c>
      <c r="Y17" s="66">
        <v>0</v>
      </c>
      <c r="Z17" s="66">
        <v>339.43615311000002</v>
      </c>
      <c r="AA17" s="66">
        <v>264.76019941999999</v>
      </c>
      <c r="AB17" s="66">
        <v>0</v>
      </c>
      <c r="AC17" s="66">
        <v>74.67595369</v>
      </c>
      <c r="AD17" s="67">
        <v>99.906078478059811</v>
      </c>
      <c r="AE17" s="67">
        <v>99.904950954553357</v>
      </c>
      <c r="AF17" s="67">
        <v>22.000000001708713</v>
      </c>
      <c r="AG17" s="210">
        <v>0</v>
      </c>
      <c r="AH17" s="67">
        <v>6.3339999996969709E-5</v>
      </c>
      <c r="AI17" s="66">
        <v>0</v>
      </c>
      <c r="AJ17" s="66">
        <v>0</v>
      </c>
      <c r="AK17" s="66">
        <v>0</v>
      </c>
      <c r="AL17" s="66">
        <v>0</v>
      </c>
      <c r="AM17" s="66">
        <v>0</v>
      </c>
      <c r="AN17" s="66">
        <v>0</v>
      </c>
      <c r="AO17" s="66">
        <v>0</v>
      </c>
      <c r="AP17" s="66">
        <v>0</v>
      </c>
      <c r="AQ17" s="66">
        <v>0</v>
      </c>
      <c r="AR17" s="66">
        <v>0</v>
      </c>
      <c r="AS17" s="66">
        <v>0</v>
      </c>
      <c r="AT17" s="67" t="s">
        <v>1094</v>
      </c>
      <c r="AU17" s="67" t="s">
        <v>1094</v>
      </c>
      <c r="AV17" s="67">
        <v>0</v>
      </c>
      <c r="AW17" s="210">
        <v>0</v>
      </c>
      <c r="AX17" s="67">
        <v>0</v>
      </c>
    </row>
    <row r="18" spans="1:50" ht="15.75" x14ac:dyDescent="0.25">
      <c r="A18" s="11" t="s">
        <v>21</v>
      </c>
      <c r="B18" s="189" t="s">
        <v>22</v>
      </c>
      <c r="C18" s="66">
        <v>92.368499999999997</v>
      </c>
      <c r="D18" s="66">
        <v>0</v>
      </c>
      <c r="E18" s="66">
        <v>97.23</v>
      </c>
      <c r="F18" s="66">
        <v>92.368499999999997</v>
      </c>
      <c r="G18" s="66">
        <v>4.8615000000000004</v>
      </c>
      <c r="H18" s="66">
        <v>92.368499999999997</v>
      </c>
      <c r="I18" s="66">
        <v>0</v>
      </c>
      <c r="J18" s="66">
        <v>97.23</v>
      </c>
      <c r="K18" s="66">
        <v>92.368499999999997</v>
      </c>
      <c r="L18" s="66">
        <v>0</v>
      </c>
      <c r="M18" s="66">
        <v>4.8615000000000004</v>
      </c>
      <c r="N18" s="67">
        <v>100</v>
      </c>
      <c r="O18" s="67">
        <v>100</v>
      </c>
      <c r="P18" s="67">
        <v>5</v>
      </c>
      <c r="Q18" s="66">
        <v>0</v>
      </c>
      <c r="R18" s="67">
        <v>0</v>
      </c>
      <c r="S18" s="66">
        <v>92.368499999999997</v>
      </c>
      <c r="T18" s="66">
        <v>0</v>
      </c>
      <c r="U18" s="66">
        <v>97.23</v>
      </c>
      <c r="V18" s="66">
        <v>92.368499999999997</v>
      </c>
      <c r="W18" s="66">
        <v>4.8615000000000004</v>
      </c>
      <c r="X18" s="66">
        <v>92.368499999999997</v>
      </c>
      <c r="Y18" s="66">
        <v>0</v>
      </c>
      <c r="Z18" s="66">
        <v>97.23</v>
      </c>
      <c r="AA18" s="66">
        <v>92.368499999999997</v>
      </c>
      <c r="AB18" s="66">
        <v>0</v>
      </c>
      <c r="AC18" s="66">
        <v>4.8615000000000004</v>
      </c>
      <c r="AD18" s="67">
        <v>100</v>
      </c>
      <c r="AE18" s="67">
        <v>100</v>
      </c>
      <c r="AF18" s="67">
        <v>5</v>
      </c>
      <c r="AG18" s="210">
        <v>0</v>
      </c>
      <c r="AH18" s="67">
        <v>0</v>
      </c>
      <c r="AI18" s="66">
        <v>0</v>
      </c>
      <c r="AJ18" s="66">
        <v>0</v>
      </c>
      <c r="AK18" s="66">
        <v>0</v>
      </c>
      <c r="AL18" s="66">
        <v>0</v>
      </c>
      <c r="AM18" s="66">
        <v>0</v>
      </c>
      <c r="AN18" s="66">
        <v>0</v>
      </c>
      <c r="AO18" s="66">
        <v>0</v>
      </c>
      <c r="AP18" s="66">
        <v>0</v>
      </c>
      <c r="AQ18" s="66">
        <v>0</v>
      </c>
      <c r="AR18" s="66">
        <v>0</v>
      </c>
      <c r="AS18" s="66">
        <v>0</v>
      </c>
      <c r="AT18" s="67" t="s">
        <v>1094</v>
      </c>
      <c r="AU18" s="67" t="s">
        <v>1094</v>
      </c>
      <c r="AV18" s="67">
        <v>0</v>
      </c>
      <c r="AW18" s="210">
        <v>0</v>
      </c>
      <c r="AX18" s="67">
        <v>0</v>
      </c>
    </row>
    <row r="19" spans="1:50" ht="15.75" x14ac:dyDescent="0.25">
      <c r="A19" s="11" t="s">
        <v>24</v>
      </c>
      <c r="B19" s="189" t="s">
        <v>25</v>
      </c>
      <c r="C19" s="66">
        <v>101.3839</v>
      </c>
      <c r="D19" s="66">
        <v>0</v>
      </c>
      <c r="E19" s="66">
        <v>113.9149</v>
      </c>
      <c r="F19" s="66">
        <v>101.3839</v>
      </c>
      <c r="G19" s="66">
        <v>12.531000000000001</v>
      </c>
      <c r="H19" s="66">
        <v>101.3839</v>
      </c>
      <c r="I19" s="66">
        <v>0</v>
      </c>
      <c r="J19" s="66">
        <v>113.9149</v>
      </c>
      <c r="K19" s="66">
        <v>101.3839</v>
      </c>
      <c r="L19" s="66">
        <v>0</v>
      </c>
      <c r="M19" s="66">
        <v>12.531000000000001</v>
      </c>
      <c r="N19" s="67">
        <v>100</v>
      </c>
      <c r="O19" s="67">
        <v>100</v>
      </c>
      <c r="P19" s="67">
        <v>11.00031690323215</v>
      </c>
      <c r="Q19" s="66">
        <v>0</v>
      </c>
      <c r="R19" s="67">
        <v>0</v>
      </c>
      <c r="S19" s="66">
        <v>101.3839</v>
      </c>
      <c r="T19" s="66">
        <v>0</v>
      </c>
      <c r="U19" s="66">
        <v>113.9149</v>
      </c>
      <c r="V19" s="66">
        <v>101.3839</v>
      </c>
      <c r="W19" s="66">
        <v>12.531000000000001</v>
      </c>
      <c r="X19" s="66">
        <v>101.3839</v>
      </c>
      <c r="Y19" s="66">
        <v>0</v>
      </c>
      <c r="Z19" s="66">
        <v>113.9149</v>
      </c>
      <c r="AA19" s="66">
        <v>101.3839</v>
      </c>
      <c r="AB19" s="66">
        <v>0</v>
      </c>
      <c r="AC19" s="66">
        <v>12.531000000000001</v>
      </c>
      <c r="AD19" s="67">
        <v>100</v>
      </c>
      <c r="AE19" s="67">
        <v>100</v>
      </c>
      <c r="AF19" s="67">
        <v>11.00031690323215</v>
      </c>
      <c r="AG19" s="210">
        <v>0</v>
      </c>
      <c r="AH19" s="67">
        <v>0</v>
      </c>
      <c r="AI19" s="66">
        <v>0</v>
      </c>
      <c r="AJ19" s="66">
        <v>0</v>
      </c>
      <c r="AK19" s="66">
        <v>0</v>
      </c>
      <c r="AL19" s="66">
        <v>0</v>
      </c>
      <c r="AM19" s="66">
        <v>0</v>
      </c>
      <c r="AN19" s="66">
        <v>0</v>
      </c>
      <c r="AO19" s="66">
        <v>0</v>
      </c>
      <c r="AP19" s="66">
        <v>0</v>
      </c>
      <c r="AQ19" s="66">
        <v>0</v>
      </c>
      <c r="AR19" s="66">
        <v>0</v>
      </c>
      <c r="AS19" s="66">
        <v>0</v>
      </c>
      <c r="AT19" s="67" t="s">
        <v>1094</v>
      </c>
      <c r="AU19" s="67" t="s">
        <v>1094</v>
      </c>
      <c r="AV19" s="67">
        <v>0</v>
      </c>
      <c r="AW19" s="210">
        <v>0</v>
      </c>
      <c r="AX19" s="67">
        <v>0</v>
      </c>
    </row>
    <row r="20" spans="1:50" ht="15.75" x14ac:dyDescent="0.25">
      <c r="A20" s="11" t="s">
        <v>27</v>
      </c>
      <c r="B20" s="189" t="s">
        <v>28</v>
      </c>
      <c r="C20" s="66">
        <v>50.52</v>
      </c>
      <c r="D20" s="66">
        <v>0</v>
      </c>
      <c r="E20" s="66">
        <v>53.179000000000002</v>
      </c>
      <c r="F20" s="66">
        <v>50.52</v>
      </c>
      <c r="G20" s="66">
        <v>2.6589999999999998</v>
      </c>
      <c r="H20" s="66">
        <v>50.519958930000001</v>
      </c>
      <c r="I20" s="66">
        <v>0</v>
      </c>
      <c r="J20" s="66">
        <v>53.178956759999998</v>
      </c>
      <c r="K20" s="66">
        <v>50.519958920000001</v>
      </c>
      <c r="L20" s="66">
        <v>0</v>
      </c>
      <c r="M20" s="66">
        <v>2.6589978400000001</v>
      </c>
      <c r="N20" s="67">
        <v>99.99991868566903</v>
      </c>
      <c r="O20" s="67">
        <v>99.999918766453561</v>
      </c>
      <c r="P20" s="67">
        <v>5.0000940259137199</v>
      </c>
      <c r="Q20" s="66">
        <v>0</v>
      </c>
      <c r="R20" s="67">
        <v>1.000000082740371E-8</v>
      </c>
      <c r="S20" s="66">
        <v>50.52</v>
      </c>
      <c r="T20" s="66">
        <v>0</v>
      </c>
      <c r="U20" s="66">
        <v>53.179000000000002</v>
      </c>
      <c r="V20" s="66">
        <v>50.52</v>
      </c>
      <c r="W20" s="66">
        <v>2.6589999999999998</v>
      </c>
      <c r="X20" s="66">
        <v>50.519958930000001</v>
      </c>
      <c r="Y20" s="66">
        <v>0</v>
      </c>
      <c r="Z20" s="66">
        <v>53.178956759999998</v>
      </c>
      <c r="AA20" s="66">
        <v>50.519958920000001</v>
      </c>
      <c r="AB20" s="66">
        <v>0</v>
      </c>
      <c r="AC20" s="66">
        <v>2.6589978400000001</v>
      </c>
      <c r="AD20" s="67">
        <v>99.99991868566903</v>
      </c>
      <c r="AE20" s="67">
        <v>99.999918766453561</v>
      </c>
      <c r="AF20" s="67">
        <v>5.0000940259137199</v>
      </c>
      <c r="AG20" s="210">
        <v>0</v>
      </c>
      <c r="AH20" s="67">
        <v>1.000000082740371E-8</v>
      </c>
      <c r="AI20" s="66">
        <v>0</v>
      </c>
      <c r="AJ20" s="66">
        <v>0</v>
      </c>
      <c r="AK20" s="66">
        <v>0</v>
      </c>
      <c r="AL20" s="66">
        <v>0</v>
      </c>
      <c r="AM20" s="66">
        <v>0</v>
      </c>
      <c r="AN20" s="66">
        <v>0</v>
      </c>
      <c r="AO20" s="66">
        <v>0</v>
      </c>
      <c r="AP20" s="66">
        <v>0</v>
      </c>
      <c r="AQ20" s="66">
        <v>0</v>
      </c>
      <c r="AR20" s="66">
        <v>0</v>
      </c>
      <c r="AS20" s="66">
        <v>0</v>
      </c>
      <c r="AT20" s="67" t="s">
        <v>1094</v>
      </c>
      <c r="AU20" s="67" t="s">
        <v>1094</v>
      </c>
      <c r="AV20" s="67">
        <v>0</v>
      </c>
      <c r="AW20" s="210">
        <v>0</v>
      </c>
      <c r="AX20" s="67">
        <v>0</v>
      </c>
    </row>
    <row r="21" spans="1:50" ht="15.75" x14ac:dyDescent="0.25">
      <c r="A21" s="11" t="s">
        <v>30</v>
      </c>
      <c r="B21" s="189" t="s">
        <v>31</v>
      </c>
      <c r="C21" s="66">
        <v>75.763499999999993</v>
      </c>
      <c r="D21" s="66">
        <v>0</v>
      </c>
      <c r="E21" s="66">
        <v>79.751052999999999</v>
      </c>
      <c r="F21" s="66">
        <v>75.763499999999993</v>
      </c>
      <c r="G21" s="66">
        <v>3.9875530000000001</v>
      </c>
      <c r="H21" s="66">
        <v>75.762113549999995</v>
      </c>
      <c r="I21" s="66">
        <v>0</v>
      </c>
      <c r="J21" s="66">
        <v>79.749594000000002</v>
      </c>
      <c r="K21" s="66">
        <v>75.762113549999995</v>
      </c>
      <c r="L21" s="66">
        <v>0</v>
      </c>
      <c r="M21" s="66">
        <v>3.9874804500000001</v>
      </c>
      <c r="N21" s="67">
        <v>99.998170029103733</v>
      </c>
      <c r="O21" s="67">
        <v>99.99818058844609</v>
      </c>
      <c r="P21" s="67">
        <v>5.0000009404436589</v>
      </c>
      <c r="Q21" s="66">
        <v>0</v>
      </c>
      <c r="R21" s="67">
        <v>0</v>
      </c>
      <c r="S21" s="66">
        <v>75.763499999999993</v>
      </c>
      <c r="T21" s="66">
        <v>0</v>
      </c>
      <c r="U21" s="66">
        <v>79.751052999999999</v>
      </c>
      <c r="V21" s="66">
        <v>75.763499999999993</v>
      </c>
      <c r="W21" s="66">
        <v>3.9875530000000001</v>
      </c>
      <c r="X21" s="66">
        <v>75.762113549999995</v>
      </c>
      <c r="Y21" s="66">
        <v>0</v>
      </c>
      <c r="Z21" s="66">
        <v>79.749594000000002</v>
      </c>
      <c r="AA21" s="66">
        <v>75.762113549999995</v>
      </c>
      <c r="AB21" s="66">
        <v>0</v>
      </c>
      <c r="AC21" s="66">
        <v>3.9874804500000001</v>
      </c>
      <c r="AD21" s="67">
        <v>99.998170029103733</v>
      </c>
      <c r="AE21" s="67">
        <v>99.99818058844609</v>
      </c>
      <c r="AF21" s="67">
        <v>5.0000009404436589</v>
      </c>
      <c r="AG21" s="210">
        <v>0</v>
      </c>
      <c r="AH21" s="67">
        <v>0</v>
      </c>
      <c r="AI21" s="66">
        <v>0</v>
      </c>
      <c r="AJ21" s="66">
        <v>0</v>
      </c>
      <c r="AK21" s="66">
        <v>0</v>
      </c>
      <c r="AL21" s="66">
        <v>0</v>
      </c>
      <c r="AM21" s="66">
        <v>0</v>
      </c>
      <c r="AN21" s="66">
        <v>0</v>
      </c>
      <c r="AO21" s="66">
        <v>0</v>
      </c>
      <c r="AP21" s="66">
        <v>0</v>
      </c>
      <c r="AQ21" s="66">
        <v>0</v>
      </c>
      <c r="AR21" s="66">
        <v>0</v>
      </c>
      <c r="AS21" s="66">
        <v>0</v>
      </c>
      <c r="AT21" s="67" t="s">
        <v>1094</v>
      </c>
      <c r="AU21" s="67" t="s">
        <v>1094</v>
      </c>
      <c r="AV21" s="67">
        <v>0</v>
      </c>
      <c r="AW21" s="210">
        <v>0</v>
      </c>
      <c r="AX21" s="67">
        <v>0</v>
      </c>
    </row>
    <row r="22" spans="1:50" ht="15.75" x14ac:dyDescent="0.25">
      <c r="A22" s="11" t="s">
        <v>33</v>
      </c>
      <c r="B22" s="189" t="s">
        <v>34</v>
      </c>
      <c r="C22" s="66">
        <v>84.683899999999994</v>
      </c>
      <c r="D22" s="66">
        <v>0</v>
      </c>
      <c r="E22" s="66">
        <v>92.047718000000003</v>
      </c>
      <c r="F22" s="66">
        <v>84.683899999999994</v>
      </c>
      <c r="G22" s="66">
        <v>7.3638180000000002</v>
      </c>
      <c r="H22" s="66">
        <v>84.683899999999994</v>
      </c>
      <c r="I22" s="66">
        <v>0</v>
      </c>
      <c r="J22" s="66">
        <v>92.04771740000001</v>
      </c>
      <c r="K22" s="66">
        <v>84.683899999999994</v>
      </c>
      <c r="L22" s="66">
        <v>0</v>
      </c>
      <c r="M22" s="66">
        <v>7.3638174000000003</v>
      </c>
      <c r="N22" s="67">
        <v>100</v>
      </c>
      <c r="O22" s="67">
        <v>99.999991852052844</v>
      </c>
      <c r="P22" s="67">
        <v>8.0000000086911438</v>
      </c>
      <c r="Q22" s="66">
        <v>0</v>
      </c>
      <c r="R22" s="67">
        <v>0</v>
      </c>
      <c r="S22" s="66">
        <v>84.683899999999994</v>
      </c>
      <c r="T22" s="66">
        <v>0</v>
      </c>
      <c r="U22" s="66">
        <v>92.047718000000003</v>
      </c>
      <c r="V22" s="66">
        <v>84.683899999999994</v>
      </c>
      <c r="W22" s="66">
        <v>7.3638180000000002</v>
      </c>
      <c r="X22" s="66">
        <v>84.683899999999994</v>
      </c>
      <c r="Y22" s="66">
        <v>0</v>
      </c>
      <c r="Z22" s="66">
        <v>92.04771740000001</v>
      </c>
      <c r="AA22" s="66">
        <v>84.683899999999994</v>
      </c>
      <c r="AB22" s="66">
        <v>0</v>
      </c>
      <c r="AC22" s="66">
        <v>7.3638174000000003</v>
      </c>
      <c r="AD22" s="67">
        <v>100</v>
      </c>
      <c r="AE22" s="67">
        <v>99.999991852052844</v>
      </c>
      <c r="AF22" s="67">
        <v>8.0000000086911438</v>
      </c>
      <c r="AG22" s="210">
        <v>0</v>
      </c>
      <c r="AH22" s="67">
        <v>0</v>
      </c>
      <c r="AI22" s="66">
        <v>0</v>
      </c>
      <c r="AJ22" s="66">
        <v>0</v>
      </c>
      <c r="AK22" s="66">
        <v>0</v>
      </c>
      <c r="AL22" s="66">
        <v>0</v>
      </c>
      <c r="AM22" s="66">
        <v>0</v>
      </c>
      <c r="AN22" s="66">
        <v>0</v>
      </c>
      <c r="AO22" s="66">
        <v>0</v>
      </c>
      <c r="AP22" s="66">
        <v>0</v>
      </c>
      <c r="AQ22" s="66">
        <v>0</v>
      </c>
      <c r="AR22" s="66">
        <v>0</v>
      </c>
      <c r="AS22" s="66">
        <v>0</v>
      </c>
      <c r="AT22" s="67" t="s">
        <v>1094</v>
      </c>
      <c r="AU22" s="67" t="s">
        <v>1094</v>
      </c>
      <c r="AV22" s="67">
        <v>0</v>
      </c>
      <c r="AW22" s="210">
        <v>0</v>
      </c>
      <c r="AX22" s="67">
        <v>0</v>
      </c>
    </row>
    <row r="23" spans="1:50" ht="15.75" x14ac:dyDescent="0.25">
      <c r="A23" s="11" t="s">
        <v>36</v>
      </c>
      <c r="B23" s="189" t="s">
        <v>37</v>
      </c>
      <c r="C23" s="66">
        <v>258.9255</v>
      </c>
      <c r="D23" s="66">
        <v>0</v>
      </c>
      <c r="E23" s="66">
        <v>287.69549999999998</v>
      </c>
      <c r="F23" s="66">
        <v>258.9255</v>
      </c>
      <c r="G23" s="66">
        <v>28.77</v>
      </c>
      <c r="H23" s="66">
        <v>258.92547182999999</v>
      </c>
      <c r="I23" s="66">
        <v>0</v>
      </c>
      <c r="J23" s="66">
        <v>287.69547061999998</v>
      </c>
      <c r="K23" s="66">
        <v>258.92547182999999</v>
      </c>
      <c r="L23" s="66">
        <v>0</v>
      </c>
      <c r="M23" s="66">
        <v>28.769998789999999</v>
      </c>
      <c r="N23" s="67">
        <v>99.999989120422669</v>
      </c>
      <c r="O23" s="67">
        <v>99.999995794230102</v>
      </c>
      <c r="P23" s="67">
        <v>10.000157016027755</v>
      </c>
      <c r="Q23" s="66">
        <v>0</v>
      </c>
      <c r="R23" s="67">
        <v>0</v>
      </c>
      <c r="S23" s="66">
        <v>258.9255</v>
      </c>
      <c r="T23" s="66">
        <v>0</v>
      </c>
      <c r="U23" s="66">
        <v>287.69549999999998</v>
      </c>
      <c r="V23" s="66">
        <v>258.9255</v>
      </c>
      <c r="W23" s="66">
        <v>28.77</v>
      </c>
      <c r="X23" s="66">
        <v>258.92547182999999</v>
      </c>
      <c r="Y23" s="66">
        <v>0</v>
      </c>
      <c r="Z23" s="66">
        <v>287.69547061999998</v>
      </c>
      <c r="AA23" s="66">
        <v>258.92547182999999</v>
      </c>
      <c r="AB23" s="66">
        <v>0</v>
      </c>
      <c r="AC23" s="66">
        <v>28.769998789999999</v>
      </c>
      <c r="AD23" s="67">
        <v>99.999989120422669</v>
      </c>
      <c r="AE23" s="67">
        <v>99.999995794230102</v>
      </c>
      <c r="AF23" s="67">
        <v>10.000157016027755</v>
      </c>
      <c r="AG23" s="210">
        <v>0</v>
      </c>
      <c r="AH23" s="67">
        <v>0</v>
      </c>
      <c r="AI23" s="66">
        <v>0</v>
      </c>
      <c r="AJ23" s="66">
        <v>0</v>
      </c>
      <c r="AK23" s="66">
        <v>0</v>
      </c>
      <c r="AL23" s="66">
        <v>0</v>
      </c>
      <c r="AM23" s="66">
        <v>0</v>
      </c>
      <c r="AN23" s="66">
        <v>0</v>
      </c>
      <c r="AO23" s="66">
        <v>0</v>
      </c>
      <c r="AP23" s="66">
        <v>0</v>
      </c>
      <c r="AQ23" s="66">
        <v>0</v>
      </c>
      <c r="AR23" s="66">
        <v>0</v>
      </c>
      <c r="AS23" s="66">
        <v>0</v>
      </c>
      <c r="AT23" s="67" t="s">
        <v>1094</v>
      </c>
      <c r="AU23" s="67" t="s">
        <v>1094</v>
      </c>
      <c r="AV23" s="67">
        <v>0</v>
      </c>
      <c r="AW23" s="210">
        <v>0</v>
      </c>
      <c r="AX23" s="67">
        <v>0</v>
      </c>
    </row>
    <row r="24" spans="1:50" ht="15.75" x14ac:dyDescent="0.25">
      <c r="A24" s="11" t="s">
        <v>39</v>
      </c>
      <c r="B24" s="189" t="s">
        <v>297</v>
      </c>
      <c r="C24" s="66">
        <v>0</v>
      </c>
      <c r="D24" s="66">
        <v>0</v>
      </c>
      <c r="E24" s="66">
        <v>0</v>
      </c>
      <c r="F24" s="66">
        <v>0</v>
      </c>
      <c r="G24" s="66">
        <v>0</v>
      </c>
      <c r="H24" s="66">
        <v>0</v>
      </c>
      <c r="I24" s="66">
        <v>0</v>
      </c>
      <c r="J24" s="66">
        <v>0</v>
      </c>
      <c r="K24" s="66">
        <v>0</v>
      </c>
      <c r="L24" s="66">
        <v>0</v>
      </c>
      <c r="M24" s="66">
        <v>0</v>
      </c>
      <c r="N24" s="67" t="s">
        <v>1094</v>
      </c>
      <c r="O24" s="67" t="s">
        <v>1094</v>
      </c>
      <c r="P24" s="67">
        <v>0</v>
      </c>
      <c r="Q24" s="66">
        <v>0</v>
      </c>
      <c r="R24" s="67">
        <v>0</v>
      </c>
      <c r="S24" s="66">
        <v>0</v>
      </c>
      <c r="T24" s="66">
        <v>0</v>
      </c>
      <c r="U24" s="66">
        <v>0</v>
      </c>
      <c r="V24" s="66">
        <v>0</v>
      </c>
      <c r="W24" s="66">
        <v>0</v>
      </c>
      <c r="X24" s="66">
        <v>0</v>
      </c>
      <c r="Y24" s="66">
        <v>0</v>
      </c>
      <c r="Z24" s="66">
        <v>0</v>
      </c>
      <c r="AA24" s="66">
        <v>0</v>
      </c>
      <c r="AB24" s="66">
        <v>0</v>
      </c>
      <c r="AC24" s="66">
        <v>0</v>
      </c>
      <c r="AD24" s="67" t="s">
        <v>1094</v>
      </c>
      <c r="AE24" s="67" t="s">
        <v>1094</v>
      </c>
      <c r="AF24" s="67">
        <v>0</v>
      </c>
      <c r="AG24" s="210">
        <v>0</v>
      </c>
      <c r="AH24" s="67">
        <v>0</v>
      </c>
      <c r="AI24" s="66">
        <v>0</v>
      </c>
      <c r="AJ24" s="66">
        <v>0</v>
      </c>
      <c r="AK24" s="66">
        <v>0</v>
      </c>
      <c r="AL24" s="66">
        <v>0</v>
      </c>
      <c r="AM24" s="66">
        <v>0</v>
      </c>
      <c r="AN24" s="66">
        <v>0</v>
      </c>
      <c r="AO24" s="66">
        <v>0</v>
      </c>
      <c r="AP24" s="66">
        <v>0</v>
      </c>
      <c r="AQ24" s="66">
        <v>0</v>
      </c>
      <c r="AR24" s="66">
        <v>0</v>
      </c>
      <c r="AS24" s="66">
        <v>0</v>
      </c>
      <c r="AT24" s="67" t="s">
        <v>1094</v>
      </c>
      <c r="AU24" s="67" t="s">
        <v>1094</v>
      </c>
      <c r="AV24" s="67">
        <v>0</v>
      </c>
      <c r="AW24" s="210">
        <v>0</v>
      </c>
      <c r="AX24" s="67">
        <v>0</v>
      </c>
    </row>
    <row r="25" spans="1:50" ht="15.75" x14ac:dyDescent="0.25">
      <c r="A25" s="11" t="s">
        <v>41</v>
      </c>
      <c r="B25" s="189" t="s">
        <v>42</v>
      </c>
      <c r="C25" s="66">
        <v>78.195800000000006</v>
      </c>
      <c r="D25" s="66">
        <v>0</v>
      </c>
      <c r="E25" s="66">
        <v>82.311368999999999</v>
      </c>
      <c r="F25" s="66">
        <v>78.195800000000006</v>
      </c>
      <c r="G25" s="66">
        <v>4.1155689999999998</v>
      </c>
      <c r="H25" s="66">
        <v>78.195800000000006</v>
      </c>
      <c r="I25" s="66">
        <v>0</v>
      </c>
      <c r="J25" s="66">
        <v>82.311368999999999</v>
      </c>
      <c r="K25" s="66">
        <v>78.195800000000006</v>
      </c>
      <c r="L25" s="66">
        <v>0</v>
      </c>
      <c r="M25" s="66">
        <v>4.1155689999999998</v>
      </c>
      <c r="N25" s="67">
        <v>100</v>
      </c>
      <c r="O25" s="67">
        <v>100</v>
      </c>
      <c r="P25" s="67">
        <v>5.0000006681944509</v>
      </c>
      <c r="Q25" s="66">
        <v>0</v>
      </c>
      <c r="R25" s="67">
        <v>0</v>
      </c>
      <c r="S25" s="66">
        <v>78.195800000000006</v>
      </c>
      <c r="T25" s="66">
        <v>0</v>
      </c>
      <c r="U25" s="66">
        <v>82.311368999999999</v>
      </c>
      <c r="V25" s="66">
        <v>78.195800000000006</v>
      </c>
      <c r="W25" s="66">
        <v>4.1155689999999998</v>
      </c>
      <c r="X25" s="66">
        <v>78.195800000000006</v>
      </c>
      <c r="Y25" s="66">
        <v>0</v>
      </c>
      <c r="Z25" s="66">
        <v>82.311368999999999</v>
      </c>
      <c r="AA25" s="66">
        <v>78.195800000000006</v>
      </c>
      <c r="AB25" s="66">
        <v>0</v>
      </c>
      <c r="AC25" s="66">
        <v>4.1155689999999998</v>
      </c>
      <c r="AD25" s="67">
        <v>100</v>
      </c>
      <c r="AE25" s="67">
        <v>100</v>
      </c>
      <c r="AF25" s="67">
        <v>5.0000006681944509</v>
      </c>
      <c r="AG25" s="210">
        <v>0</v>
      </c>
      <c r="AH25" s="67">
        <v>0</v>
      </c>
      <c r="AI25" s="66">
        <v>0</v>
      </c>
      <c r="AJ25" s="66">
        <v>0</v>
      </c>
      <c r="AK25" s="66">
        <v>0</v>
      </c>
      <c r="AL25" s="66">
        <v>0</v>
      </c>
      <c r="AM25" s="66">
        <v>0</v>
      </c>
      <c r="AN25" s="66">
        <v>0</v>
      </c>
      <c r="AO25" s="66">
        <v>0</v>
      </c>
      <c r="AP25" s="66">
        <v>0</v>
      </c>
      <c r="AQ25" s="66">
        <v>0</v>
      </c>
      <c r="AR25" s="66">
        <v>0</v>
      </c>
      <c r="AS25" s="66">
        <v>0</v>
      </c>
      <c r="AT25" s="67" t="s">
        <v>1094</v>
      </c>
      <c r="AU25" s="67" t="s">
        <v>1094</v>
      </c>
      <c r="AV25" s="67">
        <v>0</v>
      </c>
      <c r="AW25" s="210">
        <v>0</v>
      </c>
      <c r="AX25" s="67">
        <v>0</v>
      </c>
    </row>
    <row r="26" spans="1:50" ht="15.75" x14ac:dyDescent="0.25">
      <c r="A26" s="11" t="s">
        <v>44</v>
      </c>
      <c r="B26" s="189" t="s">
        <v>45</v>
      </c>
      <c r="C26" s="66">
        <v>228.36429999999999</v>
      </c>
      <c r="D26" s="66">
        <v>0</v>
      </c>
      <c r="E26" s="66">
        <v>293.36430000000001</v>
      </c>
      <c r="F26" s="66">
        <v>228.36429999999999</v>
      </c>
      <c r="G26" s="66">
        <v>65</v>
      </c>
      <c r="H26" s="66">
        <v>228.36429999999999</v>
      </c>
      <c r="I26" s="66">
        <v>0</v>
      </c>
      <c r="J26" s="66">
        <v>293.36430000000001</v>
      </c>
      <c r="K26" s="66">
        <v>228.36429999999999</v>
      </c>
      <c r="L26" s="66">
        <v>0</v>
      </c>
      <c r="M26" s="66">
        <v>65</v>
      </c>
      <c r="N26" s="67">
        <v>100</v>
      </c>
      <c r="O26" s="67">
        <v>100</v>
      </c>
      <c r="P26" s="67">
        <v>22.156751861081936</v>
      </c>
      <c r="Q26" s="66">
        <v>0</v>
      </c>
      <c r="R26" s="67">
        <v>0</v>
      </c>
      <c r="S26" s="66">
        <v>228.36429999999999</v>
      </c>
      <c r="T26" s="66">
        <v>0</v>
      </c>
      <c r="U26" s="66">
        <v>293.36430000000001</v>
      </c>
      <c r="V26" s="66">
        <v>228.36429999999999</v>
      </c>
      <c r="W26" s="66">
        <v>65</v>
      </c>
      <c r="X26" s="66">
        <v>228.36429999999999</v>
      </c>
      <c r="Y26" s="66">
        <v>0</v>
      </c>
      <c r="Z26" s="66">
        <v>293.36430000000001</v>
      </c>
      <c r="AA26" s="66">
        <v>228.36429999999999</v>
      </c>
      <c r="AB26" s="66">
        <v>0</v>
      </c>
      <c r="AC26" s="66">
        <v>65</v>
      </c>
      <c r="AD26" s="67">
        <v>100</v>
      </c>
      <c r="AE26" s="67">
        <v>100</v>
      </c>
      <c r="AF26" s="67">
        <v>22.156751861081936</v>
      </c>
      <c r="AG26" s="210">
        <v>0</v>
      </c>
      <c r="AH26" s="67">
        <v>0</v>
      </c>
      <c r="AI26" s="66">
        <v>0</v>
      </c>
      <c r="AJ26" s="66">
        <v>0</v>
      </c>
      <c r="AK26" s="66">
        <v>0</v>
      </c>
      <c r="AL26" s="66">
        <v>0</v>
      </c>
      <c r="AM26" s="66">
        <v>0</v>
      </c>
      <c r="AN26" s="66">
        <v>0</v>
      </c>
      <c r="AO26" s="66">
        <v>0</v>
      </c>
      <c r="AP26" s="66">
        <v>0</v>
      </c>
      <c r="AQ26" s="66">
        <v>0</v>
      </c>
      <c r="AR26" s="66">
        <v>0</v>
      </c>
      <c r="AS26" s="66">
        <v>0</v>
      </c>
      <c r="AT26" s="67" t="s">
        <v>1094</v>
      </c>
      <c r="AU26" s="67" t="s">
        <v>1094</v>
      </c>
      <c r="AV26" s="67">
        <v>0</v>
      </c>
      <c r="AW26" s="210">
        <v>0</v>
      </c>
      <c r="AX26" s="67">
        <v>0</v>
      </c>
    </row>
    <row r="27" spans="1:50" ht="15.75" x14ac:dyDescent="0.25">
      <c r="A27" s="11" t="s">
        <v>47</v>
      </c>
      <c r="B27" s="189" t="s">
        <v>48</v>
      </c>
      <c r="C27" s="66">
        <v>68.8108</v>
      </c>
      <c r="D27" s="66">
        <v>0</v>
      </c>
      <c r="E27" s="66">
        <v>72.432422000000003</v>
      </c>
      <c r="F27" s="66">
        <v>68.8108</v>
      </c>
      <c r="G27" s="66">
        <v>3.6216219999999999</v>
      </c>
      <c r="H27" s="66">
        <v>68.8108</v>
      </c>
      <c r="I27" s="66">
        <v>0</v>
      </c>
      <c r="J27" s="66">
        <v>72.146563999999998</v>
      </c>
      <c r="K27" s="66">
        <v>68.5392358</v>
      </c>
      <c r="L27" s="66">
        <v>0</v>
      </c>
      <c r="M27" s="66">
        <v>3.6073282</v>
      </c>
      <c r="N27" s="67">
        <v>99.605346544437793</v>
      </c>
      <c r="O27" s="67">
        <v>99.605320488996369</v>
      </c>
      <c r="P27" s="67">
        <v>5</v>
      </c>
      <c r="Q27" s="66">
        <v>0</v>
      </c>
      <c r="R27" s="67">
        <v>0.27156420000000026</v>
      </c>
      <c r="S27" s="66">
        <v>68.8108</v>
      </c>
      <c r="T27" s="66">
        <v>0</v>
      </c>
      <c r="U27" s="66">
        <v>72.432422000000003</v>
      </c>
      <c r="V27" s="66">
        <v>68.8108</v>
      </c>
      <c r="W27" s="66">
        <v>3.6216219999999999</v>
      </c>
      <c r="X27" s="66">
        <v>68.8108</v>
      </c>
      <c r="Y27" s="66">
        <v>0</v>
      </c>
      <c r="Z27" s="66">
        <v>72.146563999999998</v>
      </c>
      <c r="AA27" s="66">
        <v>68.5392358</v>
      </c>
      <c r="AB27" s="66">
        <v>0</v>
      </c>
      <c r="AC27" s="66">
        <v>3.6073282</v>
      </c>
      <c r="AD27" s="67">
        <v>99.605346544437793</v>
      </c>
      <c r="AE27" s="67">
        <v>99.605320488996369</v>
      </c>
      <c r="AF27" s="67">
        <v>5</v>
      </c>
      <c r="AG27" s="210">
        <v>0</v>
      </c>
      <c r="AH27" s="67">
        <v>0.27156420000000026</v>
      </c>
      <c r="AI27" s="66">
        <v>0</v>
      </c>
      <c r="AJ27" s="66">
        <v>0</v>
      </c>
      <c r="AK27" s="66">
        <v>0</v>
      </c>
      <c r="AL27" s="66">
        <v>0</v>
      </c>
      <c r="AM27" s="66">
        <v>0</v>
      </c>
      <c r="AN27" s="66">
        <v>0</v>
      </c>
      <c r="AO27" s="66">
        <v>0</v>
      </c>
      <c r="AP27" s="66">
        <v>0</v>
      </c>
      <c r="AQ27" s="66">
        <v>0</v>
      </c>
      <c r="AR27" s="66">
        <v>0</v>
      </c>
      <c r="AS27" s="66">
        <v>0</v>
      </c>
      <c r="AT27" s="67" t="s">
        <v>1094</v>
      </c>
      <c r="AU27" s="67" t="s">
        <v>1094</v>
      </c>
      <c r="AV27" s="67">
        <v>0</v>
      </c>
      <c r="AW27" s="210">
        <v>0</v>
      </c>
      <c r="AX27" s="67">
        <v>0</v>
      </c>
    </row>
    <row r="28" spans="1:50" ht="15.75" x14ac:dyDescent="0.25">
      <c r="A28" s="11" t="s">
        <v>50</v>
      </c>
      <c r="B28" s="189" t="s">
        <v>51</v>
      </c>
      <c r="C28" s="66">
        <v>49.054499999999997</v>
      </c>
      <c r="D28" s="66">
        <v>0</v>
      </c>
      <c r="E28" s="66">
        <v>51.636315789999998</v>
      </c>
      <c r="F28" s="66">
        <v>49.054499999999997</v>
      </c>
      <c r="G28" s="66">
        <v>2.5818157899999998</v>
      </c>
      <c r="H28" s="66">
        <v>49.054499999999997</v>
      </c>
      <c r="I28" s="66">
        <v>0</v>
      </c>
      <c r="J28" s="66">
        <v>51.636315789999998</v>
      </c>
      <c r="K28" s="66">
        <v>49.054499999999997</v>
      </c>
      <c r="L28" s="66">
        <v>0</v>
      </c>
      <c r="M28" s="66">
        <v>2.5818157899999998</v>
      </c>
      <c r="N28" s="67">
        <v>100</v>
      </c>
      <c r="O28" s="67">
        <v>100</v>
      </c>
      <c r="P28" s="67">
        <v>5.0000000009683108</v>
      </c>
      <c r="Q28" s="66">
        <v>0</v>
      </c>
      <c r="R28" s="67">
        <v>0</v>
      </c>
      <c r="S28" s="66">
        <v>49.054499999999997</v>
      </c>
      <c r="T28" s="66">
        <v>0</v>
      </c>
      <c r="U28" s="66">
        <v>51.636315789999998</v>
      </c>
      <c r="V28" s="66">
        <v>49.054499999999997</v>
      </c>
      <c r="W28" s="66">
        <v>2.5818157899999998</v>
      </c>
      <c r="X28" s="66">
        <v>49.054499999999997</v>
      </c>
      <c r="Y28" s="66">
        <v>0</v>
      </c>
      <c r="Z28" s="66">
        <v>51.636315789999998</v>
      </c>
      <c r="AA28" s="66">
        <v>49.054499999999997</v>
      </c>
      <c r="AB28" s="66">
        <v>0</v>
      </c>
      <c r="AC28" s="66">
        <v>2.5818157899999998</v>
      </c>
      <c r="AD28" s="67">
        <v>100</v>
      </c>
      <c r="AE28" s="67">
        <v>100</v>
      </c>
      <c r="AF28" s="67">
        <v>5.0000000009683108</v>
      </c>
      <c r="AG28" s="210">
        <v>0</v>
      </c>
      <c r="AH28" s="67">
        <v>0</v>
      </c>
      <c r="AI28" s="66">
        <v>0</v>
      </c>
      <c r="AJ28" s="66">
        <v>0</v>
      </c>
      <c r="AK28" s="66">
        <v>0</v>
      </c>
      <c r="AL28" s="66">
        <v>0</v>
      </c>
      <c r="AM28" s="66">
        <v>0</v>
      </c>
      <c r="AN28" s="66">
        <v>0</v>
      </c>
      <c r="AO28" s="66">
        <v>0</v>
      </c>
      <c r="AP28" s="66">
        <v>0</v>
      </c>
      <c r="AQ28" s="66">
        <v>0</v>
      </c>
      <c r="AR28" s="66">
        <v>0</v>
      </c>
      <c r="AS28" s="66">
        <v>0</v>
      </c>
      <c r="AT28" s="67" t="s">
        <v>1094</v>
      </c>
      <c r="AU28" s="67" t="s">
        <v>1094</v>
      </c>
      <c r="AV28" s="67">
        <v>0</v>
      </c>
      <c r="AW28" s="210">
        <v>0</v>
      </c>
      <c r="AX28" s="67">
        <v>0</v>
      </c>
    </row>
    <row r="29" spans="1:50" ht="15.75" x14ac:dyDescent="0.25">
      <c r="A29" s="11" t="s">
        <v>53</v>
      </c>
      <c r="B29" s="189" t="s">
        <v>54</v>
      </c>
      <c r="C29" s="66">
        <v>54.183</v>
      </c>
      <c r="D29" s="66">
        <v>0</v>
      </c>
      <c r="E29" s="66">
        <v>79.673000000000002</v>
      </c>
      <c r="F29" s="66">
        <v>54.183</v>
      </c>
      <c r="G29" s="66">
        <v>25.49</v>
      </c>
      <c r="H29" s="66">
        <v>54.083737939999999</v>
      </c>
      <c r="I29" s="66">
        <v>0</v>
      </c>
      <c r="J29" s="66">
        <v>79.523214140000007</v>
      </c>
      <c r="K29" s="66">
        <v>54.083737939999999</v>
      </c>
      <c r="L29" s="66">
        <v>0</v>
      </c>
      <c r="M29" s="66">
        <v>25.439476199999998</v>
      </c>
      <c r="N29" s="67">
        <v>99.816802207334405</v>
      </c>
      <c r="O29" s="67">
        <v>99.801789721459386</v>
      </c>
      <c r="P29" s="67">
        <v>31.989999995742117</v>
      </c>
      <c r="Q29" s="66">
        <v>0</v>
      </c>
      <c r="R29" s="67">
        <v>0</v>
      </c>
      <c r="S29" s="66">
        <v>54.183</v>
      </c>
      <c r="T29" s="66">
        <v>0</v>
      </c>
      <c r="U29" s="66">
        <v>79.673000000000002</v>
      </c>
      <c r="V29" s="66">
        <v>54.183</v>
      </c>
      <c r="W29" s="66">
        <v>25.49</v>
      </c>
      <c r="X29" s="66">
        <v>54.083737939999999</v>
      </c>
      <c r="Y29" s="66">
        <v>0</v>
      </c>
      <c r="Z29" s="66">
        <v>79.523214140000007</v>
      </c>
      <c r="AA29" s="66">
        <v>54.083737939999999</v>
      </c>
      <c r="AB29" s="66">
        <v>0</v>
      </c>
      <c r="AC29" s="66">
        <v>25.439476199999998</v>
      </c>
      <c r="AD29" s="67">
        <v>99.816802207334405</v>
      </c>
      <c r="AE29" s="67">
        <v>99.801789721459386</v>
      </c>
      <c r="AF29" s="67">
        <v>31.989999995742117</v>
      </c>
      <c r="AG29" s="210">
        <v>0</v>
      </c>
      <c r="AH29" s="67">
        <v>0</v>
      </c>
      <c r="AI29" s="66">
        <v>0</v>
      </c>
      <c r="AJ29" s="66">
        <v>0</v>
      </c>
      <c r="AK29" s="66">
        <v>0</v>
      </c>
      <c r="AL29" s="66">
        <v>0</v>
      </c>
      <c r="AM29" s="66">
        <v>0</v>
      </c>
      <c r="AN29" s="66">
        <v>0</v>
      </c>
      <c r="AO29" s="66">
        <v>0</v>
      </c>
      <c r="AP29" s="66">
        <v>0</v>
      </c>
      <c r="AQ29" s="66">
        <v>0</v>
      </c>
      <c r="AR29" s="66">
        <v>0</v>
      </c>
      <c r="AS29" s="66">
        <v>0</v>
      </c>
      <c r="AT29" s="67" t="s">
        <v>1094</v>
      </c>
      <c r="AU29" s="67" t="s">
        <v>1094</v>
      </c>
      <c r="AV29" s="67">
        <v>0</v>
      </c>
      <c r="AW29" s="210">
        <v>0</v>
      </c>
      <c r="AX29" s="67">
        <v>0</v>
      </c>
    </row>
    <row r="30" spans="1:50" ht="15.75" x14ac:dyDescent="0.25">
      <c r="A30" s="11" t="s">
        <v>56</v>
      </c>
      <c r="B30" s="189" t="s">
        <v>57</v>
      </c>
      <c r="C30" s="66">
        <v>73.078800000000001</v>
      </c>
      <c r="D30" s="66">
        <v>0</v>
      </c>
      <c r="E30" s="66">
        <v>78.778800000000004</v>
      </c>
      <c r="F30" s="66">
        <v>73.078800000000001</v>
      </c>
      <c r="G30" s="66">
        <v>5.7</v>
      </c>
      <c r="H30" s="66">
        <v>73.078800000000001</v>
      </c>
      <c r="I30" s="66">
        <v>0</v>
      </c>
      <c r="J30" s="66">
        <v>78.778800000000004</v>
      </c>
      <c r="K30" s="66">
        <v>73.078800000000001</v>
      </c>
      <c r="L30" s="66">
        <v>0</v>
      </c>
      <c r="M30" s="66">
        <v>5.7</v>
      </c>
      <c r="N30" s="67">
        <v>100</v>
      </c>
      <c r="O30" s="67">
        <v>100</v>
      </c>
      <c r="P30" s="67">
        <v>7.2354491309844784</v>
      </c>
      <c r="Q30" s="66">
        <v>0</v>
      </c>
      <c r="R30" s="67">
        <v>0</v>
      </c>
      <c r="S30" s="66">
        <v>73.078800000000001</v>
      </c>
      <c r="T30" s="66">
        <v>0</v>
      </c>
      <c r="U30" s="66">
        <v>78.778800000000004</v>
      </c>
      <c r="V30" s="66">
        <v>73.078800000000001</v>
      </c>
      <c r="W30" s="66">
        <v>5.7</v>
      </c>
      <c r="X30" s="66">
        <v>73.078800000000001</v>
      </c>
      <c r="Y30" s="66">
        <v>0</v>
      </c>
      <c r="Z30" s="66">
        <v>78.778800000000004</v>
      </c>
      <c r="AA30" s="66">
        <v>73.078800000000001</v>
      </c>
      <c r="AB30" s="66">
        <v>0</v>
      </c>
      <c r="AC30" s="66">
        <v>5.7</v>
      </c>
      <c r="AD30" s="67">
        <v>100</v>
      </c>
      <c r="AE30" s="67">
        <v>100</v>
      </c>
      <c r="AF30" s="67">
        <v>7.2354491309844784</v>
      </c>
      <c r="AG30" s="210">
        <v>0</v>
      </c>
      <c r="AH30" s="67">
        <v>0</v>
      </c>
      <c r="AI30" s="66">
        <v>0</v>
      </c>
      <c r="AJ30" s="66">
        <v>0</v>
      </c>
      <c r="AK30" s="66">
        <v>0</v>
      </c>
      <c r="AL30" s="66">
        <v>0</v>
      </c>
      <c r="AM30" s="66">
        <v>0</v>
      </c>
      <c r="AN30" s="66">
        <v>0</v>
      </c>
      <c r="AO30" s="66">
        <v>0</v>
      </c>
      <c r="AP30" s="66">
        <v>0</v>
      </c>
      <c r="AQ30" s="66">
        <v>0</v>
      </c>
      <c r="AR30" s="66">
        <v>0</v>
      </c>
      <c r="AS30" s="66">
        <v>0</v>
      </c>
      <c r="AT30" s="67" t="s">
        <v>1094</v>
      </c>
      <c r="AU30" s="67" t="s">
        <v>1094</v>
      </c>
      <c r="AV30" s="67">
        <v>0</v>
      </c>
      <c r="AW30" s="210">
        <v>0</v>
      </c>
      <c r="AX30" s="67">
        <v>0</v>
      </c>
    </row>
    <row r="31" spans="1:50" ht="15.75" x14ac:dyDescent="0.25">
      <c r="A31" s="11" t="s">
        <v>59</v>
      </c>
      <c r="B31" s="189" t="s">
        <v>60</v>
      </c>
      <c r="C31" s="66">
        <v>116.12430000000001</v>
      </c>
      <c r="D31" s="66">
        <v>0</v>
      </c>
      <c r="E31" s="66">
        <v>180.77430000000001</v>
      </c>
      <c r="F31" s="66">
        <v>116.12430000000001</v>
      </c>
      <c r="G31" s="66">
        <v>64.650000000000006</v>
      </c>
      <c r="H31" s="66">
        <v>116.12430000000001</v>
      </c>
      <c r="I31" s="66">
        <v>0</v>
      </c>
      <c r="J31" s="66">
        <v>180.77429950999999</v>
      </c>
      <c r="K31" s="66">
        <v>116.12429951</v>
      </c>
      <c r="L31" s="66">
        <v>0</v>
      </c>
      <c r="M31" s="66">
        <v>64.650000000000006</v>
      </c>
      <c r="N31" s="67">
        <v>99.999999578038356</v>
      </c>
      <c r="O31" s="67">
        <v>100</v>
      </c>
      <c r="P31" s="67">
        <v>35.762827003195618</v>
      </c>
      <c r="Q31" s="66">
        <v>0</v>
      </c>
      <c r="R31" s="67">
        <v>4.90000005015645E-7</v>
      </c>
      <c r="S31" s="66">
        <v>116.12430000000001</v>
      </c>
      <c r="T31" s="66">
        <v>0</v>
      </c>
      <c r="U31" s="66">
        <v>180.77430000000001</v>
      </c>
      <c r="V31" s="66">
        <v>116.12430000000001</v>
      </c>
      <c r="W31" s="66">
        <v>64.650000000000006</v>
      </c>
      <c r="X31" s="66">
        <v>116.12430000000001</v>
      </c>
      <c r="Y31" s="66">
        <v>0</v>
      </c>
      <c r="Z31" s="66">
        <v>180.77429950999999</v>
      </c>
      <c r="AA31" s="66">
        <v>116.12429951</v>
      </c>
      <c r="AB31" s="66">
        <v>0</v>
      </c>
      <c r="AC31" s="66">
        <v>64.650000000000006</v>
      </c>
      <c r="AD31" s="67">
        <v>99.999999578038356</v>
      </c>
      <c r="AE31" s="67">
        <v>100</v>
      </c>
      <c r="AF31" s="67">
        <v>35.762827003195618</v>
      </c>
      <c r="AG31" s="210">
        <v>0</v>
      </c>
      <c r="AH31" s="67">
        <v>4.90000005015645E-7</v>
      </c>
      <c r="AI31" s="66">
        <v>0</v>
      </c>
      <c r="AJ31" s="66">
        <v>0</v>
      </c>
      <c r="AK31" s="66">
        <v>0</v>
      </c>
      <c r="AL31" s="66">
        <v>0</v>
      </c>
      <c r="AM31" s="66">
        <v>0</v>
      </c>
      <c r="AN31" s="66">
        <v>0</v>
      </c>
      <c r="AO31" s="66">
        <v>0</v>
      </c>
      <c r="AP31" s="66">
        <v>0</v>
      </c>
      <c r="AQ31" s="66">
        <v>0</v>
      </c>
      <c r="AR31" s="66">
        <v>0</v>
      </c>
      <c r="AS31" s="66">
        <v>0</v>
      </c>
      <c r="AT31" s="67" t="s">
        <v>1094</v>
      </c>
      <c r="AU31" s="67" t="s">
        <v>1094</v>
      </c>
      <c r="AV31" s="67">
        <v>0</v>
      </c>
      <c r="AW31" s="210">
        <v>0</v>
      </c>
      <c r="AX31" s="67">
        <v>0</v>
      </c>
    </row>
    <row r="32" spans="1:50" ht="15.75" x14ac:dyDescent="0.25">
      <c r="A32" s="57" t="s">
        <v>62</v>
      </c>
      <c r="B32" s="190" t="s">
        <v>63</v>
      </c>
      <c r="C32" s="61">
        <v>885.07820000000004</v>
      </c>
      <c r="D32" s="61">
        <v>0</v>
      </c>
      <c r="E32" s="61">
        <v>1177.7961559999999</v>
      </c>
      <c r="F32" s="61">
        <v>885.07820000000004</v>
      </c>
      <c r="G32" s="61">
        <v>292.71795600000002</v>
      </c>
      <c r="H32" s="61">
        <v>883.16674129</v>
      </c>
      <c r="I32" s="61">
        <v>0</v>
      </c>
      <c r="J32" s="61">
        <v>1171.6262224</v>
      </c>
      <c r="K32" s="61">
        <v>883.16674129</v>
      </c>
      <c r="L32" s="61">
        <v>0</v>
      </c>
      <c r="M32" s="61">
        <v>288.45948111000001</v>
      </c>
      <c r="N32" s="61">
        <v>99.784035047976545</v>
      </c>
      <c r="O32" s="61">
        <v>98.545195194653516</v>
      </c>
      <c r="P32" s="61">
        <v>24.620435732405301</v>
      </c>
      <c r="Q32" s="61">
        <v>0</v>
      </c>
      <c r="R32" s="61">
        <v>0</v>
      </c>
      <c r="S32" s="61">
        <v>885.07820000000004</v>
      </c>
      <c r="T32" s="61">
        <v>0</v>
      </c>
      <c r="U32" s="61">
        <v>1177.7961559999999</v>
      </c>
      <c r="V32" s="61">
        <v>885.07820000000004</v>
      </c>
      <c r="W32" s="61">
        <v>292.71795600000002</v>
      </c>
      <c r="X32" s="61">
        <v>883.16674129</v>
      </c>
      <c r="Y32" s="61">
        <v>0</v>
      </c>
      <c r="Z32" s="61">
        <v>1171.6262224</v>
      </c>
      <c r="AA32" s="61">
        <v>883.16674129</v>
      </c>
      <c r="AB32" s="61">
        <v>0</v>
      </c>
      <c r="AC32" s="61">
        <v>288.45948111000001</v>
      </c>
      <c r="AD32" s="61">
        <v>99.784035047976545</v>
      </c>
      <c r="AE32" s="61">
        <v>98.545195194653516</v>
      </c>
      <c r="AF32" s="61">
        <v>24.620435732405301</v>
      </c>
      <c r="AG32" s="61">
        <v>0</v>
      </c>
      <c r="AH32" s="61">
        <v>0</v>
      </c>
      <c r="AI32" s="61">
        <v>0</v>
      </c>
      <c r="AJ32" s="61">
        <v>0</v>
      </c>
      <c r="AK32" s="61">
        <v>0</v>
      </c>
      <c r="AL32" s="61">
        <v>0</v>
      </c>
      <c r="AM32" s="61">
        <v>0</v>
      </c>
      <c r="AN32" s="61">
        <v>0</v>
      </c>
      <c r="AO32" s="61">
        <v>0</v>
      </c>
      <c r="AP32" s="61">
        <v>0</v>
      </c>
      <c r="AQ32" s="61">
        <v>0</v>
      </c>
      <c r="AR32" s="61">
        <v>0</v>
      </c>
      <c r="AS32" s="61">
        <v>0</v>
      </c>
      <c r="AT32" s="61" t="s">
        <v>1094</v>
      </c>
      <c r="AU32" s="61" t="s">
        <v>1094</v>
      </c>
      <c r="AV32" s="61">
        <v>0</v>
      </c>
      <c r="AW32" s="61">
        <v>0</v>
      </c>
      <c r="AX32" s="61">
        <v>0</v>
      </c>
    </row>
    <row r="33" spans="1:50" ht="15.75" x14ac:dyDescent="0.25">
      <c r="A33" s="11" t="s">
        <v>65</v>
      </c>
      <c r="B33" s="189" t="s">
        <v>66</v>
      </c>
      <c r="C33" s="66">
        <v>49.025799999999997</v>
      </c>
      <c r="D33" s="66">
        <v>0</v>
      </c>
      <c r="E33" s="66">
        <v>51.606105999999997</v>
      </c>
      <c r="F33" s="66">
        <v>49.025799999999997</v>
      </c>
      <c r="G33" s="66">
        <v>2.5803060000000002</v>
      </c>
      <c r="H33" s="66">
        <v>49.025799490000004</v>
      </c>
      <c r="I33" s="66">
        <v>0</v>
      </c>
      <c r="J33" s="66">
        <v>51.60610526</v>
      </c>
      <c r="K33" s="66">
        <v>49.025799490000004</v>
      </c>
      <c r="L33" s="66">
        <v>0</v>
      </c>
      <c r="M33" s="66">
        <v>2.5803057699999998</v>
      </c>
      <c r="N33" s="67">
        <v>99.999998959731414</v>
      </c>
      <c r="O33" s="67">
        <v>99.999991086328507</v>
      </c>
      <c r="P33" s="67">
        <v>5.0000009824418976</v>
      </c>
      <c r="Q33" s="66">
        <v>0</v>
      </c>
      <c r="R33" s="67">
        <v>0</v>
      </c>
      <c r="S33" s="66">
        <v>49.025799999999997</v>
      </c>
      <c r="T33" s="66">
        <v>0</v>
      </c>
      <c r="U33" s="66">
        <v>51.606105999999997</v>
      </c>
      <c r="V33" s="66">
        <v>49.025799999999997</v>
      </c>
      <c r="W33" s="66">
        <v>2.5803060000000002</v>
      </c>
      <c r="X33" s="66">
        <v>49.025799490000004</v>
      </c>
      <c r="Y33" s="66">
        <v>0</v>
      </c>
      <c r="Z33" s="66">
        <v>51.60610526</v>
      </c>
      <c r="AA33" s="66">
        <v>49.025799490000004</v>
      </c>
      <c r="AB33" s="66">
        <v>0</v>
      </c>
      <c r="AC33" s="66">
        <v>2.5803057699999998</v>
      </c>
      <c r="AD33" s="67">
        <v>99.999998959731414</v>
      </c>
      <c r="AE33" s="67">
        <v>99.999991086328507</v>
      </c>
      <c r="AF33" s="67">
        <v>5.0000009824418976</v>
      </c>
      <c r="AG33" s="210">
        <v>0</v>
      </c>
      <c r="AH33" s="67">
        <v>0</v>
      </c>
      <c r="AI33" s="66">
        <v>0</v>
      </c>
      <c r="AJ33" s="66">
        <v>0</v>
      </c>
      <c r="AK33" s="66">
        <v>0</v>
      </c>
      <c r="AL33" s="66">
        <v>0</v>
      </c>
      <c r="AM33" s="66">
        <v>0</v>
      </c>
      <c r="AN33" s="66">
        <v>0</v>
      </c>
      <c r="AO33" s="66">
        <v>0</v>
      </c>
      <c r="AP33" s="66">
        <v>0</v>
      </c>
      <c r="AQ33" s="66">
        <v>0</v>
      </c>
      <c r="AR33" s="66">
        <v>0</v>
      </c>
      <c r="AS33" s="66">
        <v>0</v>
      </c>
      <c r="AT33" s="67" t="s">
        <v>1094</v>
      </c>
      <c r="AU33" s="67" t="s">
        <v>1094</v>
      </c>
      <c r="AV33" s="67">
        <v>0</v>
      </c>
      <c r="AW33" s="210">
        <v>0</v>
      </c>
      <c r="AX33" s="67">
        <v>0</v>
      </c>
    </row>
    <row r="34" spans="1:50" ht="15.75" x14ac:dyDescent="0.25">
      <c r="A34" s="11" t="s">
        <v>68</v>
      </c>
      <c r="B34" s="189" t="s">
        <v>69</v>
      </c>
      <c r="C34" s="66">
        <v>13.327400000000001</v>
      </c>
      <c r="D34" s="66">
        <v>0</v>
      </c>
      <c r="E34" s="66">
        <v>27.198799999999999</v>
      </c>
      <c r="F34" s="66">
        <v>13.327400000000001</v>
      </c>
      <c r="G34" s="66">
        <v>13.8714</v>
      </c>
      <c r="H34" s="66">
        <v>13.327400000000001</v>
      </c>
      <c r="I34" s="66">
        <v>0</v>
      </c>
      <c r="J34" s="66">
        <v>27.198799999999999</v>
      </c>
      <c r="K34" s="66">
        <v>13.327400000000001</v>
      </c>
      <c r="L34" s="66">
        <v>0</v>
      </c>
      <c r="M34" s="66">
        <v>13.8714</v>
      </c>
      <c r="N34" s="67">
        <v>100</v>
      </c>
      <c r="O34" s="67">
        <v>100</v>
      </c>
      <c r="P34" s="67">
        <v>51.000044119593511</v>
      </c>
      <c r="Q34" s="66">
        <v>0</v>
      </c>
      <c r="R34" s="67">
        <v>0</v>
      </c>
      <c r="S34" s="66">
        <v>13.327400000000001</v>
      </c>
      <c r="T34" s="66">
        <v>0</v>
      </c>
      <c r="U34" s="66">
        <v>27.198799999999999</v>
      </c>
      <c r="V34" s="66">
        <v>13.327400000000001</v>
      </c>
      <c r="W34" s="66">
        <v>13.8714</v>
      </c>
      <c r="X34" s="66">
        <v>13.327400000000001</v>
      </c>
      <c r="Y34" s="66">
        <v>0</v>
      </c>
      <c r="Z34" s="66">
        <v>27.198799999999999</v>
      </c>
      <c r="AA34" s="66">
        <v>13.327400000000001</v>
      </c>
      <c r="AB34" s="66">
        <v>0</v>
      </c>
      <c r="AC34" s="66">
        <v>13.8714</v>
      </c>
      <c r="AD34" s="67">
        <v>100</v>
      </c>
      <c r="AE34" s="67">
        <v>100</v>
      </c>
      <c r="AF34" s="67">
        <v>51.000044119593511</v>
      </c>
      <c r="AG34" s="210">
        <v>0</v>
      </c>
      <c r="AH34" s="67">
        <v>0</v>
      </c>
      <c r="AI34" s="66">
        <v>0</v>
      </c>
      <c r="AJ34" s="66">
        <v>0</v>
      </c>
      <c r="AK34" s="66">
        <v>0</v>
      </c>
      <c r="AL34" s="66">
        <v>0</v>
      </c>
      <c r="AM34" s="66">
        <v>0</v>
      </c>
      <c r="AN34" s="66">
        <v>0</v>
      </c>
      <c r="AO34" s="66">
        <v>0</v>
      </c>
      <c r="AP34" s="66">
        <v>0</v>
      </c>
      <c r="AQ34" s="66">
        <v>0</v>
      </c>
      <c r="AR34" s="66">
        <v>0</v>
      </c>
      <c r="AS34" s="66">
        <v>0</v>
      </c>
      <c r="AT34" s="67" t="s">
        <v>1094</v>
      </c>
      <c r="AU34" s="67" t="s">
        <v>1094</v>
      </c>
      <c r="AV34" s="67">
        <v>0</v>
      </c>
      <c r="AW34" s="210">
        <v>0</v>
      </c>
      <c r="AX34" s="67">
        <v>0</v>
      </c>
    </row>
    <row r="35" spans="1:50" ht="15.75" x14ac:dyDescent="0.25">
      <c r="A35" s="11" t="s">
        <v>71</v>
      </c>
      <c r="B35" s="189" t="s">
        <v>72</v>
      </c>
      <c r="C35" s="66">
        <v>79.244600000000005</v>
      </c>
      <c r="D35" s="66">
        <v>0</v>
      </c>
      <c r="E35" s="66">
        <v>83.444599999999994</v>
      </c>
      <c r="F35" s="66">
        <v>79.244600000000005</v>
      </c>
      <c r="G35" s="66">
        <v>4.2</v>
      </c>
      <c r="H35" s="66">
        <v>79.244600000000005</v>
      </c>
      <c r="I35" s="66">
        <v>0</v>
      </c>
      <c r="J35" s="66">
        <v>83.444599999999994</v>
      </c>
      <c r="K35" s="66">
        <v>79.244600000000005</v>
      </c>
      <c r="L35" s="66">
        <v>0</v>
      </c>
      <c r="M35" s="66">
        <v>4.2</v>
      </c>
      <c r="N35" s="67">
        <v>100</v>
      </c>
      <c r="O35" s="67">
        <v>100</v>
      </c>
      <c r="P35" s="67">
        <v>5.033279565124646</v>
      </c>
      <c r="Q35" s="66">
        <v>0</v>
      </c>
      <c r="R35" s="67">
        <v>0</v>
      </c>
      <c r="S35" s="66">
        <v>79.244600000000005</v>
      </c>
      <c r="T35" s="66">
        <v>0</v>
      </c>
      <c r="U35" s="66">
        <v>83.444599999999994</v>
      </c>
      <c r="V35" s="66">
        <v>79.244600000000005</v>
      </c>
      <c r="W35" s="66">
        <v>4.2</v>
      </c>
      <c r="X35" s="66">
        <v>79.244600000000005</v>
      </c>
      <c r="Y35" s="66">
        <v>0</v>
      </c>
      <c r="Z35" s="66">
        <v>83.444599999999994</v>
      </c>
      <c r="AA35" s="66">
        <v>79.244600000000005</v>
      </c>
      <c r="AB35" s="66">
        <v>0</v>
      </c>
      <c r="AC35" s="66">
        <v>4.2</v>
      </c>
      <c r="AD35" s="67">
        <v>100</v>
      </c>
      <c r="AE35" s="67">
        <v>100</v>
      </c>
      <c r="AF35" s="67">
        <v>5.033279565124646</v>
      </c>
      <c r="AG35" s="210">
        <v>0</v>
      </c>
      <c r="AH35" s="67">
        <v>0</v>
      </c>
      <c r="AI35" s="66">
        <v>0</v>
      </c>
      <c r="AJ35" s="66">
        <v>0</v>
      </c>
      <c r="AK35" s="66">
        <v>0</v>
      </c>
      <c r="AL35" s="66">
        <v>0</v>
      </c>
      <c r="AM35" s="66">
        <v>0</v>
      </c>
      <c r="AN35" s="66">
        <v>0</v>
      </c>
      <c r="AO35" s="66">
        <v>0</v>
      </c>
      <c r="AP35" s="66">
        <v>0</v>
      </c>
      <c r="AQ35" s="66">
        <v>0</v>
      </c>
      <c r="AR35" s="66">
        <v>0</v>
      </c>
      <c r="AS35" s="66">
        <v>0</v>
      </c>
      <c r="AT35" s="67" t="s">
        <v>1094</v>
      </c>
      <c r="AU35" s="67" t="s">
        <v>1094</v>
      </c>
      <c r="AV35" s="67">
        <v>0</v>
      </c>
      <c r="AW35" s="210">
        <v>0</v>
      </c>
      <c r="AX35" s="67">
        <v>0</v>
      </c>
    </row>
    <row r="36" spans="1:50" ht="15.75" x14ac:dyDescent="0.25">
      <c r="A36" s="11" t="s">
        <v>74</v>
      </c>
      <c r="B36" s="189" t="s">
        <v>298</v>
      </c>
      <c r="C36" s="66">
        <v>1.0328999999999999</v>
      </c>
      <c r="D36" s="66">
        <v>0</v>
      </c>
      <c r="E36" s="66">
        <v>135.20400000000001</v>
      </c>
      <c r="F36" s="66">
        <v>1.0328999999999999</v>
      </c>
      <c r="G36" s="66">
        <v>134.1711</v>
      </c>
      <c r="H36" s="66">
        <v>1.03289908</v>
      </c>
      <c r="I36" s="66">
        <v>0</v>
      </c>
      <c r="J36" s="66">
        <v>135.20399908000002</v>
      </c>
      <c r="K36" s="66">
        <v>1.03289908</v>
      </c>
      <c r="L36" s="66">
        <v>0</v>
      </c>
      <c r="M36" s="66">
        <v>134.1711</v>
      </c>
      <c r="N36" s="67">
        <v>99.999910930390172</v>
      </c>
      <c r="O36" s="67">
        <v>100</v>
      </c>
      <c r="P36" s="67">
        <v>99.236043987582903</v>
      </c>
      <c r="Q36" s="66">
        <v>0</v>
      </c>
      <c r="R36" s="67">
        <v>0</v>
      </c>
      <c r="S36" s="66">
        <v>1.0328999999999999</v>
      </c>
      <c r="T36" s="66">
        <v>0</v>
      </c>
      <c r="U36" s="66">
        <v>135.20400000000001</v>
      </c>
      <c r="V36" s="66">
        <v>1.0328999999999999</v>
      </c>
      <c r="W36" s="66">
        <v>134.1711</v>
      </c>
      <c r="X36" s="66">
        <v>1.03289908</v>
      </c>
      <c r="Y36" s="66">
        <v>0</v>
      </c>
      <c r="Z36" s="66">
        <v>135.20399908000002</v>
      </c>
      <c r="AA36" s="66">
        <v>1.03289908</v>
      </c>
      <c r="AB36" s="66">
        <v>0</v>
      </c>
      <c r="AC36" s="66">
        <v>134.1711</v>
      </c>
      <c r="AD36" s="67">
        <v>99.999910930390172</v>
      </c>
      <c r="AE36" s="67">
        <v>100</v>
      </c>
      <c r="AF36" s="67">
        <v>99.236043987582903</v>
      </c>
      <c r="AG36" s="210">
        <v>0</v>
      </c>
      <c r="AH36" s="67">
        <v>0</v>
      </c>
      <c r="AI36" s="66">
        <v>0</v>
      </c>
      <c r="AJ36" s="66">
        <v>0</v>
      </c>
      <c r="AK36" s="66">
        <v>0</v>
      </c>
      <c r="AL36" s="66">
        <v>0</v>
      </c>
      <c r="AM36" s="66">
        <v>0</v>
      </c>
      <c r="AN36" s="66">
        <v>0</v>
      </c>
      <c r="AO36" s="66">
        <v>0</v>
      </c>
      <c r="AP36" s="66">
        <v>0</v>
      </c>
      <c r="AQ36" s="66">
        <v>0</v>
      </c>
      <c r="AR36" s="66">
        <v>0</v>
      </c>
      <c r="AS36" s="66">
        <v>0</v>
      </c>
      <c r="AT36" s="67" t="s">
        <v>1094</v>
      </c>
      <c r="AU36" s="67" t="s">
        <v>1094</v>
      </c>
      <c r="AV36" s="67">
        <v>0</v>
      </c>
      <c r="AW36" s="210">
        <v>0</v>
      </c>
      <c r="AX36" s="67">
        <v>0</v>
      </c>
    </row>
    <row r="37" spans="1:50" ht="15.75" x14ac:dyDescent="0.25">
      <c r="A37" s="11" t="s">
        <v>76</v>
      </c>
      <c r="B37" s="189" t="s">
        <v>77</v>
      </c>
      <c r="C37" s="66">
        <v>287.40309999999999</v>
      </c>
      <c r="D37" s="66">
        <v>0</v>
      </c>
      <c r="E37" s="66">
        <v>302.52958000000001</v>
      </c>
      <c r="F37" s="66">
        <v>287.40309999999999</v>
      </c>
      <c r="G37" s="66">
        <v>15.126480000000001</v>
      </c>
      <c r="H37" s="66">
        <v>287.40309999999999</v>
      </c>
      <c r="I37" s="66">
        <v>0</v>
      </c>
      <c r="J37" s="66">
        <v>302.52957894000002</v>
      </c>
      <c r="K37" s="66">
        <v>287.40309999999999</v>
      </c>
      <c r="L37" s="66">
        <v>0</v>
      </c>
      <c r="M37" s="66">
        <v>15.12647894</v>
      </c>
      <c r="N37" s="67">
        <v>100</v>
      </c>
      <c r="O37" s="67">
        <v>99.999992992421241</v>
      </c>
      <c r="P37" s="67">
        <v>4.9999999976861762</v>
      </c>
      <c r="Q37" s="66">
        <v>0</v>
      </c>
      <c r="R37" s="67">
        <v>0</v>
      </c>
      <c r="S37" s="66">
        <v>287.40309999999999</v>
      </c>
      <c r="T37" s="66">
        <v>0</v>
      </c>
      <c r="U37" s="66">
        <v>302.52958000000001</v>
      </c>
      <c r="V37" s="66">
        <v>287.40309999999999</v>
      </c>
      <c r="W37" s="66">
        <v>15.126480000000001</v>
      </c>
      <c r="X37" s="66">
        <v>287.40309999999999</v>
      </c>
      <c r="Y37" s="66">
        <v>0</v>
      </c>
      <c r="Z37" s="66">
        <v>302.52957894000002</v>
      </c>
      <c r="AA37" s="66">
        <v>287.40309999999999</v>
      </c>
      <c r="AB37" s="66">
        <v>0</v>
      </c>
      <c r="AC37" s="66">
        <v>15.12647894</v>
      </c>
      <c r="AD37" s="67">
        <v>100</v>
      </c>
      <c r="AE37" s="67">
        <v>99.999992992421241</v>
      </c>
      <c r="AF37" s="67">
        <v>4.9999999976861762</v>
      </c>
      <c r="AG37" s="210">
        <v>0</v>
      </c>
      <c r="AH37" s="67">
        <v>0</v>
      </c>
      <c r="AI37" s="66">
        <v>0</v>
      </c>
      <c r="AJ37" s="66">
        <v>0</v>
      </c>
      <c r="AK37" s="66">
        <v>0</v>
      </c>
      <c r="AL37" s="66">
        <v>0</v>
      </c>
      <c r="AM37" s="66">
        <v>0</v>
      </c>
      <c r="AN37" s="66">
        <v>0</v>
      </c>
      <c r="AO37" s="66">
        <v>0</v>
      </c>
      <c r="AP37" s="66">
        <v>0</v>
      </c>
      <c r="AQ37" s="66">
        <v>0</v>
      </c>
      <c r="AR37" s="66">
        <v>0</v>
      </c>
      <c r="AS37" s="66">
        <v>0</v>
      </c>
      <c r="AT37" s="67" t="s">
        <v>1094</v>
      </c>
      <c r="AU37" s="67" t="s">
        <v>1094</v>
      </c>
      <c r="AV37" s="67">
        <v>0</v>
      </c>
      <c r="AW37" s="210">
        <v>0</v>
      </c>
      <c r="AX37" s="67">
        <v>0</v>
      </c>
    </row>
    <row r="38" spans="1:50" ht="15.75" x14ac:dyDescent="0.25">
      <c r="A38" s="11" t="s">
        <v>79</v>
      </c>
      <c r="B38" s="189" t="s">
        <v>80</v>
      </c>
      <c r="C38" s="66">
        <v>71.541399999999996</v>
      </c>
      <c r="D38" s="66">
        <v>0</v>
      </c>
      <c r="E38" s="66">
        <v>126.5414</v>
      </c>
      <c r="F38" s="66">
        <v>71.541399999999996</v>
      </c>
      <c r="G38" s="66">
        <v>55</v>
      </c>
      <c r="H38" s="66">
        <v>71.512500310000007</v>
      </c>
      <c r="I38" s="66">
        <v>0</v>
      </c>
      <c r="J38" s="66">
        <v>126.49028199999999</v>
      </c>
      <c r="K38" s="66">
        <v>71.512500310000007</v>
      </c>
      <c r="L38" s="66">
        <v>0</v>
      </c>
      <c r="M38" s="66">
        <v>54.97778169</v>
      </c>
      <c r="N38" s="67">
        <v>99.959604243137562</v>
      </c>
      <c r="O38" s="67">
        <v>99.959603072727276</v>
      </c>
      <c r="P38" s="67">
        <v>43.464035988155992</v>
      </c>
      <c r="Q38" s="66">
        <v>0</v>
      </c>
      <c r="R38" s="67">
        <v>0</v>
      </c>
      <c r="S38" s="66">
        <v>71.541399999999996</v>
      </c>
      <c r="T38" s="66">
        <v>0</v>
      </c>
      <c r="U38" s="66">
        <v>126.5414</v>
      </c>
      <c r="V38" s="66">
        <v>71.541399999999996</v>
      </c>
      <c r="W38" s="66">
        <v>55</v>
      </c>
      <c r="X38" s="66">
        <v>71.512500310000007</v>
      </c>
      <c r="Y38" s="66">
        <v>0</v>
      </c>
      <c r="Z38" s="66">
        <v>126.49028199999999</v>
      </c>
      <c r="AA38" s="66">
        <v>71.512500310000007</v>
      </c>
      <c r="AB38" s="66">
        <v>0</v>
      </c>
      <c r="AC38" s="66">
        <v>54.97778169</v>
      </c>
      <c r="AD38" s="67">
        <v>99.959604243137562</v>
      </c>
      <c r="AE38" s="67">
        <v>99.959603072727276</v>
      </c>
      <c r="AF38" s="67">
        <v>43.464035988155992</v>
      </c>
      <c r="AG38" s="210">
        <v>0</v>
      </c>
      <c r="AH38" s="67">
        <v>0</v>
      </c>
      <c r="AI38" s="66">
        <v>0</v>
      </c>
      <c r="AJ38" s="66">
        <v>0</v>
      </c>
      <c r="AK38" s="66">
        <v>0</v>
      </c>
      <c r="AL38" s="66">
        <v>0</v>
      </c>
      <c r="AM38" s="66">
        <v>0</v>
      </c>
      <c r="AN38" s="66">
        <v>0</v>
      </c>
      <c r="AO38" s="66">
        <v>0</v>
      </c>
      <c r="AP38" s="66">
        <v>0</v>
      </c>
      <c r="AQ38" s="66">
        <v>0</v>
      </c>
      <c r="AR38" s="66">
        <v>0</v>
      </c>
      <c r="AS38" s="66">
        <v>0</v>
      </c>
      <c r="AT38" s="67" t="s">
        <v>1094</v>
      </c>
      <c r="AU38" s="67" t="s">
        <v>1094</v>
      </c>
      <c r="AV38" s="67">
        <v>0</v>
      </c>
      <c r="AW38" s="210">
        <v>0</v>
      </c>
      <c r="AX38" s="67">
        <v>0</v>
      </c>
    </row>
    <row r="39" spans="1:50" ht="15.75" x14ac:dyDescent="0.25">
      <c r="A39" s="11" t="s">
        <v>82</v>
      </c>
      <c r="B39" s="189" t="s">
        <v>83</v>
      </c>
      <c r="C39" s="66">
        <v>210.69909999999999</v>
      </c>
      <c r="D39" s="66">
        <v>0</v>
      </c>
      <c r="E39" s="66">
        <v>234.11109999999999</v>
      </c>
      <c r="F39" s="66">
        <v>210.69909999999999</v>
      </c>
      <c r="G39" s="66">
        <v>23.411999999999999</v>
      </c>
      <c r="H39" s="66">
        <v>210.69909999999999</v>
      </c>
      <c r="I39" s="66">
        <v>0</v>
      </c>
      <c r="J39" s="66">
        <v>234.11109999999999</v>
      </c>
      <c r="K39" s="66">
        <v>210.69909999999999</v>
      </c>
      <c r="L39" s="66">
        <v>0</v>
      </c>
      <c r="M39" s="66">
        <v>23.411999999999999</v>
      </c>
      <c r="N39" s="67">
        <v>100</v>
      </c>
      <c r="O39" s="67">
        <v>100</v>
      </c>
      <c r="P39" s="67">
        <v>10.000380161384916</v>
      </c>
      <c r="Q39" s="66">
        <v>0</v>
      </c>
      <c r="R39" s="67">
        <v>0</v>
      </c>
      <c r="S39" s="66">
        <v>210.69909999999999</v>
      </c>
      <c r="T39" s="66">
        <v>0</v>
      </c>
      <c r="U39" s="66">
        <v>234.11109999999999</v>
      </c>
      <c r="V39" s="66">
        <v>210.69909999999999</v>
      </c>
      <c r="W39" s="66">
        <v>23.411999999999999</v>
      </c>
      <c r="X39" s="66">
        <v>210.69909999999999</v>
      </c>
      <c r="Y39" s="66">
        <v>0</v>
      </c>
      <c r="Z39" s="66">
        <v>234.11109999999999</v>
      </c>
      <c r="AA39" s="66">
        <v>210.69909999999999</v>
      </c>
      <c r="AB39" s="66">
        <v>0</v>
      </c>
      <c r="AC39" s="66">
        <v>23.411999999999999</v>
      </c>
      <c r="AD39" s="67">
        <v>100</v>
      </c>
      <c r="AE39" s="67">
        <v>100</v>
      </c>
      <c r="AF39" s="67">
        <v>10.000380161384916</v>
      </c>
      <c r="AG39" s="210">
        <v>0</v>
      </c>
      <c r="AH39" s="67">
        <v>0</v>
      </c>
      <c r="AI39" s="66">
        <v>0</v>
      </c>
      <c r="AJ39" s="66">
        <v>0</v>
      </c>
      <c r="AK39" s="66">
        <v>0</v>
      </c>
      <c r="AL39" s="66">
        <v>0</v>
      </c>
      <c r="AM39" s="66">
        <v>0</v>
      </c>
      <c r="AN39" s="66">
        <v>0</v>
      </c>
      <c r="AO39" s="66">
        <v>0</v>
      </c>
      <c r="AP39" s="66">
        <v>0</v>
      </c>
      <c r="AQ39" s="66">
        <v>0</v>
      </c>
      <c r="AR39" s="66">
        <v>0</v>
      </c>
      <c r="AS39" s="66">
        <v>0</v>
      </c>
      <c r="AT39" s="67" t="s">
        <v>1094</v>
      </c>
      <c r="AU39" s="67" t="s">
        <v>1094</v>
      </c>
      <c r="AV39" s="67">
        <v>0</v>
      </c>
      <c r="AW39" s="210">
        <v>0</v>
      </c>
      <c r="AX39" s="67">
        <v>0</v>
      </c>
    </row>
    <row r="40" spans="1:50" ht="15.75" x14ac:dyDescent="0.25">
      <c r="A40" s="11" t="s">
        <v>85</v>
      </c>
      <c r="B40" s="189" t="s">
        <v>299</v>
      </c>
      <c r="C40" s="66">
        <v>5.6550000000000002</v>
      </c>
      <c r="D40" s="66">
        <v>0</v>
      </c>
      <c r="E40" s="66">
        <v>6.2850000000000001</v>
      </c>
      <c r="F40" s="66">
        <v>5.6550000000000002</v>
      </c>
      <c r="G40" s="66">
        <v>0.63</v>
      </c>
      <c r="H40" s="66">
        <v>5.6550000000000002</v>
      </c>
      <c r="I40" s="66">
        <v>0</v>
      </c>
      <c r="J40" s="66">
        <v>6.2850000000000001</v>
      </c>
      <c r="K40" s="66">
        <v>5.6550000000000002</v>
      </c>
      <c r="L40" s="66">
        <v>0</v>
      </c>
      <c r="M40" s="66">
        <v>0.63</v>
      </c>
      <c r="N40" s="67">
        <v>100</v>
      </c>
      <c r="O40" s="67">
        <v>100</v>
      </c>
      <c r="P40" s="67">
        <v>10.023866348448687</v>
      </c>
      <c r="Q40" s="66">
        <v>0</v>
      </c>
      <c r="R40" s="67">
        <v>0</v>
      </c>
      <c r="S40" s="66">
        <v>5.6550000000000002</v>
      </c>
      <c r="T40" s="66">
        <v>0</v>
      </c>
      <c r="U40" s="66">
        <v>6.2850000000000001</v>
      </c>
      <c r="V40" s="66">
        <v>5.6550000000000002</v>
      </c>
      <c r="W40" s="66">
        <v>0.63</v>
      </c>
      <c r="X40" s="66">
        <v>5.6550000000000002</v>
      </c>
      <c r="Y40" s="66">
        <v>0</v>
      </c>
      <c r="Z40" s="66">
        <v>6.2850000000000001</v>
      </c>
      <c r="AA40" s="66">
        <v>5.6550000000000002</v>
      </c>
      <c r="AB40" s="66">
        <v>0</v>
      </c>
      <c r="AC40" s="66">
        <v>0.63</v>
      </c>
      <c r="AD40" s="67">
        <v>100</v>
      </c>
      <c r="AE40" s="67">
        <v>100</v>
      </c>
      <c r="AF40" s="67">
        <v>10.023866348448687</v>
      </c>
      <c r="AG40" s="210">
        <v>0</v>
      </c>
      <c r="AH40" s="67">
        <v>0</v>
      </c>
      <c r="AI40" s="66">
        <v>0</v>
      </c>
      <c r="AJ40" s="66">
        <v>0</v>
      </c>
      <c r="AK40" s="66">
        <v>0</v>
      </c>
      <c r="AL40" s="66">
        <v>0</v>
      </c>
      <c r="AM40" s="66">
        <v>0</v>
      </c>
      <c r="AN40" s="66">
        <v>0</v>
      </c>
      <c r="AO40" s="66">
        <v>0</v>
      </c>
      <c r="AP40" s="66">
        <v>0</v>
      </c>
      <c r="AQ40" s="66">
        <v>0</v>
      </c>
      <c r="AR40" s="66">
        <v>0</v>
      </c>
      <c r="AS40" s="66">
        <v>0</v>
      </c>
      <c r="AT40" s="67" t="s">
        <v>1094</v>
      </c>
      <c r="AU40" s="67" t="s">
        <v>1094</v>
      </c>
      <c r="AV40" s="67">
        <v>0</v>
      </c>
      <c r="AW40" s="210">
        <v>0</v>
      </c>
      <c r="AX40" s="67">
        <v>0</v>
      </c>
    </row>
    <row r="41" spans="1:50" ht="15.75" x14ac:dyDescent="0.25">
      <c r="A41" s="11" t="s">
        <v>87</v>
      </c>
      <c r="B41" s="189" t="s">
        <v>88</v>
      </c>
      <c r="C41" s="66">
        <v>8.3521999999999998</v>
      </c>
      <c r="D41" s="66">
        <v>0</v>
      </c>
      <c r="E41" s="66">
        <v>27.14687</v>
      </c>
      <c r="F41" s="66">
        <v>8.3521999999999998</v>
      </c>
      <c r="G41" s="66">
        <v>18.79467</v>
      </c>
      <c r="H41" s="66">
        <v>6.4696424100000005</v>
      </c>
      <c r="I41" s="66">
        <v>0</v>
      </c>
      <c r="J41" s="66">
        <v>21.02805712</v>
      </c>
      <c r="K41" s="66">
        <v>6.4696424100000005</v>
      </c>
      <c r="L41" s="66">
        <v>0</v>
      </c>
      <c r="M41" s="66">
        <v>14.558414710000001</v>
      </c>
      <c r="N41" s="67">
        <v>77.460338713153433</v>
      </c>
      <c r="O41" s="67">
        <v>77.460336946591781</v>
      </c>
      <c r="P41" s="67">
        <v>69.233284972168647</v>
      </c>
      <c r="Q41" s="66">
        <v>0</v>
      </c>
      <c r="R41" s="67">
        <v>0</v>
      </c>
      <c r="S41" s="66">
        <v>8.3521999999999998</v>
      </c>
      <c r="T41" s="66">
        <v>0</v>
      </c>
      <c r="U41" s="66">
        <v>27.14687</v>
      </c>
      <c r="V41" s="66">
        <v>8.3521999999999998</v>
      </c>
      <c r="W41" s="66">
        <v>18.79467</v>
      </c>
      <c r="X41" s="66">
        <v>6.4696424100000005</v>
      </c>
      <c r="Y41" s="66">
        <v>0</v>
      </c>
      <c r="Z41" s="66">
        <v>21.02805712</v>
      </c>
      <c r="AA41" s="66">
        <v>6.4696424100000005</v>
      </c>
      <c r="AB41" s="66">
        <v>0</v>
      </c>
      <c r="AC41" s="66">
        <v>14.558414710000001</v>
      </c>
      <c r="AD41" s="67">
        <v>77.460338713153433</v>
      </c>
      <c r="AE41" s="67">
        <v>77.460336946591781</v>
      </c>
      <c r="AF41" s="67">
        <v>69.233284972168647</v>
      </c>
      <c r="AG41" s="210">
        <v>0</v>
      </c>
      <c r="AH41" s="67">
        <v>0</v>
      </c>
      <c r="AI41" s="66">
        <v>0</v>
      </c>
      <c r="AJ41" s="66">
        <v>0</v>
      </c>
      <c r="AK41" s="66">
        <v>0</v>
      </c>
      <c r="AL41" s="66">
        <v>0</v>
      </c>
      <c r="AM41" s="66">
        <v>0</v>
      </c>
      <c r="AN41" s="66">
        <v>0</v>
      </c>
      <c r="AO41" s="66">
        <v>0</v>
      </c>
      <c r="AP41" s="66">
        <v>0</v>
      </c>
      <c r="AQ41" s="66">
        <v>0</v>
      </c>
      <c r="AR41" s="66">
        <v>0</v>
      </c>
      <c r="AS41" s="66">
        <v>0</v>
      </c>
      <c r="AT41" s="67" t="s">
        <v>1094</v>
      </c>
      <c r="AU41" s="67" t="s">
        <v>1094</v>
      </c>
      <c r="AV41" s="67">
        <v>0</v>
      </c>
      <c r="AW41" s="210">
        <v>0</v>
      </c>
      <c r="AX41" s="67">
        <v>0</v>
      </c>
    </row>
    <row r="42" spans="1:50" ht="15.75" x14ac:dyDescent="0.25">
      <c r="A42" s="11" t="s">
        <v>90</v>
      </c>
      <c r="B42" s="189" t="s">
        <v>91</v>
      </c>
      <c r="C42" s="66">
        <v>24.525500000000001</v>
      </c>
      <c r="D42" s="66">
        <v>0</v>
      </c>
      <c r="E42" s="66">
        <v>42.390500000000003</v>
      </c>
      <c r="F42" s="66">
        <v>24.525500000000001</v>
      </c>
      <c r="G42" s="66">
        <v>17.864999999999998</v>
      </c>
      <c r="H42" s="66">
        <v>24.525500000000001</v>
      </c>
      <c r="I42" s="66">
        <v>0</v>
      </c>
      <c r="J42" s="66">
        <v>42.390500000000003</v>
      </c>
      <c r="K42" s="66">
        <v>24.525500000000001</v>
      </c>
      <c r="L42" s="66">
        <v>0</v>
      </c>
      <c r="M42" s="66">
        <v>17.864999999999998</v>
      </c>
      <c r="N42" s="67">
        <v>100</v>
      </c>
      <c r="O42" s="67">
        <v>100</v>
      </c>
      <c r="P42" s="67">
        <v>42.143876576119645</v>
      </c>
      <c r="Q42" s="66">
        <v>0</v>
      </c>
      <c r="R42" s="67">
        <v>0</v>
      </c>
      <c r="S42" s="66">
        <v>24.525500000000001</v>
      </c>
      <c r="T42" s="66">
        <v>0</v>
      </c>
      <c r="U42" s="66">
        <v>42.390500000000003</v>
      </c>
      <c r="V42" s="66">
        <v>24.525500000000001</v>
      </c>
      <c r="W42" s="66">
        <v>17.864999999999998</v>
      </c>
      <c r="X42" s="66">
        <v>24.525500000000001</v>
      </c>
      <c r="Y42" s="66">
        <v>0</v>
      </c>
      <c r="Z42" s="66">
        <v>42.390500000000003</v>
      </c>
      <c r="AA42" s="66">
        <v>24.525500000000001</v>
      </c>
      <c r="AB42" s="66">
        <v>0</v>
      </c>
      <c r="AC42" s="66">
        <v>17.864999999999998</v>
      </c>
      <c r="AD42" s="67">
        <v>100</v>
      </c>
      <c r="AE42" s="67">
        <v>100</v>
      </c>
      <c r="AF42" s="67">
        <v>42.143876576119645</v>
      </c>
      <c r="AG42" s="210">
        <v>0</v>
      </c>
      <c r="AH42" s="67">
        <v>0</v>
      </c>
      <c r="AI42" s="66">
        <v>0</v>
      </c>
      <c r="AJ42" s="66">
        <v>0</v>
      </c>
      <c r="AK42" s="66">
        <v>0</v>
      </c>
      <c r="AL42" s="66">
        <v>0</v>
      </c>
      <c r="AM42" s="66">
        <v>0</v>
      </c>
      <c r="AN42" s="66">
        <v>0</v>
      </c>
      <c r="AO42" s="66">
        <v>0</v>
      </c>
      <c r="AP42" s="66">
        <v>0</v>
      </c>
      <c r="AQ42" s="66">
        <v>0</v>
      </c>
      <c r="AR42" s="66">
        <v>0</v>
      </c>
      <c r="AS42" s="66">
        <v>0</v>
      </c>
      <c r="AT42" s="67" t="s">
        <v>1094</v>
      </c>
      <c r="AU42" s="67" t="s">
        <v>1094</v>
      </c>
      <c r="AV42" s="67">
        <v>0</v>
      </c>
      <c r="AW42" s="210">
        <v>0</v>
      </c>
      <c r="AX42" s="67">
        <v>0</v>
      </c>
    </row>
    <row r="43" spans="1:50" ht="15.75" x14ac:dyDescent="0.25">
      <c r="A43" s="68">
        <v>32</v>
      </c>
      <c r="B43" s="189" t="s">
        <v>93</v>
      </c>
      <c r="C43" s="66">
        <v>134.27119999999999</v>
      </c>
      <c r="D43" s="66">
        <v>0</v>
      </c>
      <c r="E43" s="66">
        <v>141.3382</v>
      </c>
      <c r="F43" s="66">
        <v>134.27119999999999</v>
      </c>
      <c r="G43" s="66">
        <v>7.0670000000000002</v>
      </c>
      <c r="H43" s="66">
        <v>134.27119999999999</v>
      </c>
      <c r="I43" s="66">
        <v>0</v>
      </c>
      <c r="J43" s="66">
        <v>141.3382</v>
      </c>
      <c r="K43" s="66">
        <v>134.27119999999999</v>
      </c>
      <c r="L43" s="66">
        <v>0</v>
      </c>
      <c r="M43" s="66">
        <v>7.0670000000000002</v>
      </c>
      <c r="N43" s="67">
        <v>100</v>
      </c>
      <c r="O43" s="67">
        <v>100</v>
      </c>
      <c r="P43" s="67">
        <v>5.0000636770526299</v>
      </c>
      <c r="Q43" s="66">
        <v>0</v>
      </c>
      <c r="R43" s="67">
        <v>0</v>
      </c>
      <c r="S43" s="66">
        <v>134.27119999999999</v>
      </c>
      <c r="T43" s="66">
        <v>0</v>
      </c>
      <c r="U43" s="66">
        <v>141.3382</v>
      </c>
      <c r="V43" s="66">
        <v>134.27119999999999</v>
      </c>
      <c r="W43" s="66">
        <v>7.0670000000000002</v>
      </c>
      <c r="X43" s="66">
        <v>134.27119999999999</v>
      </c>
      <c r="Y43" s="66">
        <v>0</v>
      </c>
      <c r="Z43" s="66">
        <v>141.3382</v>
      </c>
      <c r="AA43" s="66">
        <v>134.27119999999999</v>
      </c>
      <c r="AB43" s="66">
        <v>0</v>
      </c>
      <c r="AC43" s="66">
        <v>7.0670000000000002</v>
      </c>
      <c r="AD43" s="67">
        <v>100</v>
      </c>
      <c r="AE43" s="67">
        <v>100</v>
      </c>
      <c r="AF43" s="67">
        <v>5.0000636770526299</v>
      </c>
      <c r="AG43" s="210">
        <v>0</v>
      </c>
      <c r="AH43" s="67">
        <v>0</v>
      </c>
      <c r="AI43" s="66">
        <v>0</v>
      </c>
      <c r="AJ43" s="66">
        <v>0</v>
      </c>
      <c r="AK43" s="66">
        <v>0</v>
      </c>
      <c r="AL43" s="66">
        <v>0</v>
      </c>
      <c r="AM43" s="66">
        <v>0</v>
      </c>
      <c r="AN43" s="66">
        <v>0</v>
      </c>
      <c r="AO43" s="66">
        <v>0</v>
      </c>
      <c r="AP43" s="66">
        <v>0</v>
      </c>
      <c r="AQ43" s="66">
        <v>0</v>
      </c>
      <c r="AR43" s="66">
        <v>0</v>
      </c>
      <c r="AS43" s="66">
        <v>0</v>
      </c>
      <c r="AT43" s="67" t="s">
        <v>1094</v>
      </c>
      <c r="AU43" s="67" t="s">
        <v>1094</v>
      </c>
      <c r="AV43" s="67">
        <v>0</v>
      </c>
      <c r="AW43" s="210">
        <v>0</v>
      </c>
      <c r="AX43" s="67">
        <v>0</v>
      </c>
    </row>
    <row r="44" spans="1:50" ht="15.75" x14ac:dyDescent="0.25">
      <c r="A44" s="70">
        <v>33</v>
      </c>
      <c r="B44" s="191" t="s">
        <v>95</v>
      </c>
      <c r="C44" s="61">
        <v>636.20080000000007</v>
      </c>
      <c r="D44" s="61">
        <v>0</v>
      </c>
      <c r="E44" s="61">
        <v>683.14165842000011</v>
      </c>
      <c r="F44" s="61">
        <v>636.20080000000007</v>
      </c>
      <c r="G44" s="61">
        <v>46.940858419999998</v>
      </c>
      <c r="H44" s="61">
        <v>636.20080000000007</v>
      </c>
      <c r="I44" s="61">
        <v>0</v>
      </c>
      <c r="J44" s="61">
        <v>683.14165773000002</v>
      </c>
      <c r="K44" s="61">
        <v>636.20080000000007</v>
      </c>
      <c r="L44" s="61">
        <v>0</v>
      </c>
      <c r="M44" s="61">
        <v>46.940857729999998</v>
      </c>
      <c r="N44" s="61">
        <v>100</v>
      </c>
      <c r="O44" s="61">
        <v>99.999998530065227</v>
      </c>
      <c r="P44" s="61">
        <v>6.8713212258170566</v>
      </c>
      <c r="Q44" s="61">
        <v>0</v>
      </c>
      <c r="R44" s="61">
        <v>0</v>
      </c>
      <c r="S44" s="61">
        <v>516.20080000000007</v>
      </c>
      <c r="T44" s="61">
        <v>0</v>
      </c>
      <c r="U44" s="61">
        <v>556.82586842000001</v>
      </c>
      <c r="V44" s="61">
        <v>516.20080000000007</v>
      </c>
      <c r="W44" s="61">
        <v>40.625068419999998</v>
      </c>
      <c r="X44" s="61">
        <v>516.20080000000007</v>
      </c>
      <c r="Y44" s="61">
        <v>0</v>
      </c>
      <c r="Z44" s="61">
        <v>556.82586825999999</v>
      </c>
      <c r="AA44" s="61">
        <v>516.20080000000007</v>
      </c>
      <c r="AB44" s="61">
        <v>0</v>
      </c>
      <c r="AC44" s="61">
        <v>40.625068259999999</v>
      </c>
      <c r="AD44" s="61">
        <v>100</v>
      </c>
      <c r="AE44" s="61">
        <v>99.999999606154518</v>
      </c>
      <c r="AF44" s="61">
        <v>7.295829913029622</v>
      </c>
      <c r="AG44" s="61">
        <v>0</v>
      </c>
      <c r="AH44" s="61">
        <v>0</v>
      </c>
      <c r="AI44" s="61">
        <v>120</v>
      </c>
      <c r="AJ44" s="61">
        <v>0</v>
      </c>
      <c r="AK44" s="61">
        <v>126.31579000000001</v>
      </c>
      <c r="AL44" s="61">
        <v>120</v>
      </c>
      <c r="AM44" s="61">
        <v>6.3157899999999998</v>
      </c>
      <c r="AN44" s="61">
        <v>120</v>
      </c>
      <c r="AO44" s="61">
        <v>0</v>
      </c>
      <c r="AP44" s="61">
        <v>126.31578947</v>
      </c>
      <c r="AQ44" s="61">
        <v>120</v>
      </c>
      <c r="AR44" s="61">
        <v>0</v>
      </c>
      <c r="AS44" s="61">
        <v>6.3157894699999995</v>
      </c>
      <c r="AT44" s="61">
        <v>100</v>
      </c>
      <c r="AU44" s="61">
        <v>99.999991608334028</v>
      </c>
      <c r="AV44" s="61">
        <v>4.9999999972291658</v>
      </c>
      <c r="AW44" s="61">
        <v>0</v>
      </c>
      <c r="AX44" s="61">
        <v>0</v>
      </c>
    </row>
    <row r="45" spans="1:50" ht="15.75" x14ac:dyDescent="0.25">
      <c r="A45" s="72">
        <v>34</v>
      </c>
      <c r="B45" s="192" t="s">
        <v>97</v>
      </c>
      <c r="C45" s="66">
        <v>7.9413999999999998</v>
      </c>
      <c r="D45" s="66">
        <v>0</v>
      </c>
      <c r="E45" s="66">
        <v>8.3593684199999991</v>
      </c>
      <c r="F45" s="66">
        <v>7.9413999999999998</v>
      </c>
      <c r="G45" s="66">
        <v>0.41796842000000001</v>
      </c>
      <c r="H45" s="66">
        <v>7.9413999999999998</v>
      </c>
      <c r="I45" s="66">
        <v>0</v>
      </c>
      <c r="J45" s="66">
        <v>8.3593684199999991</v>
      </c>
      <c r="K45" s="66">
        <v>7.9413999999999998</v>
      </c>
      <c r="L45" s="66">
        <v>0</v>
      </c>
      <c r="M45" s="66">
        <v>0.41796842000000001</v>
      </c>
      <c r="N45" s="67">
        <v>100</v>
      </c>
      <c r="O45" s="67">
        <v>100</v>
      </c>
      <c r="P45" s="67">
        <v>4.9999999880373744</v>
      </c>
      <c r="Q45" s="66">
        <v>0</v>
      </c>
      <c r="R45" s="67">
        <v>0</v>
      </c>
      <c r="S45" s="66">
        <v>7.9413999999999998</v>
      </c>
      <c r="T45" s="66">
        <v>0</v>
      </c>
      <c r="U45" s="66">
        <v>8.3593684199999991</v>
      </c>
      <c r="V45" s="66">
        <v>7.9413999999999998</v>
      </c>
      <c r="W45" s="66">
        <v>0.41796842000000001</v>
      </c>
      <c r="X45" s="66">
        <v>7.9413999999999998</v>
      </c>
      <c r="Y45" s="66">
        <v>0</v>
      </c>
      <c r="Z45" s="66">
        <v>8.3593684199999991</v>
      </c>
      <c r="AA45" s="66">
        <v>7.9413999999999998</v>
      </c>
      <c r="AB45" s="66">
        <v>0</v>
      </c>
      <c r="AC45" s="66">
        <v>0.41796842000000001</v>
      </c>
      <c r="AD45" s="67">
        <v>100</v>
      </c>
      <c r="AE45" s="67">
        <v>100</v>
      </c>
      <c r="AF45" s="67">
        <v>4.9999999880373744</v>
      </c>
      <c r="AG45" s="210">
        <v>0</v>
      </c>
      <c r="AH45" s="67">
        <v>0</v>
      </c>
      <c r="AI45" s="66">
        <v>0</v>
      </c>
      <c r="AJ45" s="66">
        <v>0</v>
      </c>
      <c r="AK45" s="66">
        <v>0</v>
      </c>
      <c r="AL45" s="66">
        <v>0</v>
      </c>
      <c r="AM45" s="66">
        <v>0</v>
      </c>
      <c r="AN45" s="66">
        <v>0</v>
      </c>
      <c r="AO45" s="66">
        <v>0</v>
      </c>
      <c r="AP45" s="66">
        <v>0</v>
      </c>
      <c r="AQ45" s="66">
        <v>0</v>
      </c>
      <c r="AR45" s="66">
        <v>0</v>
      </c>
      <c r="AS45" s="66">
        <v>0</v>
      </c>
      <c r="AT45" s="67" t="s">
        <v>1094</v>
      </c>
      <c r="AU45" s="67" t="s">
        <v>1094</v>
      </c>
      <c r="AV45" s="67">
        <v>0</v>
      </c>
      <c r="AW45" s="210">
        <v>0</v>
      </c>
      <c r="AX45" s="67">
        <v>0</v>
      </c>
    </row>
    <row r="46" spans="1:50" ht="15.75" x14ac:dyDescent="0.25">
      <c r="A46" s="72">
        <v>35</v>
      </c>
      <c r="B46" s="192" t="s">
        <v>99</v>
      </c>
      <c r="C46" s="66">
        <v>0</v>
      </c>
      <c r="D46" s="66">
        <v>0</v>
      </c>
      <c r="E46" s="66">
        <v>0</v>
      </c>
      <c r="F46" s="66">
        <v>0</v>
      </c>
      <c r="G46" s="66">
        <v>0</v>
      </c>
      <c r="H46" s="66">
        <v>0</v>
      </c>
      <c r="I46" s="66">
        <v>0</v>
      </c>
      <c r="J46" s="66">
        <v>0</v>
      </c>
      <c r="K46" s="66">
        <v>0</v>
      </c>
      <c r="L46" s="66">
        <v>0</v>
      </c>
      <c r="M46" s="66">
        <v>0</v>
      </c>
      <c r="N46" s="67" t="s">
        <v>1094</v>
      </c>
      <c r="O46" s="67" t="s">
        <v>1094</v>
      </c>
      <c r="P46" s="67">
        <v>0</v>
      </c>
      <c r="Q46" s="66">
        <v>0</v>
      </c>
      <c r="R46" s="67">
        <v>0</v>
      </c>
      <c r="S46" s="66">
        <v>0</v>
      </c>
      <c r="T46" s="66">
        <v>0</v>
      </c>
      <c r="U46" s="66">
        <v>0</v>
      </c>
      <c r="V46" s="66">
        <v>0</v>
      </c>
      <c r="W46" s="66">
        <v>0</v>
      </c>
      <c r="X46" s="66">
        <v>0</v>
      </c>
      <c r="Y46" s="66">
        <v>0</v>
      </c>
      <c r="Z46" s="66">
        <v>0</v>
      </c>
      <c r="AA46" s="66">
        <v>0</v>
      </c>
      <c r="AB46" s="66">
        <v>0</v>
      </c>
      <c r="AC46" s="66">
        <v>0</v>
      </c>
      <c r="AD46" s="67" t="s">
        <v>1094</v>
      </c>
      <c r="AE46" s="67" t="s">
        <v>1094</v>
      </c>
      <c r="AF46" s="67">
        <v>0</v>
      </c>
      <c r="AG46" s="210">
        <v>0</v>
      </c>
      <c r="AH46" s="67">
        <v>0</v>
      </c>
      <c r="AI46" s="66">
        <v>0</v>
      </c>
      <c r="AJ46" s="66">
        <v>0</v>
      </c>
      <c r="AK46" s="66">
        <v>0</v>
      </c>
      <c r="AL46" s="66">
        <v>0</v>
      </c>
      <c r="AM46" s="66">
        <v>0</v>
      </c>
      <c r="AN46" s="66">
        <v>0</v>
      </c>
      <c r="AO46" s="66">
        <v>0</v>
      </c>
      <c r="AP46" s="66">
        <v>0</v>
      </c>
      <c r="AQ46" s="66">
        <v>0</v>
      </c>
      <c r="AR46" s="66">
        <v>0</v>
      </c>
      <c r="AS46" s="66">
        <v>0</v>
      </c>
      <c r="AT46" s="67" t="s">
        <v>1094</v>
      </c>
      <c r="AU46" s="67" t="s">
        <v>1094</v>
      </c>
      <c r="AV46" s="67">
        <v>0</v>
      </c>
      <c r="AW46" s="210">
        <v>0</v>
      </c>
      <c r="AX46" s="67">
        <v>0</v>
      </c>
    </row>
    <row r="47" spans="1:50" s="126" customFormat="1" ht="15.75" x14ac:dyDescent="0.25">
      <c r="A47" s="136">
        <v>36</v>
      </c>
      <c r="B47" s="189" t="s">
        <v>318</v>
      </c>
      <c r="C47" s="66">
        <v>134.2028</v>
      </c>
      <c r="D47" s="66">
        <v>0</v>
      </c>
      <c r="E47" s="66">
        <v>154.72139000000001</v>
      </c>
      <c r="F47" s="66">
        <v>134.2028</v>
      </c>
      <c r="G47" s="66">
        <v>20.51859</v>
      </c>
      <c r="H47" s="66">
        <v>134.2028</v>
      </c>
      <c r="I47" s="66">
        <v>0</v>
      </c>
      <c r="J47" s="66">
        <v>154.72138946999999</v>
      </c>
      <c r="K47" s="66">
        <v>134.2028</v>
      </c>
      <c r="L47" s="66">
        <v>0</v>
      </c>
      <c r="M47" s="66">
        <v>20.518589469999998</v>
      </c>
      <c r="N47" s="67">
        <v>100</v>
      </c>
      <c r="O47" s="67">
        <v>99.999997416976498</v>
      </c>
      <c r="P47" s="67">
        <v>13.26163728252873</v>
      </c>
      <c r="Q47" s="66">
        <v>0</v>
      </c>
      <c r="R47" s="67">
        <v>0</v>
      </c>
      <c r="S47" s="66">
        <v>14.2028</v>
      </c>
      <c r="T47" s="66">
        <v>0</v>
      </c>
      <c r="U47" s="66">
        <v>28.4056</v>
      </c>
      <c r="V47" s="66">
        <v>14.2028</v>
      </c>
      <c r="W47" s="66">
        <v>14.2028</v>
      </c>
      <c r="X47" s="66">
        <v>14.2028</v>
      </c>
      <c r="Y47" s="66">
        <v>0</v>
      </c>
      <c r="Z47" s="66">
        <v>28.4056</v>
      </c>
      <c r="AA47" s="66">
        <v>14.2028</v>
      </c>
      <c r="AB47" s="66">
        <v>0</v>
      </c>
      <c r="AC47" s="66">
        <v>14.2028</v>
      </c>
      <c r="AD47" s="67">
        <v>100</v>
      </c>
      <c r="AE47" s="67">
        <v>100</v>
      </c>
      <c r="AF47" s="67">
        <v>50</v>
      </c>
      <c r="AG47" s="210">
        <v>0</v>
      </c>
      <c r="AH47" s="67">
        <v>0</v>
      </c>
      <c r="AI47" s="66">
        <v>120</v>
      </c>
      <c r="AJ47" s="66">
        <v>0</v>
      </c>
      <c r="AK47" s="66">
        <v>126.31579000000001</v>
      </c>
      <c r="AL47" s="66">
        <v>120</v>
      </c>
      <c r="AM47" s="66">
        <v>6.3157899999999998</v>
      </c>
      <c r="AN47" s="66">
        <v>120</v>
      </c>
      <c r="AO47" s="66">
        <v>0</v>
      </c>
      <c r="AP47" s="66">
        <v>126.31578947</v>
      </c>
      <c r="AQ47" s="66">
        <v>120</v>
      </c>
      <c r="AR47" s="66">
        <v>0</v>
      </c>
      <c r="AS47" s="66">
        <v>6.3157894699999995</v>
      </c>
      <c r="AT47" s="67">
        <v>100</v>
      </c>
      <c r="AU47" s="67">
        <v>99.999991608334028</v>
      </c>
      <c r="AV47" s="67">
        <v>4.9999999972291658</v>
      </c>
      <c r="AW47" s="210">
        <v>0</v>
      </c>
      <c r="AX47" s="67">
        <v>0</v>
      </c>
    </row>
    <row r="48" spans="1:50" ht="15.75" x14ac:dyDescent="0.25">
      <c r="A48" s="72">
        <v>37</v>
      </c>
      <c r="B48" s="192" t="s">
        <v>101</v>
      </c>
      <c r="C48" s="66">
        <v>446.60700000000003</v>
      </c>
      <c r="D48" s="66">
        <v>0</v>
      </c>
      <c r="E48" s="66">
        <v>470.11270000000002</v>
      </c>
      <c r="F48" s="66">
        <v>446.60700000000003</v>
      </c>
      <c r="G48" s="66">
        <v>23.505700000000001</v>
      </c>
      <c r="H48" s="66">
        <v>446.60700000000003</v>
      </c>
      <c r="I48" s="66">
        <v>0</v>
      </c>
      <c r="J48" s="66">
        <v>470.11270000000002</v>
      </c>
      <c r="K48" s="66">
        <v>446.60700000000003</v>
      </c>
      <c r="L48" s="66">
        <v>0</v>
      </c>
      <c r="M48" s="66">
        <v>23.505700000000001</v>
      </c>
      <c r="N48" s="67">
        <v>100</v>
      </c>
      <c r="O48" s="67">
        <v>100</v>
      </c>
      <c r="P48" s="67">
        <v>5.0000138264718226</v>
      </c>
      <c r="Q48" s="66">
        <v>0</v>
      </c>
      <c r="R48" s="67">
        <v>0</v>
      </c>
      <c r="S48" s="66">
        <v>446.60700000000003</v>
      </c>
      <c r="T48" s="66">
        <v>0</v>
      </c>
      <c r="U48" s="66">
        <v>470.11270000000002</v>
      </c>
      <c r="V48" s="66">
        <v>446.60700000000003</v>
      </c>
      <c r="W48" s="66">
        <v>23.505700000000001</v>
      </c>
      <c r="X48" s="66">
        <v>446.60700000000003</v>
      </c>
      <c r="Y48" s="66">
        <v>0</v>
      </c>
      <c r="Z48" s="66">
        <v>470.11270000000002</v>
      </c>
      <c r="AA48" s="66">
        <v>446.60700000000003</v>
      </c>
      <c r="AB48" s="66">
        <v>0</v>
      </c>
      <c r="AC48" s="66">
        <v>23.505700000000001</v>
      </c>
      <c r="AD48" s="67">
        <v>100</v>
      </c>
      <c r="AE48" s="67">
        <v>100</v>
      </c>
      <c r="AF48" s="67">
        <v>5.0000138264718226</v>
      </c>
      <c r="AG48" s="210">
        <v>0</v>
      </c>
      <c r="AH48" s="67">
        <v>0</v>
      </c>
      <c r="AI48" s="66">
        <v>0</v>
      </c>
      <c r="AJ48" s="66">
        <v>0</v>
      </c>
      <c r="AK48" s="66">
        <v>0</v>
      </c>
      <c r="AL48" s="66">
        <v>0</v>
      </c>
      <c r="AM48" s="66">
        <v>0</v>
      </c>
      <c r="AN48" s="66">
        <v>0</v>
      </c>
      <c r="AO48" s="66">
        <v>0</v>
      </c>
      <c r="AP48" s="66">
        <v>0</v>
      </c>
      <c r="AQ48" s="66">
        <v>0</v>
      </c>
      <c r="AR48" s="66">
        <v>0</v>
      </c>
      <c r="AS48" s="66">
        <v>0</v>
      </c>
      <c r="AT48" s="67" t="s">
        <v>1094</v>
      </c>
      <c r="AU48" s="67" t="s">
        <v>1094</v>
      </c>
      <c r="AV48" s="67">
        <v>0</v>
      </c>
      <c r="AW48" s="210">
        <v>0</v>
      </c>
      <c r="AX48" s="67">
        <v>0</v>
      </c>
    </row>
    <row r="49" spans="1:50" ht="15.75" x14ac:dyDescent="0.25">
      <c r="A49" s="72">
        <v>38</v>
      </c>
      <c r="B49" s="192" t="s">
        <v>103</v>
      </c>
      <c r="C49" s="66">
        <v>1.7911999999999999</v>
      </c>
      <c r="D49" s="66">
        <v>0</v>
      </c>
      <c r="E49" s="66">
        <v>1.8862000000000001</v>
      </c>
      <c r="F49" s="66">
        <v>1.7911999999999999</v>
      </c>
      <c r="G49" s="66">
        <v>9.5000000000000001E-2</v>
      </c>
      <c r="H49" s="66">
        <v>1.7911999999999999</v>
      </c>
      <c r="I49" s="66">
        <v>0</v>
      </c>
      <c r="J49" s="66">
        <v>1.8862000000000001</v>
      </c>
      <c r="K49" s="66">
        <v>1.7911999999999999</v>
      </c>
      <c r="L49" s="66">
        <v>0</v>
      </c>
      <c r="M49" s="66">
        <v>9.5000000000000001E-2</v>
      </c>
      <c r="N49" s="67">
        <v>100</v>
      </c>
      <c r="O49" s="67">
        <v>100</v>
      </c>
      <c r="P49" s="67">
        <v>5.0365814865867877</v>
      </c>
      <c r="Q49" s="66">
        <v>0</v>
      </c>
      <c r="R49" s="67">
        <v>0</v>
      </c>
      <c r="S49" s="66">
        <v>1.7911999999999999</v>
      </c>
      <c r="T49" s="66">
        <v>0</v>
      </c>
      <c r="U49" s="66">
        <v>1.8862000000000001</v>
      </c>
      <c r="V49" s="66">
        <v>1.7911999999999999</v>
      </c>
      <c r="W49" s="66">
        <v>9.5000000000000001E-2</v>
      </c>
      <c r="X49" s="66">
        <v>1.7911999999999999</v>
      </c>
      <c r="Y49" s="66">
        <v>0</v>
      </c>
      <c r="Z49" s="66">
        <v>1.8862000000000001</v>
      </c>
      <c r="AA49" s="66">
        <v>1.7911999999999999</v>
      </c>
      <c r="AB49" s="66">
        <v>0</v>
      </c>
      <c r="AC49" s="66">
        <v>9.5000000000000001E-2</v>
      </c>
      <c r="AD49" s="67">
        <v>100</v>
      </c>
      <c r="AE49" s="67">
        <v>100</v>
      </c>
      <c r="AF49" s="67">
        <v>5.0365814865867877</v>
      </c>
      <c r="AG49" s="210">
        <v>0</v>
      </c>
      <c r="AH49" s="67">
        <v>0</v>
      </c>
      <c r="AI49" s="66">
        <v>0</v>
      </c>
      <c r="AJ49" s="66">
        <v>0</v>
      </c>
      <c r="AK49" s="66">
        <v>0</v>
      </c>
      <c r="AL49" s="66">
        <v>0</v>
      </c>
      <c r="AM49" s="66">
        <v>0</v>
      </c>
      <c r="AN49" s="66">
        <v>0</v>
      </c>
      <c r="AO49" s="66">
        <v>0</v>
      </c>
      <c r="AP49" s="66">
        <v>0</v>
      </c>
      <c r="AQ49" s="66">
        <v>0</v>
      </c>
      <c r="AR49" s="66">
        <v>0</v>
      </c>
      <c r="AS49" s="66">
        <v>0</v>
      </c>
      <c r="AT49" s="67" t="s">
        <v>1094</v>
      </c>
      <c r="AU49" s="67" t="s">
        <v>1094</v>
      </c>
      <c r="AV49" s="67">
        <v>0</v>
      </c>
      <c r="AW49" s="210">
        <v>0</v>
      </c>
      <c r="AX49" s="67">
        <v>0</v>
      </c>
    </row>
    <row r="50" spans="1:50" ht="15.75" x14ac:dyDescent="0.25">
      <c r="A50" s="72">
        <v>39</v>
      </c>
      <c r="B50" s="192" t="s">
        <v>105</v>
      </c>
      <c r="C50" s="66">
        <v>16.179300000000001</v>
      </c>
      <c r="D50" s="66">
        <v>0</v>
      </c>
      <c r="E50" s="66">
        <v>17.031300000000002</v>
      </c>
      <c r="F50" s="66">
        <v>16.179300000000001</v>
      </c>
      <c r="G50" s="66">
        <v>0.85199999999999998</v>
      </c>
      <c r="H50" s="66">
        <v>16.179300000000001</v>
      </c>
      <c r="I50" s="66">
        <v>0</v>
      </c>
      <c r="J50" s="66">
        <v>17.031300000000002</v>
      </c>
      <c r="K50" s="66">
        <v>16.179300000000001</v>
      </c>
      <c r="L50" s="66">
        <v>0</v>
      </c>
      <c r="M50" s="66">
        <v>0.85199999999999998</v>
      </c>
      <c r="N50" s="67">
        <v>100</v>
      </c>
      <c r="O50" s="67">
        <v>100</v>
      </c>
      <c r="P50" s="67">
        <v>5.0025541209420297</v>
      </c>
      <c r="Q50" s="66">
        <v>0</v>
      </c>
      <c r="R50" s="67">
        <v>0</v>
      </c>
      <c r="S50" s="66">
        <v>16.179300000000001</v>
      </c>
      <c r="T50" s="66">
        <v>0</v>
      </c>
      <c r="U50" s="66">
        <v>17.031300000000002</v>
      </c>
      <c r="V50" s="66">
        <v>16.179300000000001</v>
      </c>
      <c r="W50" s="66">
        <v>0.85199999999999998</v>
      </c>
      <c r="X50" s="66">
        <v>16.179300000000001</v>
      </c>
      <c r="Y50" s="66">
        <v>0</v>
      </c>
      <c r="Z50" s="66">
        <v>17.031300000000002</v>
      </c>
      <c r="AA50" s="66">
        <v>16.179300000000001</v>
      </c>
      <c r="AB50" s="66">
        <v>0</v>
      </c>
      <c r="AC50" s="66">
        <v>0.85199999999999998</v>
      </c>
      <c r="AD50" s="67">
        <v>100</v>
      </c>
      <c r="AE50" s="67">
        <v>100</v>
      </c>
      <c r="AF50" s="67">
        <v>5.0025541209420297</v>
      </c>
      <c r="AG50" s="210">
        <v>0</v>
      </c>
      <c r="AH50" s="67">
        <v>0</v>
      </c>
      <c r="AI50" s="66">
        <v>0</v>
      </c>
      <c r="AJ50" s="66">
        <v>0</v>
      </c>
      <c r="AK50" s="66">
        <v>0</v>
      </c>
      <c r="AL50" s="66">
        <v>0</v>
      </c>
      <c r="AM50" s="66">
        <v>0</v>
      </c>
      <c r="AN50" s="66">
        <v>0</v>
      </c>
      <c r="AO50" s="66">
        <v>0</v>
      </c>
      <c r="AP50" s="66">
        <v>0</v>
      </c>
      <c r="AQ50" s="66">
        <v>0</v>
      </c>
      <c r="AR50" s="66">
        <v>0</v>
      </c>
      <c r="AS50" s="66">
        <v>0</v>
      </c>
      <c r="AT50" s="67" t="s">
        <v>1094</v>
      </c>
      <c r="AU50" s="67" t="s">
        <v>1094</v>
      </c>
      <c r="AV50" s="67">
        <v>0</v>
      </c>
      <c r="AW50" s="210">
        <v>0</v>
      </c>
      <c r="AX50" s="67">
        <v>0</v>
      </c>
    </row>
    <row r="51" spans="1:50" s="126" customFormat="1" ht="15.75" x14ac:dyDescent="0.25">
      <c r="A51" s="68">
        <v>40</v>
      </c>
      <c r="B51" s="192" t="s">
        <v>107</v>
      </c>
      <c r="C51" s="66">
        <v>29.479099999999999</v>
      </c>
      <c r="D51" s="66">
        <v>0</v>
      </c>
      <c r="E51" s="66">
        <v>31.0307</v>
      </c>
      <c r="F51" s="66">
        <v>29.479099999999999</v>
      </c>
      <c r="G51" s="66">
        <v>1.5516000000000001</v>
      </c>
      <c r="H51" s="66">
        <v>29.479099999999999</v>
      </c>
      <c r="I51" s="66">
        <v>0</v>
      </c>
      <c r="J51" s="66">
        <v>31.03069984</v>
      </c>
      <c r="K51" s="66">
        <v>29.479099999999999</v>
      </c>
      <c r="L51" s="66">
        <v>0</v>
      </c>
      <c r="M51" s="66">
        <v>1.5515998400000002</v>
      </c>
      <c r="N51" s="67">
        <v>100</v>
      </c>
      <c r="O51" s="67">
        <v>99.999989688063934</v>
      </c>
      <c r="P51" s="67">
        <v>5.0002089801401013</v>
      </c>
      <c r="Q51" s="66">
        <v>0</v>
      </c>
      <c r="R51" s="67">
        <v>0</v>
      </c>
      <c r="S51" s="66">
        <v>29.479099999999999</v>
      </c>
      <c r="T51" s="66">
        <v>0</v>
      </c>
      <c r="U51" s="66">
        <v>31.0307</v>
      </c>
      <c r="V51" s="66">
        <v>29.479099999999999</v>
      </c>
      <c r="W51" s="66">
        <v>1.5516000000000001</v>
      </c>
      <c r="X51" s="66">
        <v>29.479099999999999</v>
      </c>
      <c r="Y51" s="66">
        <v>0</v>
      </c>
      <c r="Z51" s="66">
        <v>31.03069984</v>
      </c>
      <c r="AA51" s="66">
        <v>29.479099999999999</v>
      </c>
      <c r="AB51" s="66">
        <v>0</v>
      </c>
      <c r="AC51" s="66">
        <v>1.5515998400000002</v>
      </c>
      <c r="AD51" s="67">
        <v>100</v>
      </c>
      <c r="AE51" s="67">
        <v>99.999989688063934</v>
      </c>
      <c r="AF51" s="67">
        <v>5.0002089801401013</v>
      </c>
      <c r="AG51" s="210">
        <v>0</v>
      </c>
      <c r="AH51" s="67">
        <v>0</v>
      </c>
      <c r="AI51" s="66">
        <v>0</v>
      </c>
      <c r="AJ51" s="66">
        <v>0</v>
      </c>
      <c r="AK51" s="66">
        <v>0</v>
      </c>
      <c r="AL51" s="66">
        <v>0</v>
      </c>
      <c r="AM51" s="66">
        <v>0</v>
      </c>
      <c r="AN51" s="66">
        <v>0</v>
      </c>
      <c r="AO51" s="66">
        <v>0</v>
      </c>
      <c r="AP51" s="66">
        <v>0</v>
      </c>
      <c r="AQ51" s="66">
        <v>0</v>
      </c>
      <c r="AR51" s="66">
        <v>0</v>
      </c>
      <c r="AS51" s="66">
        <v>0</v>
      </c>
      <c r="AT51" s="67" t="s">
        <v>1094</v>
      </c>
      <c r="AU51" s="67" t="s">
        <v>1094</v>
      </c>
      <c r="AV51" s="67">
        <v>0</v>
      </c>
      <c r="AW51" s="210">
        <v>0</v>
      </c>
      <c r="AX51" s="67">
        <v>0</v>
      </c>
    </row>
    <row r="52" spans="1:50" ht="15.75" x14ac:dyDescent="0.25">
      <c r="A52" s="136">
        <v>41</v>
      </c>
      <c r="B52" s="189" t="s">
        <v>319</v>
      </c>
      <c r="C52" s="66">
        <v>0</v>
      </c>
      <c r="D52" s="66">
        <v>0</v>
      </c>
      <c r="E52" s="66">
        <v>0</v>
      </c>
      <c r="F52" s="66">
        <v>0</v>
      </c>
      <c r="G52" s="66">
        <v>0</v>
      </c>
      <c r="H52" s="66">
        <v>0</v>
      </c>
      <c r="I52" s="66">
        <v>0</v>
      </c>
      <c r="J52" s="66">
        <v>0</v>
      </c>
      <c r="K52" s="66">
        <v>0</v>
      </c>
      <c r="L52" s="66">
        <v>0</v>
      </c>
      <c r="M52" s="66">
        <v>0</v>
      </c>
      <c r="N52" s="67" t="s">
        <v>1094</v>
      </c>
      <c r="O52" s="67" t="s">
        <v>1094</v>
      </c>
      <c r="P52" s="67">
        <v>0</v>
      </c>
      <c r="Q52" s="66">
        <v>0</v>
      </c>
      <c r="R52" s="67">
        <v>0</v>
      </c>
      <c r="S52" s="66">
        <v>0</v>
      </c>
      <c r="T52" s="66">
        <v>0</v>
      </c>
      <c r="U52" s="66">
        <v>0</v>
      </c>
      <c r="V52" s="66">
        <v>0</v>
      </c>
      <c r="W52" s="66">
        <v>0</v>
      </c>
      <c r="X52" s="66">
        <v>0</v>
      </c>
      <c r="Y52" s="66">
        <v>0</v>
      </c>
      <c r="Z52" s="66">
        <v>0</v>
      </c>
      <c r="AA52" s="66">
        <v>0</v>
      </c>
      <c r="AB52" s="66">
        <v>0</v>
      </c>
      <c r="AC52" s="66">
        <v>0</v>
      </c>
      <c r="AD52" s="67" t="s">
        <v>1094</v>
      </c>
      <c r="AE52" s="67" t="s">
        <v>1094</v>
      </c>
      <c r="AF52" s="67">
        <v>0</v>
      </c>
      <c r="AG52" s="210">
        <v>0</v>
      </c>
      <c r="AH52" s="67">
        <v>0</v>
      </c>
      <c r="AI52" s="66">
        <v>0</v>
      </c>
      <c r="AJ52" s="66">
        <v>0</v>
      </c>
      <c r="AK52" s="66">
        <v>0</v>
      </c>
      <c r="AL52" s="66">
        <v>0</v>
      </c>
      <c r="AM52" s="66">
        <v>0</v>
      </c>
      <c r="AN52" s="66">
        <v>0</v>
      </c>
      <c r="AO52" s="66">
        <v>0</v>
      </c>
      <c r="AP52" s="66">
        <v>0</v>
      </c>
      <c r="AQ52" s="66">
        <v>0</v>
      </c>
      <c r="AR52" s="66">
        <v>0</v>
      </c>
      <c r="AS52" s="66">
        <v>0</v>
      </c>
      <c r="AT52" s="67" t="s">
        <v>1094</v>
      </c>
      <c r="AU52" s="67" t="s">
        <v>1094</v>
      </c>
      <c r="AV52" s="67">
        <v>0</v>
      </c>
      <c r="AW52" s="210">
        <v>0</v>
      </c>
      <c r="AX52" s="67">
        <v>0</v>
      </c>
    </row>
    <row r="53" spans="1:50" ht="31.5" x14ac:dyDescent="0.25">
      <c r="A53" s="70">
        <v>42</v>
      </c>
      <c r="B53" s="193" t="s">
        <v>109</v>
      </c>
      <c r="C53" s="61">
        <v>323.08160000000004</v>
      </c>
      <c r="D53" s="61">
        <v>0</v>
      </c>
      <c r="E53" s="61">
        <v>363.63108</v>
      </c>
      <c r="F53" s="61">
        <v>323.08160000000004</v>
      </c>
      <c r="G53" s="61">
        <v>40.549480000000003</v>
      </c>
      <c r="H53" s="61">
        <v>319.52539057000001</v>
      </c>
      <c r="I53" s="61">
        <v>0</v>
      </c>
      <c r="J53" s="61">
        <v>358.61450801000001</v>
      </c>
      <c r="K53" s="61">
        <v>319.50951700000002</v>
      </c>
      <c r="L53" s="61">
        <v>0</v>
      </c>
      <c r="M53" s="61">
        <v>39.104991009999999</v>
      </c>
      <c r="N53" s="61">
        <v>98.894371267196888</v>
      </c>
      <c r="O53" s="61">
        <v>96.437712666105696</v>
      </c>
      <c r="P53" s="61">
        <v>10.904464302629261</v>
      </c>
      <c r="Q53" s="61">
        <v>0</v>
      </c>
      <c r="R53" s="61">
        <v>1.5873569999989456E-2</v>
      </c>
      <c r="S53" s="61">
        <v>323.08160000000004</v>
      </c>
      <c r="T53" s="61">
        <v>0</v>
      </c>
      <c r="U53" s="61">
        <v>363.63108</v>
      </c>
      <c r="V53" s="61">
        <v>323.08160000000004</v>
      </c>
      <c r="W53" s="61">
        <v>40.549480000000003</v>
      </c>
      <c r="X53" s="61">
        <v>319.52539057000001</v>
      </c>
      <c r="Y53" s="61">
        <v>0</v>
      </c>
      <c r="Z53" s="61">
        <v>358.61450801000001</v>
      </c>
      <c r="AA53" s="61">
        <v>319.50951700000002</v>
      </c>
      <c r="AB53" s="61">
        <v>0</v>
      </c>
      <c r="AC53" s="61">
        <v>39.104991009999999</v>
      </c>
      <c r="AD53" s="61">
        <v>98.894371267196888</v>
      </c>
      <c r="AE53" s="61">
        <v>96.437712666105696</v>
      </c>
      <c r="AF53" s="61">
        <v>10.904464302629261</v>
      </c>
      <c r="AG53" s="61">
        <v>0</v>
      </c>
      <c r="AH53" s="61">
        <v>1.5873569999989456E-2</v>
      </c>
      <c r="AI53" s="61">
        <v>0</v>
      </c>
      <c r="AJ53" s="61">
        <v>0</v>
      </c>
      <c r="AK53" s="61">
        <v>0</v>
      </c>
      <c r="AL53" s="61">
        <v>0</v>
      </c>
      <c r="AM53" s="61">
        <v>0</v>
      </c>
      <c r="AN53" s="61">
        <v>0</v>
      </c>
      <c r="AO53" s="61">
        <v>0</v>
      </c>
      <c r="AP53" s="61">
        <v>0</v>
      </c>
      <c r="AQ53" s="61">
        <v>0</v>
      </c>
      <c r="AR53" s="61">
        <v>0</v>
      </c>
      <c r="AS53" s="61">
        <v>0</v>
      </c>
      <c r="AT53" s="61" t="s">
        <v>1094</v>
      </c>
      <c r="AU53" s="61" t="s">
        <v>1094</v>
      </c>
      <c r="AV53" s="61">
        <v>0</v>
      </c>
      <c r="AW53" s="61">
        <v>0</v>
      </c>
      <c r="AX53" s="61">
        <v>0</v>
      </c>
    </row>
    <row r="54" spans="1:50" ht="15.75" x14ac:dyDescent="0.25">
      <c r="A54" s="72">
        <v>43</v>
      </c>
      <c r="B54" s="192" t="s">
        <v>111</v>
      </c>
      <c r="C54" s="66">
        <v>137.1636</v>
      </c>
      <c r="D54" s="66">
        <v>0</v>
      </c>
      <c r="E54" s="66">
        <v>144.3836</v>
      </c>
      <c r="F54" s="66">
        <v>137.1636</v>
      </c>
      <c r="G54" s="66">
        <v>7.22</v>
      </c>
      <c r="H54" s="66">
        <v>137.1636</v>
      </c>
      <c r="I54" s="66">
        <v>0</v>
      </c>
      <c r="J54" s="66">
        <v>144.3836</v>
      </c>
      <c r="K54" s="66">
        <v>137.1636</v>
      </c>
      <c r="L54" s="66">
        <v>0</v>
      </c>
      <c r="M54" s="66">
        <v>7.22</v>
      </c>
      <c r="N54" s="67">
        <v>100</v>
      </c>
      <c r="O54" s="67">
        <v>100</v>
      </c>
      <c r="P54" s="67">
        <v>5.0005679315379314</v>
      </c>
      <c r="Q54" s="66">
        <v>0</v>
      </c>
      <c r="R54" s="67">
        <v>0</v>
      </c>
      <c r="S54" s="66">
        <v>137.1636</v>
      </c>
      <c r="T54" s="66">
        <v>0</v>
      </c>
      <c r="U54" s="66">
        <v>144.3836</v>
      </c>
      <c r="V54" s="66">
        <v>137.1636</v>
      </c>
      <c r="W54" s="66">
        <v>7.22</v>
      </c>
      <c r="X54" s="66">
        <v>137.1636</v>
      </c>
      <c r="Y54" s="66">
        <v>0</v>
      </c>
      <c r="Z54" s="66">
        <v>144.3836</v>
      </c>
      <c r="AA54" s="66">
        <v>137.1636</v>
      </c>
      <c r="AB54" s="66">
        <v>0</v>
      </c>
      <c r="AC54" s="66">
        <v>7.22</v>
      </c>
      <c r="AD54" s="67">
        <v>100</v>
      </c>
      <c r="AE54" s="67">
        <v>100</v>
      </c>
      <c r="AF54" s="67">
        <v>5.0005679315379314</v>
      </c>
      <c r="AG54" s="210">
        <v>0</v>
      </c>
      <c r="AH54" s="67">
        <v>0</v>
      </c>
      <c r="AI54" s="66">
        <v>0</v>
      </c>
      <c r="AJ54" s="66">
        <v>0</v>
      </c>
      <c r="AK54" s="66">
        <v>0</v>
      </c>
      <c r="AL54" s="66">
        <v>0</v>
      </c>
      <c r="AM54" s="66">
        <v>0</v>
      </c>
      <c r="AN54" s="66">
        <v>0</v>
      </c>
      <c r="AO54" s="66">
        <v>0</v>
      </c>
      <c r="AP54" s="66">
        <v>0</v>
      </c>
      <c r="AQ54" s="66">
        <v>0</v>
      </c>
      <c r="AR54" s="66">
        <v>0</v>
      </c>
      <c r="AS54" s="66">
        <v>0</v>
      </c>
      <c r="AT54" s="67" t="s">
        <v>1094</v>
      </c>
      <c r="AU54" s="67" t="s">
        <v>1094</v>
      </c>
      <c r="AV54" s="67">
        <v>0</v>
      </c>
      <c r="AW54" s="210">
        <v>0</v>
      </c>
      <c r="AX54" s="67">
        <v>0</v>
      </c>
    </row>
    <row r="55" spans="1:50" ht="15.75" x14ac:dyDescent="0.25">
      <c r="A55" s="72">
        <v>44</v>
      </c>
      <c r="B55" s="192" t="s">
        <v>113</v>
      </c>
      <c r="C55" s="66">
        <v>14.398199999999999</v>
      </c>
      <c r="D55" s="66">
        <v>0</v>
      </c>
      <c r="E55" s="66">
        <v>15.1562</v>
      </c>
      <c r="F55" s="66">
        <v>14.398199999999999</v>
      </c>
      <c r="G55" s="66">
        <v>0.75800000000000001</v>
      </c>
      <c r="H55" s="66">
        <v>14.398199999999999</v>
      </c>
      <c r="I55" s="66">
        <v>0</v>
      </c>
      <c r="J55" s="66">
        <v>15.1562</v>
      </c>
      <c r="K55" s="66">
        <v>14.398199999999999</v>
      </c>
      <c r="L55" s="66">
        <v>0</v>
      </c>
      <c r="M55" s="66">
        <v>0.75800000000000001</v>
      </c>
      <c r="N55" s="67">
        <v>100</v>
      </c>
      <c r="O55" s="67">
        <v>100</v>
      </c>
      <c r="P55" s="67">
        <v>5.0012536123830511</v>
      </c>
      <c r="Q55" s="66">
        <v>0</v>
      </c>
      <c r="R55" s="67">
        <v>0</v>
      </c>
      <c r="S55" s="66">
        <v>14.398199999999999</v>
      </c>
      <c r="T55" s="66">
        <v>0</v>
      </c>
      <c r="U55" s="66">
        <v>15.1562</v>
      </c>
      <c r="V55" s="66">
        <v>14.398199999999999</v>
      </c>
      <c r="W55" s="66">
        <v>0.75800000000000001</v>
      </c>
      <c r="X55" s="66">
        <v>14.398199999999999</v>
      </c>
      <c r="Y55" s="66">
        <v>0</v>
      </c>
      <c r="Z55" s="66">
        <v>15.1562</v>
      </c>
      <c r="AA55" s="66">
        <v>14.398199999999999</v>
      </c>
      <c r="AB55" s="66">
        <v>0</v>
      </c>
      <c r="AC55" s="66">
        <v>0.75800000000000001</v>
      </c>
      <c r="AD55" s="67">
        <v>100</v>
      </c>
      <c r="AE55" s="67">
        <v>100</v>
      </c>
      <c r="AF55" s="67">
        <v>5.0012536123830511</v>
      </c>
      <c r="AG55" s="210">
        <v>0</v>
      </c>
      <c r="AH55" s="67">
        <v>0</v>
      </c>
      <c r="AI55" s="66">
        <v>0</v>
      </c>
      <c r="AJ55" s="66">
        <v>0</v>
      </c>
      <c r="AK55" s="66">
        <v>0</v>
      </c>
      <c r="AL55" s="66">
        <v>0</v>
      </c>
      <c r="AM55" s="66">
        <v>0</v>
      </c>
      <c r="AN55" s="66">
        <v>0</v>
      </c>
      <c r="AO55" s="66">
        <v>0</v>
      </c>
      <c r="AP55" s="66">
        <v>0</v>
      </c>
      <c r="AQ55" s="66">
        <v>0</v>
      </c>
      <c r="AR55" s="66">
        <v>0</v>
      </c>
      <c r="AS55" s="66">
        <v>0</v>
      </c>
      <c r="AT55" s="67" t="s">
        <v>1094</v>
      </c>
      <c r="AU55" s="67" t="s">
        <v>1094</v>
      </c>
      <c r="AV55" s="67">
        <v>0</v>
      </c>
      <c r="AW55" s="210">
        <v>0</v>
      </c>
      <c r="AX55" s="67">
        <v>0</v>
      </c>
    </row>
    <row r="56" spans="1:50" ht="31.5" x14ac:dyDescent="0.25">
      <c r="A56" s="72">
        <v>45</v>
      </c>
      <c r="B56" s="192" t="s">
        <v>115</v>
      </c>
      <c r="C56" s="66">
        <v>78.525499999999994</v>
      </c>
      <c r="D56" s="66">
        <v>0</v>
      </c>
      <c r="E56" s="66">
        <v>82.658500000000004</v>
      </c>
      <c r="F56" s="66">
        <v>78.525499999999994</v>
      </c>
      <c r="G56" s="66">
        <v>4.133</v>
      </c>
      <c r="H56" s="66">
        <v>78.525499909999994</v>
      </c>
      <c r="I56" s="66">
        <v>0</v>
      </c>
      <c r="J56" s="66">
        <v>82.658421050000001</v>
      </c>
      <c r="K56" s="66">
        <v>78.525499909999994</v>
      </c>
      <c r="L56" s="66">
        <v>0</v>
      </c>
      <c r="M56" s="66">
        <v>4.1329211400000005</v>
      </c>
      <c r="N56" s="67">
        <v>99.999999885387552</v>
      </c>
      <c r="O56" s="67">
        <v>99.99809194289864</v>
      </c>
      <c r="P56" s="67">
        <v>5.0000001058573336</v>
      </c>
      <c r="Q56" s="66">
        <v>0</v>
      </c>
      <c r="R56" s="67">
        <v>0</v>
      </c>
      <c r="S56" s="66">
        <v>78.525499999999994</v>
      </c>
      <c r="T56" s="66">
        <v>0</v>
      </c>
      <c r="U56" s="66">
        <v>82.658500000000004</v>
      </c>
      <c r="V56" s="66">
        <v>78.525499999999994</v>
      </c>
      <c r="W56" s="66">
        <v>4.133</v>
      </c>
      <c r="X56" s="66">
        <v>78.525499909999994</v>
      </c>
      <c r="Y56" s="66">
        <v>0</v>
      </c>
      <c r="Z56" s="66">
        <v>82.658421050000001</v>
      </c>
      <c r="AA56" s="66">
        <v>78.525499909999994</v>
      </c>
      <c r="AB56" s="66">
        <v>0</v>
      </c>
      <c r="AC56" s="66">
        <v>4.1329211400000005</v>
      </c>
      <c r="AD56" s="67">
        <v>99.999999885387552</v>
      </c>
      <c r="AE56" s="67">
        <v>99.99809194289864</v>
      </c>
      <c r="AF56" s="67">
        <v>5.0000001058573336</v>
      </c>
      <c r="AG56" s="210">
        <v>0</v>
      </c>
      <c r="AH56" s="67">
        <v>0</v>
      </c>
      <c r="AI56" s="66">
        <v>0</v>
      </c>
      <c r="AJ56" s="66">
        <v>0</v>
      </c>
      <c r="AK56" s="66">
        <v>0</v>
      </c>
      <c r="AL56" s="66">
        <v>0</v>
      </c>
      <c r="AM56" s="66">
        <v>0</v>
      </c>
      <c r="AN56" s="66">
        <v>0</v>
      </c>
      <c r="AO56" s="66">
        <v>0</v>
      </c>
      <c r="AP56" s="66">
        <v>0</v>
      </c>
      <c r="AQ56" s="66">
        <v>0</v>
      </c>
      <c r="AR56" s="66">
        <v>0</v>
      </c>
      <c r="AS56" s="66">
        <v>0</v>
      </c>
      <c r="AT56" s="67" t="s">
        <v>1094</v>
      </c>
      <c r="AU56" s="67" t="s">
        <v>1094</v>
      </c>
      <c r="AV56" s="67">
        <v>0</v>
      </c>
      <c r="AW56" s="210">
        <v>0</v>
      </c>
      <c r="AX56" s="67">
        <v>0</v>
      </c>
    </row>
    <row r="57" spans="1:50" ht="31.5" x14ac:dyDescent="0.25">
      <c r="A57" s="72">
        <v>46</v>
      </c>
      <c r="B57" s="192" t="s">
        <v>117</v>
      </c>
      <c r="C57" s="66">
        <v>6.8127000000000004</v>
      </c>
      <c r="D57" s="66">
        <v>0</v>
      </c>
      <c r="E57" s="66">
        <v>7.1712999999999996</v>
      </c>
      <c r="F57" s="66">
        <v>6.8127000000000004</v>
      </c>
      <c r="G57" s="66">
        <v>0.35859999999999997</v>
      </c>
      <c r="H57" s="66">
        <v>6.8127000000000004</v>
      </c>
      <c r="I57" s="66">
        <v>0</v>
      </c>
      <c r="J57" s="66">
        <v>7.1712631600000005</v>
      </c>
      <c r="K57" s="66">
        <v>6.8127000000000004</v>
      </c>
      <c r="L57" s="66">
        <v>0</v>
      </c>
      <c r="M57" s="66">
        <v>0.35856315999999999</v>
      </c>
      <c r="N57" s="67">
        <v>100</v>
      </c>
      <c r="O57" s="67">
        <v>99.989726715002789</v>
      </c>
      <c r="P57" s="67">
        <v>5.0000000278890893</v>
      </c>
      <c r="Q57" s="66">
        <v>0</v>
      </c>
      <c r="R57" s="67">
        <v>0</v>
      </c>
      <c r="S57" s="66">
        <v>6.8127000000000004</v>
      </c>
      <c r="T57" s="66">
        <v>0</v>
      </c>
      <c r="U57" s="66">
        <v>7.1712999999999996</v>
      </c>
      <c r="V57" s="66">
        <v>6.8127000000000004</v>
      </c>
      <c r="W57" s="66">
        <v>0.35859999999999997</v>
      </c>
      <c r="X57" s="66">
        <v>6.8127000000000004</v>
      </c>
      <c r="Y57" s="66">
        <v>0</v>
      </c>
      <c r="Z57" s="66">
        <v>7.1712631600000005</v>
      </c>
      <c r="AA57" s="66">
        <v>6.8127000000000004</v>
      </c>
      <c r="AB57" s="66">
        <v>0</v>
      </c>
      <c r="AC57" s="66">
        <v>0.35856315999999999</v>
      </c>
      <c r="AD57" s="67">
        <v>100</v>
      </c>
      <c r="AE57" s="67">
        <v>99.989726715002789</v>
      </c>
      <c r="AF57" s="67">
        <v>5.0000000278890893</v>
      </c>
      <c r="AG57" s="210">
        <v>0</v>
      </c>
      <c r="AH57" s="67">
        <v>0</v>
      </c>
      <c r="AI57" s="66">
        <v>0</v>
      </c>
      <c r="AJ57" s="66">
        <v>0</v>
      </c>
      <c r="AK57" s="66">
        <v>0</v>
      </c>
      <c r="AL57" s="66">
        <v>0</v>
      </c>
      <c r="AM57" s="66">
        <v>0</v>
      </c>
      <c r="AN57" s="66">
        <v>0</v>
      </c>
      <c r="AO57" s="66">
        <v>0</v>
      </c>
      <c r="AP57" s="66">
        <v>0</v>
      </c>
      <c r="AQ57" s="66">
        <v>0</v>
      </c>
      <c r="AR57" s="66">
        <v>0</v>
      </c>
      <c r="AS57" s="66">
        <v>0</v>
      </c>
      <c r="AT57" s="67" t="s">
        <v>1094</v>
      </c>
      <c r="AU57" s="67" t="s">
        <v>1094</v>
      </c>
      <c r="AV57" s="67">
        <v>0</v>
      </c>
      <c r="AW57" s="210">
        <v>0</v>
      </c>
      <c r="AX57" s="67">
        <v>0</v>
      </c>
    </row>
    <row r="58" spans="1:50" ht="31.5" x14ac:dyDescent="0.25">
      <c r="A58" s="72">
        <v>47</v>
      </c>
      <c r="B58" s="192" t="s">
        <v>119</v>
      </c>
      <c r="C58" s="66">
        <v>13.791399999999999</v>
      </c>
      <c r="D58" s="66">
        <v>0</v>
      </c>
      <c r="E58" s="66">
        <v>14.5174</v>
      </c>
      <c r="F58" s="66">
        <v>13.791399999999999</v>
      </c>
      <c r="G58" s="66">
        <v>0.72599999999999998</v>
      </c>
      <c r="H58" s="66">
        <v>13.791399999999999</v>
      </c>
      <c r="I58" s="66">
        <v>0</v>
      </c>
      <c r="J58" s="66">
        <v>14.5174</v>
      </c>
      <c r="K58" s="66">
        <v>13.791399999999999</v>
      </c>
      <c r="L58" s="66">
        <v>0</v>
      </c>
      <c r="M58" s="66">
        <v>0.72599999999999998</v>
      </c>
      <c r="N58" s="67">
        <v>100</v>
      </c>
      <c r="O58" s="67">
        <v>100</v>
      </c>
      <c r="P58" s="67">
        <v>5.0008954771515564</v>
      </c>
      <c r="Q58" s="66">
        <v>0</v>
      </c>
      <c r="R58" s="67">
        <v>0</v>
      </c>
      <c r="S58" s="66">
        <v>13.791399999999999</v>
      </c>
      <c r="T58" s="66">
        <v>0</v>
      </c>
      <c r="U58" s="66">
        <v>14.5174</v>
      </c>
      <c r="V58" s="66">
        <v>13.791399999999999</v>
      </c>
      <c r="W58" s="66">
        <v>0.72599999999999998</v>
      </c>
      <c r="X58" s="66">
        <v>13.791399999999999</v>
      </c>
      <c r="Y58" s="66">
        <v>0</v>
      </c>
      <c r="Z58" s="66">
        <v>14.5174</v>
      </c>
      <c r="AA58" s="66">
        <v>13.791399999999999</v>
      </c>
      <c r="AB58" s="66">
        <v>0</v>
      </c>
      <c r="AC58" s="66">
        <v>0.72599999999999998</v>
      </c>
      <c r="AD58" s="67">
        <v>100</v>
      </c>
      <c r="AE58" s="67">
        <v>100</v>
      </c>
      <c r="AF58" s="67">
        <v>5.0008954771515564</v>
      </c>
      <c r="AG58" s="210">
        <v>0</v>
      </c>
      <c r="AH58" s="67">
        <v>0</v>
      </c>
      <c r="AI58" s="66">
        <v>0</v>
      </c>
      <c r="AJ58" s="66">
        <v>0</v>
      </c>
      <c r="AK58" s="66">
        <v>0</v>
      </c>
      <c r="AL58" s="66">
        <v>0</v>
      </c>
      <c r="AM58" s="66">
        <v>0</v>
      </c>
      <c r="AN58" s="66">
        <v>0</v>
      </c>
      <c r="AO58" s="66">
        <v>0</v>
      </c>
      <c r="AP58" s="66">
        <v>0</v>
      </c>
      <c r="AQ58" s="66">
        <v>0</v>
      </c>
      <c r="AR58" s="66">
        <v>0</v>
      </c>
      <c r="AS58" s="66">
        <v>0</v>
      </c>
      <c r="AT58" s="67" t="s">
        <v>1094</v>
      </c>
      <c r="AU58" s="67" t="s">
        <v>1094</v>
      </c>
      <c r="AV58" s="67">
        <v>0</v>
      </c>
      <c r="AW58" s="210">
        <v>0</v>
      </c>
      <c r="AX58" s="67">
        <v>0</v>
      </c>
    </row>
    <row r="59" spans="1:50" ht="15.75" x14ac:dyDescent="0.25">
      <c r="A59" s="11">
        <v>48</v>
      </c>
      <c r="B59" s="192" t="s">
        <v>122</v>
      </c>
      <c r="C59" s="66">
        <v>5.4507000000000003</v>
      </c>
      <c r="D59" s="66">
        <v>0</v>
      </c>
      <c r="E59" s="66">
        <v>5.7375800000000003</v>
      </c>
      <c r="F59" s="66">
        <v>5.4507000000000003</v>
      </c>
      <c r="G59" s="66">
        <v>0.28688000000000002</v>
      </c>
      <c r="H59" s="66">
        <v>5.4507000000000003</v>
      </c>
      <c r="I59" s="66">
        <v>0</v>
      </c>
      <c r="J59" s="66">
        <v>5.7375789500000005</v>
      </c>
      <c r="K59" s="66">
        <v>5.4507000000000003</v>
      </c>
      <c r="L59" s="66">
        <v>0</v>
      </c>
      <c r="M59" s="66">
        <v>0.28687895000000002</v>
      </c>
      <c r="N59" s="67">
        <v>100</v>
      </c>
      <c r="O59" s="67">
        <v>99.999633993307299</v>
      </c>
      <c r="P59" s="67">
        <v>5.0000000435723848</v>
      </c>
      <c r="Q59" s="66">
        <v>0</v>
      </c>
      <c r="R59" s="67">
        <v>0</v>
      </c>
      <c r="S59" s="66">
        <v>5.4507000000000003</v>
      </c>
      <c r="T59" s="66">
        <v>0</v>
      </c>
      <c r="U59" s="66">
        <v>5.7375800000000003</v>
      </c>
      <c r="V59" s="66">
        <v>5.4507000000000003</v>
      </c>
      <c r="W59" s="66">
        <v>0.28688000000000002</v>
      </c>
      <c r="X59" s="66">
        <v>5.4507000000000003</v>
      </c>
      <c r="Y59" s="66">
        <v>0</v>
      </c>
      <c r="Z59" s="66">
        <v>5.7375789500000005</v>
      </c>
      <c r="AA59" s="66">
        <v>5.4507000000000003</v>
      </c>
      <c r="AB59" s="66">
        <v>0</v>
      </c>
      <c r="AC59" s="66">
        <v>0.28687895000000002</v>
      </c>
      <c r="AD59" s="67">
        <v>100</v>
      </c>
      <c r="AE59" s="67">
        <v>99.999633993307299</v>
      </c>
      <c r="AF59" s="67">
        <v>5.0000000435723848</v>
      </c>
      <c r="AG59" s="210">
        <v>0</v>
      </c>
      <c r="AH59" s="67">
        <v>0</v>
      </c>
      <c r="AI59" s="66">
        <v>0</v>
      </c>
      <c r="AJ59" s="66">
        <v>0</v>
      </c>
      <c r="AK59" s="66">
        <v>0</v>
      </c>
      <c r="AL59" s="66">
        <v>0</v>
      </c>
      <c r="AM59" s="66">
        <v>0</v>
      </c>
      <c r="AN59" s="66">
        <v>0</v>
      </c>
      <c r="AO59" s="66">
        <v>0</v>
      </c>
      <c r="AP59" s="66">
        <v>0</v>
      </c>
      <c r="AQ59" s="66">
        <v>0</v>
      </c>
      <c r="AR59" s="66">
        <v>0</v>
      </c>
      <c r="AS59" s="66">
        <v>0</v>
      </c>
      <c r="AT59" s="67" t="s">
        <v>1094</v>
      </c>
      <c r="AU59" s="67" t="s">
        <v>1094</v>
      </c>
      <c r="AV59" s="67">
        <v>0</v>
      </c>
      <c r="AW59" s="210">
        <v>0</v>
      </c>
      <c r="AX59" s="67">
        <v>0</v>
      </c>
    </row>
    <row r="60" spans="1:50" ht="15.75" x14ac:dyDescent="0.25">
      <c r="A60" s="74">
        <v>49</v>
      </c>
      <c r="B60" s="192" t="s">
        <v>125</v>
      </c>
      <c r="C60" s="66">
        <v>66.939499999999995</v>
      </c>
      <c r="D60" s="66">
        <v>0</v>
      </c>
      <c r="E60" s="66">
        <v>94.006500000000003</v>
      </c>
      <c r="F60" s="66">
        <v>66.939499999999995</v>
      </c>
      <c r="G60" s="66">
        <v>27.067</v>
      </c>
      <c r="H60" s="66">
        <v>63.383290659999993</v>
      </c>
      <c r="I60" s="66">
        <v>0</v>
      </c>
      <c r="J60" s="66">
        <v>88.99004484999999</v>
      </c>
      <c r="K60" s="66">
        <v>63.367417090000004</v>
      </c>
      <c r="L60" s="66">
        <v>0</v>
      </c>
      <c r="M60" s="66">
        <v>25.62262776</v>
      </c>
      <c r="N60" s="67">
        <v>94.663714383883971</v>
      </c>
      <c r="O60" s="67">
        <v>94.663715077400525</v>
      </c>
      <c r="P60" s="67">
        <v>28.792690017393564</v>
      </c>
      <c r="Q60" s="66">
        <v>0</v>
      </c>
      <c r="R60" s="67">
        <v>1.5873569999989456E-2</v>
      </c>
      <c r="S60" s="66">
        <v>66.939499999999995</v>
      </c>
      <c r="T60" s="66">
        <v>0</v>
      </c>
      <c r="U60" s="66">
        <v>94.006500000000003</v>
      </c>
      <c r="V60" s="66">
        <v>66.939499999999995</v>
      </c>
      <c r="W60" s="66">
        <v>27.067</v>
      </c>
      <c r="X60" s="66">
        <v>63.383290659999993</v>
      </c>
      <c r="Y60" s="66">
        <v>0</v>
      </c>
      <c r="Z60" s="66">
        <v>88.99004484999999</v>
      </c>
      <c r="AA60" s="66">
        <v>63.367417090000004</v>
      </c>
      <c r="AB60" s="66">
        <v>0</v>
      </c>
      <c r="AC60" s="66">
        <v>25.62262776</v>
      </c>
      <c r="AD60" s="67">
        <v>94.663714383883971</v>
      </c>
      <c r="AE60" s="67">
        <v>94.663715077400525</v>
      </c>
      <c r="AF60" s="67">
        <v>28.792690017393564</v>
      </c>
      <c r="AG60" s="210">
        <v>0</v>
      </c>
      <c r="AH60" s="67">
        <v>1.5873569999989456E-2</v>
      </c>
      <c r="AI60" s="66">
        <v>0</v>
      </c>
      <c r="AJ60" s="66">
        <v>0</v>
      </c>
      <c r="AK60" s="66">
        <v>0</v>
      </c>
      <c r="AL60" s="66">
        <v>0</v>
      </c>
      <c r="AM60" s="66">
        <v>0</v>
      </c>
      <c r="AN60" s="66">
        <v>0</v>
      </c>
      <c r="AO60" s="66">
        <v>0</v>
      </c>
      <c r="AP60" s="66">
        <v>0</v>
      </c>
      <c r="AQ60" s="66">
        <v>0</v>
      </c>
      <c r="AR60" s="66">
        <v>0</v>
      </c>
      <c r="AS60" s="66">
        <v>0</v>
      </c>
      <c r="AT60" s="67" t="s">
        <v>1094</v>
      </c>
      <c r="AU60" s="67" t="s">
        <v>1094</v>
      </c>
      <c r="AV60" s="67">
        <v>0</v>
      </c>
      <c r="AW60" s="210">
        <v>0</v>
      </c>
      <c r="AX60" s="67">
        <v>0</v>
      </c>
    </row>
    <row r="61" spans="1:50" ht="15.75" x14ac:dyDescent="0.25">
      <c r="A61" s="57">
        <v>50</v>
      </c>
      <c r="B61" s="190" t="s">
        <v>128</v>
      </c>
      <c r="C61" s="61">
        <v>2589.5710999999997</v>
      </c>
      <c r="D61" s="61">
        <v>0</v>
      </c>
      <c r="E61" s="61">
        <v>3766.1616795099999</v>
      </c>
      <c r="F61" s="61">
        <v>2589.5710999999997</v>
      </c>
      <c r="G61" s="61">
        <v>1176.5905795100002</v>
      </c>
      <c r="H61" s="61">
        <v>2589.5708369499998</v>
      </c>
      <c r="I61" s="61">
        <v>0</v>
      </c>
      <c r="J61" s="61">
        <v>3766.1216542300003</v>
      </c>
      <c r="K61" s="61">
        <v>2589.5701436700001</v>
      </c>
      <c r="L61" s="61">
        <v>0</v>
      </c>
      <c r="M61" s="61">
        <v>1176.55151056</v>
      </c>
      <c r="N61" s="61">
        <v>99.999963069946233</v>
      </c>
      <c r="O61" s="61">
        <v>99.996679477918605</v>
      </c>
      <c r="P61" s="61">
        <v>31.240401096404597</v>
      </c>
      <c r="Q61" s="61">
        <v>0</v>
      </c>
      <c r="R61" s="61">
        <v>6.9328000000723478E-4</v>
      </c>
      <c r="S61" s="61">
        <v>2589.5710999999997</v>
      </c>
      <c r="T61" s="61">
        <v>0</v>
      </c>
      <c r="U61" s="61">
        <v>3766.1616795099999</v>
      </c>
      <c r="V61" s="61">
        <v>2589.5710999999997</v>
      </c>
      <c r="W61" s="61">
        <v>1176.5905795100002</v>
      </c>
      <c r="X61" s="61">
        <v>2589.5708369499998</v>
      </c>
      <c r="Y61" s="61">
        <v>0</v>
      </c>
      <c r="Z61" s="61">
        <v>3766.1216542300003</v>
      </c>
      <c r="AA61" s="61">
        <v>2589.5701436700001</v>
      </c>
      <c r="AB61" s="61">
        <v>0</v>
      </c>
      <c r="AC61" s="61">
        <v>1176.55151056</v>
      </c>
      <c r="AD61" s="61">
        <v>99.999963069946233</v>
      </c>
      <c r="AE61" s="61">
        <v>99.996679477918605</v>
      </c>
      <c r="AF61" s="61">
        <v>31.240401096404597</v>
      </c>
      <c r="AG61" s="61">
        <v>0</v>
      </c>
      <c r="AH61" s="61">
        <v>6.9328000000723478E-4</v>
      </c>
      <c r="AI61" s="61">
        <v>0</v>
      </c>
      <c r="AJ61" s="61">
        <v>0</v>
      </c>
      <c r="AK61" s="61">
        <v>0</v>
      </c>
      <c r="AL61" s="61">
        <v>0</v>
      </c>
      <c r="AM61" s="61">
        <v>0</v>
      </c>
      <c r="AN61" s="61">
        <v>0</v>
      </c>
      <c r="AO61" s="61">
        <v>0</v>
      </c>
      <c r="AP61" s="61">
        <v>0</v>
      </c>
      <c r="AQ61" s="61">
        <v>0</v>
      </c>
      <c r="AR61" s="61">
        <v>0</v>
      </c>
      <c r="AS61" s="61">
        <v>0</v>
      </c>
      <c r="AT61" s="61" t="s">
        <v>1094</v>
      </c>
      <c r="AU61" s="61" t="s">
        <v>1094</v>
      </c>
      <c r="AV61" s="61">
        <v>0</v>
      </c>
      <c r="AW61" s="61">
        <v>0</v>
      </c>
      <c r="AX61" s="61">
        <v>0</v>
      </c>
    </row>
    <row r="62" spans="1:50" ht="15.75" x14ac:dyDescent="0.25">
      <c r="A62" s="11">
        <v>51</v>
      </c>
      <c r="B62" s="189" t="s">
        <v>131</v>
      </c>
      <c r="C62" s="66">
        <v>284.0693</v>
      </c>
      <c r="D62" s="66">
        <v>0</v>
      </c>
      <c r="E62" s="66">
        <v>299.02193199999999</v>
      </c>
      <c r="F62" s="66">
        <v>284.0693</v>
      </c>
      <c r="G62" s="66">
        <v>14.952631999999999</v>
      </c>
      <c r="H62" s="66">
        <v>284.0693</v>
      </c>
      <c r="I62" s="66">
        <v>0</v>
      </c>
      <c r="J62" s="66">
        <v>299.02193199999999</v>
      </c>
      <c r="K62" s="66">
        <v>284.0693</v>
      </c>
      <c r="L62" s="66">
        <v>0</v>
      </c>
      <c r="M62" s="66">
        <v>14.952631999999999</v>
      </c>
      <c r="N62" s="67">
        <v>100</v>
      </c>
      <c r="O62" s="67">
        <v>100</v>
      </c>
      <c r="P62" s="67">
        <v>5.0005134740417638</v>
      </c>
      <c r="Q62" s="66">
        <v>0</v>
      </c>
      <c r="R62" s="67">
        <v>0</v>
      </c>
      <c r="S62" s="66">
        <v>284.0693</v>
      </c>
      <c r="T62" s="66">
        <v>0</v>
      </c>
      <c r="U62" s="66">
        <v>299.02193199999999</v>
      </c>
      <c r="V62" s="66">
        <v>284.0693</v>
      </c>
      <c r="W62" s="66">
        <v>14.952631999999999</v>
      </c>
      <c r="X62" s="66">
        <v>284.0693</v>
      </c>
      <c r="Y62" s="66">
        <v>0</v>
      </c>
      <c r="Z62" s="66">
        <v>299.02193199999999</v>
      </c>
      <c r="AA62" s="66">
        <v>284.0693</v>
      </c>
      <c r="AB62" s="66">
        <v>0</v>
      </c>
      <c r="AC62" s="66">
        <v>14.952631999999999</v>
      </c>
      <c r="AD62" s="67">
        <v>100</v>
      </c>
      <c r="AE62" s="67">
        <v>100</v>
      </c>
      <c r="AF62" s="67">
        <v>5.0005134740417638</v>
      </c>
      <c r="AG62" s="210">
        <v>0</v>
      </c>
      <c r="AH62" s="67">
        <v>0</v>
      </c>
      <c r="AI62" s="66">
        <v>0</v>
      </c>
      <c r="AJ62" s="66">
        <v>0</v>
      </c>
      <c r="AK62" s="66">
        <v>0</v>
      </c>
      <c r="AL62" s="66">
        <v>0</v>
      </c>
      <c r="AM62" s="66">
        <v>0</v>
      </c>
      <c r="AN62" s="66">
        <v>0</v>
      </c>
      <c r="AO62" s="66">
        <v>0</v>
      </c>
      <c r="AP62" s="66">
        <v>0</v>
      </c>
      <c r="AQ62" s="66">
        <v>0</v>
      </c>
      <c r="AR62" s="66">
        <v>0</v>
      </c>
      <c r="AS62" s="66">
        <v>0</v>
      </c>
      <c r="AT62" s="67" t="s">
        <v>1094</v>
      </c>
      <c r="AU62" s="67" t="s">
        <v>1094</v>
      </c>
      <c r="AV62" s="67">
        <v>0</v>
      </c>
      <c r="AW62" s="210">
        <v>0</v>
      </c>
      <c r="AX62" s="67">
        <v>0</v>
      </c>
    </row>
    <row r="63" spans="1:50" ht="15.75" x14ac:dyDescent="0.25">
      <c r="A63" s="11">
        <v>52</v>
      </c>
      <c r="B63" s="189" t="s">
        <v>134</v>
      </c>
      <c r="C63" s="66">
        <v>72.424400000000006</v>
      </c>
      <c r="D63" s="66">
        <v>0</v>
      </c>
      <c r="E63" s="66">
        <v>76.236210510000006</v>
      </c>
      <c r="F63" s="66">
        <v>72.424400000000006</v>
      </c>
      <c r="G63" s="66">
        <v>3.8118105099999999</v>
      </c>
      <c r="H63" s="66">
        <v>72.424400000000006</v>
      </c>
      <c r="I63" s="66">
        <v>0</v>
      </c>
      <c r="J63" s="66">
        <v>76.236210510000006</v>
      </c>
      <c r="K63" s="66">
        <v>72.424400000000006</v>
      </c>
      <c r="L63" s="66">
        <v>0</v>
      </c>
      <c r="M63" s="66">
        <v>3.8118105099999999</v>
      </c>
      <c r="N63" s="67">
        <v>100</v>
      </c>
      <c r="O63" s="67">
        <v>100</v>
      </c>
      <c r="P63" s="67">
        <v>4.9999999796684538</v>
      </c>
      <c r="Q63" s="66">
        <v>0</v>
      </c>
      <c r="R63" s="67">
        <v>0</v>
      </c>
      <c r="S63" s="66">
        <v>72.424400000000006</v>
      </c>
      <c r="T63" s="66">
        <v>0</v>
      </c>
      <c r="U63" s="66">
        <v>76.236210510000006</v>
      </c>
      <c r="V63" s="66">
        <v>72.424400000000006</v>
      </c>
      <c r="W63" s="66">
        <v>3.8118105099999999</v>
      </c>
      <c r="X63" s="66">
        <v>72.424400000000006</v>
      </c>
      <c r="Y63" s="66">
        <v>0</v>
      </c>
      <c r="Z63" s="66">
        <v>76.236210510000006</v>
      </c>
      <c r="AA63" s="66">
        <v>72.424400000000006</v>
      </c>
      <c r="AB63" s="66">
        <v>0</v>
      </c>
      <c r="AC63" s="66">
        <v>3.8118105099999999</v>
      </c>
      <c r="AD63" s="67">
        <v>100</v>
      </c>
      <c r="AE63" s="67">
        <v>100</v>
      </c>
      <c r="AF63" s="67">
        <v>4.9999999796684538</v>
      </c>
      <c r="AG63" s="210">
        <v>0</v>
      </c>
      <c r="AH63" s="67">
        <v>0</v>
      </c>
      <c r="AI63" s="66">
        <v>0</v>
      </c>
      <c r="AJ63" s="66">
        <v>0</v>
      </c>
      <c r="AK63" s="66">
        <v>0</v>
      </c>
      <c r="AL63" s="66">
        <v>0</v>
      </c>
      <c r="AM63" s="66">
        <v>0</v>
      </c>
      <c r="AN63" s="66">
        <v>0</v>
      </c>
      <c r="AO63" s="66">
        <v>0</v>
      </c>
      <c r="AP63" s="66">
        <v>0</v>
      </c>
      <c r="AQ63" s="66">
        <v>0</v>
      </c>
      <c r="AR63" s="66">
        <v>0</v>
      </c>
      <c r="AS63" s="66">
        <v>0</v>
      </c>
      <c r="AT63" s="67" t="s">
        <v>1094</v>
      </c>
      <c r="AU63" s="67" t="s">
        <v>1094</v>
      </c>
      <c r="AV63" s="67">
        <v>0</v>
      </c>
      <c r="AW63" s="210">
        <v>0</v>
      </c>
      <c r="AX63" s="67">
        <v>0</v>
      </c>
    </row>
    <row r="64" spans="1:50" ht="15.75" x14ac:dyDescent="0.25">
      <c r="A64" s="11">
        <v>53</v>
      </c>
      <c r="B64" s="189" t="s">
        <v>137</v>
      </c>
      <c r="C64" s="66">
        <v>198.84540000000001</v>
      </c>
      <c r="D64" s="66">
        <v>0</v>
      </c>
      <c r="E64" s="66">
        <v>209.31100000000001</v>
      </c>
      <c r="F64" s="66">
        <v>198.84540000000001</v>
      </c>
      <c r="G64" s="66">
        <v>10.4656</v>
      </c>
      <c r="H64" s="66">
        <v>198.84540000000001</v>
      </c>
      <c r="I64" s="66">
        <v>0</v>
      </c>
      <c r="J64" s="66">
        <v>209.31100000000001</v>
      </c>
      <c r="K64" s="66">
        <v>198.84540000000001</v>
      </c>
      <c r="L64" s="66">
        <v>0</v>
      </c>
      <c r="M64" s="66">
        <v>10.4656</v>
      </c>
      <c r="N64" s="67">
        <v>100</v>
      </c>
      <c r="O64" s="67">
        <v>100</v>
      </c>
      <c r="P64" s="67">
        <v>5.0000238878988679</v>
      </c>
      <c r="Q64" s="66">
        <v>0</v>
      </c>
      <c r="R64" s="67">
        <v>0</v>
      </c>
      <c r="S64" s="66">
        <v>198.84540000000001</v>
      </c>
      <c r="T64" s="66">
        <v>0</v>
      </c>
      <c r="U64" s="66">
        <v>209.31100000000001</v>
      </c>
      <c r="V64" s="66">
        <v>198.84540000000001</v>
      </c>
      <c r="W64" s="66">
        <v>10.4656</v>
      </c>
      <c r="X64" s="66">
        <v>198.84540000000001</v>
      </c>
      <c r="Y64" s="66">
        <v>0</v>
      </c>
      <c r="Z64" s="66">
        <v>209.31100000000001</v>
      </c>
      <c r="AA64" s="66">
        <v>198.84540000000001</v>
      </c>
      <c r="AB64" s="66">
        <v>0</v>
      </c>
      <c r="AC64" s="66">
        <v>10.4656</v>
      </c>
      <c r="AD64" s="67">
        <v>100</v>
      </c>
      <c r="AE64" s="67">
        <v>100</v>
      </c>
      <c r="AF64" s="67">
        <v>5.0000238878988679</v>
      </c>
      <c r="AG64" s="210">
        <v>0</v>
      </c>
      <c r="AH64" s="67">
        <v>0</v>
      </c>
      <c r="AI64" s="66">
        <v>0</v>
      </c>
      <c r="AJ64" s="66">
        <v>0</v>
      </c>
      <c r="AK64" s="66">
        <v>0</v>
      </c>
      <c r="AL64" s="66">
        <v>0</v>
      </c>
      <c r="AM64" s="66">
        <v>0</v>
      </c>
      <c r="AN64" s="66">
        <v>0</v>
      </c>
      <c r="AO64" s="66">
        <v>0</v>
      </c>
      <c r="AP64" s="66">
        <v>0</v>
      </c>
      <c r="AQ64" s="66">
        <v>0</v>
      </c>
      <c r="AR64" s="66">
        <v>0</v>
      </c>
      <c r="AS64" s="66">
        <v>0</v>
      </c>
      <c r="AT64" s="67" t="s">
        <v>1094</v>
      </c>
      <c r="AU64" s="67" t="s">
        <v>1094</v>
      </c>
      <c r="AV64" s="67">
        <v>0</v>
      </c>
      <c r="AW64" s="210">
        <v>0</v>
      </c>
      <c r="AX64" s="67">
        <v>0</v>
      </c>
    </row>
    <row r="65" spans="1:50" ht="15.75" x14ac:dyDescent="0.25">
      <c r="A65" s="11">
        <v>54</v>
      </c>
      <c r="B65" s="189" t="s">
        <v>140</v>
      </c>
      <c r="C65" s="66">
        <v>332.41899999999998</v>
      </c>
      <c r="D65" s="66">
        <v>0</v>
      </c>
      <c r="E65" s="66">
        <v>612.41899999999998</v>
      </c>
      <c r="F65" s="66">
        <v>332.41899999999998</v>
      </c>
      <c r="G65" s="66">
        <v>280</v>
      </c>
      <c r="H65" s="66">
        <v>332.41899999999998</v>
      </c>
      <c r="I65" s="66">
        <v>0</v>
      </c>
      <c r="J65" s="66">
        <v>612.41899999999998</v>
      </c>
      <c r="K65" s="66">
        <v>332.41899999999998</v>
      </c>
      <c r="L65" s="66">
        <v>0</v>
      </c>
      <c r="M65" s="66">
        <v>280</v>
      </c>
      <c r="N65" s="67">
        <v>100</v>
      </c>
      <c r="O65" s="67">
        <v>100</v>
      </c>
      <c r="P65" s="67">
        <v>45.720331994925047</v>
      </c>
      <c r="Q65" s="66">
        <v>0</v>
      </c>
      <c r="R65" s="67">
        <v>0</v>
      </c>
      <c r="S65" s="66">
        <v>332.41899999999998</v>
      </c>
      <c r="T65" s="66">
        <v>0</v>
      </c>
      <c r="U65" s="66">
        <v>612.41899999999998</v>
      </c>
      <c r="V65" s="66">
        <v>332.41899999999998</v>
      </c>
      <c r="W65" s="66">
        <v>280</v>
      </c>
      <c r="X65" s="66">
        <v>332.41899999999998</v>
      </c>
      <c r="Y65" s="66">
        <v>0</v>
      </c>
      <c r="Z65" s="66">
        <v>612.41899999999998</v>
      </c>
      <c r="AA65" s="66">
        <v>332.41899999999998</v>
      </c>
      <c r="AB65" s="66">
        <v>0</v>
      </c>
      <c r="AC65" s="66">
        <v>280</v>
      </c>
      <c r="AD65" s="67">
        <v>100</v>
      </c>
      <c r="AE65" s="67">
        <v>100</v>
      </c>
      <c r="AF65" s="67">
        <v>45.720331994925047</v>
      </c>
      <c r="AG65" s="210">
        <v>0</v>
      </c>
      <c r="AH65" s="67">
        <v>0</v>
      </c>
      <c r="AI65" s="66">
        <v>0</v>
      </c>
      <c r="AJ65" s="66">
        <v>0</v>
      </c>
      <c r="AK65" s="66">
        <v>0</v>
      </c>
      <c r="AL65" s="66">
        <v>0</v>
      </c>
      <c r="AM65" s="66">
        <v>0</v>
      </c>
      <c r="AN65" s="66">
        <v>0</v>
      </c>
      <c r="AO65" s="66">
        <v>0</v>
      </c>
      <c r="AP65" s="66">
        <v>0</v>
      </c>
      <c r="AQ65" s="66">
        <v>0</v>
      </c>
      <c r="AR65" s="66">
        <v>0</v>
      </c>
      <c r="AS65" s="66">
        <v>0</v>
      </c>
      <c r="AT65" s="67" t="s">
        <v>1094</v>
      </c>
      <c r="AU65" s="67" t="s">
        <v>1094</v>
      </c>
      <c r="AV65" s="67">
        <v>0</v>
      </c>
      <c r="AW65" s="210">
        <v>0</v>
      </c>
      <c r="AX65" s="67">
        <v>0</v>
      </c>
    </row>
    <row r="66" spans="1:50" ht="15.75" x14ac:dyDescent="0.25">
      <c r="A66" s="11">
        <v>55</v>
      </c>
      <c r="B66" s="189" t="s">
        <v>143</v>
      </c>
      <c r="C66" s="66">
        <v>365.85019999999997</v>
      </c>
      <c r="D66" s="66">
        <v>0</v>
      </c>
      <c r="E66" s="66">
        <v>385.1062</v>
      </c>
      <c r="F66" s="66">
        <v>365.85019999999997</v>
      </c>
      <c r="G66" s="66">
        <v>19.256</v>
      </c>
      <c r="H66" s="66">
        <v>365.85019986999998</v>
      </c>
      <c r="I66" s="66">
        <v>0</v>
      </c>
      <c r="J66" s="66">
        <v>385.10547345999998</v>
      </c>
      <c r="K66" s="66">
        <v>365.84950658999998</v>
      </c>
      <c r="L66" s="66">
        <v>0</v>
      </c>
      <c r="M66" s="66">
        <v>19.255966870000002</v>
      </c>
      <c r="N66" s="67">
        <v>99.999810466141597</v>
      </c>
      <c r="O66" s="67">
        <v>99.999827949729962</v>
      </c>
      <c r="P66" s="67">
        <v>5.000180001856056</v>
      </c>
      <c r="Q66" s="66">
        <v>0</v>
      </c>
      <c r="R66" s="67">
        <v>6.9328000000723478E-4</v>
      </c>
      <c r="S66" s="66">
        <v>365.85019999999997</v>
      </c>
      <c r="T66" s="66">
        <v>0</v>
      </c>
      <c r="U66" s="66">
        <v>385.1062</v>
      </c>
      <c r="V66" s="66">
        <v>365.85019999999997</v>
      </c>
      <c r="W66" s="66">
        <v>19.256</v>
      </c>
      <c r="X66" s="66">
        <v>365.85019986999998</v>
      </c>
      <c r="Y66" s="66">
        <v>0</v>
      </c>
      <c r="Z66" s="66">
        <v>385.10547345999998</v>
      </c>
      <c r="AA66" s="66">
        <v>365.84950658999998</v>
      </c>
      <c r="AB66" s="66">
        <v>0</v>
      </c>
      <c r="AC66" s="66">
        <v>19.255966870000002</v>
      </c>
      <c r="AD66" s="67">
        <v>99.999810466141597</v>
      </c>
      <c r="AE66" s="67">
        <v>99.999827949729962</v>
      </c>
      <c r="AF66" s="67">
        <v>5.000180001856056</v>
      </c>
      <c r="AG66" s="210">
        <v>0</v>
      </c>
      <c r="AH66" s="67">
        <v>6.9328000000723478E-4</v>
      </c>
      <c r="AI66" s="66">
        <v>0</v>
      </c>
      <c r="AJ66" s="66">
        <v>0</v>
      </c>
      <c r="AK66" s="66">
        <v>0</v>
      </c>
      <c r="AL66" s="66">
        <v>0</v>
      </c>
      <c r="AM66" s="66">
        <v>0</v>
      </c>
      <c r="AN66" s="66">
        <v>0</v>
      </c>
      <c r="AO66" s="66">
        <v>0</v>
      </c>
      <c r="AP66" s="66">
        <v>0</v>
      </c>
      <c r="AQ66" s="66">
        <v>0</v>
      </c>
      <c r="AR66" s="66">
        <v>0</v>
      </c>
      <c r="AS66" s="66">
        <v>0</v>
      </c>
      <c r="AT66" s="67" t="s">
        <v>1094</v>
      </c>
      <c r="AU66" s="67" t="s">
        <v>1094</v>
      </c>
      <c r="AV66" s="67">
        <v>0</v>
      </c>
      <c r="AW66" s="210">
        <v>0</v>
      </c>
      <c r="AX66" s="67">
        <v>0</v>
      </c>
    </row>
    <row r="67" spans="1:50" ht="15.75" x14ac:dyDescent="0.25">
      <c r="A67" s="11">
        <v>56</v>
      </c>
      <c r="B67" s="189" t="s">
        <v>146</v>
      </c>
      <c r="C67" s="66">
        <v>90.262</v>
      </c>
      <c r="D67" s="66">
        <v>0</v>
      </c>
      <c r="E67" s="66">
        <v>95.012699999999995</v>
      </c>
      <c r="F67" s="66">
        <v>90.262</v>
      </c>
      <c r="G67" s="66">
        <v>4.7507000000000001</v>
      </c>
      <c r="H67" s="66">
        <v>90.262</v>
      </c>
      <c r="I67" s="66">
        <v>0</v>
      </c>
      <c r="J67" s="66">
        <v>95.012631530000007</v>
      </c>
      <c r="K67" s="66">
        <v>90.262</v>
      </c>
      <c r="L67" s="66">
        <v>0</v>
      </c>
      <c r="M67" s="66">
        <v>4.7506315300000006</v>
      </c>
      <c r="N67" s="67">
        <v>100</v>
      </c>
      <c r="O67" s="67">
        <v>99.998558738712191</v>
      </c>
      <c r="P67" s="67">
        <v>4.9999999510591389</v>
      </c>
      <c r="Q67" s="66">
        <v>0</v>
      </c>
      <c r="R67" s="67">
        <v>0</v>
      </c>
      <c r="S67" s="66">
        <v>90.262</v>
      </c>
      <c r="T67" s="66">
        <v>0</v>
      </c>
      <c r="U67" s="66">
        <v>95.012699999999995</v>
      </c>
      <c r="V67" s="66">
        <v>90.262</v>
      </c>
      <c r="W67" s="66">
        <v>4.7507000000000001</v>
      </c>
      <c r="X67" s="66">
        <v>90.262</v>
      </c>
      <c r="Y67" s="66">
        <v>0</v>
      </c>
      <c r="Z67" s="66">
        <v>95.012631530000007</v>
      </c>
      <c r="AA67" s="66">
        <v>90.262</v>
      </c>
      <c r="AB67" s="66">
        <v>0</v>
      </c>
      <c r="AC67" s="66">
        <v>4.7506315300000006</v>
      </c>
      <c r="AD67" s="67">
        <v>100</v>
      </c>
      <c r="AE67" s="67">
        <v>99.998558738712191</v>
      </c>
      <c r="AF67" s="67">
        <v>4.9999999510591389</v>
      </c>
      <c r="AG67" s="210">
        <v>0</v>
      </c>
      <c r="AH67" s="67">
        <v>0</v>
      </c>
      <c r="AI67" s="66">
        <v>0</v>
      </c>
      <c r="AJ67" s="66">
        <v>0</v>
      </c>
      <c r="AK67" s="66">
        <v>0</v>
      </c>
      <c r="AL67" s="66">
        <v>0</v>
      </c>
      <c r="AM67" s="66">
        <v>0</v>
      </c>
      <c r="AN67" s="66">
        <v>0</v>
      </c>
      <c r="AO67" s="66">
        <v>0</v>
      </c>
      <c r="AP67" s="66">
        <v>0</v>
      </c>
      <c r="AQ67" s="66">
        <v>0</v>
      </c>
      <c r="AR67" s="66">
        <v>0</v>
      </c>
      <c r="AS67" s="66">
        <v>0</v>
      </c>
      <c r="AT67" s="67" t="s">
        <v>1094</v>
      </c>
      <c r="AU67" s="67" t="s">
        <v>1094</v>
      </c>
      <c r="AV67" s="67">
        <v>0</v>
      </c>
      <c r="AW67" s="210">
        <v>0</v>
      </c>
      <c r="AX67" s="67">
        <v>0</v>
      </c>
    </row>
    <row r="68" spans="1:50" ht="15.75" x14ac:dyDescent="0.25">
      <c r="A68" s="11">
        <v>57</v>
      </c>
      <c r="B68" s="189" t="s">
        <v>149</v>
      </c>
      <c r="C68" s="66">
        <v>223.33369999999999</v>
      </c>
      <c r="D68" s="66">
        <v>0</v>
      </c>
      <c r="E68" s="66">
        <v>464.63369999999998</v>
      </c>
      <c r="F68" s="66">
        <v>223.33369999999999</v>
      </c>
      <c r="G68" s="66">
        <v>241.3</v>
      </c>
      <c r="H68" s="66">
        <v>223.33369999999999</v>
      </c>
      <c r="I68" s="66">
        <v>0</v>
      </c>
      <c r="J68" s="66">
        <v>464.60099841000005</v>
      </c>
      <c r="K68" s="66">
        <v>223.33369999999999</v>
      </c>
      <c r="L68" s="66">
        <v>0</v>
      </c>
      <c r="M68" s="66">
        <v>241.26729841</v>
      </c>
      <c r="N68" s="67">
        <v>100</v>
      </c>
      <c r="O68" s="67">
        <v>99.986447745544965</v>
      </c>
      <c r="P68" s="67">
        <v>51.929999986157362</v>
      </c>
      <c r="Q68" s="66">
        <v>0</v>
      </c>
      <c r="R68" s="67">
        <v>0</v>
      </c>
      <c r="S68" s="66">
        <v>223.33369999999999</v>
      </c>
      <c r="T68" s="66">
        <v>0</v>
      </c>
      <c r="U68" s="66">
        <v>464.63369999999998</v>
      </c>
      <c r="V68" s="66">
        <v>223.33369999999999</v>
      </c>
      <c r="W68" s="66">
        <v>241.3</v>
      </c>
      <c r="X68" s="66">
        <v>223.33369999999999</v>
      </c>
      <c r="Y68" s="66">
        <v>0</v>
      </c>
      <c r="Z68" s="66">
        <v>464.60099841000005</v>
      </c>
      <c r="AA68" s="66">
        <v>223.33369999999999</v>
      </c>
      <c r="AB68" s="66">
        <v>0</v>
      </c>
      <c r="AC68" s="66">
        <v>241.26729841</v>
      </c>
      <c r="AD68" s="67">
        <v>100</v>
      </c>
      <c r="AE68" s="67">
        <v>99.986447745544965</v>
      </c>
      <c r="AF68" s="67">
        <v>51.929999986157362</v>
      </c>
      <c r="AG68" s="210">
        <v>0</v>
      </c>
      <c r="AH68" s="67">
        <v>0</v>
      </c>
      <c r="AI68" s="66">
        <v>0</v>
      </c>
      <c r="AJ68" s="66">
        <v>0</v>
      </c>
      <c r="AK68" s="66">
        <v>0</v>
      </c>
      <c r="AL68" s="66">
        <v>0</v>
      </c>
      <c r="AM68" s="66">
        <v>0</v>
      </c>
      <c r="AN68" s="66">
        <v>0</v>
      </c>
      <c r="AO68" s="66">
        <v>0</v>
      </c>
      <c r="AP68" s="66">
        <v>0</v>
      </c>
      <c r="AQ68" s="66">
        <v>0</v>
      </c>
      <c r="AR68" s="66">
        <v>0</v>
      </c>
      <c r="AS68" s="66">
        <v>0</v>
      </c>
      <c r="AT68" s="67" t="s">
        <v>1094</v>
      </c>
      <c r="AU68" s="67" t="s">
        <v>1094</v>
      </c>
      <c r="AV68" s="67">
        <v>0</v>
      </c>
      <c r="AW68" s="210">
        <v>0</v>
      </c>
      <c r="AX68" s="67">
        <v>0</v>
      </c>
    </row>
    <row r="69" spans="1:50" ht="15.75" x14ac:dyDescent="0.25">
      <c r="A69" s="11">
        <v>58</v>
      </c>
      <c r="B69" s="189" t="s">
        <v>152</v>
      </c>
      <c r="C69" s="66">
        <v>415.80889999999999</v>
      </c>
      <c r="D69" s="66">
        <v>0</v>
      </c>
      <c r="E69" s="66">
        <v>465.80889999999999</v>
      </c>
      <c r="F69" s="66">
        <v>415.80889999999999</v>
      </c>
      <c r="G69" s="66">
        <v>50</v>
      </c>
      <c r="H69" s="66">
        <v>415.80889999999999</v>
      </c>
      <c r="I69" s="66">
        <v>0</v>
      </c>
      <c r="J69" s="66">
        <v>465.80889999999999</v>
      </c>
      <c r="K69" s="66">
        <v>415.80889999999999</v>
      </c>
      <c r="L69" s="66">
        <v>0</v>
      </c>
      <c r="M69" s="66">
        <v>50</v>
      </c>
      <c r="N69" s="67">
        <v>100</v>
      </c>
      <c r="O69" s="67">
        <v>100</v>
      </c>
      <c r="P69" s="67">
        <v>10.734015601676997</v>
      </c>
      <c r="Q69" s="66">
        <v>0</v>
      </c>
      <c r="R69" s="67">
        <v>0</v>
      </c>
      <c r="S69" s="66">
        <v>415.80889999999999</v>
      </c>
      <c r="T69" s="66">
        <v>0</v>
      </c>
      <c r="U69" s="66">
        <v>465.80889999999999</v>
      </c>
      <c r="V69" s="66">
        <v>415.80889999999999</v>
      </c>
      <c r="W69" s="66">
        <v>50</v>
      </c>
      <c r="X69" s="66">
        <v>415.80889999999999</v>
      </c>
      <c r="Y69" s="66">
        <v>0</v>
      </c>
      <c r="Z69" s="66">
        <v>465.80889999999999</v>
      </c>
      <c r="AA69" s="66">
        <v>415.80889999999999</v>
      </c>
      <c r="AB69" s="66">
        <v>0</v>
      </c>
      <c r="AC69" s="66">
        <v>50</v>
      </c>
      <c r="AD69" s="67">
        <v>100</v>
      </c>
      <c r="AE69" s="67">
        <v>100</v>
      </c>
      <c r="AF69" s="67">
        <v>10.734015601676997</v>
      </c>
      <c r="AG69" s="210">
        <v>0</v>
      </c>
      <c r="AH69" s="67">
        <v>0</v>
      </c>
      <c r="AI69" s="66">
        <v>0</v>
      </c>
      <c r="AJ69" s="66">
        <v>0</v>
      </c>
      <c r="AK69" s="66">
        <v>0</v>
      </c>
      <c r="AL69" s="66">
        <v>0</v>
      </c>
      <c r="AM69" s="66">
        <v>0</v>
      </c>
      <c r="AN69" s="66">
        <v>0</v>
      </c>
      <c r="AO69" s="66">
        <v>0</v>
      </c>
      <c r="AP69" s="66">
        <v>0</v>
      </c>
      <c r="AQ69" s="66">
        <v>0</v>
      </c>
      <c r="AR69" s="66">
        <v>0</v>
      </c>
      <c r="AS69" s="66">
        <v>0</v>
      </c>
      <c r="AT69" s="67" t="s">
        <v>1094</v>
      </c>
      <c r="AU69" s="67" t="s">
        <v>1094</v>
      </c>
      <c r="AV69" s="67">
        <v>0</v>
      </c>
      <c r="AW69" s="210">
        <v>0</v>
      </c>
      <c r="AX69" s="67">
        <v>0</v>
      </c>
    </row>
    <row r="70" spans="1:50" ht="15.75" x14ac:dyDescent="0.25">
      <c r="A70" s="11">
        <v>59</v>
      </c>
      <c r="B70" s="189" t="s">
        <v>155</v>
      </c>
      <c r="C70" s="66">
        <v>254.0719</v>
      </c>
      <c r="D70" s="66">
        <v>0</v>
      </c>
      <c r="E70" s="66">
        <v>594.44715299999996</v>
      </c>
      <c r="F70" s="66">
        <v>254.0719</v>
      </c>
      <c r="G70" s="66">
        <v>340.37525299999999</v>
      </c>
      <c r="H70" s="66">
        <v>254.0719</v>
      </c>
      <c r="I70" s="66">
        <v>0</v>
      </c>
      <c r="J70" s="66">
        <v>594.44715299999996</v>
      </c>
      <c r="K70" s="66">
        <v>254.0719</v>
      </c>
      <c r="L70" s="66">
        <v>0</v>
      </c>
      <c r="M70" s="66">
        <v>340.37525299999999</v>
      </c>
      <c r="N70" s="67">
        <v>100</v>
      </c>
      <c r="O70" s="67">
        <v>100</v>
      </c>
      <c r="P70" s="67">
        <v>57.259127456869152</v>
      </c>
      <c r="Q70" s="66">
        <v>0</v>
      </c>
      <c r="R70" s="67">
        <v>0</v>
      </c>
      <c r="S70" s="66">
        <v>254.0719</v>
      </c>
      <c r="T70" s="66">
        <v>0</v>
      </c>
      <c r="U70" s="66">
        <v>594.44715299999996</v>
      </c>
      <c r="V70" s="66">
        <v>254.0719</v>
      </c>
      <c r="W70" s="66">
        <v>340.37525299999999</v>
      </c>
      <c r="X70" s="66">
        <v>254.0719</v>
      </c>
      <c r="Y70" s="66">
        <v>0</v>
      </c>
      <c r="Z70" s="66">
        <v>594.44715299999996</v>
      </c>
      <c r="AA70" s="66">
        <v>254.0719</v>
      </c>
      <c r="AB70" s="66">
        <v>0</v>
      </c>
      <c r="AC70" s="66">
        <v>340.37525299999999</v>
      </c>
      <c r="AD70" s="67">
        <v>100</v>
      </c>
      <c r="AE70" s="67">
        <v>100</v>
      </c>
      <c r="AF70" s="67">
        <v>57.259127456869152</v>
      </c>
      <c r="AG70" s="210">
        <v>0</v>
      </c>
      <c r="AH70" s="67">
        <v>0</v>
      </c>
      <c r="AI70" s="66">
        <v>0</v>
      </c>
      <c r="AJ70" s="66">
        <v>0</v>
      </c>
      <c r="AK70" s="66">
        <v>0</v>
      </c>
      <c r="AL70" s="66">
        <v>0</v>
      </c>
      <c r="AM70" s="66">
        <v>0</v>
      </c>
      <c r="AN70" s="66">
        <v>0</v>
      </c>
      <c r="AO70" s="66">
        <v>0</v>
      </c>
      <c r="AP70" s="66">
        <v>0</v>
      </c>
      <c r="AQ70" s="66">
        <v>0</v>
      </c>
      <c r="AR70" s="66">
        <v>0</v>
      </c>
      <c r="AS70" s="66">
        <v>0</v>
      </c>
      <c r="AT70" s="67" t="s">
        <v>1094</v>
      </c>
      <c r="AU70" s="67" t="s">
        <v>1094</v>
      </c>
      <c r="AV70" s="67">
        <v>0</v>
      </c>
      <c r="AW70" s="210">
        <v>0</v>
      </c>
      <c r="AX70" s="67">
        <v>0</v>
      </c>
    </row>
    <row r="71" spans="1:50" ht="15.75" x14ac:dyDescent="0.25">
      <c r="A71" s="11">
        <v>60</v>
      </c>
      <c r="B71" s="189" t="s">
        <v>158</v>
      </c>
      <c r="C71" s="66">
        <v>75.744100000000003</v>
      </c>
      <c r="D71" s="66">
        <v>0</v>
      </c>
      <c r="E71" s="66">
        <v>122.72280000000001</v>
      </c>
      <c r="F71" s="66">
        <v>75.744100000000003</v>
      </c>
      <c r="G71" s="66">
        <v>46.978700000000003</v>
      </c>
      <c r="H71" s="66">
        <v>75.743837079999992</v>
      </c>
      <c r="I71" s="66">
        <v>0</v>
      </c>
      <c r="J71" s="66">
        <v>122.72237431999999</v>
      </c>
      <c r="K71" s="66">
        <v>75.743837079999992</v>
      </c>
      <c r="L71" s="66">
        <v>0</v>
      </c>
      <c r="M71" s="66">
        <v>46.978537240000001</v>
      </c>
      <c r="N71" s="67">
        <v>99.999652883854964</v>
      </c>
      <c r="O71" s="67">
        <v>99.999653545117255</v>
      </c>
      <c r="P71" s="67">
        <v>38.28033600254745</v>
      </c>
      <c r="Q71" s="66">
        <v>0</v>
      </c>
      <c r="R71" s="67">
        <v>0</v>
      </c>
      <c r="S71" s="66">
        <v>75.744100000000003</v>
      </c>
      <c r="T71" s="66">
        <v>0</v>
      </c>
      <c r="U71" s="66">
        <v>122.72280000000001</v>
      </c>
      <c r="V71" s="66">
        <v>75.744100000000003</v>
      </c>
      <c r="W71" s="66">
        <v>46.978700000000003</v>
      </c>
      <c r="X71" s="66">
        <v>75.743837079999992</v>
      </c>
      <c r="Y71" s="66">
        <v>0</v>
      </c>
      <c r="Z71" s="66">
        <v>122.72237431999999</v>
      </c>
      <c r="AA71" s="66">
        <v>75.743837079999992</v>
      </c>
      <c r="AB71" s="66">
        <v>0</v>
      </c>
      <c r="AC71" s="66">
        <v>46.978537240000001</v>
      </c>
      <c r="AD71" s="67">
        <v>99.999652883854964</v>
      </c>
      <c r="AE71" s="67">
        <v>99.999653545117255</v>
      </c>
      <c r="AF71" s="67">
        <v>38.28033600254745</v>
      </c>
      <c r="AG71" s="210">
        <v>0</v>
      </c>
      <c r="AH71" s="67">
        <v>0</v>
      </c>
      <c r="AI71" s="66">
        <v>0</v>
      </c>
      <c r="AJ71" s="66">
        <v>0</v>
      </c>
      <c r="AK71" s="66">
        <v>0</v>
      </c>
      <c r="AL71" s="66">
        <v>0</v>
      </c>
      <c r="AM71" s="66">
        <v>0</v>
      </c>
      <c r="AN71" s="66">
        <v>0</v>
      </c>
      <c r="AO71" s="66">
        <v>0</v>
      </c>
      <c r="AP71" s="66">
        <v>0</v>
      </c>
      <c r="AQ71" s="66">
        <v>0</v>
      </c>
      <c r="AR71" s="66">
        <v>0</v>
      </c>
      <c r="AS71" s="66">
        <v>0</v>
      </c>
      <c r="AT71" s="67" t="s">
        <v>1094</v>
      </c>
      <c r="AU71" s="67" t="s">
        <v>1094</v>
      </c>
      <c r="AV71" s="67">
        <v>0</v>
      </c>
      <c r="AW71" s="210">
        <v>0</v>
      </c>
      <c r="AX71" s="67">
        <v>0</v>
      </c>
    </row>
    <row r="72" spans="1:50" ht="15.75" x14ac:dyDescent="0.25">
      <c r="A72" s="11">
        <v>61</v>
      </c>
      <c r="B72" s="189" t="s">
        <v>161</v>
      </c>
      <c r="C72" s="66">
        <v>100.76600000000001</v>
      </c>
      <c r="D72" s="66">
        <v>0</v>
      </c>
      <c r="E72" s="66">
        <v>106.069474</v>
      </c>
      <c r="F72" s="66">
        <v>100.76600000000001</v>
      </c>
      <c r="G72" s="66">
        <v>5.3034739999999996</v>
      </c>
      <c r="H72" s="66">
        <v>100.76600000000001</v>
      </c>
      <c r="I72" s="66">
        <v>0</v>
      </c>
      <c r="J72" s="66">
        <v>106.069474</v>
      </c>
      <c r="K72" s="66">
        <v>100.76600000000001</v>
      </c>
      <c r="L72" s="66">
        <v>0</v>
      </c>
      <c r="M72" s="66">
        <v>5.3034739999999996</v>
      </c>
      <c r="N72" s="67">
        <v>100</v>
      </c>
      <c r="O72" s="67">
        <v>100</v>
      </c>
      <c r="P72" s="67">
        <v>5.0000002828334944</v>
      </c>
      <c r="Q72" s="66">
        <v>0</v>
      </c>
      <c r="R72" s="67">
        <v>0</v>
      </c>
      <c r="S72" s="66">
        <v>100.76600000000001</v>
      </c>
      <c r="T72" s="66">
        <v>0</v>
      </c>
      <c r="U72" s="66">
        <v>106.069474</v>
      </c>
      <c r="V72" s="66">
        <v>100.76600000000001</v>
      </c>
      <c r="W72" s="66">
        <v>5.3034739999999996</v>
      </c>
      <c r="X72" s="66">
        <v>100.76600000000001</v>
      </c>
      <c r="Y72" s="66">
        <v>0</v>
      </c>
      <c r="Z72" s="66">
        <v>106.069474</v>
      </c>
      <c r="AA72" s="66">
        <v>100.76600000000001</v>
      </c>
      <c r="AB72" s="66">
        <v>0</v>
      </c>
      <c r="AC72" s="66">
        <v>5.3034739999999996</v>
      </c>
      <c r="AD72" s="67">
        <v>100</v>
      </c>
      <c r="AE72" s="67">
        <v>100</v>
      </c>
      <c r="AF72" s="67">
        <v>5.0000002828334944</v>
      </c>
      <c r="AG72" s="210">
        <v>0</v>
      </c>
      <c r="AH72" s="67">
        <v>0</v>
      </c>
      <c r="AI72" s="66">
        <v>0</v>
      </c>
      <c r="AJ72" s="66">
        <v>0</v>
      </c>
      <c r="AK72" s="66">
        <v>0</v>
      </c>
      <c r="AL72" s="66">
        <v>0</v>
      </c>
      <c r="AM72" s="66">
        <v>0</v>
      </c>
      <c r="AN72" s="66">
        <v>0</v>
      </c>
      <c r="AO72" s="66">
        <v>0</v>
      </c>
      <c r="AP72" s="66">
        <v>0</v>
      </c>
      <c r="AQ72" s="66">
        <v>0</v>
      </c>
      <c r="AR72" s="66">
        <v>0</v>
      </c>
      <c r="AS72" s="66">
        <v>0</v>
      </c>
      <c r="AT72" s="67" t="s">
        <v>1094</v>
      </c>
      <c r="AU72" s="67" t="s">
        <v>1094</v>
      </c>
      <c r="AV72" s="67">
        <v>0</v>
      </c>
      <c r="AW72" s="210">
        <v>0</v>
      </c>
      <c r="AX72" s="67">
        <v>0</v>
      </c>
    </row>
    <row r="73" spans="1:50" ht="15.75" x14ac:dyDescent="0.25">
      <c r="A73" s="11">
        <v>62</v>
      </c>
      <c r="B73" s="189" t="s">
        <v>164</v>
      </c>
      <c r="C73" s="66">
        <v>63.798200000000001</v>
      </c>
      <c r="D73" s="66">
        <v>0</v>
      </c>
      <c r="E73" s="66">
        <v>210.51480000000001</v>
      </c>
      <c r="F73" s="66">
        <v>63.798200000000001</v>
      </c>
      <c r="G73" s="66">
        <v>146.7166</v>
      </c>
      <c r="H73" s="66">
        <v>63.798200000000001</v>
      </c>
      <c r="I73" s="66">
        <v>0</v>
      </c>
      <c r="J73" s="66">
        <v>210.50869700000001</v>
      </c>
      <c r="K73" s="66">
        <v>63.798200000000001</v>
      </c>
      <c r="L73" s="66">
        <v>0</v>
      </c>
      <c r="M73" s="66">
        <v>146.710497</v>
      </c>
      <c r="N73" s="67">
        <v>100</v>
      </c>
      <c r="O73" s="67">
        <v>99.995840279832009</v>
      </c>
      <c r="P73" s="67">
        <v>69.69331865656838</v>
      </c>
      <c r="Q73" s="66">
        <v>0</v>
      </c>
      <c r="R73" s="67">
        <v>0</v>
      </c>
      <c r="S73" s="66">
        <v>63.798200000000001</v>
      </c>
      <c r="T73" s="66">
        <v>0</v>
      </c>
      <c r="U73" s="66">
        <v>210.51480000000001</v>
      </c>
      <c r="V73" s="66">
        <v>63.798200000000001</v>
      </c>
      <c r="W73" s="66">
        <v>146.7166</v>
      </c>
      <c r="X73" s="66">
        <v>63.798200000000001</v>
      </c>
      <c r="Y73" s="66">
        <v>0</v>
      </c>
      <c r="Z73" s="66">
        <v>210.50869700000001</v>
      </c>
      <c r="AA73" s="66">
        <v>63.798200000000001</v>
      </c>
      <c r="AB73" s="66">
        <v>0</v>
      </c>
      <c r="AC73" s="66">
        <v>146.710497</v>
      </c>
      <c r="AD73" s="67">
        <v>100</v>
      </c>
      <c r="AE73" s="67">
        <v>99.995840279832009</v>
      </c>
      <c r="AF73" s="67">
        <v>69.69331865656838</v>
      </c>
      <c r="AG73" s="210">
        <v>0</v>
      </c>
      <c r="AH73" s="67">
        <v>0</v>
      </c>
      <c r="AI73" s="66">
        <v>0</v>
      </c>
      <c r="AJ73" s="66">
        <v>0</v>
      </c>
      <c r="AK73" s="66">
        <v>0</v>
      </c>
      <c r="AL73" s="66">
        <v>0</v>
      </c>
      <c r="AM73" s="66">
        <v>0</v>
      </c>
      <c r="AN73" s="66">
        <v>0</v>
      </c>
      <c r="AO73" s="66">
        <v>0</v>
      </c>
      <c r="AP73" s="66">
        <v>0</v>
      </c>
      <c r="AQ73" s="66">
        <v>0</v>
      </c>
      <c r="AR73" s="66">
        <v>0</v>
      </c>
      <c r="AS73" s="66">
        <v>0</v>
      </c>
      <c r="AT73" s="67" t="s">
        <v>1094</v>
      </c>
      <c r="AU73" s="67" t="s">
        <v>1094</v>
      </c>
      <c r="AV73" s="67">
        <v>0</v>
      </c>
      <c r="AW73" s="210">
        <v>0</v>
      </c>
      <c r="AX73" s="67">
        <v>0</v>
      </c>
    </row>
    <row r="74" spans="1:50" ht="15.75" x14ac:dyDescent="0.25">
      <c r="A74" s="11">
        <v>63</v>
      </c>
      <c r="B74" s="189" t="s">
        <v>167</v>
      </c>
      <c r="C74" s="66">
        <v>69.916300000000007</v>
      </c>
      <c r="D74" s="66">
        <v>0</v>
      </c>
      <c r="E74" s="66">
        <v>73.596109999999996</v>
      </c>
      <c r="F74" s="66">
        <v>69.916300000000007</v>
      </c>
      <c r="G74" s="66">
        <v>3.6798099999999998</v>
      </c>
      <c r="H74" s="66">
        <v>69.916300000000007</v>
      </c>
      <c r="I74" s="66">
        <v>0</v>
      </c>
      <c r="J74" s="66">
        <v>73.596109999999996</v>
      </c>
      <c r="K74" s="66">
        <v>69.916300000000007</v>
      </c>
      <c r="L74" s="66">
        <v>0</v>
      </c>
      <c r="M74" s="66">
        <v>3.6798099999999998</v>
      </c>
      <c r="N74" s="67">
        <v>100</v>
      </c>
      <c r="O74" s="67">
        <v>100</v>
      </c>
      <c r="P74" s="67">
        <v>5.000006114453603</v>
      </c>
      <c r="Q74" s="66">
        <v>0</v>
      </c>
      <c r="R74" s="67">
        <v>0</v>
      </c>
      <c r="S74" s="66">
        <v>69.916300000000007</v>
      </c>
      <c r="T74" s="66">
        <v>0</v>
      </c>
      <c r="U74" s="66">
        <v>73.596109999999996</v>
      </c>
      <c r="V74" s="66">
        <v>69.916300000000007</v>
      </c>
      <c r="W74" s="66">
        <v>3.6798099999999998</v>
      </c>
      <c r="X74" s="66">
        <v>69.916300000000007</v>
      </c>
      <c r="Y74" s="66">
        <v>0</v>
      </c>
      <c r="Z74" s="66">
        <v>73.596109999999996</v>
      </c>
      <c r="AA74" s="66">
        <v>69.916300000000007</v>
      </c>
      <c r="AB74" s="66">
        <v>0</v>
      </c>
      <c r="AC74" s="66">
        <v>3.6798099999999998</v>
      </c>
      <c r="AD74" s="67">
        <v>100</v>
      </c>
      <c r="AE74" s="67">
        <v>100</v>
      </c>
      <c r="AF74" s="67">
        <v>5.000006114453603</v>
      </c>
      <c r="AG74" s="210">
        <v>0</v>
      </c>
      <c r="AH74" s="67">
        <v>0</v>
      </c>
      <c r="AI74" s="66">
        <v>0</v>
      </c>
      <c r="AJ74" s="66">
        <v>0</v>
      </c>
      <c r="AK74" s="66">
        <v>0</v>
      </c>
      <c r="AL74" s="66">
        <v>0</v>
      </c>
      <c r="AM74" s="66">
        <v>0</v>
      </c>
      <c r="AN74" s="66">
        <v>0</v>
      </c>
      <c r="AO74" s="66">
        <v>0</v>
      </c>
      <c r="AP74" s="66">
        <v>0</v>
      </c>
      <c r="AQ74" s="66">
        <v>0</v>
      </c>
      <c r="AR74" s="66">
        <v>0</v>
      </c>
      <c r="AS74" s="66">
        <v>0</v>
      </c>
      <c r="AT74" s="67" t="s">
        <v>1094</v>
      </c>
      <c r="AU74" s="67" t="s">
        <v>1094</v>
      </c>
      <c r="AV74" s="67">
        <v>0</v>
      </c>
      <c r="AW74" s="210">
        <v>0</v>
      </c>
      <c r="AX74" s="67">
        <v>0</v>
      </c>
    </row>
    <row r="75" spans="1:50" ht="15.75" x14ac:dyDescent="0.25">
      <c r="A75" s="74">
        <v>64</v>
      </c>
      <c r="B75" s="189" t="s">
        <v>170</v>
      </c>
      <c r="C75" s="66">
        <v>42.261699999999998</v>
      </c>
      <c r="D75" s="66">
        <v>0</v>
      </c>
      <c r="E75" s="66">
        <v>51.261699999999998</v>
      </c>
      <c r="F75" s="66">
        <v>42.261699999999998</v>
      </c>
      <c r="G75" s="66">
        <v>9</v>
      </c>
      <c r="H75" s="66">
        <v>42.261699999999998</v>
      </c>
      <c r="I75" s="66">
        <v>0</v>
      </c>
      <c r="J75" s="66">
        <v>51.261699999999998</v>
      </c>
      <c r="K75" s="66">
        <v>42.261699999999998</v>
      </c>
      <c r="L75" s="66">
        <v>0</v>
      </c>
      <c r="M75" s="66">
        <v>9</v>
      </c>
      <c r="N75" s="67">
        <v>100</v>
      </c>
      <c r="O75" s="67">
        <v>100</v>
      </c>
      <c r="P75" s="67">
        <v>17.556967482545449</v>
      </c>
      <c r="Q75" s="66">
        <v>0</v>
      </c>
      <c r="R75" s="67">
        <v>0</v>
      </c>
      <c r="S75" s="66">
        <v>42.261699999999998</v>
      </c>
      <c r="T75" s="66">
        <v>0</v>
      </c>
      <c r="U75" s="66">
        <v>51.261699999999998</v>
      </c>
      <c r="V75" s="66">
        <v>42.261699999999998</v>
      </c>
      <c r="W75" s="66">
        <v>9</v>
      </c>
      <c r="X75" s="66">
        <v>42.261699999999998</v>
      </c>
      <c r="Y75" s="66">
        <v>0</v>
      </c>
      <c r="Z75" s="66">
        <v>51.261699999999998</v>
      </c>
      <c r="AA75" s="66">
        <v>42.261699999999998</v>
      </c>
      <c r="AB75" s="66">
        <v>0</v>
      </c>
      <c r="AC75" s="66">
        <v>9</v>
      </c>
      <c r="AD75" s="67">
        <v>100</v>
      </c>
      <c r="AE75" s="67">
        <v>100</v>
      </c>
      <c r="AF75" s="67">
        <v>17.556967482545449</v>
      </c>
      <c r="AG75" s="210">
        <v>0</v>
      </c>
      <c r="AH75" s="67">
        <v>0</v>
      </c>
      <c r="AI75" s="66">
        <v>0</v>
      </c>
      <c r="AJ75" s="66">
        <v>0</v>
      </c>
      <c r="AK75" s="66">
        <v>0</v>
      </c>
      <c r="AL75" s="66">
        <v>0</v>
      </c>
      <c r="AM75" s="66">
        <v>0</v>
      </c>
      <c r="AN75" s="66">
        <v>0</v>
      </c>
      <c r="AO75" s="66">
        <v>0</v>
      </c>
      <c r="AP75" s="66">
        <v>0</v>
      </c>
      <c r="AQ75" s="66">
        <v>0</v>
      </c>
      <c r="AR75" s="66">
        <v>0</v>
      </c>
      <c r="AS75" s="66">
        <v>0</v>
      </c>
      <c r="AT75" s="67" t="s">
        <v>1094</v>
      </c>
      <c r="AU75" s="67" t="s">
        <v>1094</v>
      </c>
      <c r="AV75" s="67">
        <v>0</v>
      </c>
      <c r="AW75" s="210">
        <v>0</v>
      </c>
      <c r="AX75" s="67">
        <v>0</v>
      </c>
    </row>
    <row r="76" spans="1:50" ht="15.75" x14ac:dyDescent="0.25">
      <c r="A76" s="57">
        <v>65</v>
      </c>
      <c r="B76" s="190" t="s">
        <v>173</v>
      </c>
      <c r="C76" s="61">
        <v>402.37729999999999</v>
      </c>
      <c r="D76" s="61">
        <v>0</v>
      </c>
      <c r="E76" s="61">
        <v>2471.34285</v>
      </c>
      <c r="F76" s="61">
        <v>402.37729999999999</v>
      </c>
      <c r="G76" s="61">
        <v>2068.9655500000003</v>
      </c>
      <c r="H76" s="61">
        <v>402.37729999999999</v>
      </c>
      <c r="I76" s="61">
        <v>0</v>
      </c>
      <c r="J76" s="61">
        <v>2471.34285</v>
      </c>
      <c r="K76" s="61">
        <v>402.37729999999999</v>
      </c>
      <c r="L76" s="61">
        <v>0</v>
      </c>
      <c r="M76" s="61">
        <v>2068.9655500000003</v>
      </c>
      <c r="N76" s="61">
        <v>100</v>
      </c>
      <c r="O76" s="61">
        <v>100</v>
      </c>
      <c r="P76" s="61">
        <v>83.718272841018418</v>
      </c>
      <c r="Q76" s="61">
        <v>0</v>
      </c>
      <c r="R76" s="61">
        <v>0</v>
      </c>
      <c r="S76" s="61">
        <v>402.37729999999999</v>
      </c>
      <c r="T76" s="61">
        <v>0</v>
      </c>
      <c r="U76" s="61">
        <v>2471.34285</v>
      </c>
      <c r="V76" s="61">
        <v>402.37729999999999</v>
      </c>
      <c r="W76" s="61">
        <v>2068.9655500000003</v>
      </c>
      <c r="X76" s="61">
        <v>402.37729999999999</v>
      </c>
      <c r="Y76" s="61">
        <v>0</v>
      </c>
      <c r="Z76" s="61">
        <v>2471.34285</v>
      </c>
      <c r="AA76" s="61">
        <v>402.37729999999999</v>
      </c>
      <c r="AB76" s="61">
        <v>0</v>
      </c>
      <c r="AC76" s="61">
        <v>2068.9655500000003</v>
      </c>
      <c r="AD76" s="61">
        <v>100</v>
      </c>
      <c r="AE76" s="61">
        <v>100</v>
      </c>
      <c r="AF76" s="61">
        <v>83.718272841018418</v>
      </c>
      <c r="AG76" s="61">
        <v>0</v>
      </c>
      <c r="AH76" s="61">
        <v>0</v>
      </c>
      <c r="AI76" s="61">
        <v>0</v>
      </c>
      <c r="AJ76" s="61">
        <v>0</v>
      </c>
      <c r="AK76" s="61">
        <v>0</v>
      </c>
      <c r="AL76" s="61">
        <v>0</v>
      </c>
      <c r="AM76" s="61">
        <v>0</v>
      </c>
      <c r="AN76" s="61">
        <v>0</v>
      </c>
      <c r="AO76" s="61">
        <v>0</v>
      </c>
      <c r="AP76" s="61">
        <v>0</v>
      </c>
      <c r="AQ76" s="61">
        <v>0</v>
      </c>
      <c r="AR76" s="61">
        <v>0</v>
      </c>
      <c r="AS76" s="61">
        <v>0</v>
      </c>
      <c r="AT76" s="61" t="s">
        <v>1094</v>
      </c>
      <c r="AU76" s="61" t="s">
        <v>1094</v>
      </c>
      <c r="AV76" s="61">
        <v>0</v>
      </c>
      <c r="AW76" s="61">
        <v>0</v>
      </c>
      <c r="AX76" s="61">
        <v>0</v>
      </c>
    </row>
    <row r="77" spans="1:50" ht="15.75" x14ac:dyDescent="0.25">
      <c r="A77" s="11">
        <v>66</v>
      </c>
      <c r="B77" s="189" t="s">
        <v>176</v>
      </c>
      <c r="C77" s="66">
        <v>34.4696</v>
      </c>
      <c r="D77" s="66">
        <v>0</v>
      </c>
      <c r="E77" s="66">
        <v>55.779200000000003</v>
      </c>
      <c r="F77" s="66">
        <v>34.4696</v>
      </c>
      <c r="G77" s="66">
        <v>21.3096</v>
      </c>
      <c r="H77" s="66">
        <v>34.4696</v>
      </c>
      <c r="I77" s="66">
        <v>0</v>
      </c>
      <c r="J77" s="66">
        <v>55.779200000000003</v>
      </c>
      <c r="K77" s="66">
        <v>34.4696</v>
      </c>
      <c r="L77" s="66">
        <v>0</v>
      </c>
      <c r="M77" s="66">
        <v>21.3096</v>
      </c>
      <c r="N77" s="67">
        <v>100</v>
      </c>
      <c r="O77" s="67">
        <v>100</v>
      </c>
      <c r="P77" s="67">
        <v>38.203488038552003</v>
      </c>
      <c r="Q77" s="66">
        <v>0</v>
      </c>
      <c r="R77" s="67">
        <v>0</v>
      </c>
      <c r="S77" s="66">
        <v>34.4696</v>
      </c>
      <c r="T77" s="66">
        <v>0</v>
      </c>
      <c r="U77" s="66">
        <v>55.779200000000003</v>
      </c>
      <c r="V77" s="66">
        <v>34.4696</v>
      </c>
      <c r="W77" s="66">
        <v>21.3096</v>
      </c>
      <c r="X77" s="66">
        <v>34.4696</v>
      </c>
      <c r="Y77" s="66">
        <v>0</v>
      </c>
      <c r="Z77" s="66">
        <v>55.779200000000003</v>
      </c>
      <c r="AA77" s="66">
        <v>34.4696</v>
      </c>
      <c r="AB77" s="66">
        <v>0</v>
      </c>
      <c r="AC77" s="66">
        <v>21.3096</v>
      </c>
      <c r="AD77" s="67">
        <v>100</v>
      </c>
      <c r="AE77" s="67">
        <v>100</v>
      </c>
      <c r="AF77" s="67">
        <v>38.203488038552003</v>
      </c>
      <c r="AG77" s="210">
        <v>0</v>
      </c>
      <c r="AH77" s="67">
        <v>0</v>
      </c>
      <c r="AI77" s="66">
        <v>0</v>
      </c>
      <c r="AJ77" s="66">
        <v>0</v>
      </c>
      <c r="AK77" s="66">
        <v>0</v>
      </c>
      <c r="AL77" s="66">
        <v>0</v>
      </c>
      <c r="AM77" s="66">
        <v>0</v>
      </c>
      <c r="AN77" s="66">
        <v>0</v>
      </c>
      <c r="AO77" s="66">
        <v>0</v>
      </c>
      <c r="AP77" s="66">
        <v>0</v>
      </c>
      <c r="AQ77" s="66">
        <v>0</v>
      </c>
      <c r="AR77" s="66">
        <v>0</v>
      </c>
      <c r="AS77" s="66">
        <v>0</v>
      </c>
      <c r="AT77" s="67" t="s">
        <v>1094</v>
      </c>
      <c r="AU77" s="67" t="s">
        <v>1094</v>
      </c>
      <c r="AV77" s="67">
        <v>0</v>
      </c>
      <c r="AW77" s="210">
        <v>0</v>
      </c>
      <c r="AX77" s="67">
        <v>0</v>
      </c>
    </row>
    <row r="78" spans="1:50" ht="15.75" x14ac:dyDescent="0.25">
      <c r="A78" s="11">
        <v>67</v>
      </c>
      <c r="B78" s="189" t="s">
        <v>179</v>
      </c>
      <c r="C78" s="66">
        <v>244.23929999999999</v>
      </c>
      <c r="D78" s="66">
        <v>0</v>
      </c>
      <c r="E78" s="66">
        <v>1571.3952999999999</v>
      </c>
      <c r="F78" s="66">
        <v>244.23929999999999</v>
      </c>
      <c r="G78" s="66">
        <v>1327.1559999999999</v>
      </c>
      <c r="H78" s="66">
        <v>244.23929999999999</v>
      </c>
      <c r="I78" s="66">
        <v>0</v>
      </c>
      <c r="J78" s="66">
        <v>1571.3952999999999</v>
      </c>
      <c r="K78" s="66">
        <v>244.23929999999999</v>
      </c>
      <c r="L78" s="66">
        <v>0</v>
      </c>
      <c r="M78" s="66">
        <v>1327.1559999999999</v>
      </c>
      <c r="N78" s="67">
        <v>100</v>
      </c>
      <c r="O78" s="67">
        <v>100</v>
      </c>
      <c r="P78" s="67">
        <v>84.457170006808596</v>
      </c>
      <c r="Q78" s="66">
        <v>0</v>
      </c>
      <c r="R78" s="67">
        <v>0</v>
      </c>
      <c r="S78" s="66">
        <v>244.23929999999999</v>
      </c>
      <c r="T78" s="66">
        <v>0</v>
      </c>
      <c r="U78" s="66">
        <v>1571.3952999999999</v>
      </c>
      <c r="V78" s="66">
        <v>244.23929999999999</v>
      </c>
      <c r="W78" s="66">
        <v>1327.1559999999999</v>
      </c>
      <c r="X78" s="66">
        <v>244.23929999999999</v>
      </c>
      <c r="Y78" s="66">
        <v>0</v>
      </c>
      <c r="Z78" s="66">
        <v>1571.3952999999999</v>
      </c>
      <c r="AA78" s="66">
        <v>244.23929999999999</v>
      </c>
      <c r="AB78" s="66">
        <v>0</v>
      </c>
      <c r="AC78" s="66">
        <v>1327.1559999999999</v>
      </c>
      <c r="AD78" s="67">
        <v>100</v>
      </c>
      <c r="AE78" s="67">
        <v>100</v>
      </c>
      <c r="AF78" s="67">
        <v>84.457170006808596</v>
      </c>
      <c r="AG78" s="210">
        <v>0</v>
      </c>
      <c r="AH78" s="67">
        <v>0</v>
      </c>
      <c r="AI78" s="66">
        <v>0</v>
      </c>
      <c r="AJ78" s="66">
        <v>0</v>
      </c>
      <c r="AK78" s="66">
        <v>0</v>
      </c>
      <c r="AL78" s="66">
        <v>0</v>
      </c>
      <c r="AM78" s="66">
        <v>0</v>
      </c>
      <c r="AN78" s="66">
        <v>0</v>
      </c>
      <c r="AO78" s="66">
        <v>0</v>
      </c>
      <c r="AP78" s="66">
        <v>0</v>
      </c>
      <c r="AQ78" s="66">
        <v>0</v>
      </c>
      <c r="AR78" s="66">
        <v>0</v>
      </c>
      <c r="AS78" s="66">
        <v>0</v>
      </c>
      <c r="AT78" s="67" t="s">
        <v>1094</v>
      </c>
      <c r="AU78" s="67" t="s">
        <v>1094</v>
      </c>
      <c r="AV78" s="67">
        <v>0</v>
      </c>
      <c r="AW78" s="210">
        <v>0</v>
      </c>
      <c r="AX78" s="67">
        <v>0</v>
      </c>
    </row>
    <row r="79" spans="1:50" ht="15.75" x14ac:dyDescent="0.25">
      <c r="A79" s="11">
        <v>68</v>
      </c>
      <c r="B79" s="189" t="s">
        <v>182</v>
      </c>
      <c r="C79" s="66">
        <v>50.625700000000002</v>
      </c>
      <c r="D79" s="66">
        <v>0</v>
      </c>
      <c r="E79" s="66">
        <v>625.00864999999999</v>
      </c>
      <c r="F79" s="66">
        <v>50.625700000000002</v>
      </c>
      <c r="G79" s="66">
        <v>574.38295000000005</v>
      </c>
      <c r="H79" s="66">
        <v>50.625700000000002</v>
      </c>
      <c r="I79" s="66">
        <v>0</v>
      </c>
      <c r="J79" s="66">
        <v>625.00864999999999</v>
      </c>
      <c r="K79" s="66">
        <v>50.625700000000002</v>
      </c>
      <c r="L79" s="66">
        <v>0</v>
      </c>
      <c r="M79" s="66">
        <v>574.38295000000005</v>
      </c>
      <c r="N79" s="67">
        <v>100</v>
      </c>
      <c r="O79" s="67">
        <v>100</v>
      </c>
      <c r="P79" s="67">
        <v>91.900000103998565</v>
      </c>
      <c r="Q79" s="66">
        <v>0</v>
      </c>
      <c r="R79" s="67">
        <v>0</v>
      </c>
      <c r="S79" s="66">
        <v>50.625700000000002</v>
      </c>
      <c r="T79" s="66">
        <v>0</v>
      </c>
      <c r="U79" s="66">
        <v>625.00864999999999</v>
      </c>
      <c r="V79" s="66">
        <v>50.625700000000002</v>
      </c>
      <c r="W79" s="66">
        <v>574.38295000000005</v>
      </c>
      <c r="X79" s="66">
        <v>50.625700000000002</v>
      </c>
      <c r="Y79" s="66">
        <v>0</v>
      </c>
      <c r="Z79" s="66">
        <v>625.00864999999999</v>
      </c>
      <c r="AA79" s="66">
        <v>50.625700000000002</v>
      </c>
      <c r="AB79" s="66">
        <v>0</v>
      </c>
      <c r="AC79" s="66">
        <v>574.38295000000005</v>
      </c>
      <c r="AD79" s="67">
        <v>100</v>
      </c>
      <c r="AE79" s="67">
        <v>100</v>
      </c>
      <c r="AF79" s="67">
        <v>91.900000103998565</v>
      </c>
      <c r="AG79" s="210">
        <v>0</v>
      </c>
      <c r="AH79" s="67">
        <v>0</v>
      </c>
      <c r="AI79" s="66">
        <v>0</v>
      </c>
      <c r="AJ79" s="66">
        <v>0</v>
      </c>
      <c r="AK79" s="66">
        <v>0</v>
      </c>
      <c r="AL79" s="66">
        <v>0</v>
      </c>
      <c r="AM79" s="66">
        <v>0</v>
      </c>
      <c r="AN79" s="66">
        <v>0</v>
      </c>
      <c r="AO79" s="66">
        <v>0</v>
      </c>
      <c r="AP79" s="66">
        <v>0</v>
      </c>
      <c r="AQ79" s="66">
        <v>0</v>
      </c>
      <c r="AR79" s="66">
        <v>0</v>
      </c>
      <c r="AS79" s="66">
        <v>0</v>
      </c>
      <c r="AT79" s="67" t="s">
        <v>1094</v>
      </c>
      <c r="AU79" s="67" t="s">
        <v>1094</v>
      </c>
      <c r="AV79" s="67">
        <v>0</v>
      </c>
      <c r="AW79" s="210">
        <v>0</v>
      </c>
      <c r="AX79" s="67">
        <v>0</v>
      </c>
    </row>
    <row r="80" spans="1:50" ht="31.5" x14ac:dyDescent="0.25">
      <c r="A80" s="11">
        <v>69</v>
      </c>
      <c r="B80" s="194" t="s">
        <v>300</v>
      </c>
      <c r="C80" s="66">
        <v>4.4828000000000001</v>
      </c>
      <c r="D80" s="66">
        <v>0</v>
      </c>
      <c r="E80" s="66">
        <v>5.3928000000000003</v>
      </c>
      <c r="F80" s="66">
        <v>4.4828000000000001</v>
      </c>
      <c r="G80" s="66">
        <v>0.91</v>
      </c>
      <c r="H80" s="66">
        <v>4.4828000000000001</v>
      </c>
      <c r="I80" s="66">
        <v>0</v>
      </c>
      <c r="J80" s="66">
        <v>5.3928000000000003</v>
      </c>
      <c r="K80" s="66">
        <v>4.4828000000000001</v>
      </c>
      <c r="L80" s="66">
        <v>0</v>
      </c>
      <c r="M80" s="66">
        <v>0.91</v>
      </c>
      <c r="N80" s="67">
        <v>100</v>
      </c>
      <c r="O80" s="67">
        <v>100</v>
      </c>
      <c r="P80" s="67">
        <v>16.87435098650052</v>
      </c>
      <c r="Q80" s="66">
        <v>0</v>
      </c>
      <c r="R80" s="67">
        <v>0</v>
      </c>
      <c r="S80" s="66">
        <v>4.4828000000000001</v>
      </c>
      <c r="T80" s="66">
        <v>0</v>
      </c>
      <c r="U80" s="66">
        <v>5.3928000000000003</v>
      </c>
      <c r="V80" s="66">
        <v>4.4828000000000001</v>
      </c>
      <c r="W80" s="66">
        <v>0.91</v>
      </c>
      <c r="X80" s="66">
        <v>4.4828000000000001</v>
      </c>
      <c r="Y80" s="66">
        <v>0</v>
      </c>
      <c r="Z80" s="66">
        <v>5.3928000000000003</v>
      </c>
      <c r="AA80" s="66">
        <v>4.4828000000000001</v>
      </c>
      <c r="AB80" s="66">
        <v>0</v>
      </c>
      <c r="AC80" s="66">
        <v>0.91</v>
      </c>
      <c r="AD80" s="67">
        <v>100</v>
      </c>
      <c r="AE80" s="67">
        <v>100</v>
      </c>
      <c r="AF80" s="67">
        <v>16.87435098650052</v>
      </c>
      <c r="AG80" s="210">
        <v>0</v>
      </c>
      <c r="AH80" s="67">
        <v>0</v>
      </c>
      <c r="AI80" s="66">
        <v>0</v>
      </c>
      <c r="AJ80" s="66">
        <v>0</v>
      </c>
      <c r="AK80" s="66">
        <v>0</v>
      </c>
      <c r="AL80" s="66">
        <v>0</v>
      </c>
      <c r="AM80" s="66">
        <v>0</v>
      </c>
      <c r="AN80" s="66">
        <v>0</v>
      </c>
      <c r="AO80" s="66">
        <v>0</v>
      </c>
      <c r="AP80" s="66">
        <v>0</v>
      </c>
      <c r="AQ80" s="66">
        <v>0</v>
      </c>
      <c r="AR80" s="66">
        <v>0</v>
      </c>
      <c r="AS80" s="66">
        <v>0</v>
      </c>
      <c r="AT80" s="67" t="s">
        <v>1094</v>
      </c>
      <c r="AU80" s="67" t="s">
        <v>1094</v>
      </c>
      <c r="AV80" s="67">
        <v>0</v>
      </c>
      <c r="AW80" s="210">
        <v>0</v>
      </c>
      <c r="AX80" s="67">
        <v>0</v>
      </c>
    </row>
    <row r="81" spans="1:50" ht="31.5" x14ac:dyDescent="0.25">
      <c r="A81" s="11">
        <v>70</v>
      </c>
      <c r="B81" s="194" t="s">
        <v>301</v>
      </c>
      <c r="C81" s="66">
        <v>0.26469999999999999</v>
      </c>
      <c r="D81" s="66">
        <v>0</v>
      </c>
      <c r="E81" s="66">
        <v>0.47170000000000001</v>
      </c>
      <c r="F81" s="66">
        <v>0.26469999999999999</v>
      </c>
      <c r="G81" s="66">
        <v>0.20699999999999999</v>
      </c>
      <c r="H81" s="66">
        <v>0.26469999999999999</v>
      </c>
      <c r="I81" s="66">
        <v>0</v>
      </c>
      <c r="J81" s="66">
        <v>0.47170000000000001</v>
      </c>
      <c r="K81" s="66">
        <v>0.26469999999999999</v>
      </c>
      <c r="L81" s="66">
        <v>0</v>
      </c>
      <c r="M81" s="66">
        <v>0.20699999999999999</v>
      </c>
      <c r="N81" s="67">
        <v>100</v>
      </c>
      <c r="O81" s="67">
        <v>100</v>
      </c>
      <c r="P81" s="67">
        <v>43.883824464702137</v>
      </c>
      <c r="Q81" s="66">
        <v>0</v>
      </c>
      <c r="R81" s="67">
        <v>0</v>
      </c>
      <c r="S81" s="66">
        <v>0.26469999999999999</v>
      </c>
      <c r="T81" s="66">
        <v>0</v>
      </c>
      <c r="U81" s="66">
        <v>0.47170000000000001</v>
      </c>
      <c r="V81" s="66">
        <v>0.26469999999999999</v>
      </c>
      <c r="W81" s="66">
        <v>0.20699999999999999</v>
      </c>
      <c r="X81" s="66">
        <v>0.26469999999999999</v>
      </c>
      <c r="Y81" s="66">
        <v>0</v>
      </c>
      <c r="Z81" s="66">
        <v>0.47170000000000001</v>
      </c>
      <c r="AA81" s="66">
        <v>0.26469999999999999</v>
      </c>
      <c r="AB81" s="66">
        <v>0</v>
      </c>
      <c r="AC81" s="66">
        <v>0.20699999999999999</v>
      </c>
      <c r="AD81" s="67">
        <v>100</v>
      </c>
      <c r="AE81" s="67">
        <v>100</v>
      </c>
      <c r="AF81" s="67">
        <v>43.883824464702137</v>
      </c>
      <c r="AG81" s="210">
        <v>0</v>
      </c>
      <c r="AH81" s="67">
        <v>0</v>
      </c>
      <c r="AI81" s="66">
        <v>0</v>
      </c>
      <c r="AJ81" s="66">
        <v>0</v>
      </c>
      <c r="AK81" s="66">
        <v>0</v>
      </c>
      <c r="AL81" s="66">
        <v>0</v>
      </c>
      <c r="AM81" s="66">
        <v>0</v>
      </c>
      <c r="AN81" s="66">
        <v>0</v>
      </c>
      <c r="AO81" s="66">
        <v>0</v>
      </c>
      <c r="AP81" s="66">
        <v>0</v>
      </c>
      <c r="AQ81" s="66">
        <v>0</v>
      </c>
      <c r="AR81" s="66">
        <v>0</v>
      </c>
      <c r="AS81" s="66">
        <v>0</v>
      </c>
      <c r="AT81" s="67" t="s">
        <v>1094</v>
      </c>
      <c r="AU81" s="67" t="s">
        <v>1094</v>
      </c>
      <c r="AV81" s="67">
        <v>0</v>
      </c>
      <c r="AW81" s="210">
        <v>0</v>
      </c>
      <c r="AX81" s="67">
        <v>0</v>
      </c>
    </row>
    <row r="82" spans="1:50" ht="15.75" x14ac:dyDescent="0.25">
      <c r="A82" s="74">
        <v>71</v>
      </c>
      <c r="B82" s="189" t="s">
        <v>189</v>
      </c>
      <c r="C82" s="66">
        <v>68.295199999999994</v>
      </c>
      <c r="D82" s="66">
        <v>0</v>
      </c>
      <c r="E82" s="66">
        <v>213.29519999999999</v>
      </c>
      <c r="F82" s="66">
        <v>68.295199999999994</v>
      </c>
      <c r="G82" s="66">
        <v>145</v>
      </c>
      <c r="H82" s="66">
        <v>68.295199999999994</v>
      </c>
      <c r="I82" s="66">
        <v>0</v>
      </c>
      <c r="J82" s="66">
        <v>213.29519999999999</v>
      </c>
      <c r="K82" s="66">
        <v>68.295199999999994</v>
      </c>
      <c r="L82" s="66">
        <v>0</v>
      </c>
      <c r="M82" s="66">
        <v>145</v>
      </c>
      <c r="N82" s="67">
        <v>100</v>
      </c>
      <c r="O82" s="67">
        <v>100</v>
      </c>
      <c r="P82" s="67">
        <v>67.980901586158524</v>
      </c>
      <c r="Q82" s="66">
        <v>0</v>
      </c>
      <c r="R82" s="67">
        <v>0</v>
      </c>
      <c r="S82" s="66">
        <v>68.295199999999994</v>
      </c>
      <c r="T82" s="66">
        <v>0</v>
      </c>
      <c r="U82" s="66">
        <v>213.29519999999999</v>
      </c>
      <c r="V82" s="66">
        <v>68.295199999999994</v>
      </c>
      <c r="W82" s="66">
        <v>145</v>
      </c>
      <c r="X82" s="66">
        <v>68.295199999999994</v>
      </c>
      <c r="Y82" s="66">
        <v>0</v>
      </c>
      <c r="Z82" s="66">
        <v>213.29519999999999</v>
      </c>
      <c r="AA82" s="66">
        <v>68.295199999999994</v>
      </c>
      <c r="AB82" s="66">
        <v>0</v>
      </c>
      <c r="AC82" s="66">
        <v>145</v>
      </c>
      <c r="AD82" s="67">
        <v>100</v>
      </c>
      <c r="AE82" s="67">
        <v>100</v>
      </c>
      <c r="AF82" s="67">
        <v>67.980901586158524</v>
      </c>
      <c r="AG82" s="210">
        <v>0</v>
      </c>
      <c r="AH82" s="67">
        <v>0</v>
      </c>
      <c r="AI82" s="66">
        <v>0</v>
      </c>
      <c r="AJ82" s="66">
        <v>0</v>
      </c>
      <c r="AK82" s="66">
        <v>0</v>
      </c>
      <c r="AL82" s="66">
        <v>0</v>
      </c>
      <c r="AM82" s="66">
        <v>0</v>
      </c>
      <c r="AN82" s="66">
        <v>0</v>
      </c>
      <c r="AO82" s="66">
        <v>0</v>
      </c>
      <c r="AP82" s="66">
        <v>0</v>
      </c>
      <c r="AQ82" s="66">
        <v>0</v>
      </c>
      <c r="AR82" s="66">
        <v>0</v>
      </c>
      <c r="AS82" s="66">
        <v>0</v>
      </c>
      <c r="AT82" s="67" t="s">
        <v>1094</v>
      </c>
      <c r="AU82" s="67" t="s">
        <v>1094</v>
      </c>
      <c r="AV82" s="67">
        <v>0</v>
      </c>
      <c r="AW82" s="210">
        <v>0</v>
      </c>
      <c r="AX82" s="67">
        <v>0</v>
      </c>
    </row>
    <row r="83" spans="1:50" ht="15.75" x14ac:dyDescent="0.25">
      <c r="A83" s="57">
        <v>72</v>
      </c>
      <c r="B83" s="190" t="s">
        <v>192</v>
      </c>
      <c r="C83" s="61">
        <v>999.69049999999993</v>
      </c>
      <c r="D83" s="61">
        <v>0</v>
      </c>
      <c r="E83" s="61">
        <v>1648.9286000000002</v>
      </c>
      <c r="F83" s="61">
        <v>999.69049999999993</v>
      </c>
      <c r="G83" s="61">
        <v>649.23810000000003</v>
      </c>
      <c r="H83" s="61">
        <v>997.99175382999999</v>
      </c>
      <c r="I83" s="61">
        <v>0</v>
      </c>
      <c r="J83" s="61">
        <v>1646.3128579099998</v>
      </c>
      <c r="K83" s="61">
        <v>997.99094095999999</v>
      </c>
      <c r="L83" s="61">
        <v>0</v>
      </c>
      <c r="M83" s="61">
        <v>648.32191694999995</v>
      </c>
      <c r="N83" s="61">
        <v>99.829991478362558</v>
      </c>
      <c r="O83" s="61">
        <v>99.858883351115708</v>
      </c>
      <c r="P83" s="61">
        <v>39.380237713325464</v>
      </c>
      <c r="Q83" s="61">
        <v>0</v>
      </c>
      <c r="R83" s="61">
        <v>8.1286999999896636E-4</v>
      </c>
      <c r="S83" s="61">
        <v>999.69049999999993</v>
      </c>
      <c r="T83" s="61">
        <v>0</v>
      </c>
      <c r="U83" s="61">
        <v>1648.9286000000002</v>
      </c>
      <c r="V83" s="61">
        <v>999.69049999999993</v>
      </c>
      <c r="W83" s="61">
        <v>649.23810000000003</v>
      </c>
      <c r="X83" s="61">
        <v>997.99175382999999</v>
      </c>
      <c r="Y83" s="61">
        <v>0</v>
      </c>
      <c r="Z83" s="61">
        <v>1646.3128579099998</v>
      </c>
      <c r="AA83" s="61">
        <v>997.99094095999999</v>
      </c>
      <c r="AB83" s="61">
        <v>0</v>
      </c>
      <c r="AC83" s="61">
        <v>648.32191694999995</v>
      </c>
      <c r="AD83" s="61">
        <v>99.829991478362558</v>
      </c>
      <c r="AE83" s="61">
        <v>99.858883351115708</v>
      </c>
      <c r="AF83" s="61">
        <v>39.380237713325464</v>
      </c>
      <c r="AG83" s="61">
        <v>0</v>
      </c>
      <c r="AH83" s="61">
        <v>8.1286999999896636E-4</v>
      </c>
      <c r="AI83" s="61">
        <v>0</v>
      </c>
      <c r="AJ83" s="61">
        <v>0</v>
      </c>
      <c r="AK83" s="61">
        <v>0</v>
      </c>
      <c r="AL83" s="61">
        <v>0</v>
      </c>
      <c r="AM83" s="61">
        <v>0</v>
      </c>
      <c r="AN83" s="61">
        <v>0</v>
      </c>
      <c r="AO83" s="61">
        <v>0</v>
      </c>
      <c r="AP83" s="61">
        <v>0</v>
      </c>
      <c r="AQ83" s="61">
        <v>0</v>
      </c>
      <c r="AR83" s="61">
        <v>0</v>
      </c>
      <c r="AS83" s="61">
        <v>0</v>
      </c>
      <c r="AT83" s="61" t="s">
        <v>1094</v>
      </c>
      <c r="AU83" s="61" t="s">
        <v>1094</v>
      </c>
      <c r="AV83" s="61">
        <v>0</v>
      </c>
      <c r="AW83" s="61">
        <v>0</v>
      </c>
      <c r="AX83" s="61">
        <v>0</v>
      </c>
    </row>
    <row r="84" spans="1:50" ht="15.75" x14ac:dyDescent="0.25">
      <c r="A84" s="11">
        <v>73</v>
      </c>
      <c r="B84" s="189" t="s">
        <v>195</v>
      </c>
      <c r="C84" s="66">
        <v>7.0818000000000003</v>
      </c>
      <c r="D84" s="66">
        <v>0</v>
      </c>
      <c r="E84" s="66">
        <v>48.081800000000001</v>
      </c>
      <c r="F84" s="66">
        <v>7.0818000000000003</v>
      </c>
      <c r="G84" s="66">
        <v>41</v>
      </c>
      <c r="H84" s="66">
        <v>7.0818000000000003</v>
      </c>
      <c r="I84" s="66">
        <v>0</v>
      </c>
      <c r="J84" s="66">
        <v>48.081800000000001</v>
      </c>
      <c r="K84" s="66">
        <v>7.0818000000000003</v>
      </c>
      <c r="L84" s="66">
        <v>0</v>
      </c>
      <c r="M84" s="66">
        <v>41</v>
      </c>
      <c r="N84" s="67">
        <v>100</v>
      </c>
      <c r="O84" s="67">
        <v>100</v>
      </c>
      <c r="P84" s="67">
        <v>85.27135007424846</v>
      </c>
      <c r="Q84" s="66">
        <v>0</v>
      </c>
      <c r="R84" s="67">
        <v>0</v>
      </c>
      <c r="S84" s="66">
        <v>7.0818000000000003</v>
      </c>
      <c r="T84" s="66">
        <v>0</v>
      </c>
      <c r="U84" s="66">
        <v>48.081800000000001</v>
      </c>
      <c r="V84" s="66">
        <v>7.0818000000000003</v>
      </c>
      <c r="W84" s="66">
        <v>41</v>
      </c>
      <c r="X84" s="66">
        <v>7.0818000000000003</v>
      </c>
      <c r="Y84" s="66">
        <v>0</v>
      </c>
      <c r="Z84" s="66">
        <v>48.081800000000001</v>
      </c>
      <c r="AA84" s="66">
        <v>7.0818000000000003</v>
      </c>
      <c r="AB84" s="66">
        <v>0</v>
      </c>
      <c r="AC84" s="66">
        <v>41</v>
      </c>
      <c r="AD84" s="67">
        <v>100</v>
      </c>
      <c r="AE84" s="67">
        <v>100</v>
      </c>
      <c r="AF84" s="67">
        <v>85.27135007424846</v>
      </c>
      <c r="AG84" s="210">
        <v>0</v>
      </c>
      <c r="AH84" s="67">
        <v>0</v>
      </c>
      <c r="AI84" s="66">
        <v>0</v>
      </c>
      <c r="AJ84" s="66">
        <v>0</v>
      </c>
      <c r="AK84" s="66">
        <v>0</v>
      </c>
      <c r="AL84" s="66">
        <v>0</v>
      </c>
      <c r="AM84" s="66">
        <v>0</v>
      </c>
      <c r="AN84" s="66">
        <v>0</v>
      </c>
      <c r="AO84" s="66">
        <v>0</v>
      </c>
      <c r="AP84" s="66">
        <v>0</v>
      </c>
      <c r="AQ84" s="66">
        <v>0</v>
      </c>
      <c r="AR84" s="66">
        <v>0</v>
      </c>
      <c r="AS84" s="66">
        <v>0</v>
      </c>
      <c r="AT84" s="67" t="s">
        <v>1094</v>
      </c>
      <c r="AU84" s="67" t="s">
        <v>1094</v>
      </c>
      <c r="AV84" s="67">
        <v>0</v>
      </c>
      <c r="AW84" s="210">
        <v>0</v>
      </c>
      <c r="AX84" s="67">
        <v>0</v>
      </c>
    </row>
    <row r="85" spans="1:50" ht="15.75" x14ac:dyDescent="0.25">
      <c r="A85" s="11">
        <v>74</v>
      </c>
      <c r="B85" s="189" t="s">
        <v>198</v>
      </c>
      <c r="C85" s="66">
        <v>4.5674000000000001</v>
      </c>
      <c r="D85" s="66">
        <v>0</v>
      </c>
      <c r="E85" s="66">
        <v>18.812000000000001</v>
      </c>
      <c r="F85" s="66">
        <v>4.5674000000000001</v>
      </c>
      <c r="G85" s="66">
        <v>14.2446</v>
      </c>
      <c r="H85" s="66">
        <v>4.5674000000000001</v>
      </c>
      <c r="I85" s="66">
        <v>0</v>
      </c>
      <c r="J85" s="66">
        <v>18.812000000000001</v>
      </c>
      <c r="K85" s="66">
        <v>4.5674000000000001</v>
      </c>
      <c r="L85" s="66">
        <v>0</v>
      </c>
      <c r="M85" s="66">
        <v>14.2446</v>
      </c>
      <c r="N85" s="67">
        <v>100</v>
      </c>
      <c r="O85" s="67">
        <v>100</v>
      </c>
      <c r="P85" s="67">
        <v>75.720816500106309</v>
      </c>
      <c r="Q85" s="66">
        <v>0</v>
      </c>
      <c r="R85" s="67">
        <v>0</v>
      </c>
      <c r="S85" s="66">
        <v>4.5674000000000001</v>
      </c>
      <c r="T85" s="66">
        <v>0</v>
      </c>
      <c r="U85" s="66">
        <v>18.812000000000001</v>
      </c>
      <c r="V85" s="66">
        <v>4.5674000000000001</v>
      </c>
      <c r="W85" s="66">
        <v>14.2446</v>
      </c>
      <c r="X85" s="66">
        <v>4.5674000000000001</v>
      </c>
      <c r="Y85" s="66">
        <v>0</v>
      </c>
      <c r="Z85" s="66">
        <v>18.812000000000001</v>
      </c>
      <c r="AA85" s="66">
        <v>4.5674000000000001</v>
      </c>
      <c r="AB85" s="66">
        <v>0</v>
      </c>
      <c r="AC85" s="66">
        <v>14.2446</v>
      </c>
      <c r="AD85" s="67">
        <v>100</v>
      </c>
      <c r="AE85" s="67">
        <v>100</v>
      </c>
      <c r="AF85" s="67">
        <v>75.720816500106309</v>
      </c>
      <c r="AG85" s="210">
        <v>0</v>
      </c>
      <c r="AH85" s="67">
        <v>0</v>
      </c>
      <c r="AI85" s="66">
        <v>0</v>
      </c>
      <c r="AJ85" s="66">
        <v>0</v>
      </c>
      <c r="AK85" s="66">
        <v>0</v>
      </c>
      <c r="AL85" s="66">
        <v>0</v>
      </c>
      <c r="AM85" s="66">
        <v>0</v>
      </c>
      <c r="AN85" s="66">
        <v>0</v>
      </c>
      <c r="AO85" s="66">
        <v>0</v>
      </c>
      <c r="AP85" s="66">
        <v>0</v>
      </c>
      <c r="AQ85" s="66">
        <v>0</v>
      </c>
      <c r="AR85" s="66">
        <v>0</v>
      </c>
      <c r="AS85" s="66">
        <v>0</v>
      </c>
      <c r="AT85" s="67" t="s">
        <v>1094</v>
      </c>
      <c r="AU85" s="67" t="s">
        <v>1094</v>
      </c>
      <c r="AV85" s="67">
        <v>0</v>
      </c>
      <c r="AW85" s="210">
        <v>0</v>
      </c>
      <c r="AX85" s="67">
        <v>0</v>
      </c>
    </row>
    <row r="86" spans="1:50" ht="15.75" x14ac:dyDescent="0.25">
      <c r="A86" s="11">
        <v>75</v>
      </c>
      <c r="B86" s="189" t="s">
        <v>201</v>
      </c>
      <c r="C86" s="66">
        <v>1.8029999999999999</v>
      </c>
      <c r="D86" s="66">
        <v>0</v>
      </c>
      <c r="E86" s="66">
        <v>8.8437999999999999</v>
      </c>
      <c r="F86" s="66">
        <v>1.8029999999999999</v>
      </c>
      <c r="G86" s="66">
        <v>7.0407999999999999</v>
      </c>
      <c r="H86" s="66">
        <v>1.8029999999999999</v>
      </c>
      <c r="I86" s="66">
        <v>0</v>
      </c>
      <c r="J86" s="66">
        <v>8.8437999999999999</v>
      </c>
      <c r="K86" s="66">
        <v>1.8029999999999999</v>
      </c>
      <c r="L86" s="66">
        <v>0</v>
      </c>
      <c r="M86" s="66">
        <v>7.0407999999999999</v>
      </c>
      <c r="N86" s="67">
        <v>100</v>
      </c>
      <c r="O86" s="67">
        <v>100</v>
      </c>
      <c r="P86" s="67">
        <v>79.612836111173934</v>
      </c>
      <c r="Q86" s="66">
        <v>0</v>
      </c>
      <c r="R86" s="67">
        <v>0</v>
      </c>
      <c r="S86" s="66">
        <v>1.8029999999999999</v>
      </c>
      <c r="T86" s="66">
        <v>0</v>
      </c>
      <c r="U86" s="66">
        <v>8.8437999999999999</v>
      </c>
      <c r="V86" s="66">
        <v>1.8029999999999999</v>
      </c>
      <c r="W86" s="66">
        <v>7.0407999999999999</v>
      </c>
      <c r="X86" s="66">
        <v>1.8029999999999999</v>
      </c>
      <c r="Y86" s="66">
        <v>0</v>
      </c>
      <c r="Z86" s="66">
        <v>8.8437999999999999</v>
      </c>
      <c r="AA86" s="66">
        <v>1.8029999999999999</v>
      </c>
      <c r="AB86" s="66">
        <v>0</v>
      </c>
      <c r="AC86" s="66">
        <v>7.0407999999999999</v>
      </c>
      <c r="AD86" s="67">
        <v>100</v>
      </c>
      <c r="AE86" s="67">
        <v>100</v>
      </c>
      <c r="AF86" s="67">
        <v>79.612836111173934</v>
      </c>
      <c r="AG86" s="210">
        <v>0</v>
      </c>
      <c r="AH86" s="67">
        <v>0</v>
      </c>
      <c r="AI86" s="66">
        <v>0</v>
      </c>
      <c r="AJ86" s="66">
        <v>0</v>
      </c>
      <c r="AK86" s="66">
        <v>0</v>
      </c>
      <c r="AL86" s="66">
        <v>0</v>
      </c>
      <c r="AM86" s="66">
        <v>0</v>
      </c>
      <c r="AN86" s="66">
        <v>0</v>
      </c>
      <c r="AO86" s="66">
        <v>0</v>
      </c>
      <c r="AP86" s="66">
        <v>0</v>
      </c>
      <c r="AQ86" s="66">
        <v>0</v>
      </c>
      <c r="AR86" s="66">
        <v>0</v>
      </c>
      <c r="AS86" s="66">
        <v>0</v>
      </c>
      <c r="AT86" s="67" t="s">
        <v>1094</v>
      </c>
      <c r="AU86" s="67" t="s">
        <v>1094</v>
      </c>
      <c r="AV86" s="67">
        <v>0</v>
      </c>
      <c r="AW86" s="210">
        <v>0</v>
      </c>
      <c r="AX86" s="67">
        <v>0</v>
      </c>
    </row>
    <row r="87" spans="1:50" ht="15.75" x14ac:dyDescent="0.25">
      <c r="A87" s="11">
        <v>76</v>
      </c>
      <c r="B87" s="189" t="s">
        <v>204</v>
      </c>
      <c r="C87" s="66">
        <v>14.6873</v>
      </c>
      <c r="D87" s="66">
        <v>0</v>
      </c>
      <c r="E87" s="66">
        <v>27.6873</v>
      </c>
      <c r="F87" s="66">
        <v>14.6873</v>
      </c>
      <c r="G87" s="66">
        <v>13</v>
      </c>
      <c r="H87" s="66">
        <v>14.6873</v>
      </c>
      <c r="I87" s="66">
        <v>0</v>
      </c>
      <c r="J87" s="66">
        <v>27.685768109999998</v>
      </c>
      <c r="K87" s="66">
        <v>14.686487130000001</v>
      </c>
      <c r="L87" s="66">
        <v>0</v>
      </c>
      <c r="M87" s="66">
        <v>12.99928098</v>
      </c>
      <c r="N87" s="67">
        <v>99.994465490593925</v>
      </c>
      <c r="O87" s="67">
        <v>99.994469076923082</v>
      </c>
      <c r="P87" s="67">
        <v>46.952935993510351</v>
      </c>
      <c r="Q87" s="66">
        <v>0</v>
      </c>
      <c r="R87" s="67">
        <v>8.1286999999896636E-4</v>
      </c>
      <c r="S87" s="66">
        <v>14.6873</v>
      </c>
      <c r="T87" s="66">
        <v>0</v>
      </c>
      <c r="U87" s="66">
        <v>27.6873</v>
      </c>
      <c r="V87" s="66">
        <v>14.6873</v>
      </c>
      <c r="W87" s="66">
        <v>13</v>
      </c>
      <c r="X87" s="66">
        <v>14.6873</v>
      </c>
      <c r="Y87" s="66">
        <v>0</v>
      </c>
      <c r="Z87" s="66">
        <v>27.685768109999998</v>
      </c>
      <c r="AA87" s="66">
        <v>14.686487130000001</v>
      </c>
      <c r="AB87" s="66">
        <v>0</v>
      </c>
      <c r="AC87" s="66">
        <v>12.99928098</v>
      </c>
      <c r="AD87" s="67">
        <v>99.994465490593925</v>
      </c>
      <c r="AE87" s="67">
        <v>99.994469076923082</v>
      </c>
      <c r="AF87" s="67">
        <v>46.952935993510351</v>
      </c>
      <c r="AG87" s="210">
        <v>0</v>
      </c>
      <c r="AH87" s="67">
        <v>8.1286999999896636E-4</v>
      </c>
      <c r="AI87" s="66">
        <v>0</v>
      </c>
      <c r="AJ87" s="66">
        <v>0</v>
      </c>
      <c r="AK87" s="66">
        <v>0</v>
      </c>
      <c r="AL87" s="66">
        <v>0</v>
      </c>
      <c r="AM87" s="66">
        <v>0</v>
      </c>
      <c r="AN87" s="66">
        <v>0</v>
      </c>
      <c r="AO87" s="66">
        <v>0</v>
      </c>
      <c r="AP87" s="66">
        <v>0</v>
      </c>
      <c r="AQ87" s="66">
        <v>0</v>
      </c>
      <c r="AR87" s="66">
        <v>0</v>
      </c>
      <c r="AS87" s="66">
        <v>0</v>
      </c>
      <c r="AT87" s="67" t="s">
        <v>1094</v>
      </c>
      <c r="AU87" s="67" t="s">
        <v>1094</v>
      </c>
      <c r="AV87" s="67">
        <v>0</v>
      </c>
      <c r="AW87" s="210">
        <v>0</v>
      </c>
      <c r="AX87" s="67">
        <v>0</v>
      </c>
    </row>
    <row r="88" spans="1:50" ht="15.75" x14ac:dyDescent="0.25">
      <c r="A88" s="11">
        <v>77</v>
      </c>
      <c r="B88" s="189" t="s">
        <v>207</v>
      </c>
      <c r="C88" s="66">
        <v>326.10199999999998</v>
      </c>
      <c r="D88" s="66">
        <v>0</v>
      </c>
      <c r="E88" s="66">
        <v>343.267</v>
      </c>
      <c r="F88" s="66">
        <v>326.10199999999998</v>
      </c>
      <c r="G88" s="66">
        <v>17.164999999999999</v>
      </c>
      <c r="H88" s="66">
        <v>326.10199999999998</v>
      </c>
      <c r="I88" s="66">
        <v>0</v>
      </c>
      <c r="J88" s="66">
        <v>343.267</v>
      </c>
      <c r="K88" s="66">
        <v>326.10199999999998</v>
      </c>
      <c r="L88" s="66">
        <v>0</v>
      </c>
      <c r="M88" s="66">
        <v>17.164999999999999</v>
      </c>
      <c r="N88" s="67">
        <v>100</v>
      </c>
      <c r="O88" s="67">
        <v>100</v>
      </c>
      <c r="P88" s="67">
        <v>5.0004806753926241</v>
      </c>
      <c r="Q88" s="66">
        <v>0</v>
      </c>
      <c r="R88" s="67">
        <v>0</v>
      </c>
      <c r="S88" s="66">
        <v>326.10199999999998</v>
      </c>
      <c r="T88" s="66">
        <v>0</v>
      </c>
      <c r="U88" s="66">
        <v>343.267</v>
      </c>
      <c r="V88" s="66">
        <v>326.10199999999998</v>
      </c>
      <c r="W88" s="66">
        <v>17.164999999999999</v>
      </c>
      <c r="X88" s="66">
        <v>326.10199999999998</v>
      </c>
      <c r="Y88" s="66">
        <v>0</v>
      </c>
      <c r="Z88" s="66">
        <v>343.267</v>
      </c>
      <c r="AA88" s="66">
        <v>326.10199999999998</v>
      </c>
      <c r="AB88" s="66">
        <v>0</v>
      </c>
      <c r="AC88" s="66">
        <v>17.164999999999999</v>
      </c>
      <c r="AD88" s="67">
        <v>100</v>
      </c>
      <c r="AE88" s="67">
        <v>100</v>
      </c>
      <c r="AF88" s="67">
        <v>5.0004806753926241</v>
      </c>
      <c r="AG88" s="210">
        <v>0</v>
      </c>
      <c r="AH88" s="67">
        <v>0</v>
      </c>
      <c r="AI88" s="66">
        <v>0</v>
      </c>
      <c r="AJ88" s="66">
        <v>0</v>
      </c>
      <c r="AK88" s="66">
        <v>0</v>
      </c>
      <c r="AL88" s="66">
        <v>0</v>
      </c>
      <c r="AM88" s="66">
        <v>0</v>
      </c>
      <c r="AN88" s="66">
        <v>0</v>
      </c>
      <c r="AO88" s="66">
        <v>0</v>
      </c>
      <c r="AP88" s="66">
        <v>0</v>
      </c>
      <c r="AQ88" s="66">
        <v>0</v>
      </c>
      <c r="AR88" s="66">
        <v>0</v>
      </c>
      <c r="AS88" s="66">
        <v>0</v>
      </c>
      <c r="AT88" s="67" t="s">
        <v>1094</v>
      </c>
      <c r="AU88" s="67" t="s">
        <v>1094</v>
      </c>
      <c r="AV88" s="67">
        <v>0</v>
      </c>
      <c r="AW88" s="210">
        <v>0</v>
      </c>
      <c r="AX88" s="67">
        <v>0</v>
      </c>
    </row>
    <row r="89" spans="1:50" ht="15.75" x14ac:dyDescent="0.25">
      <c r="A89" s="11">
        <v>78</v>
      </c>
      <c r="B89" s="189" t="s">
        <v>210</v>
      </c>
      <c r="C89" s="66">
        <v>2.7191999999999998</v>
      </c>
      <c r="D89" s="66">
        <v>0</v>
      </c>
      <c r="E89" s="66">
        <v>12.719200000000001</v>
      </c>
      <c r="F89" s="66">
        <v>2.7191999999999998</v>
      </c>
      <c r="G89" s="66">
        <v>10</v>
      </c>
      <c r="H89" s="66">
        <v>2.7191999999999998</v>
      </c>
      <c r="I89" s="66">
        <v>0</v>
      </c>
      <c r="J89" s="66">
        <v>12.719200000000001</v>
      </c>
      <c r="K89" s="66">
        <v>2.7191999999999998</v>
      </c>
      <c r="L89" s="66">
        <v>0</v>
      </c>
      <c r="M89" s="66">
        <v>10</v>
      </c>
      <c r="N89" s="67">
        <v>100</v>
      </c>
      <c r="O89" s="67">
        <v>100</v>
      </c>
      <c r="P89" s="67">
        <v>78.621296936914263</v>
      </c>
      <c r="Q89" s="66">
        <v>0</v>
      </c>
      <c r="R89" s="67">
        <v>0</v>
      </c>
      <c r="S89" s="66">
        <v>2.7191999999999998</v>
      </c>
      <c r="T89" s="66">
        <v>0</v>
      </c>
      <c r="U89" s="66">
        <v>12.719200000000001</v>
      </c>
      <c r="V89" s="66">
        <v>2.7191999999999998</v>
      </c>
      <c r="W89" s="66">
        <v>10</v>
      </c>
      <c r="X89" s="66">
        <v>2.7191999999999998</v>
      </c>
      <c r="Y89" s="66">
        <v>0</v>
      </c>
      <c r="Z89" s="66">
        <v>12.719200000000001</v>
      </c>
      <c r="AA89" s="66">
        <v>2.7191999999999998</v>
      </c>
      <c r="AB89" s="66">
        <v>0</v>
      </c>
      <c r="AC89" s="66">
        <v>10</v>
      </c>
      <c r="AD89" s="67">
        <v>100</v>
      </c>
      <c r="AE89" s="67">
        <v>100</v>
      </c>
      <c r="AF89" s="67">
        <v>78.621296936914263</v>
      </c>
      <c r="AG89" s="210">
        <v>0</v>
      </c>
      <c r="AH89" s="67">
        <v>0</v>
      </c>
      <c r="AI89" s="66">
        <v>0</v>
      </c>
      <c r="AJ89" s="66">
        <v>0</v>
      </c>
      <c r="AK89" s="66">
        <v>0</v>
      </c>
      <c r="AL89" s="66">
        <v>0</v>
      </c>
      <c r="AM89" s="66">
        <v>0</v>
      </c>
      <c r="AN89" s="66">
        <v>0</v>
      </c>
      <c r="AO89" s="66">
        <v>0</v>
      </c>
      <c r="AP89" s="66">
        <v>0</v>
      </c>
      <c r="AQ89" s="66">
        <v>0</v>
      </c>
      <c r="AR89" s="66">
        <v>0</v>
      </c>
      <c r="AS89" s="66">
        <v>0</v>
      </c>
      <c r="AT89" s="67" t="s">
        <v>1094</v>
      </c>
      <c r="AU89" s="67" t="s">
        <v>1094</v>
      </c>
      <c r="AV89" s="67">
        <v>0</v>
      </c>
      <c r="AW89" s="210">
        <v>0</v>
      </c>
      <c r="AX89" s="67">
        <v>0</v>
      </c>
    </row>
    <row r="90" spans="1:50" ht="15.75" x14ac:dyDescent="0.25">
      <c r="A90" s="11">
        <v>79</v>
      </c>
      <c r="B90" s="189" t="s">
        <v>213</v>
      </c>
      <c r="C90" s="66">
        <v>171.16720000000001</v>
      </c>
      <c r="D90" s="66">
        <v>0</v>
      </c>
      <c r="E90" s="66">
        <v>180.17599999999999</v>
      </c>
      <c r="F90" s="66">
        <v>171.16720000000001</v>
      </c>
      <c r="G90" s="66">
        <v>9.0088000000000008</v>
      </c>
      <c r="H90" s="66">
        <v>171.16589930000001</v>
      </c>
      <c r="I90" s="66">
        <v>0</v>
      </c>
      <c r="J90" s="66">
        <v>180.17469930000001</v>
      </c>
      <c r="K90" s="66">
        <v>171.16589930000001</v>
      </c>
      <c r="L90" s="66">
        <v>0</v>
      </c>
      <c r="M90" s="66">
        <v>9.0088000000000008</v>
      </c>
      <c r="N90" s="67">
        <v>99.999240099738728</v>
      </c>
      <c r="O90" s="67">
        <v>100</v>
      </c>
      <c r="P90" s="67">
        <v>5.0000360955229857</v>
      </c>
      <c r="Q90" s="66">
        <v>0</v>
      </c>
      <c r="R90" s="67">
        <v>0</v>
      </c>
      <c r="S90" s="66">
        <v>171.16720000000001</v>
      </c>
      <c r="T90" s="66">
        <v>0</v>
      </c>
      <c r="U90" s="66">
        <v>180.17599999999999</v>
      </c>
      <c r="V90" s="66">
        <v>171.16720000000001</v>
      </c>
      <c r="W90" s="66">
        <v>9.0088000000000008</v>
      </c>
      <c r="X90" s="66">
        <v>171.16589930000001</v>
      </c>
      <c r="Y90" s="66">
        <v>0</v>
      </c>
      <c r="Z90" s="66">
        <v>180.17469930000001</v>
      </c>
      <c r="AA90" s="66">
        <v>171.16589930000001</v>
      </c>
      <c r="AB90" s="66">
        <v>0</v>
      </c>
      <c r="AC90" s="66">
        <v>9.0088000000000008</v>
      </c>
      <c r="AD90" s="67">
        <v>99.999240099738728</v>
      </c>
      <c r="AE90" s="67">
        <v>100</v>
      </c>
      <c r="AF90" s="67">
        <v>5.0000360955229857</v>
      </c>
      <c r="AG90" s="210">
        <v>0</v>
      </c>
      <c r="AH90" s="67">
        <v>0</v>
      </c>
      <c r="AI90" s="66">
        <v>0</v>
      </c>
      <c r="AJ90" s="66">
        <v>0</v>
      </c>
      <c r="AK90" s="66">
        <v>0</v>
      </c>
      <c r="AL90" s="66">
        <v>0</v>
      </c>
      <c r="AM90" s="66">
        <v>0</v>
      </c>
      <c r="AN90" s="66">
        <v>0</v>
      </c>
      <c r="AO90" s="66">
        <v>0</v>
      </c>
      <c r="AP90" s="66">
        <v>0</v>
      </c>
      <c r="AQ90" s="66">
        <v>0</v>
      </c>
      <c r="AR90" s="66">
        <v>0</v>
      </c>
      <c r="AS90" s="66">
        <v>0</v>
      </c>
      <c r="AT90" s="67" t="s">
        <v>1094</v>
      </c>
      <c r="AU90" s="67" t="s">
        <v>1094</v>
      </c>
      <c r="AV90" s="67">
        <v>0</v>
      </c>
      <c r="AW90" s="210">
        <v>0</v>
      </c>
      <c r="AX90" s="67">
        <v>0</v>
      </c>
    </row>
    <row r="91" spans="1:50" ht="15.75" x14ac:dyDescent="0.25">
      <c r="A91" s="11">
        <v>80</v>
      </c>
      <c r="B91" s="189" t="s">
        <v>216</v>
      </c>
      <c r="C91" s="66">
        <v>62.691299999999998</v>
      </c>
      <c r="D91" s="66">
        <v>0</v>
      </c>
      <c r="E91" s="66">
        <v>118.9572</v>
      </c>
      <c r="F91" s="66">
        <v>62.691299999999998</v>
      </c>
      <c r="G91" s="66">
        <v>56.265900000000002</v>
      </c>
      <c r="H91" s="66">
        <v>62.691299999999998</v>
      </c>
      <c r="I91" s="66">
        <v>0</v>
      </c>
      <c r="J91" s="66">
        <v>118.9572</v>
      </c>
      <c r="K91" s="66">
        <v>62.691299999999998</v>
      </c>
      <c r="L91" s="66">
        <v>0</v>
      </c>
      <c r="M91" s="66">
        <v>56.265900000000002</v>
      </c>
      <c r="N91" s="67">
        <v>100</v>
      </c>
      <c r="O91" s="67">
        <v>100</v>
      </c>
      <c r="P91" s="67">
        <v>47.299280749715024</v>
      </c>
      <c r="Q91" s="66">
        <v>0</v>
      </c>
      <c r="R91" s="67">
        <v>0</v>
      </c>
      <c r="S91" s="66">
        <v>62.691299999999998</v>
      </c>
      <c r="T91" s="66">
        <v>0</v>
      </c>
      <c r="U91" s="66">
        <v>118.9572</v>
      </c>
      <c r="V91" s="66">
        <v>62.691299999999998</v>
      </c>
      <c r="W91" s="66">
        <v>56.265900000000002</v>
      </c>
      <c r="X91" s="66">
        <v>62.691299999999998</v>
      </c>
      <c r="Y91" s="66">
        <v>0</v>
      </c>
      <c r="Z91" s="66">
        <v>118.9572</v>
      </c>
      <c r="AA91" s="66">
        <v>62.691299999999998</v>
      </c>
      <c r="AB91" s="66">
        <v>0</v>
      </c>
      <c r="AC91" s="66">
        <v>56.265900000000002</v>
      </c>
      <c r="AD91" s="67">
        <v>100</v>
      </c>
      <c r="AE91" s="67">
        <v>100</v>
      </c>
      <c r="AF91" s="67">
        <v>47.299280749715024</v>
      </c>
      <c r="AG91" s="210">
        <v>0</v>
      </c>
      <c r="AH91" s="67">
        <v>0</v>
      </c>
      <c r="AI91" s="66">
        <v>0</v>
      </c>
      <c r="AJ91" s="66">
        <v>0</v>
      </c>
      <c r="AK91" s="66">
        <v>0</v>
      </c>
      <c r="AL91" s="66">
        <v>0</v>
      </c>
      <c r="AM91" s="66">
        <v>0</v>
      </c>
      <c r="AN91" s="66">
        <v>0</v>
      </c>
      <c r="AO91" s="66">
        <v>0</v>
      </c>
      <c r="AP91" s="66">
        <v>0</v>
      </c>
      <c r="AQ91" s="66">
        <v>0</v>
      </c>
      <c r="AR91" s="66">
        <v>0</v>
      </c>
      <c r="AS91" s="66">
        <v>0</v>
      </c>
      <c r="AT91" s="67" t="s">
        <v>1094</v>
      </c>
      <c r="AU91" s="67" t="s">
        <v>1094</v>
      </c>
      <c r="AV91" s="67">
        <v>0</v>
      </c>
      <c r="AW91" s="210">
        <v>0</v>
      </c>
      <c r="AX91" s="67">
        <v>0</v>
      </c>
    </row>
    <row r="92" spans="1:50" ht="15.75" x14ac:dyDescent="0.25">
      <c r="A92" s="11">
        <v>81</v>
      </c>
      <c r="B92" s="189" t="s">
        <v>219</v>
      </c>
      <c r="C92" s="66">
        <v>59.1447</v>
      </c>
      <c r="D92" s="66">
        <v>0</v>
      </c>
      <c r="E92" s="66">
        <v>62.2577</v>
      </c>
      <c r="F92" s="66">
        <v>59.1447</v>
      </c>
      <c r="G92" s="66">
        <v>3.113</v>
      </c>
      <c r="H92" s="66">
        <v>59.144352299999994</v>
      </c>
      <c r="I92" s="66">
        <v>0</v>
      </c>
      <c r="J92" s="66">
        <v>62.257334</v>
      </c>
      <c r="K92" s="66">
        <v>59.144352299999994</v>
      </c>
      <c r="L92" s="66">
        <v>0</v>
      </c>
      <c r="M92" s="66">
        <v>3.1129817000000002</v>
      </c>
      <c r="N92" s="67">
        <v>99.999412119767271</v>
      </c>
      <c r="O92" s="67">
        <v>99.999412142627691</v>
      </c>
      <c r="P92" s="67">
        <v>5.0001847171933189</v>
      </c>
      <c r="Q92" s="66">
        <v>0</v>
      </c>
      <c r="R92" s="67">
        <v>0</v>
      </c>
      <c r="S92" s="66">
        <v>59.1447</v>
      </c>
      <c r="T92" s="66">
        <v>0</v>
      </c>
      <c r="U92" s="66">
        <v>62.2577</v>
      </c>
      <c r="V92" s="66">
        <v>59.1447</v>
      </c>
      <c r="W92" s="66">
        <v>3.113</v>
      </c>
      <c r="X92" s="66">
        <v>59.144352299999994</v>
      </c>
      <c r="Y92" s="66">
        <v>0</v>
      </c>
      <c r="Z92" s="66">
        <v>62.257334</v>
      </c>
      <c r="AA92" s="66">
        <v>59.144352299999994</v>
      </c>
      <c r="AB92" s="66">
        <v>0</v>
      </c>
      <c r="AC92" s="66">
        <v>3.1129817000000002</v>
      </c>
      <c r="AD92" s="67">
        <v>99.999412119767271</v>
      </c>
      <c r="AE92" s="67">
        <v>99.999412142627691</v>
      </c>
      <c r="AF92" s="67">
        <v>5.0001847171933189</v>
      </c>
      <c r="AG92" s="210">
        <v>0</v>
      </c>
      <c r="AH92" s="67">
        <v>0</v>
      </c>
      <c r="AI92" s="66">
        <v>0</v>
      </c>
      <c r="AJ92" s="66">
        <v>0</v>
      </c>
      <c r="AK92" s="66">
        <v>0</v>
      </c>
      <c r="AL92" s="66">
        <v>0</v>
      </c>
      <c r="AM92" s="66">
        <v>0</v>
      </c>
      <c r="AN92" s="66">
        <v>0</v>
      </c>
      <c r="AO92" s="66">
        <v>0</v>
      </c>
      <c r="AP92" s="66">
        <v>0</v>
      </c>
      <c r="AQ92" s="66">
        <v>0</v>
      </c>
      <c r="AR92" s="66">
        <v>0</v>
      </c>
      <c r="AS92" s="66">
        <v>0</v>
      </c>
      <c r="AT92" s="67" t="s">
        <v>1094</v>
      </c>
      <c r="AU92" s="67" t="s">
        <v>1094</v>
      </c>
      <c r="AV92" s="67">
        <v>0</v>
      </c>
      <c r="AW92" s="210">
        <v>0</v>
      </c>
      <c r="AX92" s="67">
        <v>0</v>
      </c>
    </row>
    <row r="93" spans="1:50" ht="15.75" x14ac:dyDescent="0.25">
      <c r="A93" s="11">
        <v>82</v>
      </c>
      <c r="B93" s="189" t="s">
        <v>222</v>
      </c>
      <c r="C93" s="66">
        <v>200.2158</v>
      </c>
      <c r="D93" s="66">
        <v>0</v>
      </c>
      <c r="E93" s="66">
        <v>308.2158</v>
      </c>
      <c r="F93" s="66">
        <v>200.2158</v>
      </c>
      <c r="G93" s="66">
        <v>108</v>
      </c>
      <c r="H93" s="66">
        <v>198.51870223</v>
      </c>
      <c r="I93" s="66">
        <v>0</v>
      </c>
      <c r="J93" s="66">
        <v>305.60325699999999</v>
      </c>
      <c r="K93" s="66">
        <v>198.51870223</v>
      </c>
      <c r="L93" s="66">
        <v>0</v>
      </c>
      <c r="M93" s="66">
        <v>107.08455477</v>
      </c>
      <c r="N93" s="67">
        <v>99.152365712396332</v>
      </c>
      <c r="O93" s="67">
        <v>99.152365527777775</v>
      </c>
      <c r="P93" s="67">
        <v>35.040384000226801</v>
      </c>
      <c r="Q93" s="66">
        <v>0</v>
      </c>
      <c r="R93" s="67">
        <v>0</v>
      </c>
      <c r="S93" s="66">
        <v>200.2158</v>
      </c>
      <c r="T93" s="66">
        <v>0</v>
      </c>
      <c r="U93" s="66">
        <v>308.2158</v>
      </c>
      <c r="V93" s="66">
        <v>200.2158</v>
      </c>
      <c r="W93" s="66">
        <v>108</v>
      </c>
      <c r="X93" s="66">
        <v>198.51870223</v>
      </c>
      <c r="Y93" s="66">
        <v>0</v>
      </c>
      <c r="Z93" s="66">
        <v>305.60325699999999</v>
      </c>
      <c r="AA93" s="66">
        <v>198.51870223</v>
      </c>
      <c r="AB93" s="66">
        <v>0</v>
      </c>
      <c r="AC93" s="66">
        <v>107.08455477</v>
      </c>
      <c r="AD93" s="67">
        <v>99.152365712396332</v>
      </c>
      <c r="AE93" s="67">
        <v>99.152365527777775</v>
      </c>
      <c r="AF93" s="67">
        <v>35.040384000226801</v>
      </c>
      <c r="AG93" s="210">
        <v>0</v>
      </c>
      <c r="AH93" s="67">
        <v>0</v>
      </c>
      <c r="AI93" s="66">
        <v>0</v>
      </c>
      <c r="AJ93" s="66">
        <v>0</v>
      </c>
      <c r="AK93" s="66">
        <v>0</v>
      </c>
      <c r="AL93" s="66">
        <v>0</v>
      </c>
      <c r="AM93" s="66">
        <v>0</v>
      </c>
      <c r="AN93" s="66">
        <v>0</v>
      </c>
      <c r="AO93" s="66">
        <v>0</v>
      </c>
      <c r="AP93" s="66">
        <v>0</v>
      </c>
      <c r="AQ93" s="66">
        <v>0</v>
      </c>
      <c r="AR93" s="66">
        <v>0</v>
      </c>
      <c r="AS93" s="66">
        <v>0</v>
      </c>
      <c r="AT93" s="67" t="s">
        <v>1094</v>
      </c>
      <c r="AU93" s="67" t="s">
        <v>1094</v>
      </c>
      <c r="AV93" s="67">
        <v>0</v>
      </c>
      <c r="AW93" s="210">
        <v>0</v>
      </c>
      <c r="AX93" s="67">
        <v>0</v>
      </c>
    </row>
    <row r="94" spans="1:50" ht="15.75" x14ac:dyDescent="0.25">
      <c r="A94" s="11">
        <v>83</v>
      </c>
      <c r="B94" s="189" t="s">
        <v>225</v>
      </c>
      <c r="C94" s="66">
        <v>106.22929999999999</v>
      </c>
      <c r="D94" s="66">
        <v>0</v>
      </c>
      <c r="E94" s="66">
        <v>189.72929999999999</v>
      </c>
      <c r="F94" s="66">
        <v>106.22929999999999</v>
      </c>
      <c r="G94" s="66">
        <v>83.5</v>
      </c>
      <c r="H94" s="66">
        <v>106.22929999999999</v>
      </c>
      <c r="I94" s="66">
        <v>0</v>
      </c>
      <c r="J94" s="66">
        <v>189.7292995</v>
      </c>
      <c r="K94" s="66">
        <v>106.22929999999999</v>
      </c>
      <c r="L94" s="66">
        <v>0</v>
      </c>
      <c r="M94" s="66">
        <v>83.499999500000001</v>
      </c>
      <c r="N94" s="67">
        <v>100</v>
      </c>
      <c r="O94" s="67">
        <v>99.999999401197599</v>
      </c>
      <c r="P94" s="67">
        <v>44.010071043349846</v>
      </c>
      <c r="Q94" s="66">
        <v>0</v>
      </c>
      <c r="R94" s="67">
        <v>0</v>
      </c>
      <c r="S94" s="66">
        <v>106.22929999999999</v>
      </c>
      <c r="T94" s="66">
        <v>0</v>
      </c>
      <c r="U94" s="66">
        <v>189.72929999999999</v>
      </c>
      <c r="V94" s="66">
        <v>106.22929999999999</v>
      </c>
      <c r="W94" s="66">
        <v>83.5</v>
      </c>
      <c r="X94" s="66">
        <v>106.22929999999999</v>
      </c>
      <c r="Y94" s="66">
        <v>0</v>
      </c>
      <c r="Z94" s="66">
        <v>189.7292995</v>
      </c>
      <c r="AA94" s="66">
        <v>106.22929999999999</v>
      </c>
      <c r="AB94" s="66">
        <v>0</v>
      </c>
      <c r="AC94" s="66">
        <v>83.499999500000001</v>
      </c>
      <c r="AD94" s="67">
        <v>100</v>
      </c>
      <c r="AE94" s="67">
        <v>99.999999401197599</v>
      </c>
      <c r="AF94" s="67">
        <v>44.010071043349846</v>
      </c>
      <c r="AG94" s="210">
        <v>0</v>
      </c>
      <c r="AH94" s="67">
        <v>0</v>
      </c>
      <c r="AI94" s="66">
        <v>0</v>
      </c>
      <c r="AJ94" s="66">
        <v>0</v>
      </c>
      <c r="AK94" s="66">
        <v>0</v>
      </c>
      <c r="AL94" s="66">
        <v>0</v>
      </c>
      <c r="AM94" s="66">
        <v>0</v>
      </c>
      <c r="AN94" s="66">
        <v>0</v>
      </c>
      <c r="AO94" s="66">
        <v>0</v>
      </c>
      <c r="AP94" s="66">
        <v>0</v>
      </c>
      <c r="AQ94" s="66">
        <v>0</v>
      </c>
      <c r="AR94" s="66">
        <v>0</v>
      </c>
      <c r="AS94" s="66">
        <v>0</v>
      </c>
      <c r="AT94" s="67" t="s">
        <v>1094</v>
      </c>
      <c r="AU94" s="67" t="s">
        <v>1094</v>
      </c>
      <c r="AV94" s="67">
        <v>0</v>
      </c>
      <c r="AW94" s="210">
        <v>0</v>
      </c>
      <c r="AX94" s="67">
        <v>0</v>
      </c>
    </row>
    <row r="95" spans="1:50" ht="15.75" x14ac:dyDescent="0.25">
      <c r="A95" s="74">
        <v>84</v>
      </c>
      <c r="B95" s="189" t="s">
        <v>228</v>
      </c>
      <c r="C95" s="66">
        <v>43.281500000000001</v>
      </c>
      <c r="D95" s="66">
        <v>0</v>
      </c>
      <c r="E95" s="66">
        <v>330.18150000000003</v>
      </c>
      <c r="F95" s="66">
        <v>43.281500000000001</v>
      </c>
      <c r="G95" s="66">
        <v>286.89999999999998</v>
      </c>
      <c r="H95" s="66">
        <v>43.281500000000001</v>
      </c>
      <c r="I95" s="66">
        <v>0</v>
      </c>
      <c r="J95" s="66">
        <v>330.18150000000003</v>
      </c>
      <c r="K95" s="66">
        <v>43.281500000000001</v>
      </c>
      <c r="L95" s="66">
        <v>0</v>
      </c>
      <c r="M95" s="66">
        <v>286.89999999999998</v>
      </c>
      <c r="N95" s="67">
        <v>100</v>
      </c>
      <c r="O95" s="67">
        <v>100</v>
      </c>
      <c r="P95" s="67">
        <v>86.891603557437335</v>
      </c>
      <c r="Q95" s="66">
        <v>0</v>
      </c>
      <c r="R95" s="67">
        <v>0</v>
      </c>
      <c r="S95" s="66">
        <v>43.281500000000001</v>
      </c>
      <c r="T95" s="66">
        <v>0</v>
      </c>
      <c r="U95" s="66">
        <v>330.18150000000003</v>
      </c>
      <c r="V95" s="66">
        <v>43.281500000000001</v>
      </c>
      <c r="W95" s="66">
        <v>286.89999999999998</v>
      </c>
      <c r="X95" s="66">
        <v>43.281500000000001</v>
      </c>
      <c r="Y95" s="66">
        <v>0</v>
      </c>
      <c r="Z95" s="66">
        <v>330.18150000000003</v>
      </c>
      <c r="AA95" s="66">
        <v>43.281500000000001</v>
      </c>
      <c r="AB95" s="66">
        <v>0</v>
      </c>
      <c r="AC95" s="66">
        <v>286.89999999999998</v>
      </c>
      <c r="AD95" s="67">
        <v>100</v>
      </c>
      <c r="AE95" s="67">
        <v>100</v>
      </c>
      <c r="AF95" s="67">
        <v>86.891603557437335</v>
      </c>
      <c r="AG95" s="210">
        <v>0</v>
      </c>
      <c r="AH95" s="67">
        <v>0</v>
      </c>
      <c r="AI95" s="66">
        <v>0</v>
      </c>
      <c r="AJ95" s="66">
        <v>0</v>
      </c>
      <c r="AK95" s="66">
        <v>0</v>
      </c>
      <c r="AL95" s="66">
        <v>0</v>
      </c>
      <c r="AM95" s="66">
        <v>0</v>
      </c>
      <c r="AN95" s="66">
        <v>0</v>
      </c>
      <c r="AO95" s="66">
        <v>0</v>
      </c>
      <c r="AP95" s="66">
        <v>0</v>
      </c>
      <c r="AQ95" s="66">
        <v>0</v>
      </c>
      <c r="AR95" s="66">
        <v>0</v>
      </c>
      <c r="AS95" s="66">
        <v>0</v>
      </c>
      <c r="AT95" s="67" t="s">
        <v>1094</v>
      </c>
      <c r="AU95" s="67" t="s">
        <v>1094</v>
      </c>
      <c r="AV95" s="67">
        <v>0</v>
      </c>
      <c r="AW95" s="210">
        <v>0</v>
      </c>
      <c r="AX95" s="67">
        <v>0</v>
      </c>
    </row>
    <row r="96" spans="1:50" ht="15.75" x14ac:dyDescent="0.25">
      <c r="A96" s="57">
        <v>85</v>
      </c>
      <c r="B96" s="190" t="s">
        <v>231</v>
      </c>
      <c r="C96" s="61">
        <v>101.91319999999997</v>
      </c>
      <c r="D96" s="61">
        <v>0</v>
      </c>
      <c r="E96" s="61">
        <v>233.84782999999999</v>
      </c>
      <c r="F96" s="61">
        <v>101.90439999999998</v>
      </c>
      <c r="G96" s="61">
        <v>131.94343000000001</v>
      </c>
      <c r="H96" s="61">
        <v>98.317462679999991</v>
      </c>
      <c r="I96" s="61">
        <v>6.1381449999999997</v>
      </c>
      <c r="J96" s="61">
        <v>219.10082212</v>
      </c>
      <c r="K96" s="61">
        <v>98.317462679999991</v>
      </c>
      <c r="L96" s="61">
        <v>0</v>
      </c>
      <c r="M96" s="61">
        <v>120.78335944</v>
      </c>
      <c r="N96" s="61">
        <v>96.480095736788613</v>
      </c>
      <c r="O96" s="61">
        <v>91.541776229403766</v>
      </c>
      <c r="P96" s="61">
        <v>55.1268399047119</v>
      </c>
      <c r="Q96" s="61">
        <v>6.1381449999999997</v>
      </c>
      <c r="R96" s="61">
        <v>1.7763568394002505E-15</v>
      </c>
      <c r="S96" s="61">
        <v>101.91319999999997</v>
      </c>
      <c r="T96" s="61">
        <v>0</v>
      </c>
      <c r="U96" s="61">
        <v>233.84782999999999</v>
      </c>
      <c r="V96" s="61">
        <v>101.90439999999998</v>
      </c>
      <c r="W96" s="61">
        <v>131.94343000000001</v>
      </c>
      <c r="X96" s="61">
        <v>98.317462679999991</v>
      </c>
      <c r="Y96" s="61">
        <v>6.1381449999999997</v>
      </c>
      <c r="Z96" s="61">
        <v>219.10082212</v>
      </c>
      <c r="AA96" s="61">
        <v>98.317462679999991</v>
      </c>
      <c r="AB96" s="61">
        <v>0</v>
      </c>
      <c r="AC96" s="61">
        <v>120.78335944</v>
      </c>
      <c r="AD96" s="61">
        <v>96.480095736788613</v>
      </c>
      <c r="AE96" s="61">
        <v>91.541776229403766</v>
      </c>
      <c r="AF96" s="61">
        <v>55.1268399047119</v>
      </c>
      <c r="AG96" s="61">
        <v>6.1381449999999997</v>
      </c>
      <c r="AH96" s="61">
        <v>1.7763568394002505E-15</v>
      </c>
      <c r="AI96" s="61">
        <v>0</v>
      </c>
      <c r="AJ96" s="61">
        <v>0</v>
      </c>
      <c r="AK96" s="61">
        <v>0</v>
      </c>
      <c r="AL96" s="61">
        <v>0</v>
      </c>
      <c r="AM96" s="61">
        <v>0</v>
      </c>
      <c r="AN96" s="61">
        <v>0</v>
      </c>
      <c r="AO96" s="61">
        <v>0</v>
      </c>
      <c r="AP96" s="61">
        <v>0</v>
      </c>
      <c r="AQ96" s="61">
        <v>0</v>
      </c>
      <c r="AR96" s="61">
        <v>0</v>
      </c>
      <c r="AS96" s="61">
        <v>0</v>
      </c>
      <c r="AT96" s="61" t="s">
        <v>1094</v>
      </c>
      <c r="AU96" s="61" t="s">
        <v>1094</v>
      </c>
      <c r="AV96" s="61">
        <v>0</v>
      </c>
      <c r="AW96" s="61">
        <v>0</v>
      </c>
      <c r="AX96" s="61">
        <v>0</v>
      </c>
    </row>
    <row r="97" spans="1:50" ht="15.75" x14ac:dyDescent="0.25">
      <c r="A97" s="11">
        <v>86</v>
      </c>
      <c r="B97" s="189" t="s">
        <v>234</v>
      </c>
      <c r="C97" s="66">
        <v>28.4163</v>
      </c>
      <c r="D97" s="66">
        <v>0</v>
      </c>
      <c r="E97" s="66">
        <v>33.907229999999998</v>
      </c>
      <c r="F97" s="66">
        <v>28.4163</v>
      </c>
      <c r="G97" s="66">
        <v>5.4909299999999996</v>
      </c>
      <c r="H97" s="66">
        <v>28.4163</v>
      </c>
      <c r="I97" s="66">
        <v>6.1381449999999997</v>
      </c>
      <c r="J97" s="66">
        <v>33.907229999999998</v>
      </c>
      <c r="K97" s="66">
        <v>28.4163</v>
      </c>
      <c r="L97" s="66">
        <v>0</v>
      </c>
      <c r="M97" s="66">
        <v>5.4909299999999996</v>
      </c>
      <c r="N97" s="67">
        <v>100</v>
      </c>
      <c r="O97" s="67">
        <v>100</v>
      </c>
      <c r="P97" s="67">
        <v>16.193979868010448</v>
      </c>
      <c r="Q97" s="66">
        <v>6.1381449999999997</v>
      </c>
      <c r="R97" s="67">
        <v>1.7763568394002505E-15</v>
      </c>
      <c r="S97" s="66">
        <v>28.4163</v>
      </c>
      <c r="T97" s="66">
        <v>0</v>
      </c>
      <c r="U97" s="66">
        <v>33.907229999999998</v>
      </c>
      <c r="V97" s="66">
        <v>28.4163</v>
      </c>
      <c r="W97" s="66">
        <v>5.4909299999999996</v>
      </c>
      <c r="X97" s="66">
        <v>28.4163</v>
      </c>
      <c r="Y97" s="66">
        <v>6.1381449999999997</v>
      </c>
      <c r="Z97" s="66">
        <v>33.907229999999998</v>
      </c>
      <c r="AA97" s="66">
        <v>28.4163</v>
      </c>
      <c r="AB97" s="66">
        <v>0</v>
      </c>
      <c r="AC97" s="66">
        <v>5.4909299999999996</v>
      </c>
      <c r="AD97" s="67">
        <v>100</v>
      </c>
      <c r="AE97" s="67">
        <v>100</v>
      </c>
      <c r="AF97" s="67">
        <v>16.193979868010448</v>
      </c>
      <c r="AG97" s="210">
        <v>6.1381449999999997</v>
      </c>
      <c r="AH97" s="67">
        <v>1.7763568394002505E-15</v>
      </c>
      <c r="AI97" s="66">
        <v>0</v>
      </c>
      <c r="AJ97" s="66">
        <v>0</v>
      </c>
      <c r="AK97" s="66">
        <v>0</v>
      </c>
      <c r="AL97" s="66">
        <v>0</v>
      </c>
      <c r="AM97" s="66">
        <v>0</v>
      </c>
      <c r="AN97" s="66">
        <v>0</v>
      </c>
      <c r="AO97" s="66">
        <v>0</v>
      </c>
      <c r="AP97" s="66">
        <v>0</v>
      </c>
      <c r="AQ97" s="66">
        <v>0</v>
      </c>
      <c r="AR97" s="66">
        <v>0</v>
      </c>
      <c r="AS97" s="66">
        <v>0</v>
      </c>
      <c r="AT97" s="67" t="s">
        <v>1094</v>
      </c>
      <c r="AU97" s="67" t="s">
        <v>1094</v>
      </c>
      <c r="AV97" s="67">
        <v>0</v>
      </c>
      <c r="AW97" s="210">
        <v>0</v>
      </c>
      <c r="AX97" s="67">
        <v>0</v>
      </c>
    </row>
    <row r="98" spans="1:50" ht="15.75" x14ac:dyDescent="0.25">
      <c r="A98" s="11">
        <v>87</v>
      </c>
      <c r="B98" s="189" t="s">
        <v>237</v>
      </c>
      <c r="C98" s="66">
        <v>4.4589999999999996</v>
      </c>
      <c r="D98" s="66">
        <v>0</v>
      </c>
      <c r="E98" s="66">
        <v>5.7679999999999998</v>
      </c>
      <c r="F98" s="66">
        <v>4.4589999999999996</v>
      </c>
      <c r="G98" s="66">
        <v>1.3089999999999999</v>
      </c>
      <c r="H98" s="66">
        <v>4.4589999999999996</v>
      </c>
      <c r="I98" s="66">
        <v>0</v>
      </c>
      <c r="J98" s="66">
        <v>5.7679999999999998</v>
      </c>
      <c r="K98" s="66">
        <v>4.4589999999999996</v>
      </c>
      <c r="L98" s="66">
        <v>0</v>
      </c>
      <c r="M98" s="66">
        <v>1.3089999999999999</v>
      </c>
      <c r="N98" s="67">
        <v>100</v>
      </c>
      <c r="O98" s="67">
        <v>100</v>
      </c>
      <c r="P98" s="67">
        <v>22.694174757281555</v>
      </c>
      <c r="Q98" s="66">
        <v>0</v>
      </c>
      <c r="R98" s="67">
        <v>0</v>
      </c>
      <c r="S98" s="66">
        <v>4.4589999999999996</v>
      </c>
      <c r="T98" s="66">
        <v>0</v>
      </c>
      <c r="U98" s="66">
        <v>5.7679999999999998</v>
      </c>
      <c r="V98" s="66">
        <v>4.4589999999999996</v>
      </c>
      <c r="W98" s="66">
        <v>1.3089999999999999</v>
      </c>
      <c r="X98" s="66">
        <v>4.4589999999999996</v>
      </c>
      <c r="Y98" s="66">
        <v>0</v>
      </c>
      <c r="Z98" s="66">
        <v>5.7679999999999998</v>
      </c>
      <c r="AA98" s="66">
        <v>4.4589999999999996</v>
      </c>
      <c r="AB98" s="66">
        <v>0</v>
      </c>
      <c r="AC98" s="66">
        <v>1.3089999999999999</v>
      </c>
      <c r="AD98" s="67">
        <v>100</v>
      </c>
      <c r="AE98" s="67">
        <v>100</v>
      </c>
      <c r="AF98" s="67">
        <v>22.694174757281555</v>
      </c>
      <c r="AG98" s="210">
        <v>0</v>
      </c>
      <c r="AH98" s="67">
        <v>0</v>
      </c>
      <c r="AI98" s="66">
        <v>0</v>
      </c>
      <c r="AJ98" s="66">
        <v>0</v>
      </c>
      <c r="AK98" s="66">
        <v>0</v>
      </c>
      <c r="AL98" s="66">
        <v>0</v>
      </c>
      <c r="AM98" s="66">
        <v>0</v>
      </c>
      <c r="AN98" s="66">
        <v>0</v>
      </c>
      <c r="AO98" s="66">
        <v>0</v>
      </c>
      <c r="AP98" s="66">
        <v>0</v>
      </c>
      <c r="AQ98" s="66">
        <v>0</v>
      </c>
      <c r="AR98" s="66">
        <v>0</v>
      </c>
      <c r="AS98" s="66">
        <v>0</v>
      </c>
      <c r="AT98" s="67" t="s">
        <v>1094</v>
      </c>
      <c r="AU98" s="67" t="s">
        <v>1094</v>
      </c>
      <c r="AV98" s="67">
        <v>0</v>
      </c>
      <c r="AW98" s="210">
        <v>0</v>
      </c>
      <c r="AX98" s="67">
        <v>0</v>
      </c>
    </row>
    <row r="99" spans="1:50" ht="15.75" x14ac:dyDescent="0.25">
      <c r="A99" s="11">
        <v>88</v>
      </c>
      <c r="B99" s="189" t="s">
        <v>240</v>
      </c>
      <c r="C99" s="66">
        <v>24.3734</v>
      </c>
      <c r="D99" s="66">
        <v>0</v>
      </c>
      <c r="E99" s="66">
        <v>44.513399999999997</v>
      </c>
      <c r="F99" s="66">
        <v>24.3734</v>
      </c>
      <c r="G99" s="66">
        <v>20.14</v>
      </c>
      <c r="H99" s="66">
        <v>24.3734</v>
      </c>
      <c r="I99" s="66">
        <v>0</v>
      </c>
      <c r="J99" s="66">
        <v>44.513399999999997</v>
      </c>
      <c r="K99" s="66">
        <v>24.3734</v>
      </c>
      <c r="L99" s="66">
        <v>0</v>
      </c>
      <c r="M99" s="66">
        <v>20.14</v>
      </c>
      <c r="N99" s="67">
        <v>100</v>
      </c>
      <c r="O99" s="67">
        <v>100</v>
      </c>
      <c r="P99" s="67">
        <v>45.244802688628596</v>
      </c>
      <c r="Q99" s="66">
        <v>0</v>
      </c>
      <c r="R99" s="67">
        <v>0</v>
      </c>
      <c r="S99" s="66">
        <v>24.3734</v>
      </c>
      <c r="T99" s="66">
        <v>0</v>
      </c>
      <c r="U99" s="66">
        <v>44.513399999999997</v>
      </c>
      <c r="V99" s="66">
        <v>24.3734</v>
      </c>
      <c r="W99" s="66">
        <v>20.14</v>
      </c>
      <c r="X99" s="66">
        <v>24.3734</v>
      </c>
      <c r="Y99" s="66">
        <v>0</v>
      </c>
      <c r="Z99" s="66">
        <v>44.513399999999997</v>
      </c>
      <c r="AA99" s="66">
        <v>24.3734</v>
      </c>
      <c r="AB99" s="66">
        <v>0</v>
      </c>
      <c r="AC99" s="66">
        <v>20.14</v>
      </c>
      <c r="AD99" s="67">
        <v>100</v>
      </c>
      <c r="AE99" s="67">
        <v>100</v>
      </c>
      <c r="AF99" s="67">
        <v>45.244802688628596</v>
      </c>
      <c r="AG99" s="210">
        <v>0</v>
      </c>
      <c r="AH99" s="67">
        <v>0</v>
      </c>
      <c r="AI99" s="66">
        <v>0</v>
      </c>
      <c r="AJ99" s="66">
        <v>0</v>
      </c>
      <c r="AK99" s="66">
        <v>0</v>
      </c>
      <c r="AL99" s="66">
        <v>0</v>
      </c>
      <c r="AM99" s="66">
        <v>0</v>
      </c>
      <c r="AN99" s="66">
        <v>0</v>
      </c>
      <c r="AO99" s="66">
        <v>0</v>
      </c>
      <c r="AP99" s="66">
        <v>0</v>
      </c>
      <c r="AQ99" s="66">
        <v>0</v>
      </c>
      <c r="AR99" s="66">
        <v>0</v>
      </c>
      <c r="AS99" s="66">
        <v>0</v>
      </c>
      <c r="AT99" s="67" t="s">
        <v>1094</v>
      </c>
      <c r="AU99" s="67" t="s">
        <v>1094</v>
      </c>
      <c r="AV99" s="67">
        <v>0</v>
      </c>
      <c r="AW99" s="210">
        <v>0</v>
      </c>
      <c r="AX99" s="67">
        <v>0</v>
      </c>
    </row>
    <row r="100" spans="1:50" ht="15.75" x14ac:dyDescent="0.25">
      <c r="A100" s="11">
        <v>89</v>
      </c>
      <c r="B100" s="189" t="s">
        <v>243</v>
      </c>
      <c r="C100" s="66">
        <v>11.829599999999999</v>
      </c>
      <c r="D100" s="66">
        <v>0</v>
      </c>
      <c r="E100" s="66">
        <v>12.4796</v>
      </c>
      <c r="F100" s="66">
        <v>11.829599999999999</v>
      </c>
      <c r="G100" s="66">
        <v>0.65</v>
      </c>
      <c r="H100" s="66">
        <v>9.0330698599999995</v>
      </c>
      <c r="I100" s="66">
        <v>0</v>
      </c>
      <c r="J100" s="66">
        <v>9.5294091300000012</v>
      </c>
      <c r="K100" s="66">
        <v>9.0330698599999995</v>
      </c>
      <c r="L100" s="66">
        <v>0</v>
      </c>
      <c r="M100" s="66">
        <v>0.49633927</v>
      </c>
      <c r="N100" s="67">
        <v>76.359892642185699</v>
      </c>
      <c r="O100" s="67">
        <v>76.359887692307694</v>
      </c>
      <c r="P100" s="67">
        <v>5.2084999523994613</v>
      </c>
      <c r="Q100" s="66">
        <v>0</v>
      </c>
      <c r="R100" s="67">
        <v>0</v>
      </c>
      <c r="S100" s="66">
        <v>11.829599999999999</v>
      </c>
      <c r="T100" s="66">
        <v>0</v>
      </c>
      <c r="U100" s="66">
        <v>12.4796</v>
      </c>
      <c r="V100" s="66">
        <v>11.829599999999999</v>
      </c>
      <c r="W100" s="66">
        <v>0.65</v>
      </c>
      <c r="X100" s="66">
        <v>9.0330698599999995</v>
      </c>
      <c r="Y100" s="66">
        <v>0</v>
      </c>
      <c r="Z100" s="66">
        <v>9.5294091300000012</v>
      </c>
      <c r="AA100" s="66">
        <v>9.0330698599999995</v>
      </c>
      <c r="AB100" s="66">
        <v>0</v>
      </c>
      <c r="AC100" s="66">
        <v>0.49633927</v>
      </c>
      <c r="AD100" s="67">
        <v>76.359892642185699</v>
      </c>
      <c r="AE100" s="67">
        <v>76.359887692307694</v>
      </c>
      <c r="AF100" s="67">
        <v>5.2084999523994613</v>
      </c>
      <c r="AG100" s="210">
        <v>0</v>
      </c>
      <c r="AH100" s="67">
        <v>0</v>
      </c>
      <c r="AI100" s="66">
        <v>0</v>
      </c>
      <c r="AJ100" s="66">
        <v>0</v>
      </c>
      <c r="AK100" s="66">
        <v>0</v>
      </c>
      <c r="AL100" s="66">
        <v>0</v>
      </c>
      <c r="AM100" s="66">
        <v>0</v>
      </c>
      <c r="AN100" s="66">
        <v>0</v>
      </c>
      <c r="AO100" s="66">
        <v>0</v>
      </c>
      <c r="AP100" s="66">
        <v>0</v>
      </c>
      <c r="AQ100" s="66">
        <v>0</v>
      </c>
      <c r="AR100" s="66">
        <v>0</v>
      </c>
      <c r="AS100" s="66">
        <v>0</v>
      </c>
      <c r="AT100" s="67" t="s">
        <v>1094</v>
      </c>
      <c r="AU100" s="67" t="s">
        <v>1094</v>
      </c>
      <c r="AV100" s="67">
        <v>0</v>
      </c>
      <c r="AW100" s="210">
        <v>0</v>
      </c>
      <c r="AX100" s="67">
        <v>0</v>
      </c>
    </row>
    <row r="101" spans="1:50" ht="15.75" x14ac:dyDescent="0.25">
      <c r="A101" s="11">
        <v>90</v>
      </c>
      <c r="B101" s="189" t="s">
        <v>246</v>
      </c>
      <c r="C101" s="66">
        <v>25.517900000000001</v>
      </c>
      <c r="D101" s="66">
        <v>0</v>
      </c>
      <c r="E101" s="66">
        <v>26.917899999999999</v>
      </c>
      <c r="F101" s="66">
        <v>25.517900000000001</v>
      </c>
      <c r="G101" s="66">
        <v>1.4</v>
      </c>
      <c r="H101" s="66">
        <v>25.517900000000001</v>
      </c>
      <c r="I101" s="66">
        <v>0</v>
      </c>
      <c r="J101" s="66">
        <v>26.917899999999999</v>
      </c>
      <c r="K101" s="66">
        <v>25.517900000000001</v>
      </c>
      <c r="L101" s="66">
        <v>0</v>
      </c>
      <c r="M101" s="66">
        <v>1.4</v>
      </c>
      <c r="N101" s="67">
        <v>100</v>
      </c>
      <c r="O101" s="67">
        <v>100</v>
      </c>
      <c r="P101" s="67">
        <v>5.2010000780150012</v>
      </c>
      <c r="Q101" s="66">
        <v>0</v>
      </c>
      <c r="R101" s="67">
        <v>0</v>
      </c>
      <c r="S101" s="66">
        <v>25.517900000000001</v>
      </c>
      <c r="T101" s="66">
        <v>0</v>
      </c>
      <c r="U101" s="66">
        <v>26.917899999999999</v>
      </c>
      <c r="V101" s="66">
        <v>25.517900000000001</v>
      </c>
      <c r="W101" s="66">
        <v>1.4</v>
      </c>
      <c r="X101" s="66">
        <v>25.517900000000001</v>
      </c>
      <c r="Y101" s="66">
        <v>0</v>
      </c>
      <c r="Z101" s="66">
        <v>26.917899999999999</v>
      </c>
      <c r="AA101" s="66">
        <v>25.517900000000001</v>
      </c>
      <c r="AB101" s="66">
        <v>0</v>
      </c>
      <c r="AC101" s="66">
        <v>1.4</v>
      </c>
      <c r="AD101" s="67">
        <v>100</v>
      </c>
      <c r="AE101" s="67">
        <v>100</v>
      </c>
      <c r="AF101" s="67">
        <v>5.2010000780150012</v>
      </c>
      <c r="AG101" s="210">
        <v>0</v>
      </c>
      <c r="AH101" s="67">
        <v>0</v>
      </c>
      <c r="AI101" s="66">
        <v>0</v>
      </c>
      <c r="AJ101" s="66">
        <v>0</v>
      </c>
      <c r="AK101" s="66">
        <v>0</v>
      </c>
      <c r="AL101" s="66">
        <v>0</v>
      </c>
      <c r="AM101" s="66">
        <v>0</v>
      </c>
      <c r="AN101" s="66">
        <v>0</v>
      </c>
      <c r="AO101" s="66">
        <v>0</v>
      </c>
      <c r="AP101" s="66">
        <v>0</v>
      </c>
      <c r="AQ101" s="66">
        <v>0</v>
      </c>
      <c r="AR101" s="66">
        <v>0</v>
      </c>
      <c r="AS101" s="66">
        <v>0</v>
      </c>
      <c r="AT101" s="67" t="s">
        <v>1094</v>
      </c>
      <c r="AU101" s="67" t="s">
        <v>1094</v>
      </c>
      <c r="AV101" s="67">
        <v>0</v>
      </c>
      <c r="AW101" s="210">
        <v>0</v>
      </c>
      <c r="AX101" s="67">
        <v>0</v>
      </c>
    </row>
    <row r="102" spans="1:50" ht="15.75" x14ac:dyDescent="0.25">
      <c r="A102" s="11">
        <v>91</v>
      </c>
      <c r="B102" s="189" t="s">
        <v>249</v>
      </c>
      <c r="C102" s="66">
        <v>0.45450000000000002</v>
      </c>
      <c r="D102" s="66">
        <v>0</v>
      </c>
      <c r="E102" s="66">
        <v>1.6653</v>
      </c>
      <c r="F102" s="66">
        <v>0.45450000000000002</v>
      </c>
      <c r="G102" s="66">
        <v>1.2108000000000001</v>
      </c>
      <c r="H102" s="66">
        <v>0.45450000000000002</v>
      </c>
      <c r="I102" s="66">
        <v>0</v>
      </c>
      <c r="J102" s="66">
        <v>1.6653</v>
      </c>
      <c r="K102" s="66">
        <v>0.45450000000000002</v>
      </c>
      <c r="L102" s="66">
        <v>0</v>
      </c>
      <c r="M102" s="66">
        <v>1.2108000000000001</v>
      </c>
      <c r="N102" s="67">
        <v>100</v>
      </c>
      <c r="O102" s="67">
        <v>100</v>
      </c>
      <c r="P102" s="67">
        <v>72.70762024860386</v>
      </c>
      <c r="Q102" s="66">
        <v>0</v>
      </c>
      <c r="R102" s="67">
        <v>0</v>
      </c>
      <c r="S102" s="66">
        <v>0.45450000000000002</v>
      </c>
      <c r="T102" s="66">
        <v>0</v>
      </c>
      <c r="U102" s="66">
        <v>1.6653</v>
      </c>
      <c r="V102" s="66">
        <v>0.45450000000000002</v>
      </c>
      <c r="W102" s="66">
        <v>1.2108000000000001</v>
      </c>
      <c r="X102" s="66">
        <v>0.45450000000000002</v>
      </c>
      <c r="Y102" s="66">
        <v>0</v>
      </c>
      <c r="Z102" s="66">
        <v>1.6653</v>
      </c>
      <c r="AA102" s="66">
        <v>0.45450000000000002</v>
      </c>
      <c r="AB102" s="66">
        <v>0</v>
      </c>
      <c r="AC102" s="66">
        <v>1.2108000000000001</v>
      </c>
      <c r="AD102" s="67">
        <v>100</v>
      </c>
      <c r="AE102" s="67">
        <v>100</v>
      </c>
      <c r="AF102" s="67">
        <v>72.70762024860386</v>
      </c>
      <c r="AG102" s="210">
        <v>0</v>
      </c>
      <c r="AH102" s="67">
        <v>0</v>
      </c>
      <c r="AI102" s="66">
        <v>0</v>
      </c>
      <c r="AJ102" s="66">
        <v>0</v>
      </c>
      <c r="AK102" s="66">
        <v>0</v>
      </c>
      <c r="AL102" s="66">
        <v>0</v>
      </c>
      <c r="AM102" s="66">
        <v>0</v>
      </c>
      <c r="AN102" s="66">
        <v>0</v>
      </c>
      <c r="AO102" s="66">
        <v>0</v>
      </c>
      <c r="AP102" s="66">
        <v>0</v>
      </c>
      <c r="AQ102" s="66">
        <v>0</v>
      </c>
      <c r="AR102" s="66">
        <v>0</v>
      </c>
      <c r="AS102" s="66">
        <v>0</v>
      </c>
      <c r="AT102" s="67" t="s">
        <v>1094</v>
      </c>
      <c r="AU102" s="67" t="s">
        <v>1094</v>
      </c>
      <c r="AV102" s="67">
        <v>0</v>
      </c>
      <c r="AW102" s="210">
        <v>0</v>
      </c>
      <c r="AX102" s="67">
        <v>0</v>
      </c>
    </row>
    <row r="103" spans="1:50" ht="15.75" x14ac:dyDescent="0.25">
      <c r="A103" s="11">
        <v>92</v>
      </c>
      <c r="B103" s="189" t="s">
        <v>252</v>
      </c>
      <c r="C103" s="66">
        <v>6.0110000000000001</v>
      </c>
      <c r="D103" s="66">
        <v>0</v>
      </c>
      <c r="E103" s="66">
        <v>104.711</v>
      </c>
      <c r="F103" s="66">
        <v>6.0110000000000001</v>
      </c>
      <c r="G103" s="66">
        <v>98.7</v>
      </c>
      <c r="H103" s="66">
        <v>5.3745437800000007</v>
      </c>
      <c r="I103" s="66">
        <v>0</v>
      </c>
      <c r="J103" s="66">
        <v>93.623998</v>
      </c>
      <c r="K103" s="66">
        <v>5.3745437800000007</v>
      </c>
      <c r="L103" s="66">
        <v>0</v>
      </c>
      <c r="M103" s="66">
        <v>88.249454220000004</v>
      </c>
      <c r="N103" s="67">
        <v>89.411808018632527</v>
      </c>
      <c r="O103" s="67">
        <v>89.411807720364749</v>
      </c>
      <c r="P103" s="67">
        <v>94.259437863356368</v>
      </c>
      <c r="Q103" s="66">
        <v>0</v>
      </c>
      <c r="R103" s="67">
        <v>0</v>
      </c>
      <c r="S103" s="66">
        <v>6.0110000000000001</v>
      </c>
      <c r="T103" s="66">
        <v>0</v>
      </c>
      <c r="U103" s="66">
        <v>104.711</v>
      </c>
      <c r="V103" s="66">
        <v>6.0110000000000001</v>
      </c>
      <c r="W103" s="66">
        <v>98.7</v>
      </c>
      <c r="X103" s="66">
        <v>5.3745437800000007</v>
      </c>
      <c r="Y103" s="66">
        <v>0</v>
      </c>
      <c r="Z103" s="66">
        <v>93.623998</v>
      </c>
      <c r="AA103" s="66">
        <v>5.3745437800000007</v>
      </c>
      <c r="AB103" s="66">
        <v>0</v>
      </c>
      <c r="AC103" s="66">
        <v>88.249454220000004</v>
      </c>
      <c r="AD103" s="67">
        <v>89.411808018632527</v>
      </c>
      <c r="AE103" s="67">
        <v>89.411807720364749</v>
      </c>
      <c r="AF103" s="67">
        <v>94.259437863356368</v>
      </c>
      <c r="AG103" s="210">
        <v>0</v>
      </c>
      <c r="AH103" s="67">
        <v>0</v>
      </c>
      <c r="AI103" s="66">
        <v>0</v>
      </c>
      <c r="AJ103" s="66">
        <v>0</v>
      </c>
      <c r="AK103" s="66">
        <v>0</v>
      </c>
      <c r="AL103" s="66">
        <v>0</v>
      </c>
      <c r="AM103" s="66">
        <v>0</v>
      </c>
      <c r="AN103" s="66">
        <v>0</v>
      </c>
      <c r="AO103" s="66">
        <v>0</v>
      </c>
      <c r="AP103" s="66">
        <v>0</v>
      </c>
      <c r="AQ103" s="66">
        <v>0</v>
      </c>
      <c r="AR103" s="66">
        <v>0</v>
      </c>
      <c r="AS103" s="66">
        <v>0</v>
      </c>
      <c r="AT103" s="67" t="s">
        <v>1094</v>
      </c>
      <c r="AU103" s="67" t="s">
        <v>1094</v>
      </c>
      <c r="AV103" s="67">
        <v>0</v>
      </c>
      <c r="AW103" s="210">
        <v>0</v>
      </c>
      <c r="AX103" s="67">
        <v>0</v>
      </c>
    </row>
    <row r="104" spans="1:50" ht="15.75" x14ac:dyDescent="0.25">
      <c r="A104" s="11">
        <v>93</v>
      </c>
      <c r="B104" s="189" t="s">
        <v>254</v>
      </c>
      <c r="C104" s="66">
        <v>0.8427</v>
      </c>
      <c r="D104" s="66">
        <v>0</v>
      </c>
      <c r="E104" s="66">
        <v>3.8854000000000002</v>
      </c>
      <c r="F104" s="66">
        <v>0.8427</v>
      </c>
      <c r="G104" s="66">
        <v>3.0427</v>
      </c>
      <c r="H104" s="66">
        <v>0.68874904000000003</v>
      </c>
      <c r="I104" s="66">
        <v>0</v>
      </c>
      <c r="J104" s="66">
        <v>3.1755849900000004</v>
      </c>
      <c r="K104" s="66">
        <v>0.68874904000000003</v>
      </c>
      <c r="L104" s="66">
        <v>0</v>
      </c>
      <c r="M104" s="66">
        <v>2.4868359500000001</v>
      </c>
      <c r="N104" s="67">
        <v>81.731225821763388</v>
      </c>
      <c r="O104" s="67">
        <v>81.731223912972041</v>
      </c>
      <c r="P104" s="67">
        <v>78.311113002206241</v>
      </c>
      <c r="Q104" s="66">
        <v>0</v>
      </c>
      <c r="R104" s="67">
        <v>0</v>
      </c>
      <c r="S104" s="66">
        <v>0.8427</v>
      </c>
      <c r="T104" s="66">
        <v>0</v>
      </c>
      <c r="U104" s="66">
        <v>3.8854000000000002</v>
      </c>
      <c r="V104" s="66">
        <v>0.8427</v>
      </c>
      <c r="W104" s="66">
        <v>3.0427</v>
      </c>
      <c r="X104" s="66">
        <v>0.68874904000000003</v>
      </c>
      <c r="Y104" s="66">
        <v>0</v>
      </c>
      <c r="Z104" s="66">
        <v>3.1755849900000004</v>
      </c>
      <c r="AA104" s="66">
        <v>0.68874904000000003</v>
      </c>
      <c r="AB104" s="66">
        <v>0</v>
      </c>
      <c r="AC104" s="66">
        <v>2.4868359500000001</v>
      </c>
      <c r="AD104" s="67">
        <v>81.731225821763388</v>
      </c>
      <c r="AE104" s="67">
        <v>81.731223912972041</v>
      </c>
      <c r="AF104" s="67">
        <v>78.311113002206241</v>
      </c>
      <c r="AG104" s="210">
        <v>0</v>
      </c>
      <c r="AH104" s="67">
        <v>0</v>
      </c>
      <c r="AI104" s="66">
        <v>0</v>
      </c>
      <c r="AJ104" s="66">
        <v>0</v>
      </c>
      <c r="AK104" s="66">
        <v>0</v>
      </c>
      <c r="AL104" s="66">
        <v>0</v>
      </c>
      <c r="AM104" s="66">
        <v>0</v>
      </c>
      <c r="AN104" s="66">
        <v>0</v>
      </c>
      <c r="AO104" s="66">
        <v>0</v>
      </c>
      <c r="AP104" s="66">
        <v>0</v>
      </c>
      <c r="AQ104" s="66">
        <v>0</v>
      </c>
      <c r="AR104" s="66">
        <v>0</v>
      </c>
      <c r="AS104" s="66">
        <v>0</v>
      </c>
      <c r="AT104" s="67" t="s">
        <v>1094</v>
      </c>
      <c r="AU104" s="67" t="s">
        <v>1094</v>
      </c>
      <c r="AV104" s="67">
        <v>0</v>
      </c>
      <c r="AW104" s="210">
        <v>0</v>
      </c>
      <c r="AX104" s="67">
        <v>0</v>
      </c>
    </row>
    <row r="105" spans="1:50" ht="15.75" x14ac:dyDescent="0.25">
      <c r="A105" s="9">
        <v>94</v>
      </c>
      <c r="B105" s="189" t="s">
        <v>256</v>
      </c>
      <c r="C105" s="66">
        <v>8.8000000000000005E-3</v>
      </c>
      <c r="D105" s="66">
        <v>0</v>
      </c>
      <c r="E105" s="66">
        <v>0</v>
      </c>
      <c r="F105" s="66">
        <v>0</v>
      </c>
      <c r="G105" s="66">
        <v>0</v>
      </c>
      <c r="H105" s="66">
        <v>0</v>
      </c>
      <c r="I105" s="66">
        <v>0</v>
      </c>
      <c r="J105" s="66">
        <v>0</v>
      </c>
      <c r="K105" s="66">
        <v>0</v>
      </c>
      <c r="L105" s="66">
        <v>0</v>
      </c>
      <c r="M105" s="66">
        <v>0</v>
      </c>
      <c r="N105" s="67" t="s">
        <v>1094</v>
      </c>
      <c r="O105" s="67" t="s">
        <v>1094</v>
      </c>
      <c r="P105" s="67">
        <v>0</v>
      </c>
      <c r="Q105" s="66">
        <v>0</v>
      </c>
      <c r="R105" s="67">
        <v>0</v>
      </c>
      <c r="S105" s="66">
        <v>8.8000000000000005E-3</v>
      </c>
      <c r="T105" s="66">
        <v>0</v>
      </c>
      <c r="U105" s="66">
        <v>0</v>
      </c>
      <c r="V105" s="66">
        <v>0</v>
      </c>
      <c r="W105" s="66">
        <v>0</v>
      </c>
      <c r="X105" s="66">
        <v>0</v>
      </c>
      <c r="Y105" s="66">
        <v>0</v>
      </c>
      <c r="Z105" s="66">
        <v>0</v>
      </c>
      <c r="AA105" s="66">
        <v>0</v>
      </c>
      <c r="AB105" s="66">
        <v>0</v>
      </c>
      <c r="AC105" s="66">
        <v>0</v>
      </c>
      <c r="AD105" s="67" t="s">
        <v>1094</v>
      </c>
      <c r="AE105" s="67" t="s">
        <v>1094</v>
      </c>
      <c r="AF105" s="67">
        <v>0</v>
      </c>
      <c r="AG105" s="210">
        <v>0</v>
      </c>
      <c r="AH105" s="67">
        <v>0</v>
      </c>
      <c r="AI105" s="66">
        <v>0</v>
      </c>
      <c r="AJ105" s="66">
        <v>0</v>
      </c>
      <c r="AK105" s="66">
        <v>0</v>
      </c>
      <c r="AL105" s="66">
        <v>0</v>
      </c>
      <c r="AM105" s="66">
        <v>0</v>
      </c>
      <c r="AN105" s="66">
        <v>0</v>
      </c>
      <c r="AO105" s="66">
        <v>0</v>
      </c>
      <c r="AP105" s="66">
        <v>0</v>
      </c>
      <c r="AQ105" s="66">
        <v>0</v>
      </c>
      <c r="AR105" s="66">
        <v>0</v>
      </c>
      <c r="AS105" s="66">
        <v>0</v>
      </c>
      <c r="AT105" s="67" t="s">
        <v>1094</v>
      </c>
      <c r="AU105" s="67" t="s">
        <v>1094</v>
      </c>
      <c r="AV105" s="67">
        <v>0</v>
      </c>
      <c r="AW105" s="210">
        <v>0</v>
      </c>
      <c r="AX105" s="67">
        <v>0</v>
      </c>
    </row>
  </sheetData>
  <mergeCells count="47">
    <mergeCell ref="AL10:AM10"/>
    <mergeCell ref="AP10:AP11"/>
    <mergeCell ref="AQ10:AS10"/>
    <mergeCell ref="S7:AH8"/>
    <mergeCell ref="AF9:AF11"/>
    <mergeCell ref="AG9:AG11"/>
    <mergeCell ref="AH9:AH11"/>
    <mergeCell ref="AI7:AX8"/>
    <mergeCell ref="AI9:AI11"/>
    <mergeCell ref="AJ9:AJ11"/>
    <mergeCell ref="AK9:AM9"/>
    <mergeCell ref="AN9:AN11"/>
    <mergeCell ref="AO9:AO11"/>
    <mergeCell ref="AP9:AS9"/>
    <mergeCell ref="AT9:AU10"/>
    <mergeCell ref="AV9:AV11"/>
    <mergeCell ref="AW9:AW11"/>
    <mergeCell ref="AX9:AX11"/>
    <mergeCell ref="AK10:AK11"/>
    <mergeCell ref="A7:A11"/>
    <mergeCell ref="B7:B11"/>
    <mergeCell ref="C7:R8"/>
    <mergeCell ref="C9:C11"/>
    <mergeCell ref="D9:D11"/>
    <mergeCell ref="E9:G9"/>
    <mergeCell ref="H9:H11"/>
    <mergeCell ref="I9:I11"/>
    <mergeCell ref="J9:M9"/>
    <mergeCell ref="P9:P11"/>
    <mergeCell ref="Q9:Q11"/>
    <mergeCell ref="R9:R11"/>
    <mergeCell ref="AD9:AE10"/>
    <mergeCell ref="Z10:Z11"/>
    <mergeCell ref="AA10:AC10"/>
    <mergeCell ref="U9:W9"/>
    <mergeCell ref="X9:X11"/>
    <mergeCell ref="Y9:Y11"/>
    <mergeCell ref="Z9:AC9"/>
    <mergeCell ref="S9:S11"/>
    <mergeCell ref="T9:T11"/>
    <mergeCell ref="U10:U11"/>
    <mergeCell ref="V10:W10"/>
    <mergeCell ref="E10:E11"/>
    <mergeCell ref="F10:G10"/>
    <mergeCell ref="J10:J11"/>
    <mergeCell ref="K10:M10"/>
    <mergeCell ref="N9:O10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AX105"/>
  <sheetViews>
    <sheetView view="pageBreakPreview" zoomScale="60" zoomScaleNormal="70" workbookViewId="0">
      <pane xSplit="2" ySplit="12" topLeftCell="C13" activePane="bottomRight" state="frozen"/>
      <selection activeCell="F34" sqref="F34"/>
      <selection pane="topRight" activeCell="F34" sqref="F34"/>
      <selection pane="bottomLeft" activeCell="F34" sqref="F34"/>
      <selection pane="bottomRight" activeCell="AJ9" sqref="AJ9:AJ11"/>
    </sheetView>
  </sheetViews>
  <sheetFormatPr defaultRowHeight="15" outlineLevelCol="1" x14ac:dyDescent="0.25"/>
  <cols>
    <col min="1" max="1" width="5" customWidth="1"/>
    <col min="2" max="2" width="33.7109375" customWidth="1"/>
    <col min="3" max="4" width="18.7109375" style="126" customWidth="1"/>
    <col min="5" max="6" width="18.7109375" style="126" customWidth="1" outlineLevel="1"/>
    <col min="7" max="15" width="18.7109375" style="126" customWidth="1"/>
    <col min="16" max="18" width="18.7109375" style="126" customWidth="1" outlineLevel="1"/>
    <col min="19" max="20" width="18.7109375" style="126" customWidth="1"/>
    <col min="21" max="22" width="18.7109375" style="126" customWidth="1" outlineLevel="1"/>
    <col min="23" max="31" width="18.7109375" style="126" customWidth="1"/>
    <col min="32" max="34" width="18.7109375" style="126" customWidth="1" outlineLevel="1"/>
    <col min="35" max="36" width="18.7109375" style="126" customWidth="1"/>
    <col min="37" max="38" width="18.7109375" style="126" customWidth="1" outlineLevel="1"/>
    <col min="39" max="47" width="18.7109375" style="126" customWidth="1"/>
    <col min="48" max="50" width="18.7109375" style="126" customWidth="1" outlineLevel="1"/>
  </cols>
  <sheetData>
    <row r="1" spans="1:50" s="126" customFormat="1" ht="15.75" x14ac:dyDescent="0.25">
      <c r="B1" s="127"/>
    </row>
    <row r="2" spans="1:50" s="126" customFormat="1" ht="17.45" customHeight="1" x14ac:dyDescent="0.3">
      <c r="C2" s="216"/>
      <c r="D2" s="217"/>
      <c r="E2" s="217"/>
      <c r="F2" s="217"/>
      <c r="G2" s="217"/>
      <c r="H2" s="217"/>
      <c r="I2" s="217"/>
      <c r="J2" s="217"/>
      <c r="K2" s="217"/>
      <c r="L2" s="217"/>
      <c r="T2" s="217"/>
      <c r="U2" s="217"/>
      <c r="V2" s="217"/>
      <c r="W2" s="217"/>
      <c r="X2" s="217"/>
      <c r="Y2" s="217"/>
      <c r="Z2" s="217"/>
      <c r="AA2" s="217"/>
      <c r="AB2" s="217"/>
      <c r="AJ2" s="217"/>
      <c r="AK2" s="217"/>
      <c r="AL2" s="217"/>
      <c r="AM2" s="217"/>
      <c r="AN2" s="217"/>
      <c r="AO2" s="217"/>
      <c r="AP2" s="217"/>
      <c r="AQ2" s="217"/>
      <c r="AR2" s="217"/>
    </row>
    <row r="3" spans="1:50" s="126" customFormat="1" ht="20.45" customHeight="1" x14ac:dyDescent="0.3">
      <c r="A3" s="128"/>
      <c r="B3" s="128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38"/>
      <c r="N3" s="38"/>
      <c r="O3" s="38"/>
      <c r="P3" s="3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38"/>
      <c r="AD3" s="38"/>
      <c r="AE3" s="38"/>
      <c r="AF3" s="38"/>
      <c r="AS3" s="38"/>
      <c r="AT3" s="38"/>
      <c r="AU3" s="38"/>
      <c r="AV3" s="38"/>
    </row>
    <row r="4" spans="1:50" s="126" customFormat="1" ht="20.25" customHeight="1" x14ac:dyDescent="0.3">
      <c r="A4" s="128"/>
      <c r="B4" s="128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38"/>
      <c r="N4" s="38"/>
      <c r="O4" s="38"/>
      <c r="P4" s="38"/>
      <c r="T4" s="40"/>
      <c r="U4" s="40"/>
      <c r="V4" s="40"/>
      <c r="W4" s="40"/>
      <c r="X4" s="40"/>
      <c r="Y4" s="40"/>
      <c r="Z4" s="40"/>
      <c r="AA4" s="40"/>
      <c r="AB4" s="40"/>
      <c r="AC4" s="38"/>
      <c r="AD4" s="38"/>
      <c r="AE4" s="38"/>
      <c r="AF4" s="38"/>
      <c r="AJ4" s="40"/>
      <c r="AK4" s="40"/>
      <c r="AL4" s="40"/>
      <c r="AM4" s="40"/>
      <c r="AN4" s="40"/>
      <c r="AO4" s="40"/>
      <c r="AP4" s="40"/>
      <c r="AQ4" s="40"/>
      <c r="AR4" s="40"/>
      <c r="AS4" s="38"/>
      <c r="AT4" s="38"/>
      <c r="AU4" s="38"/>
      <c r="AV4" s="38"/>
    </row>
    <row r="5" spans="1:50" s="126" customFormat="1" ht="20.25" x14ac:dyDescent="0.3">
      <c r="A5" s="128"/>
      <c r="B5" s="128"/>
      <c r="D5" s="215"/>
      <c r="E5" s="215"/>
      <c r="F5" s="214"/>
      <c r="G5" s="42"/>
      <c r="H5" s="43"/>
      <c r="I5" s="43"/>
      <c r="T5" s="215"/>
      <c r="U5" s="215"/>
      <c r="V5" s="214"/>
      <c r="W5" s="42"/>
      <c r="X5" s="43"/>
      <c r="Y5" s="43"/>
      <c r="AJ5" s="215"/>
      <c r="AK5" s="215"/>
      <c r="AL5" s="214"/>
      <c r="AM5" s="42"/>
      <c r="AN5" s="43"/>
      <c r="AO5" s="43"/>
    </row>
    <row r="6" spans="1:50" ht="15.75" x14ac:dyDescent="0.25">
      <c r="B6" s="44" t="s">
        <v>1093</v>
      </c>
      <c r="C6" s="76"/>
      <c r="Q6" s="76"/>
      <c r="R6" s="76"/>
      <c r="S6" s="76"/>
      <c r="AG6" s="76"/>
      <c r="AH6" s="76"/>
      <c r="AI6" s="76"/>
      <c r="AW6" s="76"/>
      <c r="AX6" s="76"/>
    </row>
    <row r="7" spans="1:50" ht="15" customHeight="1" x14ac:dyDescent="0.25">
      <c r="A7" s="275" t="s">
        <v>284</v>
      </c>
      <c r="B7" s="275" t="s">
        <v>285</v>
      </c>
      <c r="C7" s="282" t="s">
        <v>998</v>
      </c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  <c r="S7" s="282" t="s">
        <v>974</v>
      </c>
      <c r="T7" s="283"/>
      <c r="U7" s="283"/>
      <c r="V7" s="283"/>
      <c r="W7" s="283"/>
      <c r="X7" s="283"/>
      <c r="Y7" s="283"/>
      <c r="Z7" s="283"/>
      <c r="AA7" s="283"/>
      <c r="AB7" s="283"/>
      <c r="AC7" s="283"/>
      <c r="AD7" s="283"/>
      <c r="AE7" s="283"/>
      <c r="AF7" s="283"/>
      <c r="AG7" s="283"/>
      <c r="AH7" s="283"/>
      <c r="AI7" s="282" t="s">
        <v>1016</v>
      </c>
      <c r="AJ7" s="283"/>
      <c r="AK7" s="283"/>
      <c r="AL7" s="283"/>
      <c r="AM7" s="283"/>
      <c r="AN7" s="283"/>
      <c r="AO7" s="283"/>
      <c r="AP7" s="283"/>
      <c r="AQ7" s="283"/>
      <c r="AR7" s="283"/>
      <c r="AS7" s="283"/>
      <c r="AT7" s="283"/>
      <c r="AU7" s="283"/>
      <c r="AV7" s="283"/>
      <c r="AW7" s="283"/>
      <c r="AX7" s="283"/>
    </row>
    <row r="8" spans="1:50" ht="15.75" customHeight="1" thickBot="1" x14ac:dyDescent="0.3">
      <c r="A8" s="275"/>
      <c r="B8" s="275"/>
      <c r="C8" s="284"/>
      <c r="D8" s="279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79"/>
      <c r="S8" s="284"/>
      <c r="T8" s="279"/>
      <c r="U8" s="279"/>
      <c r="V8" s="279"/>
      <c r="W8" s="279"/>
      <c r="X8" s="279"/>
      <c r="Y8" s="279"/>
      <c r="Z8" s="279"/>
      <c r="AA8" s="279"/>
      <c r="AB8" s="279"/>
      <c r="AC8" s="279"/>
      <c r="AD8" s="279"/>
      <c r="AE8" s="279"/>
      <c r="AF8" s="279"/>
      <c r="AG8" s="279"/>
      <c r="AH8" s="279"/>
      <c r="AI8" s="284"/>
      <c r="AJ8" s="279"/>
      <c r="AK8" s="279"/>
      <c r="AL8" s="279"/>
      <c r="AM8" s="279"/>
      <c r="AN8" s="279"/>
      <c r="AO8" s="279"/>
      <c r="AP8" s="279"/>
      <c r="AQ8" s="279"/>
      <c r="AR8" s="279"/>
      <c r="AS8" s="279"/>
      <c r="AT8" s="279"/>
      <c r="AU8" s="279"/>
      <c r="AV8" s="279"/>
      <c r="AW8" s="279"/>
      <c r="AX8" s="279"/>
    </row>
    <row r="9" spans="1:50" ht="15" customHeight="1" x14ac:dyDescent="0.25">
      <c r="A9" s="275"/>
      <c r="B9" s="275"/>
      <c r="C9" s="253" t="s">
        <v>315</v>
      </c>
      <c r="D9" s="254" t="s">
        <v>1096</v>
      </c>
      <c r="E9" s="268" t="s">
        <v>287</v>
      </c>
      <c r="F9" s="268"/>
      <c r="G9" s="268"/>
      <c r="H9" s="268" t="s">
        <v>312</v>
      </c>
      <c r="I9" s="268" t="s">
        <v>262</v>
      </c>
      <c r="J9" s="268" t="s">
        <v>288</v>
      </c>
      <c r="K9" s="268"/>
      <c r="L9" s="268"/>
      <c r="M9" s="268"/>
      <c r="N9" s="281" t="s">
        <v>289</v>
      </c>
      <c r="O9" s="281"/>
      <c r="P9" s="268" t="s">
        <v>290</v>
      </c>
      <c r="Q9" s="268" t="s">
        <v>266</v>
      </c>
      <c r="R9" s="268" t="s">
        <v>291</v>
      </c>
      <c r="S9" s="253" t="s">
        <v>315</v>
      </c>
      <c r="T9" s="254" t="s">
        <v>1096</v>
      </c>
      <c r="U9" s="254" t="s">
        <v>287</v>
      </c>
      <c r="V9" s="254"/>
      <c r="W9" s="254"/>
      <c r="X9" s="254" t="s">
        <v>312</v>
      </c>
      <c r="Y9" s="254" t="s">
        <v>262</v>
      </c>
      <c r="Z9" s="254" t="s">
        <v>288</v>
      </c>
      <c r="AA9" s="254"/>
      <c r="AB9" s="254"/>
      <c r="AC9" s="254"/>
      <c r="AD9" s="269" t="s">
        <v>289</v>
      </c>
      <c r="AE9" s="269"/>
      <c r="AF9" s="254" t="s">
        <v>290</v>
      </c>
      <c r="AG9" s="254" t="s">
        <v>266</v>
      </c>
      <c r="AH9" s="254" t="s">
        <v>291</v>
      </c>
      <c r="AI9" s="253" t="s">
        <v>315</v>
      </c>
      <c r="AJ9" s="254" t="s">
        <v>1096</v>
      </c>
      <c r="AK9" s="254" t="s">
        <v>287</v>
      </c>
      <c r="AL9" s="254"/>
      <c r="AM9" s="254"/>
      <c r="AN9" s="254" t="s">
        <v>312</v>
      </c>
      <c r="AO9" s="254" t="s">
        <v>262</v>
      </c>
      <c r="AP9" s="254" t="s">
        <v>288</v>
      </c>
      <c r="AQ9" s="254"/>
      <c r="AR9" s="254"/>
      <c r="AS9" s="254"/>
      <c r="AT9" s="269" t="s">
        <v>289</v>
      </c>
      <c r="AU9" s="269"/>
      <c r="AV9" s="254" t="s">
        <v>290</v>
      </c>
      <c r="AW9" s="254" t="s">
        <v>266</v>
      </c>
      <c r="AX9" s="254" t="s">
        <v>291</v>
      </c>
    </row>
    <row r="10" spans="1:50" ht="15" customHeight="1" x14ac:dyDescent="0.25">
      <c r="A10" s="275"/>
      <c r="B10" s="275"/>
      <c r="C10" s="220"/>
      <c r="D10" s="224"/>
      <c r="E10" s="224" t="s">
        <v>292</v>
      </c>
      <c r="F10" s="224" t="s">
        <v>293</v>
      </c>
      <c r="G10" s="224"/>
      <c r="H10" s="224"/>
      <c r="I10" s="224"/>
      <c r="J10" s="224" t="s">
        <v>292</v>
      </c>
      <c r="K10" s="224" t="s">
        <v>294</v>
      </c>
      <c r="L10" s="224"/>
      <c r="M10" s="224"/>
      <c r="N10" s="270"/>
      <c r="O10" s="270"/>
      <c r="P10" s="224"/>
      <c r="Q10" s="224"/>
      <c r="R10" s="224"/>
      <c r="S10" s="220"/>
      <c r="T10" s="224"/>
      <c r="U10" s="224" t="s">
        <v>292</v>
      </c>
      <c r="V10" s="224" t="s">
        <v>293</v>
      </c>
      <c r="W10" s="224"/>
      <c r="X10" s="224"/>
      <c r="Y10" s="224"/>
      <c r="Z10" s="224" t="s">
        <v>292</v>
      </c>
      <c r="AA10" s="224" t="s">
        <v>294</v>
      </c>
      <c r="AB10" s="224"/>
      <c r="AC10" s="224"/>
      <c r="AD10" s="270"/>
      <c r="AE10" s="270"/>
      <c r="AF10" s="224"/>
      <c r="AG10" s="224"/>
      <c r="AH10" s="224"/>
      <c r="AI10" s="220"/>
      <c r="AJ10" s="224"/>
      <c r="AK10" s="224" t="s">
        <v>292</v>
      </c>
      <c r="AL10" s="224" t="s">
        <v>293</v>
      </c>
      <c r="AM10" s="224"/>
      <c r="AN10" s="224"/>
      <c r="AO10" s="224"/>
      <c r="AP10" s="224" t="s">
        <v>292</v>
      </c>
      <c r="AQ10" s="224" t="s">
        <v>294</v>
      </c>
      <c r="AR10" s="224"/>
      <c r="AS10" s="224"/>
      <c r="AT10" s="270"/>
      <c r="AU10" s="270"/>
      <c r="AV10" s="224"/>
      <c r="AW10" s="224"/>
      <c r="AX10" s="224"/>
    </row>
    <row r="11" spans="1:50" ht="105" x14ac:dyDescent="0.25">
      <c r="A11" s="275"/>
      <c r="B11" s="275"/>
      <c r="C11" s="254"/>
      <c r="D11" s="224"/>
      <c r="E11" s="224"/>
      <c r="F11" s="205" t="s">
        <v>259</v>
      </c>
      <c r="G11" s="205" t="s">
        <v>260</v>
      </c>
      <c r="H11" s="224"/>
      <c r="I11" s="224"/>
      <c r="J11" s="224"/>
      <c r="K11" s="205" t="s">
        <v>264</v>
      </c>
      <c r="L11" s="205" t="s">
        <v>303</v>
      </c>
      <c r="M11" s="205" t="s">
        <v>260</v>
      </c>
      <c r="N11" s="205" t="s">
        <v>965</v>
      </c>
      <c r="O11" s="205" t="s">
        <v>295</v>
      </c>
      <c r="P11" s="224"/>
      <c r="Q11" s="224"/>
      <c r="R11" s="224"/>
      <c r="S11" s="254"/>
      <c r="T11" s="224"/>
      <c r="U11" s="224"/>
      <c r="V11" s="205" t="s">
        <v>259</v>
      </c>
      <c r="W11" s="205" t="s">
        <v>260</v>
      </c>
      <c r="X11" s="224"/>
      <c r="Y11" s="224"/>
      <c r="Z11" s="224"/>
      <c r="AA11" s="205" t="s">
        <v>264</v>
      </c>
      <c r="AB11" s="205" t="s">
        <v>303</v>
      </c>
      <c r="AC11" s="205" t="s">
        <v>260</v>
      </c>
      <c r="AD11" s="205" t="s">
        <v>965</v>
      </c>
      <c r="AE11" s="205" t="s">
        <v>295</v>
      </c>
      <c r="AF11" s="224"/>
      <c r="AG11" s="224"/>
      <c r="AH11" s="224"/>
      <c r="AI11" s="254"/>
      <c r="AJ11" s="224"/>
      <c r="AK11" s="224"/>
      <c r="AL11" s="205" t="s">
        <v>259</v>
      </c>
      <c r="AM11" s="205" t="s">
        <v>260</v>
      </c>
      <c r="AN11" s="224"/>
      <c r="AO11" s="224"/>
      <c r="AP11" s="224"/>
      <c r="AQ11" s="205" t="s">
        <v>264</v>
      </c>
      <c r="AR11" s="205" t="s">
        <v>303</v>
      </c>
      <c r="AS11" s="205" t="s">
        <v>260</v>
      </c>
      <c r="AT11" s="205" t="s">
        <v>965</v>
      </c>
      <c r="AU11" s="205" t="s">
        <v>295</v>
      </c>
      <c r="AV11" s="224"/>
      <c r="AW11" s="224"/>
      <c r="AX11" s="224"/>
    </row>
    <row r="12" spans="1:50" ht="32.25" customHeight="1" x14ac:dyDescent="0.25">
      <c r="A12" s="50" t="s">
        <v>2</v>
      </c>
      <c r="B12" s="195" t="s">
        <v>3</v>
      </c>
      <c r="C12" s="53">
        <v>39084.635900000001</v>
      </c>
      <c r="D12" s="53">
        <v>0</v>
      </c>
      <c r="E12" s="53">
        <v>43827.434350980002</v>
      </c>
      <c r="F12" s="53">
        <v>39070.686799999996</v>
      </c>
      <c r="G12" s="53">
        <v>4756.7475509800006</v>
      </c>
      <c r="H12" s="53">
        <v>38959.903211219993</v>
      </c>
      <c r="I12" s="53">
        <v>10.488068969999999</v>
      </c>
      <c r="J12" s="53">
        <v>43683.029549169987</v>
      </c>
      <c r="K12" s="53">
        <v>38954.794469419998</v>
      </c>
      <c r="L12" s="53">
        <v>0</v>
      </c>
      <c r="M12" s="53">
        <v>4728.2350797500003</v>
      </c>
      <c r="N12" s="53">
        <v>99.703377800412767</v>
      </c>
      <c r="O12" s="53">
        <v>99.400588933416785</v>
      </c>
      <c r="P12" s="53">
        <v>10.823963284020536</v>
      </c>
      <c r="Q12" s="53">
        <v>10.488068969999999</v>
      </c>
      <c r="R12" s="53">
        <v>5.1087418000000939</v>
      </c>
      <c r="S12" s="53">
        <v>39004.635900000001</v>
      </c>
      <c r="T12" s="53">
        <v>0</v>
      </c>
      <c r="U12" s="53">
        <v>43743.223823979999</v>
      </c>
      <c r="V12" s="53">
        <v>38990.686799999996</v>
      </c>
      <c r="W12" s="53">
        <v>4752.5370239799995</v>
      </c>
      <c r="X12" s="53">
        <v>38879.903211219993</v>
      </c>
      <c r="Y12" s="53">
        <v>10.488068969999999</v>
      </c>
      <c r="Z12" s="53">
        <v>43598.819022859992</v>
      </c>
      <c r="AA12" s="53">
        <v>38874.794469419998</v>
      </c>
      <c r="AB12" s="53">
        <v>0</v>
      </c>
      <c r="AC12" s="53">
        <v>4724.0245534400001</v>
      </c>
      <c r="AD12" s="53">
        <v>99.702769199284788</v>
      </c>
      <c r="AE12" s="53">
        <v>99.400057897579046</v>
      </c>
      <c r="AF12" s="53">
        <v>10.835212189951914</v>
      </c>
      <c r="AG12" s="53">
        <v>10.488068969999999</v>
      </c>
      <c r="AH12" s="53">
        <v>5.1087418000000939</v>
      </c>
      <c r="AI12" s="53">
        <v>80</v>
      </c>
      <c r="AJ12" s="53">
        <v>0</v>
      </c>
      <c r="AK12" s="53">
        <v>84.210526999999999</v>
      </c>
      <c r="AL12" s="53">
        <v>80</v>
      </c>
      <c r="AM12" s="53">
        <v>4.2105269999999999</v>
      </c>
      <c r="AN12" s="53">
        <v>80</v>
      </c>
      <c r="AO12" s="53">
        <v>0</v>
      </c>
      <c r="AP12" s="53">
        <v>84.210526310000006</v>
      </c>
      <c r="AQ12" s="53">
        <v>80</v>
      </c>
      <c r="AR12" s="53">
        <v>0</v>
      </c>
      <c r="AS12" s="53">
        <v>4.2105263099999997</v>
      </c>
      <c r="AT12" s="53">
        <v>100</v>
      </c>
      <c r="AU12" s="53">
        <v>99.999983612502646</v>
      </c>
      <c r="AV12" s="53">
        <v>4.9999999934687489</v>
      </c>
      <c r="AW12" s="53">
        <v>0</v>
      </c>
      <c r="AX12" s="53">
        <v>0</v>
      </c>
    </row>
    <row r="13" spans="1:50" ht="15.75" x14ac:dyDescent="0.25">
      <c r="A13" s="57" t="s">
        <v>6</v>
      </c>
      <c r="B13" s="190" t="s">
        <v>7</v>
      </c>
      <c r="C13" s="61">
        <v>9751.8295999999991</v>
      </c>
      <c r="D13" s="61">
        <v>0</v>
      </c>
      <c r="E13" s="61">
        <v>10530.026418989999</v>
      </c>
      <c r="F13" s="61">
        <v>9751.8295999999991</v>
      </c>
      <c r="G13" s="61">
        <v>778.19681899</v>
      </c>
      <c r="H13" s="61">
        <v>9742.8872826700008</v>
      </c>
      <c r="I13" s="61">
        <v>1.5118</v>
      </c>
      <c r="J13" s="61">
        <v>10519.463399329999</v>
      </c>
      <c r="K13" s="61">
        <v>9742.8872820500001</v>
      </c>
      <c r="L13" s="61">
        <v>0</v>
      </c>
      <c r="M13" s="61">
        <v>776.57611727999995</v>
      </c>
      <c r="N13" s="61">
        <v>99.908301125872839</v>
      </c>
      <c r="O13" s="61">
        <v>99.791736271538156</v>
      </c>
      <c r="P13" s="61">
        <v>7.3822788083416997</v>
      </c>
      <c r="Q13" s="61">
        <v>1.5118</v>
      </c>
      <c r="R13" s="61">
        <v>6.1999998823836222E-7</v>
      </c>
      <c r="S13" s="61">
        <v>9751.8295999999991</v>
      </c>
      <c r="T13" s="61">
        <v>0</v>
      </c>
      <c r="U13" s="61">
        <v>10530.026418989999</v>
      </c>
      <c r="V13" s="61">
        <v>9751.8295999999991</v>
      </c>
      <c r="W13" s="61">
        <v>778.19681899</v>
      </c>
      <c r="X13" s="61">
        <v>9742.8872826700008</v>
      </c>
      <c r="Y13" s="61">
        <v>1.5118</v>
      </c>
      <c r="Z13" s="61">
        <v>10519.463399329999</v>
      </c>
      <c r="AA13" s="61">
        <v>9742.8872820500001</v>
      </c>
      <c r="AB13" s="61">
        <v>0</v>
      </c>
      <c r="AC13" s="61">
        <v>776.57611727999995</v>
      </c>
      <c r="AD13" s="61">
        <v>99.908301125872839</v>
      </c>
      <c r="AE13" s="61">
        <v>99.791736271538156</v>
      </c>
      <c r="AF13" s="61">
        <v>7.3822788083416997</v>
      </c>
      <c r="AG13" s="61">
        <v>1.5118</v>
      </c>
      <c r="AH13" s="61">
        <v>6.1999998823836222E-7</v>
      </c>
      <c r="AI13" s="61">
        <v>0</v>
      </c>
      <c r="AJ13" s="61">
        <v>0</v>
      </c>
      <c r="AK13" s="61">
        <v>0</v>
      </c>
      <c r="AL13" s="61">
        <v>0</v>
      </c>
      <c r="AM13" s="61">
        <v>0</v>
      </c>
      <c r="AN13" s="61">
        <v>0</v>
      </c>
      <c r="AO13" s="61">
        <v>0</v>
      </c>
      <c r="AP13" s="61">
        <v>0</v>
      </c>
      <c r="AQ13" s="61">
        <v>0</v>
      </c>
      <c r="AR13" s="61">
        <v>0</v>
      </c>
      <c r="AS13" s="61">
        <v>0</v>
      </c>
      <c r="AT13" s="61" t="s">
        <v>1094</v>
      </c>
      <c r="AU13" s="61" t="s">
        <v>1094</v>
      </c>
      <c r="AV13" s="61">
        <v>0</v>
      </c>
      <c r="AW13" s="61">
        <v>0</v>
      </c>
      <c r="AX13" s="61">
        <v>0</v>
      </c>
    </row>
    <row r="14" spans="1:50" ht="15.75" x14ac:dyDescent="0.25">
      <c r="A14" s="11" t="s">
        <v>9</v>
      </c>
      <c r="B14" s="189" t="s">
        <v>10</v>
      </c>
      <c r="C14" s="66">
        <v>1813.8462999999999</v>
      </c>
      <c r="D14" s="66">
        <v>0</v>
      </c>
      <c r="E14" s="66">
        <v>1909.311895</v>
      </c>
      <c r="F14" s="66">
        <v>1813.8462999999999</v>
      </c>
      <c r="G14" s="66">
        <v>95.465594999999993</v>
      </c>
      <c r="H14" s="66">
        <v>1813.8462999999999</v>
      </c>
      <c r="I14" s="66">
        <v>0</v>
      </c>
      <c r="J14" s="66">
        <v>1909.3118935</v>
      </c>
      <c r="K14" s="66">
        <v>1813.8462999999999</v>
      </c>
      <c r="L14" s="66">
        <v>0</v>
      </c>
      <c r="M14" s="66">
        <v>95.465593499999997</v>
      </c>
      <c r="N14" s="67">
        <v>100</v>
      </c>
      <c r="O14" s="67">
        <v>99.999998428753315</v>
      </c>
      <c r="P14" s="67">
        <v>4.9999999384595046</v>
      </c>
      <c r="Q14" s="66">
        <v>0</v>
      </c>
      <c r="R14" s="67">
        <v>0</v>
      </c>
      <c r="S14" s="66">
        <v>1813.8462999999999</v>
      </c>
      <c r="T14" s="66">
        <v>0</v>
      </c>
      <c r="U14" s="66">
        <v>1909.311895</v>
      </c>
      <c r="V14" s="66">
        <v>1813.8462999999999</v>
      </c>
      <c r="W14" s="66">
        <v>95.465594999999993</v>
      </c>
      <c r="X14" s="66">
        <v>1813.8462999999999</v>
      </c>
      <c r="Y14" s="66">
        <v>0</v>
      </c>
      <c r="Z14" s="66">
        <v>1909.3118935</v>
      </c>
      <c r="AA14" s="66">
        <v>1813.8462999999999</v>
      </c>
      <c r="AB14" s="66">
        <v>0</v>
      </c>
      <c r="AC14" s="66">
        <v>95.465593499999997</v>
      </c>
      <c r="AD14" s="67">
        <v>100</v>
      </c>
      <c r="AE14" s="67">
        <v>99.999998428753315</v>
      </c>
      <c r="AF14" s="67">
        <v>4.9999999384595046</v>
      </c>
      <c r="AG14" s="210">
        <v>0</v>
      </c>
      <c r="AH14" s="67">
        <v>0</v>
      </c>
      <c r="AI14" s="66">
        <v>0</v>
      </c>
      <c r="AJ14" s="66">
        <v>0</v>
      </c>
      <c r="AK14" s="66">
        <v>0</v>
      </c>
      <c r="AL14" s="66">
        <v>0</v>
      </c>
      <c r="AM14" s="66">
        <v>0</v>
      </c>
      <c r="AN14" s="66">
        <v>0</v>
      </c>
      <c r="AO14" s="66">
        <v>0</v>
      </c>
      <c r="AP14" s="66">
        <v>0</v>
      </c>
      <c r="AQ14" s="66">
        <v>0</v>
      </c>
      <c r="AR14" s="66">
        <v>0</v>
      </c>
      <c r="AS14" s="66">
        <v>0</v>
      </c>
      <c r="AT14" s="67" t="s">
        <v>1094</v>
      </c>
      <c r="AU14" s="67" t="s">
        <v>1094</v>
      </c>
      <c r="AV14" s="67">
        <v>0</v>
      </c>
      <c r="AW14" s="210">
        <v>0</v>
      </c>
      <c r="AX14" s="67">
        <v>0</v>
      </c>
    </row>
    <row r="15" spans="1:50" ht="15.75" x14ac:dyDescent="0.25">
      <c r="A15" s="11" t="s">
        <v>12</v>
      </c>
      <c r="B15" s="189" t="s">
        <v>13</v>
      </c>
      <c r="C15" s="66">
        <v>1791.0902000000001</v>
      </c>
      <c r="D15" s="66">
        <v>0</v>
      </c>
      <c r="E15" s="66">
        <v>1885.3581059999999</v>
      </c>
      <c r="F15" s="66">
        <v>1791.0902000000001</v>
      </c>
      <c r="G15" s="66">
        <v>94.267905999999996</v>
      </c>
      <c r="H15" s="66">
        <v>1791.0902000000001</v>
      </c>
      <c r="I15" s="66">
        <v>0</v>
      </c>
      <c r="J15" s="66">
        <v>1885.3581059999999</v>
      </c>
      <c r="K15" s="66">
        <v>1791.0902000000001</v>
      </c>
      <c r="L15" s="66">
        <v>0</v>
      </c>
      <c r="M15" s="66">
        <v>94.267905999999996</v>
      </c>
      <c r="N15" s="67">
        <v>100</v>
      </c>
      <c r="O15" s="67">
        <v>100</v>
      </c>
      <c r="P15" s="67">
        <v>5.0000000371282249</v>
      </c>
      <c r="Q15" s="66">
        <v>0</v>
      </c>
      <c r="R15" s="67">
        <v>0</v>
      </c>
      <c r="S15" s="66">
        <v>1791.0902000000001</v>
      </c>
      <c r="T15" s="66">
        <v>0</v>
      </c>
      <c r="U15" s="66">
        <v>1885.3581059999999</v>
      </c>
      <c r="V15" s="66">
        <v>1791.0902000000001</v>
      </c>
      <c r="W15" s="66">
        <v>94.267905999999996</v>
      </c>
      <c r="X15" s="66">
        <v>1791.0902000000001</v>
      </c>
      <c r="Y15" s="66">
        <v>0</v>
      </c>
      <c r="Z15" s="66">
        <v>1885.3581059999999</v>
      </c>
      <c r="AA15" s="66">
        <v>1791.0902000000001</v>
      </c>
      <c r="AB15" s="66">
        <v>0</v>
      </c>
      <c r="AC15" s="66">
        <v>94.267905999999996</v>
      </c>
      <c r="AD15" s="67">
        <v>100</v>
      </c>
      <c r="AE15" s="67">
        <v>100</v>
      </c>
      <c r="AF15" s="67">
        <v>5.0000000371282249</v>
      </c>
      <c r="AG15" s="210">
        <v>0</v>
      </c>
      <c r="AH15" s="67">
        <v>0</v>
      </c>
      <c r="AI15" s="66">
        <v>0</v>
      </c>
      <c r="AJ15" s="66">
        <v>0</v>
      </c>
      <c r="AK15" s="66">
        <v>0</v>
      </c>
      <c r="AL15" s="66">
        <v>0</v>
      </c>
      <c r="AM15" s="66">
        <v>0</v>
      </c>
      <c r="AN15" s="66">
        <v>0</v>
      </c>
      <c r="AO15" s="66">
        <v>0</v>
      </c>
      <c r="AP15" s="66">
        <v>0</v>
      </c>
      <c r="AQ15" s="66">
        <v>0</v>
      </c>
      <c r="AR15" s="66">
        <v>0</v>
      </c>
      <c r="AS15" s="66">
        <v>0</v>
      </c>
      <c r="AT15" s="67" t="s">
        <v>1094</v>
      </c>
      <c r="AU15" s="67" t="s">
        <v>1094</v>
      </c>
      <c r="AV15" s="67">
        <v>0</v>
      </c>
      <c r="AW15" s="210">
        <v>0</v>
      </c>
      <c r="AX15" s="67">
        <v>0</v>
      </c>
    </row>
    <row r="16" spans="1:50" ht="15.75" x14ac:dyDescent="0.25">
      <c r="A16" s="11" t="s">
        <v>15</v>
      </c>
      <c r="B16" s="189" t="s">
        <v>16</v>
      </c>
      <c r="C16" s="66">
        <v>268.36340000000001</v>
      </c>
      <c r="D16" s="66">
        <v>0</v>
      </c>
      <c r="E16" s="66">
        <v>282.48779999999999</v>
      </c>
      <c r="F16" s="66">
        <v>268.36340000000001</v>
      </c>
      <c r="G16" s="66">
        <v>14.1244</v>
      </c>
      <c r="H16" s="66">
        <v>268.36340000000001</v>
      </c>
      <c r="I16" s="66">
        <v>1.5118</v>
      </c>
      <c r="J16" s="66">
        <v>282.48779999999999</v>
      </c>
      <c r="K16" s="66">
        <v>268.36340000000001</v>
      </c>
      <c r="L16" s="66">
        <v>0</v>
      </c>
      <c r="M16" s="66">
        <v>14.1244</v>
      </c>
      <c r="N16" s="67">
        <v>100</v>
      </c>
      <c r="O16" s="67">
        <v>100</v>
      </c>
      <c r="P16" s="67">
        <v>5.0000035399758858</v>
      </c>
      <c r="Q16" s="66">
        <v>1.5118</v>
      </c>
      <c r="R16" s="67">
        <v>-6.2172489379008766E-15</v>
      </c>
      <c r="S16" s="66">
        <v>268.36340000000001</v>
      </c>
      <c r="T16" s="66">
        <v>0</v>
      </c>
      <c r="U16" s="66">
        <v>282.48779999999999</v>
      </c>
      <c r="V16" s="66">
        <v>268.36340000000001</v>
      </c>
      <c r="W16" s="66">
        <v>14.1244</v>
      </c>
      <c r="X16" s="66">
        <v>268.36340000000001</v>
      </c>
      <c r="Y16" s="66">
        <v>1.5118</v>
      </c>
      <c r="Z16" s="66">
        <v>282.48779999999999</v>
      </c>
      <c r="AA16" s="66">
        <v>268.36340000000001</v>
      </c>
      <c r="AB16" s="66">
        <v>0</v>
      </c>
      <c r="AC16" s="66">
        <v>14.1244</v>
      </c>
      <c r="AD16" s="67">
        <v>100</v>
      </c>
      <c r="AE16" s="67">
        <v>100</v>
      </c>
      <c r="AF16" s="67">
        <v>5.0000035399758858</v>
      </c>
      <c r="AG16" s="210">
        <v>1.5118</v>
      </c>
      <c r="AH16" s="67">
        <v>-6.2172489379008766E-15</v>
      </c>
      <c r="AI16" s="66">
        <v>0</v>
      </c>
      <c r="AJ16" s="66">
        <v>0</v>
      </c>
      <c r="AK16" s="66">
        <v>0</v>
      </c>
      <c r="AL16" s="66">
        <v>0</v>
      </c>
      <c r="AM16" s="66">
        <v>0</v>
      </c>
      <c r="AN16" s="66">
        <v>0</v>
      </c>
      <c r="AO16" s="66">
        <v>0</v>
      </c>
      <c r="AP16" s="66">
        <v>0</v>
      </c>
      <c r="AQ16" s="66">
        <v>0</v>
      </c>
      <c r="AR16" s="66">
        <v>0</v>
      </c>
      <c r="AS16" s="66">
        <v>0</v>
      </c>
      <c r="AT16" s="67" t="s">
        <v>1094</v>
      </c>
      <c r="AU16" s="67" t="s">
        <v>1094</v>
      </c>
      <c r="AV16" s="67">
        <v>0</v>
      </c>
      <c r="AW16" s="210">
        <v>0</v>
      </c>
      <c r="AX16" s="67">
        <v>0</v>
      </c>
    </row>
    <row r="17" spans="1:50" ht="15.75" x14ac:dyDescent="0.25">
      <c r="A17" s="11" t="s">
        <v>18</v>
      </c>
      <c r="B17" s="189" t="s">
        <v>19</v>
      </c>
      <c r="C17" s="66">
        <v>1652.1454000000001</v>
      </c>
      <c r="D17" s="66">
        <v>0</v>
      </c>
      <c r="E17" s="66">
        <v>1836.19316</v>
      </c>
      <c r="F17" s="66">
        <v>1652.1454000000001</v>
      </c>
      <c r="G17" s="66">
        <v>184.04776000000001</v>
      </c>
      <c r="H17" s="66">
        <v>1647.1105697999999</v>
      </c>
      <c r="I17" s="66">
        <v>0</v>
      </c>
      <c r="J17" s="66">
        <v>1830.60316498</v>
      </c>
      <c r="K17" s="66">
        <v>1647.1105697999999</v>
      </c>
      <c r="L17" s="66">
        <v>0</v>
      </c>
      <c r="M17" s="66">
        <v>183.49259518</v>
      </c>
      <c r="N17" s="67">
        <v>99.695255018111581</v>
      </c>
      <c r="O17" s="67">
        <v>99.698358284827805</v>
      </c>
      <c r="P17" s="67">
        <v>10.023614002765298</v>
      </c>
      <c r="Q17" s="66">
        <v>0</v>
      </c>
      <c r="R17" s="67">
        <v>0</v>
      </c>
      <c r="S17" s="66">
        <v>1652.1454000000001</v>
      </c>
      <c r="T17" s="66">
        <v>0</v>
      </c>
      <c r="U17" s="66">
        <v>1836.19316</v>
      </c>
      <c r="V17" s="66">
        <v>1652.1454000000001</v>
      </c>
      <c r="W17" s="66">
        <v>184.04776000000001</v>
      </c>
      <c r="X17" s="66">
        <v>1647.1105697999999</v>
      </c>
      <c r="Y17" s="66">
        <v>0</v>
      </c>
      <c r="Z17" s="66">
        <v>1830.60316498</v>
      </c>
      <c r="AA17" s="66">
        <v>1647.1105697999999</v>
      </c>
      <c r="AB17" s="66">
        <v>0</v>
      </c>
      <c r="AC17" s="66">
        <v>183.49259518</v>
      </c>
      <c r="AD17" s="67">
        <v>99.695255018111581</v>
      </c>
      <c r="AE17" s="67">
        <v>99.698358284827805</v>
      </c>
      <c r="AF17" s="67">
        <v>10.023614002765298</v>
      </c>
      <c r="AG17" s="210">
        <v>0</v>
      </c>
      <c r="AH17" s="67">
        <v>0</v>
      </c>
      <c r="AI17" s="66">
        <v>0</v>
      </c>
      <c r="AJ17" s="66">
        <v>0</v>
      </c>
      <c r="AK17" s="66">
        <v>0</v>
      </c>
      <c r="AL17" s="66">
        <v>0</v>
      </c>
      <c r="AM17" s="66">
        <v>0</v>
      </c>
      <c r="AN17" s="66">
        <v>0</v>
      </c>
      <c r="AO17" s="66">
        <v>0</v>
      </c>
      <c r="AP17" s="66">
        <v>0</v>
      </c>
      <c r="AQ17" s="66">
        <v>0</v>
      </c>
      <c r="AR17" s="66">
        <v>0</v>
      </c>
      <c r="AS17" s="66">
        <v>0</v>
      </c>
      <c r="AT17" s="67" t="s">
        <v>1094</v>
      </c>
      <c r="AU17" s="67" t="s">
        <v>1094</v>
      </c>
      <c r="AV17" s="67">
        <v>0</v>
      </c>
      <c r="AW17" s="210">
        <v>0</v>
      </c>
      <c r="AX17" s="67">
        <v>0</v>
      </c>
    </row>
    <row r="18" spans="1:50" ht="15.75" x14ac:dyDescent="0.25">
      <c r="A18" s="11" t="s">
        <v>21</v>
      </c>
      <c r="B18" s="189" t="s">
        <v>22</v>
      </c>
      <c r="C18" s="66">
        <v>105.5723</v>
      </c>
      <c r="D18" s="66">
        <v>0</v>
      </c>
      <c r="E18" s="66">
        <v>111.13044533</v>
      </c>
      <c r="F18" s="66">
        <v>105.5723</v>
      </c>
      <c r="G18" s="66">
        <v>5.5581453300000003</v>
      </c>
      <c r="H18" s="66">
        <v>105.57164709</v>
      </c>
      <c r="I18" s="66">
        <v>0</v>
      </c>
      <c r="J18" s="66">
        <v>111.12979242</v>
      </c>
      <c r="K18" s="66">
        <v>105.57164709</v>
      </c>
      <c r="L18" s="66">
        <v>0</v>
      </c>
      <c r="M18" s="66">
        <v>5.5581453300000003</v>
      </c>
      <c r="N18" s="67">
        <v>99.999381551789625</v>
      </c>
      <c r="O18" s="67">
        <v>100</v>
      </c>
      <c r="P18" s="67">
        <v>5.0014898876025455</v>
      </c>
      <c r="Q18" s="66">
        <v>0</v>
      </c>
      <c r="R18" s="67">
        <v>0</v>
      </c>
      <c r="S18" s="66">
        <v>105.5723</v>
      </c>
      <c r="T18" s="66">
        <v>0</v>
      </c>
      <c r="U18" s="66">
        <v>111.13044533</v>
      </c>
      <c r="V18" s="66">
        <v>105.5723</v>
      </c>
      <c r="W18" s="66">
        <v>5.5581453300000003</v>
      </c>
      <c r="X18" s="66">
        <v>105.57164709</v>
      </c>
      <c r="Y18" s="66">
        <v>0</v>
      </c>
      <c r="Z18" s="66">
        <v>111.12979242</v>
      </c>
      <c r="AA18" s="66">
        <v>105.57164709</v>
      </c>
      <c r="AB18" s="66">
        <v>0</v>
      </c>
      <c r="AC18" s="66">
        <v>5.5581453300000003</v>
      </c>
      <c r="AD18" s="67">
        <v>99.999381551789625</v>
      </c>
      <c r="AE18" s="67">
        <v>100</v>
      </c>
      <c r="AF18" s="67">
        <v>5.0014898876025455</v>
      </c>
      <c r="AG18" s="210">
        <v>0</v>
      </c>
      <c r="AH18" s="67">
        <v>0</v>
      </c>
      <c r="AI18" s="66">
        <v>0</v>
      </c>
      <c r="AJ18" s="66">
        <v>0</v>
      </c>
      <c r="AK18" s="66">
        <v>0</v>
      </c>
      <c r="AL18" s="66">
        <v>0</v>
      </c>
      <c r="AM18" s="66">
        <v>0</v>
      </c>
      <c r="AN18" s="66">
        <v>0</v>
      </c>
      <c r="AO18" s="66">
        <v>0</v>
      </c>
      <c r="AP18" s="66">
        <v>0</v>
      </c>
      <c r="AQ18" s="66">
        <v>0</v>
      </c>
      <c r="AR18" s="66">
        <v>0</v>
      </c>
      <c r="AS18" s="66">
        <v>0</v>
      </c>
      <c r="AT18" s="67" t="s">
        <v>1094</v>
      </c>
      <c r="AU18" s="67" t="s">
        <v>1094</v>
      </c>
      <c r="AV18" s="67">
        <v>0</v>
      </c>
      <c r="AW18" s="210">
        <v>0</v>
      </c>
      <c r="AX18" s="67">
        <v>0</v>
      </c>
    </row>
    <row r="19" spans="1:50" ht="15.75" x14ac:dyDescent="0.25">
      <c r="A19" s="11" t="s">
        <v>24</v>
      </c>
      <c r="B19" s="189" t="s">
        <v>25</v>
      </c>
      <c r="C19" s="66">
        <v>164.7998</v>
      </c>
      <c r="D19" s="66">
        <v>0</v>
      </c>
      <c r="E19" s="66">
        <v>183.11088899999999</v>
      </c>
      <c r="F19" s="66">
        <v>164.7998</v>
      </c>
      <c r="G19" s="66">
        <v>18.311088999999999</v>
      </c>
      <c r="H19" s="66">
        <v>164.7998</v>
      </c>
      <c r="I19" s="66">
        <v>0</v>
      </c>
      <c r="J19" s="66">
        <v>183.11088899999999</v>
      </c>
      <c r="K19" s="66">
        <v>164.7998</v>
      </c>
      <c r="L19" s="66">
        <v>0</v>
      </c>
      <c r="M19" s="66">
        <v>18.311088999999999</v>
      </c>
      <c r="N19" s="67">
        <v>100</v>
      </c>
      <c r="O19" s="67">
        <v>100</v>
      </c>
      <c r="P19" s="67">
        <v>10.000000054611718</v>
      </c>
      <c r="Q19" s="66">
        <v>0</v>
      </c>
      <c r="R19" s="67">
        <v>0</v>
      </c>
      <c r="S19" s="66">
        <v>164.7998</v>
      </c>
      <c r="T19" s="66">
        <v>0</v>
      </c>
      <c r="U19" s="66">
        <v>183.11088899999999</v>
      </c>
      <c r="V19" s="66">
        <v>164.7998</v>
      </c>
      <c r="W19" s="66">
        <v>18.311088999999999</v>
      </c>
      <c r="X19" s="66">
        <v>164.7998</v>
      </c>
      <c r="Y19" s="66">
        <v>0</v>
      </c>
      <c r="Z19" s="66">
        <v>183.11088899999999</v>
      </c>
      <c r="AA19" s="66">
        <v>164.7998</v>
      </c>
      <c r="AB19" s="66">
        <v>0</v>
      </c>
      <c r="AC19" s="66">
        <v>18.311088999999999</v>
      </c>
      <c r="AD19" s="67">
        <v>100</v>
      </c>
      <c r="AE19" s="67">
        <v>100</v>
      </c>
      <c r="AF19" s="67">
        <v>10.000000054611718</v>
      </c>
      <c r="AG19" s="210">
        <v>0</v>
      </c>
      <c r="AH19" s="67">
        <v>0</v>
      </c>
      <c r="AI19" s="66">
        <v>0</v>
      </c>
      <c r="AJ19" s="66">
        <v>0</v>
      </c>
      <c r="AK19" s="66">
        <v>0</v>
      </c>
      <c r="AL19" s="66">
        <v>0</v>
      </c>
      <c r="AM19" s="66">
        <v>0</v>
      </c>
      <c r="AN19" s="66">
        <v>0</v>
      </c>
      <c r="AO19" s="66">
        <v>0</v>
      </c>
      <c r="AP19" s="66">
        <v>0</v>
      </c>
      <c r="AQ19" s="66">
        <v>0</v>
      </c>
      <c r="AR19" s="66">
        <v>0</v>
      </c>
      <c r="AS19" s="66">
        <v>0</v>
      </c>
      <c r="AT19" s="67" t="s">
        <v>1094</v>
      </c>
      <c r="AU19" s="67" t="s">
        <v>1094</v>
      </c>
      <c r="AV19" s="67">
        <v>0</v>
      </c>
      <c r="AW19" s="210">
        <v>0</v>
      </c>
      <c r="AX19" s="67">
        <v>0</v>
      </c>
    </row>
    <row r="20" spans="1:50" ht="15.75" x14ac:dyDescent="0.25">
      <c r="A20" s="11" t="s">
        <v>27</v>
      </c>
      <c r="B20" s="189" t="s">
        <v>28</v>
      </c>
      <c r="C20" s="66">
        <v>77.226100000000002</v>
      </c>
      <c r="D20" s="66">
        <v>0</v>
      </c>
      <c r="E20" s="66">
        <v>81.291229999999999</v>
      </c>
      <c r="F20" s="66">
        <v>77.226100000000002</v>
      </c>
      <c r="G20" s="66">
        <v>4.0651299999999999</v>
      </c>
      <c r="H20" s="66">
        <v>77.223493849999997</v>
      </c>
      <c r="I20" s="66">
        <v>0</v>
      </c>
      <c r="J20" s="66">
        <v>81.28848601</v>
      </c>
      <c r="K20" s="66">
        <v>77.223493230000003</v>
      </c>
      <c r="L20" s="66">
        <v>0</v>
      </c>
      <c r="M20" s="66">
        <v>4.0649927799999999</v>
      </c>
      <c r="N20" s="67">
        <v>99.996624496122422</v>
      </c>
      <c r="O20" s="67">
        <v>99.996624462194319</v>
      </c>
      <c r="P20" s="67">
        <v>5.0006993358197489</v>
      </c>
      <c r="Q20" s="66">
        <v>0</v>
      </c>
      <c r="R20" s="67">
        <v>6.1999999445561116E-7</v>
      </c>
      <c r="S20" s="66">
        <v>77.226100000000002</v>
      </c>
      <c r="T20" s="66">
        <v>0</v>
      </c>
      <c r="U20" s="66">
        <v>81.291229999999999</v>
      </c>
      <c r="V20" s="66">
        <v>77.226100000000002</v>
      </c>
      <c r="W20" s="66">
        <v>4.0651299999999999</v>
      </c>
      <c r="X20" s="66">
        <v>77.223493849999997</v>
      </c>
      <c r="Y20" s="66">
        <v>0</v>
      </c>
      <c r="Z20" s="66">
        <v>81.28848601</v>
      </c>
      <c r="AA20" s="66">
        <v>77.223493230000003</v>
      </c>
      <c r="AB20" s="66">
        <v>0</v>
      </c>
      <c r="AC20" s="66">
        <v>4.0649927799999999</v>
      </c>
      <c r="AD20" s="67">
        <v>99.996624496122422</v>
      </c>
      <c r="AE20" s="67">
        <v>99.996624462194319</v>
      </c>
      <c r="AF20" s="67">
        <v>5.0006993358197489</v>
      </c>
      <c r="AG20" s="210">
        <v>0</v>
      </c>
      <c r="AH20" s="67">
        <v>6.1999999445561116E-7</v>
      </c>
      <c r="AI20" s="66">
        <v>0</v>
      </c>
      <c r="AJ20" s="66">
        <v>0</v>
      </c>
      <c r="AK20" s="66">
        <v>0</v>
      </c>
      <c r="AL20" s="66">
        <v>0</v>
      </c>
      <c r="AM20" s="66">
        <v>0</v>
      </c>
      <c r="AN20" s="66">
        <v>0</v>
      </c>
      <c r="AO20" s="66">
        <v>0</v>
      </c>
      <c r="AP20" s="66">
        <v>0</v>
      </c>
      <c r="AQ20" s="66">
        <v>0</v>
      </c>
      <c r="AR20" s="66">
        <v>0</v>
      </c>
      <c r="AS20" s="66">
        <v>0</v>
      </c>
      <c r="AT20" s="67" t="s">
        <v>1094</v>
      </c>
      <c r="AU20" s="67" t="s">
        <v>1094</v>
      </c>
      <c r="AV20" s="67">
        <v>0</v>
      </c>
      <c r="AW20" s="210">
        <v>0</v>
      </c>
      <c r="AX20" s="67">
        <v>0</v>
      </c>
    </row>
    <row r="21" spans="1:50" ht="15.75" x14ac:dyDescent="0.25">
      <c r="A21" s="11" t="s">
        <v>30</v>
      </c>
      <c r="B21" s="189" t="s">
        <v>31</v>
      </c>
      <c r="C21" s="66">
        <v>477.41950000000003</v>
      </c>
      <c r="D21" s="66">
        <v>0</v>
      </c>
      <c r="E21" s="66">
        <v>502.54684300000002</v>
      </c>
      <c r="F21" s="66">
        <v>477.41950000000003</v>
      </c>
      <c r="G21" s="66">
        <v>25.127343</v>
      </c>
      <c r="H21" s="66">
        <v>477.37386088</v>
      </c>
      <c r="I21" s="66">
        <v>0</v>
      </c>
      <c r="J21" s="66">
        <v>502.49880579000001</v>
      </c>
      <c r="K21" s="66">
        <v>477.37386088</v>
      </c>
      <c r="L21" s="66">
        <v>0</v>
      </c>
      <c r="M21" s="66">
        <v>25.12494491</v>
      </c>
      <c r="N21" s="67">
        <v>99.990440457501208</v>
      </c>
      <c r="O21" s="67">
        <v>99.990456253174088</v>
      </c>
      <c r="P21" s="67">
        <v>5.0000009195046724</v>
      </c>
      <c r="Q21" s="66">
        <v>0</v>
      </c>
      <c r="R21" s="67">
        <v>0</v>
      </c>
      <c r="S21" s="66">
        <v>477.41950000000003</v>
      </c>
      <c r="T21" s="66">
        <v>0</v>
      </c>
      <c r="U21" s="66">
        <v>502.54684300000002</v>
      </c>
      <c r="V21" s="66">
        <v>477.41950000000003</v>
      </c>
      <c r="W21" s="66">
        <v>25.127343</v>
      </c>
      <c r="X21" s="66">
        <v>477.37386088</v>
      </c>
      <c r="Y21" s="66">
        <v>0</v>
      </c>
      <c r="Z21" s="66">
        <v>502.49880579000001</v>
      </c>
      <c r="AA21" s="66">
        <v>477.37386088</v>
      </c>
      <c r="AB21" s="66">
        <v>0</v>
      </c>
      <c r="AC21" s="66">
        <v>25.12494491</v>
      </c>
      <c r="AD21" s="67">
        <v>99.990440457501208</v>
      </c>
      <c r="AE21" s="67">
        <v>99.990456253174088</v>
      </c>
      <c r="AF21" s="67">
        <v>5.0000009195046724</v>
      </c>
      <c r="AG21" s="210">
        <v>0</v>
      </c>
      <c r="AH21" s="67">
        <v>0</v>
      </c>
      <c r="AI21" s="66">
        <v>0</v>
      </c>
      <c r="AJ21" s="66">
        <v>0</v>
      </c>
      <c r="AK21" s="66">
        <v>0</v>
      </c>
      <c r="AL21" s="66">
        <v>0</v>
      </c>
      <c r="AM21" s="66">
        <v>0</v>
      </c>
      <c r="AN21" s="66">
        <v>0</v>
      </c>
      <c r="AO21" s="66">
        <v>0</v>
      </c>
      <c r="AP21" s="66">
        <v>0</v>
      </c>
      <c r="AQ21" s="66">
        <v>0</v>
      </c>
      <c r="AR21" s="66">
        <v>0</v>
      </c>
      <c r="AS21" s="66">
        <v>0</v>
      </c>
      <c r="AT21" s="67" t="s">
        <v>1094</v>
      </c>
      <c r="AU21" s="67" t="s">
        <v>1094</v>
      </c>
      <c r="AV21" s="67">
        <v>0</v>
      </c>
      <c r="AW21" s="210">
        <v>0</v>
      </c>
      <c r="AX21" s="67">
        <v>0</v>
      </c>
    </row>
    <row r="22" spans="1:50" ht="15.75" x14ac:dyDescent="0.25">
      <c r="A22" s="11" t="s">
        <v>33</v>
      </c>
      <c r="B22" s="189" t="s">
        <v>34</v>
      </c>
      <c r="C22" s="66">
        <v>697.01750000000004</v>
      </c>
      <c r="D22" s="66">
        <v>0</v>
      </c>
      <c r="E22" s="66">
        <v>757.62774159000003</v>
      </c>
      <c r="F22" s="66">
        <v>697.01750000000004</v>
      </c>
      <c r="G22" s="66">
        <v>60.610241590000001</v>
      </c>
      <c r="H22" s="66">
        <v>697.01535339999998</v>
      </c>
      <c r="I22" s="66">
        <v>0</v>
      </c>
      <c r="J22" s="66">
        <v>757.62540880999995</v>
      </c>
      <c r="K22" s="66">
        <v>697.01535339999998</v>
      </c>
      <c r="L22" s="66">
        <v>0</v>
      </c>
      <c r="M22" s="66">
        <v>60.610055409999994</v>
      </c>
      <c r="N22" s="67">
        <v>99.999692030687882</v>
      </c>
      <c r="O22" s="67">
        <v>99.999692824190888</v>
      </c>
      <c r="P22" s="67">
        <v>8.0000029968899842</v>
      </c>
      <c r="Q22" s="66">
        <v>0</v>
      </c>
      <c r="R22" s="67">
        <v>0</v>
      </c>
      <c r="S22" s="66">
        <v>697.01750000000004</v>
      </c>
      <c r="T22" s="66">
        <v>0</v>
      </c>
      <c r="U22" s="66">
        <v>757.62774159000003</v>
      </c>
      <c r="V22" s="66">
        <v>697.01750000000004</v>
      </c>
      <c r="W22" s="66">
        <v>60.610241590000001</v>
      </c>
      <c r="X22" s="66">
        <v>697.01535339999998</v>
      </c>
      <c r="Y22" s="66">
        <v>0</v>
      </c>
      <c r="Z22" s="66">
        <v>757.62540880999995</v>
      </c>
      <c r="AA22" s="66">
        <v>697.01535339999998</v>
      </c>
      <c r="AB22" s="66">
        <v>0</v>
      </c>
      <c r="AC22" s="66">
        <v>60.610055409999994</v>
      </c>
      <c r="AD22" s="67">
        <v>99.999692030687882</v>
      </c>
      <c r="AE22" s="67">
        <v>99.999692824190888</v>
      </c>
      <c r="AF22" s="67">
        <v>8.0000029968899842</v>
      </c>
      <c r="AG22" s="210">
        <v>0</v>
      </c>
      <c r="AH22" s="67">
        <v>0</v>
      </c>
      <c r="AI22" s="66">
        <v>0</v>
      </c>
      <c r="AJ22" s="66">
        <v>0</v>
      </c>
      <c r="AK22" s="66">
        <v>0</v>
      </c>
      <c r="AL22" s="66">
        <v>0</v>
      </c>
      <c r="AM22" s="66">
        <v>0</v>
      </c>
      <c r="AN22" s="66">
        <v>0</v>
      </c>
      <c r="AO22" s="66">
        <v>0</v>
      </c>
      <c r="AP22" s="66">
        <v>0</v>
      </c>
      <c r="AQ22" s="66">
        <v>0</v>
      </c>
      <c r="AR22" s="66">
        <v>0</v>
      </c>
      <c r="AS22" s="66">
        <v>0</v>
      </c>
      <c r="AT22" s="67" t="s">
        <v>1094</v>
      </c>
      <c r="AU22" s="67" t="s">
        <v>1094</v>
      </c>
      <c r="AV22" s="67">
        <v>0</v>
      </c>
      <c r="AW22" s="210">
        <v>0</v>
      </c>
      <c r="AX22" s="67">
        <v>0</v>
      </c>
    </row>
    <row r="23" spans="1:50" ht="15.75" x14ac:dyDescent="0.25">
      <c r="A23" s="11" t="s">
        <v>36</v>
      </c>
      <c r="B23" s="189" t="s">
        <v>37</v>
      </c>
      <c r="C23" s="66">
        <v>504.55149999999998</v>
      </c>
      <c r="D23" s="66">
        <v>0</v>
      </c>
      <c r="E23" s="66">
        <v>560.61350000000004</v>
      </c>
      <c r="F23" s="66">
        <v>504.55149999999998</v>
      </c>
      <c r="G23" s="66">
        <v>56.061999999999998</v>
      </c>
      <c r="H23" s="66">
        <v>504.32920702999996</v>
      </c>
      <c r="I23" s="66">
        <v>0</v>
      </c>
      <c r="J23" s="66">
        <v>560.36650789999999</v>
      </c>
      <c r="K23" s="66">
        <v>504.32920702999996</v>
      </c>
      <c r="L23" s="66">
        <v>0</v>
      </c>
      <c r="M23" s="66">
        <v>56.037300869999996</v>
      </c>
      <c r="N23" s="67">
        <v>99.955942461770491</v>
      </c>
      <c r="O23" s="67">
        <v>99.955943187899109</v>
      </c>
      <c r="P23" s="67">
        <v>10.000116009788385</v>
      </c>
      <c r="Q23" s="66">
        <v>0</v>
      </c>
      <c r="R23" s="67">
        <v>0</v>
      </c>
      <c r="S23" s="66">
        <v>504.55149999999998</v>
      </c>
      <c r="T23" s="66">
        <v>0</v>
      </c>
      <c r="U23" s="66">
        <v>560.61350000000004</v>
      </c>
      <c r="V23" s="66">
        <v>504.55149999999998</v>
      </c>
      <c r="W23" s="66">
        <v>56.061999999999998</v>
      </c>
      <c r="X23" s="66">
        <v>504.32920702999996</v>
      </c>
      <c r="Y23" s="66">
        <v>0</v>
      </c>
      <c r="Z23" s="66">
        <v>560.36650789999999</v>
      </c>
      <c r="AA23" s="66">
        <v>504.32920702999996</v>
      </c>
      <c r="AB23" s="66">
        <v>0</v>
      </c>
      <c r="AC23" s="66">
        <v>56.037300869999996</v>
      </c>
      <c r="AD23" s="67">
        <v>99.955942461770491</v>
      </c>
      <c r="AE23" s="67">
        <v>99.955943187899109</v>
      </c>
      <c r="AF23" s="67">
        <v>10.000116009788385</v>
      </c>
      <c r="AG23" s="210">
        <v>0</v>
      </c>
      <c r="AH23" s="67">
        <v>0</v>
      </c>
      <c r="AI23" s="66">
        <v>0</v>
      </c>
      <c r="AJ23" s="66">
        <v>0</v>
      </c>
      <c r="AK23" s="66">
        <v>0</v>
      </c>
      <c r="AL23" s="66">
        <v>0</v>
      </c>
      <c r="AM23" s="66">
        <v>0</v>
      </c>
      <c r="AN23" s="66">
        <v>0</v>
      </c>
      <c r="AO23" s="66">
        <v>0</v>
      </c>
      <c r="AP23" s="66">
        <v>0</v>
      </c>
      <c r="AQ23" s="66">
        <v>0</v>
      </c>
      <c r="AR23" s="66">
        <v>0</v>
      </c>
      <c r="AS23" s="66">
        <v>0</v>
      </c>
      <c r="AT23" s="67" t="s">
        <v>1094</v>
      </c>
      <c r="AU23" s="67" t="s">
        <v>1094</v>
      </c>
      <c r="AV23" s="67">
        <v>0</v>
      </c>
      <c r="AW23" s="210">
        <v>0</v>
      </c>
      <c r="AX23" s="67">
        <v>0</v>
      </c>
    </row>
    <row r="24" spans="1:50" ht="15.75" x14ac:dyDescent="0.25">
      <c r="A24" s="11" t="s">
        <v>39</v>
      </c>
      <c r="B24" s="189" t="s">
        <v>297</v>
      </c>
      <c r="C24" s="66">
        <v>0</v>
      </c>
      <c r="D24" s="66">
        <v>0</v>
      </c>
      <c r="E24" s="66">
        <v>0</v>
      </c>
      <c r="F24" s="66">
        <v>0</v>
      </c>
      <c r="G24" s="66">
        <v>0</v>
      </c>
      <c r="H24" s="66">
        <v>0</v>
      </c>
      <c r="I24" s="66">
        <v>0</v>
      </c>
      <c r="J24" s="66">
        <v>0</v>
      </c>
      <c r="K24" s="66">
        <v>0</v>
      </c>
      <c r="L24" s="66">
        <v>0</v>
      </c>
      <c r="M24" s="66">
        <v>0</v>
      </c>
      <c r="N24" s="67" t="s">
        <v>1094</v>
      </c>
      <c r="O24" s="67" t="s">
        <v>1094</v>
      </c>
      <c r="P24" s="67">
        <v>0</v>
      </c>
      <c r="Q24" s="66">
        <v>0</v>
      </c>
      <c r="R24" s="67">
        <v>0</v>
      </c>
      <c r="S24" s="66">
        <v>0</v>
      </c>
      <c r="T24" s="66">
        <v>0</v>
      </c>
      <c r="U24" s="66">
        <v>0</v>
      </c>
      <c r="V24" s="66">
        <v>0</v>
      </c>
      <c r="W24" s="66">
        <v>0</v>
      </c>
      <c r="X24" s="66">
        <v>0</v>
      </c>
      <c r="Y24" s="66">
        <v>0</v>
      </c>
      <c r="Z24" s="66">
        <v>0</v>
      </c>
      <c r="AA24" s="66">
        <v>0</v>
      </c>
      <c r="AB24" s="66">
        <v>0</v>
      </c>
      <c r="AC24" s="66">
        <v>0</v>
      </c>
      <c r="AD24" s="67" t="s">
        <v>1094</v>
      </c>
      <c r="AE24" s="67" t="s">
        <v>1094</v>
      </c>
      <c r="AF24" s="67">
        <v>0</v>
      </c>
      <c r="AG24" s="210">
        <v>0</v>
      </c>
      <c r="AH24" s="67">
        <v>0</v>
      </c>
      <c r="AI24" s="66">
        <v>0</v>
      </c>
      <c r="AJ24" s="66">
        <v>0</v>
      </c>
      <c r="AK24" s="66">
        <v>0</v>
      </c>
      <c r="AL24" s="66">
        <v>0</v>
      </c>
      <c r="AM24" s="66">
        <v>0</v>
      </c>
      <c r="AN24" s="66">
        <v>0</v>
      </c>
      <c r="AO24" s="66">
        <v>0</v>
      </c>
      <c r="AP24" s="66">
        <v>0</v>
      </c>
      <c r="AQ24" s="66">
        <v>0</v>
      </c>
      <c r="AR24" s="66">
        <v>0</v>
      </c>
      <c r="AS24" s="66">
        <v>0</v>
      </c>
      <c r="AT24" s="67" t="s">
        <v>1094</v>
      </c>
      <c r="AU24" s="67" t="s">
        <v>1094</v>
      </c>
      <c r="AV24" s="67">
        <v>0</v>
      </c>
      <c r="AW24" s="210">
        <v>0</v>
      </c>
      <c r="AX24" s="67">
        <v>0</v>
      </c>
    </row>
    <row r="25" spans="1:50" ht="15.75" x14ac:dyDescent="0.25">
      <c r="A25" s="11" t="s">
        <v>41</v>
      </c>
      <c r="B25" s="189" t="s">
        <v>42</v>
      </c>
      <c r="C25" s="66">
        <v>481.42090000000002</v>
      </c>
      <c r="D25" s="66">
        <v>0</v>
      </c>
      <c r="E25" s="66">
        <v>506.75884300000001</v>
      </c>
      <c r="F25" s="66">
        <v>481.42090000000002</v>
      </c>
      <c r="G25" s="66">
        <v>25.337942999999999</v>
      </c>
      <c r="H25" s="66">
        <v>481.42090000000002</v>
      </c>
      <c r="I25" s="66">
        <v>0</v>
      </c>
      <c r="J25" s="66">
        <v>506.75884300000001</v>
      </c>
      <c r="K25" s="66">
        <v>481.42090000000002</v>
      </c>
      <c r="L25" s="66">
        <v>0</v>
      </c>
      <c r="M25" s="66">
        <v>25.337942999999999</v>
      </c>
      <c r="N25" s="67">
        <v>100</v>
      </c>
      <c r="O25" s="67">
        <v>100</v>
      </c>
      <c r="P25" s="67">
        <v>5.0000001677326429</v>
      </c>
      <c r="Q25" s="66">
        <v>0</v>
      </c>
      <c r="R25" s="67">
        <v>0</v>
      </c>
      <c r="S25" s="66">
        <v>481.42090000000002</v>
      </c>
      <c r="T25" s="66">
        <v>0</v>
      </c>
      <c r="U25" s="66">
        <v>506.75884300000001</v>
      </c>
      <c r="V25" s="66">
        <v>481.42090000000002</v>
      </c>
      <c r="W25" s="66">
        <v>25.337942999999999</v>
      </c>
      <c r="X25" s="66">
        <v>481.42090000000002</v>
      </c>
      <c r="Y25" s="66">
        <v>0</v>
      </c>
      <c r="Z25" s="66">
        <v>506.75884300000001</v>
      </c>
      <c r="AA25" s="66">
        <v>481.42090000000002</v>
      </c>
      <c r="AB25" s="66">
        <v>0</v>
      </c>
      <c r="AC25" s="66">
        <v>25.337942999999999</v>
      </c>
      <c r="AD25" s="67">
        <v>100</v>
      </c>
      <c r="AE25" s="67">
        <v>100</v>
      </c>
      <c r="AF25" s="67">
        <v>5.0000001677326429</v>
      </c>
      <c r="AG25" s="210">
        <v>0</v>
      </c>
      <c r="AH25" s="67">
        <v>0</v>
      </c>
      <c r="AI25" s="66">
        <v>0</v>
      </c>
      <c r="AJ25" s="66">
        <v>0</v>
      </c>
      <c r="AK25" s="66">
        <v>0</v>
      </c>
      <c r="AL25" s="66">
        <v>0</v>
      </c>
      <c r="AM25" s="66">
        <v>0</v>
      </c>
      <c r="AN25" s="66">
        <v>0</v>
      </c>
      <c r="AO25" s="66">
        <v>0</v>
      </c>
      <c r="AP25" s="66">
        <v>0</v>
      </c>
      <c r="AQ25" s="66">
        <v>0</v>
      </c>
      <c r="AR25" s="66">
        <v>0</v>
      </c>
      <c r="AS25" s="66">
        <v>0</v>
      </c>
      <c r="AT25" s="67" t="s">
        <v>1094</v>
      </c>
      <c r="AU25" s="67" t="s">
        <v>1094</v>
      </c>
      <c r="AV25" s="67">
        <v>0</v>
      </c>
      <c r="AW25" s="210">
        <v>0</v>
      </c>
      <c r="AX25" s="67">
        <v>0</v>
      </c>
    </row>
    <row r="26" spans="1:50" ht="15.75" x14ac:dyDescent="0.25">
      <c r="A26" s="11" t="s">
        <v>44</v>
      </c>
      <c r="B26" s="189" t="s">
        <v>45</v>
      </c>
      <c r="C26" s="66">
        <v>293.2441</v>
      </c>
      <c r="D26" s="66">
        <v>0</v>
      </c>
      <c r="E26" s="66">
        <v>308.678</v>
      </c>
      <c r="F26" s="66">
        <v>293.2441</v>
      </c>
      <c r="G26" s="66">
        <v>15.4339</v>
      </c>
      <c r="H26" s="66">
        <v>293.22903444999997</v>
      </c>
      <c r="I26" s="66">
        <v>0</v>
      </c>
      <c r="J26" s="66">
        <v>308.66214150000002</v>
      </c>
      <c r="K26" s="66">
        <v>293.22903444999997</v>
      </c>
      <c r="L26" s="66">
        <v>0</v>
      </c>
      <c r="M26" s="66">
        <v>15.43310705</v>
      </c>
      <c r="N26" s="67">
        <v>99.994862454180662</v>
      </c>
      <c r="O26" s="67">
        <v>99.994862283674252</v>
      </c>
      <c r="P26" s="67">
        <v>4.9999999919005296</v>
      </c>
      <c r="Q26" s="66">
        <v>0</v>
      </c>
      <c r="R26" s="67">
        <v>0</v>
      </c>
      <c r="S26" s="66">
        <v>293.2441</v>
      </c>
      <c r="T26" s="66">
        <v>0</v>
      </c>
      <c r="U26" s="66">
        <v>308.678</v>
      </c>
      <c r="V26" s="66">
        <v>293.2441</v>
      </c>
      <c r="W26" s="66">
        <v>15.4339</v>
      </c>
      <c r="X26" s="66">
        <v>293.22903444999997</v>
      </c>
      <c r="Y26" s="66">
        <v>0</v>
      </c>
      <c r="Z26" s="66">
        <v>308.66214150000002</v>
      </c>
      <c r="AA26" s="66">
        <v>293.22903444999997</v>
      </c>
      <c r="AB26" s="66">
        <v>0</v>
      </c>
      <c r="AC26" s="66">
        <v>15.43310705</v>
      </c>
      <c r="AD26" s="67">
        <v>99.994862454180662</v>
      </c>
      <c r="AE26" s="67">
        <v>99.994862283674252</v>
      </c>
      <c r="AF26" s="67">
        <v>4.9999999919005296</v>
      </c>
      <c r="AG26" s="210">
        <v>0</v>
      </c>
      <c r="AH26" s="67">
        <v>0</v>
      </c>
      <c r="AI26" s="66">
        <v>0</v>
      </c>
      <c r="AJ26" s="66">
        <v>0</v>
      </c>
      <c r="AK26" s="66">
        <v>0</v>
      </c>
      <c r="AL26" s="66">
        <v>0</v>
      </c>
      <c r="AM26" s="66">
        <v>0</v>
      </c>
      <c r="AN26" s="66">
        <v>0</v>
      </c>
      <c r="AO26" s="66">
        <v>0</v>
      </c>
      <c r="AP26" s="66">
        <v>0</v>
      </c>
      <c r="AQ26" s="66">
        <v>0</v>
      </c>
      <c r="AR26" s="66">
        <v>0</v>
      </c>
      <c r="AS26" s="66">
        <v>0</v>
      </c>
      <c r="AT26" s="67" t="s">
        <v>1094</v>
      </c>
      <c r="AU26" s="67" t="s">
        <v>1094</v>
      </c>
      <c r="AV26" s="67">
        <v>0</v>
      </c>
      <c r="AW26" s="210">
        <v>0</v>
      </c>
      <c r="AX26" s="67">
        <v>0</v>
      </c>
    </row>
    <row r="27" spans="1:50" ht="15.75" x14ac:dyDescent="0.25">
      <c r="A27" s="11" t="s">
        <v>47</v>
      </c>
      <c r="B27" s="189" t="s">
        <v>48</v>
      </c>
      <c r="C27" s="66">
        <v>126.20780000000001</v>
      </c>
      <c r="D27" s="66">
        <v>0</v>
      </c>
      <c r="E27" s="66">
        <v>153.79942</v>
      </c>
      <c r="F27" s="66">
        <v>126.20780000000001</v>
      </c>
      <c r="G27" s="66">
        <v>27.591619999999999</v>
      </c>
      <c r="H27" s="66">
        <v>126.12339204999999</v>
      </c>
      <c r="I27" s="66">
        <v>0</v>
      </c>
      <c r="J27" s="66">
        <v>153.6965538</v>
      </c>
      <c r="K27" s="66">
        <v>126.12339204999999</v>
      </c>
      <c r="L27" s="66">
        <v>0</v>
      </c>
      <c r="M27" s="66">
        <v>27.573161750000001</v>
      </c>
      <c r="N27" s="67">
        <v>99.933119862639217</v>
      </c>
      <c r="O27" s="67">
        <v>99.933101970815784</v>
      </c>
      <c r="P27" s="67">
        <v>17.939999998880911</v>
      </c>
      <c r="Q27" s="66">
        <v>0</v>
      </c>
      <c r="R27" s="67">
        <v>0</v>
      </c>
      <c r="S27" s="66">
        <v>126.20780000000001</v>
      </c>
      <c r="T27" s="66">
        <v>0</v>
      </c>
      <c r="U27" s="66">
        <v>153.79942</v>
      </c>
      <c r="V27" s="66">
        <v>126.20780000000001</v>
      </c>
      <c r="W27" s="66">
        <v>27.591619999999999</v>
      </c>
      <c r="X27" s="66">
        <v>126.12339204999999</v>
      </c>
      <c r="Y27" s="66">
        <v>0</v>
      </c>
      <c r="Z27" s="66">
        <v>153.6965538</v>
      </c>
      <c r="AA27" s="66">
        <v>126.12339204999999</v>
      </c>
      <c r="AB27" s="66">
        <v>0</v>
      </c>
      <c r="AC27" s="66">
        <v>27.573161750000001</v>
      </c>
      <c r="AD27" s="67">
        <v>99.933119862639217</v>
      </c>
      <c r="AE27" s="67">
        <v>99.933101970815784</v>
      </c>
      <c r="AF27" s="67">
        <v>17.939999998880911</v>
      </c>
      <c r="AG27" s="210">
        <v>0</v>
      </c>
      <c r="AH27" s="67">
        <v>0</v>
      </c>
      <c r="AI27" s="66">
        <v>0</v>
      </c>
      <c r="AJ27" s="66">
        <v>0</v>
      </c>
      <c r="AK27" s="66">
        <v>0</v>
      </c>
      <c r="AL27" s="66">
        <v>0</v>
      </c>
      <c r="AM27" s="66">
        <v>0</v>
      </c>
      <c r="AN27" s="66">
        <v>0</v>
      </c>
      <c r="AO27" s="66">
        <v>0</v>
      </c>
      <c r="AP27" s="66">
        <v>0</v>
      </c>
      <c r="AQ27" s="66">
        <v>0</v>
      </c>
      <c r="AR27" s="66">
        <v>0</v>
      </c>
      <c r="AS27" s="66">
        <v>0</v>
      </c>
      <c r="AT27" s="67" t="s">
        <v>1094</v>
      </c>
      <c r="AU27" s="67" t="s">
        <v>1094</v>
      </c>
      <c r="AV27" s="67">
        <v>0</v>
      </c>
      <c r="AW27" s="210">
        <v>0</v>
      </c>
      <c r="AX27" s="67">
        <v>0</v>
      </c>
    </row>
    <row r="28" spans="1:50" ht="15.75" x14ac:dyDescent="0.25">
      <c r="A28" s="11" t="s">
        <v>50</v>
      </c>
      <c r="B28" s="189" t="s">
        <v>51</v>
      </c>
      <c r="C28" s="66">
        <v>659.31560000000002</v>
      </c>
      <c r="D28" s="66">
        <v>0</v>
      </c>
      <c r="E28" s="66">
        <v>694.01642107000009</v>
      </c>
      <c r="F28" s="66">
        <v>659.31560000000002</v>
      </c>
      <c r="G28" s="66">
        <v>34.700821070000003</v>
      </c>
      <c r="H28" s="66">
        <v>659.31560000000002</v>
      </c>
      <c r="I28" s="66">
        <v>0</v>
      </c>
      <c r="J28" s="66">
        <v>694.01642107000009</v>
      </c>
      <c r="K28" s="66">
        <v>659.31560000000002</v>
      </c>
      <c r="L28" s="66">
        <v>0</v>
      </c>
      <c r="M28" s="66">
        <v>34.700821070000003</v>
      </c>
      <c r="N28" s="67">
        <v>100</v>
      </c>
      <c r="O28" s="67">
        <v>100</v>
      </c>
      <c r="P28" s="67">
        <v>5.0000000023774653</v>
      </c>
      <c r="Q28" s="66">
        <v>0</v>
      </c>
      <c r="R28" s="67">
        <v>0</v>
      </c>
      <c r="S28" s="66">
        <v>659.31560000000002</v>
      </c>
      <c r="T28" s="66">
        <v>0</v>
      </c>
      <c r="U28" s="66">
        <v>694.01642107000009</v>
      </c>
      <c r="V28" s="66">
        <v>659.31560000000002</v>
      </c>
      <c r="W28" s="66">
        <v>34.700821070000003</v>
      </c>
      <c r="X28" s="66">
        <v>659.31560000000002</v>
      </c>
      <c r="Y28" s="66">
        <v>0</v>
      </c>
      <c r="Z28" s="66">
        <v>694.01642107000009</v>
      </c>
      <c r="AA28" s="66">
        <v>659.31560000000002</v>
      </c>
      <c r="AB28" s="66">
        <v>0</v>
      </c>
      <c r="AC28" s="66">
        <v>34.700821070000003</v>
      </c>
      <c r="AD28" s="67">
        <v>100</v>
      </c>
      <c r="AE28" s="67">
        <v>100</v>
      </c>
      <c r="AF28" s="67">
        <v>5.0000000023774653</v>
      </c>
      <c r="AG28" s="210">
        <v>0</v>
      </c>
      <c r="AH28" s="67">
        <v>0</v>
      </c>
      <c r="AI28" s="66">
        <v>0</v>
      </c>
      <c r="AJ28" s="66">
        <v>0</v>
      </c>
      <c r="AK28" s="66">
        <v>0</v>
      </c>
      <c r="AL28" s="66">
        <v>0</v>
      </c>
      <c r="AM28" s="66">
        <v>0</v>
      </c>
      <c r="AN28" s="66">
        <v>0</v>
      </c>
      <c r="AO28" s="66">
        <v>0</v>
      </c>
      <c r="AP28" s="66">
        <v>0</v>
      </c>
      <c r="AQ28" s="66">
        <v>0</v>
      </c>
      <c r="AR28" s="66">
        <v>0</v>
      </c>
      <c r="AS28" s="66">
        <v>0</v>
      </c>
      <c r="AT28" s="67" t="s">
        <v>1094</v>
      </c>
      <c r="AU28" s="67" t="s">
        <v>1094</v>
      </c>
      <c r="AV28" s="67">
        <v>0</v>
      </c>
      <c r="AW28" s="210">
        <v>0</v>
      </c>
      <c r="AX28" s="67">
        <v>0</v>
      </c>
    </row>
    <row r="29" spans="1:50" ht="15.75" x14ac:dyDescent="0.25">
      <c r="A29" s="11" t="s">
        <v>53</v>
      </c>
      <c r="B29" s="189" t="s">
        <v>54</v>
      </c>
      <c r="C29" s="66">
        <v>180.4323</v>
      </c>
      <c r="D29" s="66">
        <v>0</v>
      </c>
      <c r="E29" s="66">
        <v>242.5256</v>
      </c>
      <c r="F29" s="66">
        <v>180.4323</v>
      </c>
      <c r="G29" s="66">
        <v>62.093299999999999</v>
      </c>
      <c r="H29" s="66">
        <v>177.63929216</v>
      </c>
      <c r="I29" s="66">
        <v>0</v>
      </c>
      <c r="J29" s="66">
        <v>238.77129255</v>
      </c>
      <c r="K29" s="66">
        <v>177.63929216</v>
      </c>
      <c r="L29" s="66">
        <v>0</v>
      </c>
      <c r="M29" s="66">
        <v>61.132000390000002</v>
      </c>
      <c r="N29" s="67">
        <v>98.452046645750229</v>
      </c>
      <c r="O29" s="67">
        <v>98.451846479410818</v>
      </c>
      <c r="P29" s="67">
        <v>25.602743000270284</v>
      </c>
      <c r="Q29" s="66">
        <v>0</v>
      </c>
      <c r="R29" s="67">
        <v>0</v>
      </c>
      <c r="S29" s="66">
        <v>180.4323</v>
      </c>
      <c r="T29" s="66">
        <v>0</v>
      </c>
      <c r="U29" s="66">
        <v>242.5256</v>
      </c>
      <c r="V29" s="66">
        <v>180.4323</v>
      </c>
      <c r="W29" s="66">
        <v>62.093299999999999</v>
      </c>
      <c r="X29" s="66">
        <v>177.63929216</v>
      </c>
      <c r="Y29" s="66">
        <v>0</v>
      </c>
      <c r="Z29" s="66">
        <v>238.77129255</v>
      </c>
      <c r="AA29" s="66">
        <v>177.63929216</v>
      </c>
      <c r="AB29" s="66">
        <v>0</v>
      </c>
      <c r="AC29" s="66">
        <v>61.132000390000002</v>
      </c>
      <c r="AD29" s="67">
        <v>98.452046645750229</v>
      </c>
      <c r="AE29" s="67">
        <v>98.451846479410818</v>
      </c>
      <c r="AF29" s="67">
        <v>25.602743000270284</v>
      </c>
      <c r="AG29" s="210">
        <v>0</v>
      </c>
      <c r="AH29" s="67">
        <v>0</v>
      </c>
      <c r="AI29" s="66">
        <v>0</v>
      </c>
      <c r="AJ29" s="66">
        <v>0</v>
      </c>
      <c r="AK29" s="66">
        <v>0</v>
      </c>
      <c r="AL29" s="66">
        <v>0</v>
      </c>
      <c r="AM29" s="66">
        <v>0</v>
      </c>
      <c r="AN29" s="66">
        <v>0</v>
      </c>
      <c r="AO29" s="66">
        <v>0</v>
      </c>
      <c r="AP29" s="66">
        <v>0</v>
      </c>
      <c r="AQ29" s="66">
        <v>0</v>
      </c>
      <c r="AR29" s="66">
        <v>0</v>
      </c>
      <c r="AS29" s="66">
        <v>0</v>
      </c>
      <c r="AT29" s="67" t="s">
        <v>1094</v>
      </c>
      <c r="AU29" s="67" t="s">
        <v>1094</v>
      </c>
      <c r="AV29" s="67">
        <v>0</v>
      </c>
      <c r="AW29" s="210">
        <v>0</v>
      </c>
      <c r="AX29" s="67">
        <v>0</v>
      </c>
    </row>
    <row r="30" spans="1:50" ht="15.75" x14ac:dyDescent="0.25">
      <c r="A30" s="11" t="s">
        <v>56</v>
      </c>
      <c r="B30" s="189" t="s">
        <v>57</v>
      </c>
      <c r="C30" s="66">
        <v>344.48880000000003</v>
      </c>
      <c r="D30" s="66">
        <v>0</v>
      </c>
      <c r="E30" s="66">
        <v>371.21640000000002</v>
      </c>
      <c r="F30" s="66">
        <v>344.48880000000003</v>
      </c>
      <c r="G30" s="66">
        <v>26.727599999999999</v>
      </c>
      <c r="H30" s="66">
        <v>343.74713195999999</v>
      </c>
      <c r="I30" s="66">
        <v>0</v>
      </c>
      <c r="J30" s="66">
        <v>370.417168</v>
      </c>
      <c r="K30" s="66">
        <v>343.74713195999999</v>
      </c>
      <c r="L30" s="66">
        <v>0</v>
      </c>
      <c r="M30" s="66">
        <v>26.670036039999999</v>
      </c>
      <c r="N30" s="67">
        <v>99.784704745117963</v>
      </c>
      <c r="O30" s="67">
        <v>99.784627276672794</v>
      </c>
      <c r="P30" s="67">
        <v>7.1999999848819094</v>
      </c>
      <c r="Q30" s="66">
        <v>0</v>
      </c>
      <c r="R30" s="67">
        <v>0</v>
      </c>
      <c r="S30" s="66">
        <v>344.48880000000003</v>
      </c>
      <c r="T30" s="66">
        <v>0</v>
      </c>
      <c r="U30" s="66">
        <v>371.21640000000002</v>
      </c>
      <c r="V30" s="66">
        <v>344.48880000000003</v>
      </c>
      <c r="W30" s="66">
        <v>26.727599999999999</v>
      </c>
      <c r="X30" s="66">
        <v>343.74713195999999</v>
      </c>
      <c r="Y30" s="66">
        <v>0</v>
      </c>
      <c r="Z30" s="66">
        <v>370.417168</v>
      </c>
      <c r="AA30" s="66">
        <v>343.74713195999999</v>
      </c>
      <c r="AB30" s="66">
        <v>0</v>
      </c>
      <c r="AC30" s="66">
        <v>26.670036039999999</v>
      </c>
      <c r="AD30" s="67">
        <v>99.784704745117963</v>
      </c>
      <c r="AE30" s="67">
        <v>99.784627276672794</v>
      </c>
      <c r="AF30" s="67">
        <v>7.1999999848819094</v>
      </c>
      <c r="AG30" s="210">
        <v>0</v>
      </c>
      <c r="AH30" s="67">
        <v>0</v>
      </c>
      <c r="AI30" s="66">
        <v>0</v>
      </c>
      <c r="AJ30" s="66">
        <v>0</v>
      </c>
      <c r="AK30" s="66">
        <v>0</v>
      </c>
      <c r="AL30" s="66">
        <v>0</v>
      </c>
      <c r="AM30" s="66">
        <v>0</v>
      </c>
      <c r="AN30" s="66">
        <v>0</v>
      </c>
      <c r="AO30" s="66">
        <v>0</v>
      </c>
      <c r="AP30" s="66">
        <v>0</v>
      </c>
      <c r="AQ30" s="66">
        <v>0</v>
      </c>
      <c r="AR30" s="66">
        <v>0</v>
      </c>
      <c r="AS30" s="66">
        <v>0</v>
      </c>
      <c r="AT30" s="67" t="s">
        <v>1094</v>
      </c>
      <c r="AU30" s="67" t="s">
        <v>1094</v>
      </c>
      <c r="AV30" s="67">
        <v>0</v>
      </c>
      <c r="AW30" s="210">
        <v>0</v>
      </c>
      <c r="AX30" s="67">
        <v>0</v>
      </c>
    </row>
    <row r="31" spans="1:50" ht="15.75" x14ac:dyDescent="0.25">
      <c r="A31" s="11" t="s">
        <v>59</v>
      </c>
      <c r="B31" s="189" t="s">
        <v>60</v>
      </c>
      <c r="C31" s="66">
        <v>114.68810000000001</v>
      </c>
      <c r="D31" s="66">
        <v>0</v>
      </c>
      <c r="E31" s="66">
        <v>143.36012500000001</v>
      </c>
      <c r="F31" s="66">
        <v>114.68810000000001</v>
      </c>
      <c r="G31" s="66">
        <v>28.672025000000001</v>
      </c>
      <c r="H31" s="66">
        <v>114.68810000000001</v>
      </c>
      <c r="I31" s="66">
        <v>0</v>
      </c>
      <c r="J31" s="66">
        <v>143.36012500000001</v>
      </c>
      <c r="K31" s="66">
        <v>114.68810000000001</v>
      </c>
      <c r="L31" s="66">
        <v>0</v>
      </c>
      <c r="M31" s="66">
        <v>28.672025000000001</v>
      </c>
      <c r="N31" s="67">
        <v>100</v>
      </c>
      <c r="O31" s="67">
        <v>100</v>
      </c>
      <c r="P31" s="67">
        <v>20</v>
      </c>
      <c r="Q31" s="66">
        <v>0</v>
      </c>
      <c r="R31" s="67">
        <v>0</v>
      </c>
      <c r="S31" s="66">
        <v>114.68810000000001</v>
      </c>
      <c r="T31" s="66">
        <v>0</v>
      </c>
      <c r="U31" s="66">
        <v>143.36012500000001</v>
      </c>
      <c r="V31" s="66">
        <v>114.68810000000001</v>
      </c>
      <c r="W31" s="66">
        <v>28.672025000000001</v>
      </c>
      <c r="X31" s="66">
        <v>114.68810000000001</v>
      </c>
      <c r="Y31" s="66">
        <v>0</v>
      </c>
      <c r="Z31" s="66">
        <v>143.36012500000001</v>
      </c>
      <c r="AA31" s="66">
        <v>114.68810000000001</v>
      </c>
      <c r="AB31" s="66">
        <v>0</v>
      </c>
      <c r="AC31" s="66">
        <v>28.672025000000001</v>
      </c>
      <c r="AD31" s="67">
        <v>100</v>
      </c>
      <c r="AE31" s="67">
        <v>100</v>
      </c>
      <c r="AF31" s="67">
        <v>20</v>
      </c>
      <c r="AG31" s="210">
        <v>0</v>
      </c>
      <c r="AH31" s="67">
        <v>0</v>
      </c>
      <c r="AI31" s="66">
        <v>0</v>
      </c>
      <c r="AJ31" s="66">
        <v>0</v>
      </c>
      <c r="AK31" s="66">
        <v>0</v>
      </c>
      <c r="AL31" s="66">
        <v>0</v>
      </c>
      <c r="AM31" s="66">
        <v>0</v>
      </c>
      <c r="AN31" s="66">
        <v>0</v>
      </c>
      <c r="AO31" s="66">
        <v>0</v>
      </c>
      <c r="AP31" s="66">
        <v>0</v>
      </c>
      <c r="AQ31" s="66">
        <v>0</v>
      </c>
      <c r="AR31" s="66">
        <v>0</v>
      </c>
      <c r="AS31" s="66">
        <v>0</v>
      </c>
      <c r="AT31" s="67" t="s">
        <v>1094</v>
      </c>
      <c r="AU31" s="67" t="s">
        <v>1094</v>
      </c>
      <c r="AV31" s="67">
        <v>0</v>
      </c>
      <c r="AW31" s="210">
        <v>0</v>
      </c>
      <c r="AX31" s="67">
        <v>0</v>
      </c>
    </row>
    <row r="32" spans="1:50" ht="15.75" x14ac:dyDescent="0.25">
      <c r="A32" s="57" t="s">
        <v>62</v>
      </c>
      <c r="B32" s="190" t="s">
        <v>63</v>
      </c>
      <c r="C32" s="61">
        <v>1846.2254</v>
      </c>
      <c r="D32" s="61">
        <v>0</v>
      </c>
      <c r="E32" s="61">
        <v>2232.1803031599998</v>
      </c>
      <c r="F32" s="61">
        <v>1846.2254</v>
      </c>
      <c r="G32" s="61">
        <v>385.95490316000007</v>
      </c>
      <c r="H32" s="61">
        <v>1845.3552689000001</v>
      </c>
      <c r="I32" s="61">
        <v>4.0868439999999999E-2</v>
      </c>
      <c r="J32" s="61">
        <v>2231.1072267999998</v>
      </c>
      <c r="K32" s="61">
        <v>1845.3546918699999</v>
      </c>
      <c r="L32" s="61">
        <v>0</v>
      </c>
      <c r="M32" s="61">
        <v>385.75253493000002</v>
      </c>
      <c r="N32" s="61">
        <v>99.952838470860598</v>
      </c>
      <c r="O32" s="61">
        <v>99.947566871584442</v>
      </c>
      <c r="P32" s="61">
        <v>17.289735351862564</v>
      </c>
      <c r="Q32" s="61">
        <v>4.0868439999999999E-2</v>
      </c>
      <c r="R32" s="61">
        <v>5.770299999993192E-4</v>
      </c>
      <c r="S32" s="61">
        <v>1846.2254</v>
      </c>
      <c r="T32" s="61">
        <v>0</v>
      </c>
      <c r="U32" s="61">
        <v>2232.1803031599998</v>
      </c>
      <c r="V32" s="61">
        <v>1846.2254</v>
      </c>
      <c r="W32" s="61">
        <v>385.95490316000007</v>
      </c>
      <c r="X32" s="61">
        <v>1845.3552689000001</v>
      </c>
      <c r="Y32" s="61">
        <v>4.0868439999999999E-2</v>
      </c>
      <c r="Z32" s="61">
        <v>2231.1072267999998</v>
      </c>
      <c r="AA32" s="61">
        <v>1845.3546918699999</v>
      </c>
      <c r="AB32" s="61">
        <v>0</v>
      </c>
      <c r="AC32" s="61">
        <v>385.75253493000002</v>
      </c>
      <c r="AD32" s="61">
        <v>99.952838470860598</v>
      </c>
      <c r="AE32" s="61">
        <v>99.947566871584442</v>
      </c>
      <c r="AF32" s="61">
        <v>17.289735351862564</v>
      </c>
      <c r="AG32" s="61">
        <v>4.0868439999999999E-2</v>
      </c>
      <c r="AH32" s="61">
        <v>5.770299999993192E-4</v>
      </c>
      <c r="AI32" s="61">
        <v>0</v>
      </c>
      <c r="AJ32" s="61">
        <v>0</v>
      </c>
      <c r="AK32" s="61">
        <v>0</v>
      </c>
      <c r="AL32" s="61">
        <v>0</v>
      </c>
      <c r="AM32" s="61">
        <v>0</v>
      </c>
      <c r="AN32" s="61">
        <v>0</v>
      </c>
      <c r="AO32" s="61">
        <v>0</v>
      </c>
      <c r="AP32" s="61">
        <v>0</v>
      </c>
      <c r="AQ32" s="61">
        <v>0</v>
      </c>
      <c r="AR32" s="61">
        <v>0</v>
      </c>
      <c r="AS32" s="61">
        <v>0</v>
      </c>
      <c r="AT32" s="61" t="s">
        <v>1094</v>
      </c>
      <c r="AU32" s="61" t="s">
        <v>1094</v>
      </c>
      <c r="AV32" s="61">
        <v>0</v>
      </c>
      <c r="AW32" s="61">
        <v>0</v>
      </c>
      <c r="AX32" s="61">
        <v>0</v>
      </c>
    </row>
    <row r="33" spans="1:50" ht="15.75" x14ac:dyDescent="0.25">
      <c r="A33" s="11" t="s">
        <v>65</v>
      </c>
      <c r="B33" s="189" t="s">
        <v>66</v>
      </c>
      <c r="C33" s="66">
        <v>54.838700000000003</v>
      </c>
      <c r="D33" s="66">
        <v>0</v>
      </c>
      <c r="E33" s="66">
        <v>57.724957000000003</v>
      </c>
      <c r="F33" s="66">
        <v>54.838700000000003</v>
      </c>
      <c r="G33" s="66">
        <v>2.8862570000000001</v>
      </c>
      <c r="H33" s="66">
        <v>54.820788350000001</v>
      </c>
      <c r="I33" s="66">
        <v>0</v>
      </c>
      <c r="J33" s="66">
        <v>57.706093359999997</v>
      </c>
      <c r="K33" s="66">
        <v>54.820788350000001</v>
      </c>
      <c r="L33" s="66">
        <v>0</v>
      </c>
      <c r="M33" s="66">
        <v>2.8853050099999997</v>
      </c>
      <c r="N33" s="67">
        <v>99.967337573647811</v>
      </c>
      <c r="O33" s="67">
        <v>99.967016450717992</v>
      </c>
      <c r="P33" s="67">
        <v>5.0000005926583828</v>
      </c>
      <c r="Q33" s="66">
        <v>0</v>
      </c>
      <c r="R33" s="67">
        <v>0</v>
      </c>
      <c r="S33" s="66">
        <v>54.838700000000003</v>
      </c>
      <c r="T33" s="66">
        <v>0</v>
      </c>
      <c r="U33" s="66">
        <v>57.724957000000003</v>
      </c>
      <c r="V33" s="66">
        <v>54.838700000000003</v>
      </c>
      <c r="W33" s="66">
        <v>2.8862570000000001</v>
      </c>
      <c r="X33" s="66">
        <v>54.820788350000001</v>
      </c>
      <c r="Y33" s="66">
        <v>0</v>
      </c>
      <c r="Z33" s="66">
        <v>57.706093359999997</v>
      </c>
      <c r="AA33" s="66">
        <v>54.820788350000001</v>
      </c>
      <c r="AB33" s="66">
        <v>0</v>
      </c>
      <c r="AC33" s="66">
        <v>2.8853050099999997</v>
      </c>
      <c r="AD33" s="67">
        <v>99.967337573647811</v>
      </c>
      <c r="AE33" s="67">
        <v>99.967016450717992</v>
      </c>
      <c r="AF33" s="67">
        <v>5.0000005926583828</v>
      </c>
      <c r="AG33" s="210">
        <v>0</v>
      </c>
      <c r="AH33" s="67">
        <v>0</v>
      </c>
      <c r="AI33" s="66">
        <v>0</v>
      </c>
      <c r="AJ33" s="66">
        <v>0</v>
      </c>
      <c r="AK33" s="66">
        <v>0</v>
      </c>
      <c r="AL33" s="66">
        <v>0</v>
      </c>
      <c r="AM33" s="66">
        <v>0</v>
      </c>
      <c r="AN33" s="66">
        <v>0</v>
      </c>
      <c r="AO33" s="66">
        <v>0</v>
      </c>
      <c r="AP33" s="66">
        <v>0</v>
      </c>
      <c r="AQ33" s="66">
        <v>0</v>
      </c>
      <c r="AR33" s="66">
        <v>0</v>
      </c>
      <c r="AS33" s="66">
        <v>0</v>
      </c>
      <c r="AT33" s="67" t="s">
        <v>1094</v>
      </c>
      <c r="AU33" s="67" t="s">
        <v>1094</v>
      </c>
      <c r="AV33" s="67">
        <v>0</v>
      </c>
      <c r="AW33" s="210">
        <v>0</v>
      </c>
      <c r="AX33" s="67">
        <v>0</v>
      </c>
    </row>
    <row r="34" spans="1:50" ht="15.75" x14ac:dyDescent="0.25">
      <c r="A34" s="11" t="s">
        <v>68</v>
      </c>
      <c r="B34" s="189" t="s">
        <v>69</v>
      </c>
      <c r="C34" s="66">
        <v>57.9133</v>
      </c>
      <c r="D34" s="66">
        <v>0</v>
      </c>
      <c r="E34" s="66">
        <v>133.62559999999999</v>
      </c>
      <c r="F34" s="66">
        <v>57.9133</v>
      </c>
      <c r="G34" s="66">
        <v>75.712299999999999</v>
      </c>
      <c r="H34" s="66">
        <v>57.909347939999996</v>
      </c>
      <c r="I34" s="66">
        <v>0</v>
      </c>
      <c r="J34" s="66">
        <v>133.61515223000001</v>
      </c>
      <c r="K34" s="66">
        <v>57.908770909999994</v>
      </c>
      <c r="L34" s="66">
        <v>0</v>
      </c>
      <c r="M34" s="66">
        <v>75.706381319999991</v>
      </c>
      <c r="N34" s="67">
        <v>99.992179533889441</v>
      </c>
      <c r="O34" s="67">
        <v>99.992182670451157</v>
      </c>
      <c r="P34" s="67">
        <v>56.660026992808369</v>
      </c>
      <c r="Q34" s="66">
        <v>0</v>
      </c>
      <c r="R34" s="67">
        <v>5.7703000000230986E-4</v>
      </c>
      <c r="S34" s="66">
        <v>57.9133</v>
      </c>
      <c r="T34" s="66">
        <v>0</v>
      </c>
      <c r="U34" s="66">
        <v>133.62559999999999</v>
      </c>
      <c r="V34" s="66">
        <v>57.9133</v>
      </c>
      <c r="W34" s="66">
        <v>75.712299999999999</v>
      </c>
      <c r="X34" s="66">
        <v>57.909347939999996</v>
      </c>
      <c r="Y34" s="66">
        <v>0</v>
      </c>
      <c r="Z34" s="66">
        <v>133.61515223000001</v>
      </c>
      <c r="AA34" s="66">
        <v>57.908770909999994</v>
      </c>
      <c r="AB34" s="66">
        <v>0</v>
      </c>
      <c r="AC34" s="66">
        <v>75.706381319999991</v>
      </c>
      <c r="AD34" s="67">
        <v>99.992179533889441</v>
      </c>
      <c r="AE34" s="67">
        <v>99.992182670451157</v>
      </c>
      <c r="AF34" s="67">
        <v>56.660026992808369</v>
      </c>
      <c r="AG34" s="210">
        <v>0</v>
      </c>
      <c r="AH34" s="67">
        <v>5.7703000000230986E-4</v>
      </c>
      <c r="AI34" s="66">
        <v>0</v>
      </c>
      <c r="AJ34" s="66">
        <v>0</v>
      </c>
      <c r="AK34" s="66">
        <v>0</v>
      </c>
      <c r="AL34" s="66">
        <v>0</v>
      </c>
      <c r="AM34" s="66">
        <v>0</v>
      </c>
      <c r="AN34" s="66">
        <v>0</v>
      </c>
      <c r="AO34" s="66">
        <v>0</v>
      </c>
      <c r="AP34" s="66">
        <v>0</v>
      </c>
      <c r="AQ34" s="66">
        <v>0</v>
      </c>
      <c r="AR34" s="66">
        <v>0</v>
      </c>
      <c r="AS34" s="66">
        <v>0</v>
      </c>
      <c r="AT34" s="67" t="s">
        <v>1094</v>
      </c>
      <c r="AU34" s="67" t="s">
        <v>1094</v>
      </c>
      <c r="AV34" s="67">
        <v>0</v>
      </c>
      <c r="AW34" s="210">
        <v>0</v>
      </c>
      <c r="AX34" s="67">
        <v>0</v>
      </c>
    </row>
    <row r="35" spans="1:50" ht="15.75" x14ac:dyDescent="0.25">
      <c r="A35" s="11" t="s">
        <v>71</v>
      </c>
      <c r="B35" s="189" t="s">
        <v>72</v>
      </c>
      <c r="C35" s="66">
        <v>125.3248</v>
      </c>
      <c r="D35" s="66">
        <v>0</v>
      </c>
      <c r="E35" s="66">
        <v>131.92084299999999</v>
      </c>
      <c r="F35" s="66">
        <v>125.3248</v>
      </c>
      <c r="G35" s="66">
        <v>6.5960429999999999</v>
      </c>
      <c r="H35" s="66">
        <v>125.32378490000001</v>
      </c>
      <c r="I35" s="66">
        <v>0</v>
      </c>
      <c r="J35" s="66">
        <v>131.91977495</v>
      </c>
      <c r="K35" s="66">
        <v>125.32378490000001</v>
      </c>
      <c r="L35" s="66">
        <v>0</v>
      </c>
      <c r="M35" s="66">
        <v>6.5959900500000002</v>
      </c>
      <c r="N35" s="67">
        <v>99.999190024639987</v>
      </c>
      <c r="O35" s="67">
        <v>99.999197245985215</v>
      </c>
      <c r="P35" s="67">
        <v>5.0000009873424967</v>
      </c>
      <c r="Q35" s="66">
        <v>0</v>
      </c>
      <c r="R35" s="67">
        <v>0</v>
      </c>
      <c r="S35" s="66">
        <v>125.3248</v>
      </c>
      <c r="T35" s="66">
        <v>0</v>
      </c>
      <c r="U35" s="66">
        <v>131.92084299999999</v>
      </c>
      <c r="V35" s="66">
        <v>125.3248</v>
      </c>
      <c r="W35" s="66">
        <v>6.5960429999999999</v>
      </c>
      <c r="X35" s="66">
        <v>125.32378490000001</v>
      </c>
      <c r="Y35" s="66">
        <v>0</v>
      </c>
      <c r="Z35" s="66">
        <v>131.91977495</v>
      </c>
      <c r="AA35" s="66">
        <v>125.32378490000001</v>
      </c>
      <c r="AB35" s="66">
        <v>0</v>
      </c>
      <c r="AC35" s="66">
        <v>6.5959900500000002</v>
      </c>
      <c r="AD35" s="67">
        <v>99.999190024639987</v>
      </c>
      <c r="AE35" s="67">
        <v>99.999197245985215</v>
      </c>
      <c r="AF35" s="67">
        <v>5.0000009873424967</v>
      </c>
      <c r="AG35" s="210">
        <v>0</v>
      </c>
      <c r="AH35" s="67">
        <v>0</v>
      </c>
      <c r="AI35" s="66">
        <v>0</v>
      </c>
      <c r="AJ35" s="66">
        <v>0</v>
      </c>
      <c r="AK35" s="66">
        <v>0</v>
      </c>
      <c r="AL35" s="66">
        <v>0</v>
      </c>
      <c r="AM35" s="66">
        <v>0</v>
      </c>
      <c r="AN35" s="66">
        <v>0</v>
      </c>
      <c r="AO35" s="66">
        <v>0</v>
      </c>
      <c r="AP35" s="66">
        <v>0</v>
      </c>
      <c r="AQ35" s="66">
        <v>0</v>
      </c>
      <c r="AR35" s="66">
        <v>0</v>
      </c>
      <c r="AS35" s="66">
        <v>0</v>
      </c>
      <c r="AT35" s="67" t="s">
        <v>1094</v>
      </c>
      <c r="AU35" s="67" t="s">
        <v>1094</v>
      </c>
      <c r="AV35" s="67">
        <v>0</v>
      </c>
      <c r="AW35" s="210">
        <v>0</v>
      </c>
      <c r="AX35" s="67">
        <v>0</v>
      </c>
    </row>
    <row r="36" spans="1:50" ht="15.75" x14ac:dyDescent="0.25">
      <c r="A36" s="11" t="s">
        <v>74</v>
      </c>
      <c r="B36" s="189" t="s">
        <v>298</v>
      </c>
      <c r="C36" s="66">
        <v>38.874600000000001</v>
      </c>
      <c r="D36" s="66">
        <v>0</v>
      </c>
      <c r="E36" s="66">
        <v>53.537599999999998</v>
      </c>
      <c r="F36" s="66">
        <v>38.874600000000001</v>
      </c>
      <c r="G36" s="66">
        <v>14.663</v>
      </c>
      <c r="H36" s="66">
        <v>38.874600000000001</v>
      </c>
      <c r="I36" s="66">
        <v>0</v>
      </c>
      <c r="J36" s="66">
        <v>53.537599999999998</v>
      </c>
      <c r="K36" s="66">
        <v>38.874600000000001</v>
      </c>
      <c r="L36" s="66">
        <v>0</v>
      </c>
      <c r="M36" s="66">
        <v>14.663</v>
      </c>
      <c r="N36" s="67">
        <v>100</v>
      </c>
      <c r="O36" s="67">
        <v>100</v>
      </c>
      <c r="P36" s="67">
        <v>27.388228086428978</v>
      </c>
      <c r="Q36" s="66">
        <v>0</v>
      </c>
      <c r="R36" s="67">
        <v>0</v>
      </c>
      <c r="S36" s="66">
        <v>38.874600000000001</v>
      </c>
      <c r="T36" s="66">
        <v>0</v>
      </c>
      <c r="U36" s="66">
        <v>53.537599999999998</v>
      </c>
      <c r="V36" s="66">
        <v>38.874600000000001</v>
      </c>
      <c r="W36" s="66">
        <v>14.663</v>
      </c>
      <c r="X36" s="66">
        <v>38.874600000000001</v>
      </c>
      <c r="Y36" s="66">
        <v>0</v>
      </c>
      <c r="Z36" s="66">
        <v>53.537599999999998</v>
      </c>
      <c r="AA36" s="66">
        <v>38.874600000000001</v>
      </c>
      <c r="AB36" s="66">
        <v>0</v>
      </c>
      <c r="AC36" s="66">
        <v>14.663</v>
      </c>
      <c r="AD36" s="67">
        <v>100</v>
      </c>
      <c r="AE36" s="67">
        <v>100</v>
      </c>
      <c r="AF36" s="67">
        <v>27.388228086428978</v>
      </c>
      <c r="AG36" s="210">
        <v>0</v>
      </c>
      <c r="AH36" s="67">
        <v>0</v>
      </c>
      <c r="AI36" s="66">
        <v>0</v>
      </c>
      <c r="AJ36" s="66">
        <v>0</v>
      </c>
      <c r="AK36" s="66">
        <v>0</v>
      </c>
      <c r="AL36" s="66">
        <v>0</v>
      </c>
      <c r="AM36" s="66">
        <v>0</v>
      </c>
      <c r="AN36" s="66">
        <v>0</v>
      </c>
      <c r="AO36" s="66">
        <v>0</v>
      </c>
      <c r="AP36" s="66">
        <v>0</v>
      </c>
      <c r="AQ36" s="66">
        <v>0</v>
      </c>
      <c r="AR36" s="66">
        <v>0</v>
      </c>
      <c r="AS36" s="66">
        <v>0</v>
      </c>
      <c r="AT36" s="67" t="s">
        <v>1094</v>
      </c>
      <c r="AU36" s="67" t="s">
        <v>1094</v>
      </c>
      <c r="AV36" s="67">
        <v>0</v>
      </c>
      <c r="AW36" s="210">
        <v>0</v>
      </c>
      <c r="AX36" s="67">
        <v>0</v>
      </c>
    </row>
    <row r="37" spans="1:50" ht="15.75" x14ac:dyDescent="0.25">
      <c r="A37" s="11" t="s">
        <v>76</v>
      </c>
      <c r="B37" s="189" t="s">
        <v>77</v>
      </c>
      <c r="C37" s="66">
        <v>246.9461</v>
      </c>
      <c r="D37" s="66">
        <v>0</v>
      </c>
      <c r="E37" s="66">
        <v>259.94326316000001</v>
      </c>
      <c r="F37" s="66">
        <v>246.9461</v>
      </c>
      <c r="G37" s="66">
        <v>12.997163159999999</v>
      </c>
      <c r="H37" s="66">
        <v>246.93924996999999</v>
      </c>
      <c r="I37" s="66">
        <v>0</v>
      </c>
      <c r="J37" s="66">
        <v>259.93605264000001</v>
      </c>
      <c r="K37" s="66">
        <v>246.93924996999999</v>
      </c>
      <c r="L37" s="66">
        <v>0</v>
      </c>
      <c r="M37" s="66">
        <v>12.996802669999999</v>
      </c>
      <c r="N37" s="67">
        <v>99.99722610318608</v>
      </c>
      <c r="O37" s="67">
        <v>99.997226394748125</v>
      </c>
      <c r="P37" s="67">
        <v>5.0000000146189798</v>
      </c>
      <c r="Q37" s="66">
        <v>0</v>
      </c>
      <c r="R37" s="67">
        <v>0</v>
      </c>
      <c r="S37" s="66">
        <v>246.9461</v>
      </c>
      <c r="T37" s="66">
        <v>0</v>
      </c>
      <c r="U37" s="66">
        <v>259.94326316000001</v>
      </c>
      <c r="V37" s="66">
        <v>246.9461</v>
      </c>
      <c r="W37" s="66">
        <v>12.997163159999999</v>
      </c>
      <c r="X37" s="66">
        <v>246.93924996999999</v>
      </c>
      <c r="Y37" s="66">
        <v>0</v>
      </c>
      <c r="Z37" s="66">
        <v>259.93605264000001</v>
      </c>
      <c r="AA37" s="66">
        <v>246.93924996999999</v>
      </c>
      <c r="AB37" s="66">
        <v>0</v>
      </c>
      <c r="AC37" s="66">
        <v>12.996802669999999</v>
      </c>
      <c r="AD37" s="67">
        <v>99.99722610318608</v>
      </c>
      <c r="AE37" s="67">
        <v>99.997226394748125</v>
      </c>
      <c r="AF37" s="67">
        <v>5.0000000146189798</v>
      </c>
      <c r="AG37" s="210">
        <v>0</v>
      </c>
      <c r="AH37" s="67">
        <v>0</v>
      </c>
      <c r="AI37" s="66">
        <v>0</v>
      </c>
      <c r="AJ37" s="66">
        <v>0</v>
      </c>
      <c r="AK37" s="66">
        <v>0</v>
      </c>
      <c r="AL37" s="66">
        <v>0</v>
      </c>
      <c r="AM37" s="66">
        <v>0</v>
      </c>
      <c r="AN37" s="66">
        <v>0</v>
      </c>
      <c r="AO37" s="66">
        <v>0</v>
      </c>
      <c r="AP37" s="66">
        <v>0</v>
      </c>
      <c r="AQ37" s="66">
        <v>0</v>
      </c>
      <c r="AR37" s="66">
        <v>0</v>
      </c>
      <c r="AS37" s="66">
        <v>0</v>
      </c>
      <c r="AT37" s="67" t="s">
        <v>1094</v>
      </c>
      <c r="AU37" s="67" t="s">
        <v>1094</v>
      </c>
      <c r="AV37" s="67">
        <v>0</v>
      </c>
      <c r="AW37" s="210">
        <v>0</v>
      </c>
      <c r="AX37" s="67">
        <v>0</v>
      </c>
    </row>
    <row r="38" spans="1:50" ht="15.75" x14ac:dyDescent="0.25">
      <c r="A38" s="11" t="s">
        <v>79</v>
      </c>
      <c r="B38" s="189" t="s">
        <v>80</v>
      </c>
      <c r="C38" s="66">
        <v>486.74509999999998</v>
      </c>
      <c r="D38" s="66">
        <v>0</v>
      </c>
      <c r="E38" s="66">
        <v>608.50743999999997</v>
      </c>
      <c r="F38" s="66">
        <v>486.74509999999998</v>
      </c>
      <c r="G38" s="66">
        <v>121.76233999999999</v>
      </c>
      <c r="H38" s="66">
        <v>486.39497782000001</v>
      </c>
      <c r="I38" s="66">
        <v>0</v>
      </c>
      <c r="J38" s="66">
        <v>608.06973100000005</v>
      </c>
      <c r="K38" s="66">
        <v>486.39497782000001</v>
      </c>
      <c r="L38" s="66">
        <v>0</v>
      </c>
      <c r="M38" s="66">
        <v>121.67475318000001</v>
      </c>
      <c r="N38" s="67">
        <v>99.928068679068375</v>
      </c>
      <c r="O38" s="67">
        <v>99.928067397522099</v>
      </c>
      <c r="P38" s="67">
        <v>20.010000001134738</v>
      </c>
      <c r="Q38" s="66">
        <v>0</v>
      </c>
      <c r="R38" s="67">
        <v>0</v>
      </c>
      <c r="S38" s="66">
        <v>486.74509999999998</v>
      </c>
      <c r="T38" s="66">
        <v>0</v>
      </c>
      <c r="U38" s="66">
        <v>608.50743999999997</v>
      </c>
      <c r="V38" s="66">
        <v>486.74509999999998</v>
      </c>
      <c r="W38" s="66">
        <v>121.76233999999999</v>
      </c>
      <c r="X38" s="66">
        <v>486.39497782000001</v>
      </c>
      <c r="Y38" s="66">
        <v>0</v>
      </c>
      <c r="Z38" s="66">
        <v>608.06973100000005</v>
      </c>
      <c r="AA38" s="66">
        <v>486.39497782000001</v>
      </c>
      <c r="AB38" s="66">
        <v>0</v>
      </c>
      <c r="AC38" s="66">
        <v>121.67475318000001</v>
      </c>
      <c r="AD38" s="67">
        <v>99.928068679068375</v>
      </c>
      <c r="AE38" s="67">
        <v>99.928067397522099</v>
      </c>
      <c r="AF38" s="67">
        <v>20.010000001134738</v>
      </c>
      <c r="AG38" s="210">
        <v>0</v>
      </c>
      <c r="AH38" s="67">
        <v>0</v>
      </c>
      <c r="AI38" s="66">
        <v>0</v>
      </c>
      <c r="AJ38" s="66">
        <v>0</v>
      </c>
      <c r="AK38" s="66">
        <v>0</v>
      </c>
      <c r="AL38" s="66">
        <v>0</v>
      </c>
      <c r="AM38" s="66">
        <v>0</v>
      </c>
      <c r="AN38" s="66">
        <v>0</v>
      </c>
      <c r="AO38" s="66">
        <v>0</v>
      </c>
      <c r="AP38" s="66">
        <v>0</v>
      </c>
      <c r="AQ38" s="66">
        <v>0</v>
      </c>
      <c r="AR38" s="66">
        <v>0</v>
      </c>
      <c r="AS38" s="66">
        <v>0</v>
      </c>
      <c r="AT38" s="67" t="s">
        <v>1094</v>
      </c>
      <c r="AU38" s="67" t="s">
        <v>1094</v>
      </c>
      <c r="AV38" s="67">
        <v>0</v>
      </c>
      <c r="AW38" s="210">
        <v>0</v>
      </c>
      <c r="AX38" s="67">
        <v>0</v>
      </c>
    </row>
    <row r="39" spans="1:50" ht="15.75" x14ac:dyDescent="0.25">
      <c r="A39" s="11" t="s">
        <v>82</v>
      </c>
      <c r="B39" s="189" t="s">
        <v>83</v>
      </c>
      <c r="C39" s="66">
        <v>439.029</v>
      </c>
      <c r="D39" s="66">
        <v>0</v>
      </c>
      <c r="E39" s="66">
        <v>487.81</v>
      </c>
      <c r="F39" s="66">
        <v>439.029</v>
      </c>
      <c r="G39" s="66">
        <v>48.780999999999999</v>
      </c>
      <c r="H39" s="66">
        <v>439.029</v>
      </c>
      <c r="I39" s="66">
        <v>0</v>
      </c>
      <c r="J39" s="66">
        <v>487.81</v>
      </c>
      <c r="K39" s="66">
        <v>439.029</v>
      </c>
      <c r="L39" s="66">
        <v>0</v>
      </c>
      <c r="M39" s="66">
        <v>48.780999999999999</v>
      </c>
      <c r="N39" s="67">
        <v>100</v>
      </c>
      <c r="O39" s="67">
        <v>100</v>
      </c>
      <c r="P39" s="67">
        <v>10</v>
      </c>
      <c r="Q39" s="66">
        <v>0</v>
      </c>
      <c r="R39" s="67">
        <v>0</v>
      </c>
      <c r="S39" s="66">
        <v>439.029</v>
      </c>
      <c r="T39" s="66">
        <v>0</v>
      </c>
      <c r="U39" s="66">
        <v>487.81</v>
      </c>
      <c r="V39" s="66">
        <v>439.029</v>
      </c>
      <c r="W39" s="66">
        <v>48.780999999999999</v>
      </c>
      <c r="X39" s="66">
        <v>439.029</v>
      </c>
      <c r="Y39" s="66">
        <v>0</v>
      </c>
      <c r="Z39" s="66">
        <v>487.81</v>
      </c>
      <c r="AA39" s="66">
        <v>439.029</v>
      </c>
      <c r="AB39" s="66">
        <v>0</v>
      </c>
      <c r="AC39" s="66">
        <v>48.780999999999999</v>
      </c>
      <c r="AD39" s="67">
        <v>100</v>
      </c>
      <c r="AE39" s="67">
        <v>100</v>
      </c>
      <c r="AF39" s="67">
        <v>10</v>
      </c>
      <c r="AG39" s="210">
        <v>0</v>
      </c>
      <c r="AH39" s="67">
        <v>0</v>
      </c>
      <c r="AI39" s="66">
        <v>0</v>
      </c>
      <c r="AJ39" s="66">
        <v>0</v>
      </c>
      <c r="AK39" s="66">
        <v>0</v>
      </c>
      <c r="AL39" s="66">
        <v>0</v>
      </c>
      <c r="AM39" s="66">
        <v>0</v>
      </c>
      <c r="AN39" s="66">
        <v>0</v>
      </c>
      <c r="AO39" s="66">
        <v>0</v>
      </c>
      <c r="AP39" s="66">
        <v>0</v>
      </c>
      <c r="AQ39" s="66">
        <v>0</v>
      </c>
      <c r="AR39" s="66">
        <v>0</v>
      </c>
      <c r="AS39" s="66">
        <v>0</v>
      </c>
      <c r="AT39" s="67" t="s">
        <v>1094</v>
      </c>
      <c r="AU39" s="67" t="s">
        <v>1094</v>
      </c>
      <c r="AV39" s="67">
        <v>0</v>
      </c>
      <c r="AW39" s="210">
        <v>0</v>
      </c>
      <c r="AX39" s="67">
        <v>0</v>
      </c>
    </row>
    <row r="40" spans="1:50" ht="15.75" x14ac:dyDescent="0.25">
      <c r="A40" s="11" t="s">
        <v>85</v>
      </c>
      <c r="B40" s="189" t="s">
        <v>299</v>
      </c>
      <c r="C40" s="66">
        <v>64.647599999999997</v>
      </c>
      <c r="D40" s="66">
        <v>0</v>
      </c>
      <c r="E40" s="66">
        <v>80.628100000000003</v>
      </c>
      <c r="F40" s="66">
        <v>64.647599999999997</v>
      </c>
      <c r="G40" s="66">
        <v>15.980499999999999</v>
      </c>
      <c r="H40" s="66">
        <v>64.647599999999997</v>
      </c>
      <c r="I40" s="66">
        <v>0</v>
      </c>
      <c r="J40" s="66">
        <v>80.628100000000003</v>
      </c>
      <c r="K40" s="66">
        <v>64.647599999999997</v>
      </c>
      <c r="L40" s="66">
        <v>0</v>
      </c>
      <c r="M40" s="66">
        <v>15.980499999999999</v>
      </c>
      <c r="N40" s="67">
        <v>100</v>
      </c>
      <c r="O40" s="67">
        <v>100</v>
      </c>
      <c r="P40" s="67">
        <v>19.820013121976082</v>
      </c>
      <c r="Q40" s="66">
        <v>0</v>
      </c>
      <c r="R40" s="67">
        <v>0</v>
      </c>
      <c r="S40" s="66">
        <v>64.647599999999997</v>
      </c>
      <c r="T40" s="66">
        <v>0</v>
      </c>
      <c r="U40" s="66">
        <v>80.628100000000003</v>
      </c>
      <c r="V40" s="66">
        <v>64.647599999999997</v>
      </c>
      <c r="W40" s="66">
        <v>15.980499999999999</v>
      </c>
      <c r="X40" s="66">
        <v>64.647599999999997</v>
      </c>
      <c r="Y40" s="66">
        <v>0</v>
      </c>
      <c r="Z40" s="66">
        <v>80.628100000000003</v>
      </c>
      <c r="AA40" s="66">
        <v>64.647599999999997</v>
      </c>
      <c r="AB40" s="66">
        <v>0</v>
      </c>
      <c r="AC40" s="66">
        <v>15.980499999999999</v>
      </c>
      <c r="AD40" s="67">
        <v>100</v>
      </c>
      <c r="AE40" s="67">
        <v>100</v>
      </c>
      <c r="AF40" s="67">
        <v>19.820013121976082</v>
      </c>
      <c r="AG40" s="210">
        <v>0</v>
      </c>
      <c r="AH40" s="67">
        <v>0</v>
      </c>
      <c r="AI40" s="66">
        <v>0</v>
      </c>
      <c r="AJ40" s="66">
        <v>0</v>
      </c>
      <c r="AK40" s="66">
        <v>0</v>
      </c>
      <c r="AL40" s="66">
        <v>0</v>
      </c>
      <c r="AM40" s="66">
        <v>0</v>
      </c>
      <c r="AN40" s="66">
        <v>0</v>
      </c>
      <c r="AO40" s="66">
        <v>0</v>
      </c>
      <c r="AP40" s="66">
        <v>0</v>
      </c>
      <c r="AQ40" s="66">
        <v>0</v>
      </c>
      <c r="AR40" s="66">
        <v>0</v>
      </c>
      <c r="AS40" s="66">
        <v>0</v>
      </c>
      <c r="AT40" s="67" t="s">
        <v>1094</v>
      </c>
      <c r="AU40" s="67" t="s">
        <v>1094</v>
      </c>
      <c r="AV40" s="67">
        <v>0</v>
      </c>
      <c r="AW40" s="210">
        <v>0</v>
      </c>
      <c r="AX40" s="67">
        <v>0</v>
      </c>
    </row>
    <row r="41" spans="1:50" ht="15.75" x14ac:dyDescent="0.25">
      <c r="A41" s="11" t="s">
        <v>87</v>
      </c>
      <c r="B41" s="189" t="s">
        <v>88</v>
      </c>
      <c r="C41" s="66">
        <v>36.027200000000001</v>
      </c>
      <c r="D41" s="66">
        <v>0</v>
      </c>
      <c r="E41" s="66">
        <v>45.940199999999997</v>
      </c>
      <c r="F41" s="66">
        <v>36.027200000000001</v>
      </c>
      <c r="G41" s="66">
        <v>9.9130000000000003</v>
      </c>
      <c r="H41" s="66">
        <v>35.717880479999998</v>
      </c>
      <c r="I41" s="66">
        <v>4.0868439999999999E-2</v>
      </c>
      <c r="J41" s="66">
        <v>45.54577055</v>
      </c>
      <c r="K41" s="66">
        <v>35.717880479999998</v>
      </c>
      <c r="L41" s="66">
        <v>0</v>
      </c>
      <c r="M41" s="66">
        <v>9.8278900700000005</v>
      </c>
      <c r="N41" s="67">
        <v>99.141427810099032</v>
      </c>
      <c r="O41" s="67">
        <v>99.141431151013819</v>
      </c>
      <c r="P41" s="67">
        <v>21.578052037150133</v>
      </c>
      <c r="Q41" s="66">
        <v>4.0868439999999999E-2</v>
      </c>
      <c r="R41" s="67">
        <v>-2.9906632725840154E-15</v>
      </c>
      <c r="S41" s="66">
        <v>36.027200000000001</v>
      </c>
      <c r="T41" s="66">
        <v>0</v>
      </c>
      <c r="U41" s="66">
        <v>45.940199999999997</v>
      </c>
      <c r="V41" s="66">
        <v>36.027200000000001</v>
      </c>
      <c r="W41" s="66">
        <v>9.9130000000000003</v>
      </c>
      <c r="X41" s="66">
        <v>35.717880479999998</v>
      </c>
      <c r="Y41" s="66">
        <v>4.0868439999999999E-2</v>
      </c>
      <c r="Z41" s="66">
        <v>45.54577055</v>
      </c>
      <c r="AA41" s="66">
        <v>35.717880479999998</v>
      </c>
      <c r="AB41" s="66">
        <v>0</v>
      </c>
      <c r="AC41" s="66">
        <v>9.8278900700000005</v>
      </c>
      <c r="AD41" s="67">
        <v>99.141427810099032</v>
      </c>
      <c r="AE41" s="67">
        <v>99.141431151013819</v>
      </c>
      <c r="AF41" s="67">
        <v>21.578052037150133</v>
      </c>
      <c r="AG41" s="210">
        <v>4.0868439999999999E-2</v>
      </c>
      <c r="AH41" s="67">
        <v>-2.9906632725840154E-15</v>
      </c>
      <c r="AI41" s="66">
        <v>0</v>
      </c>
      <c r="AJ41" s="66">
        <v>0</v>
      </c>
      <c r="AK41" s="66">
        <v>0</v>
      </c>
      <c r="AL41" s="66">
        <v>0</v>
      </c>
      <c r="AM41" s="66">
        <v>0</v>
      </c>
      <c r="AN41" s="66">
        <v>0</v>
      </c>
      <c r="AO41" s="66">
        <v>0</v>
      </c>
      <c r="AP41" s="66">
        <v>0</v>
      </c>
      <c r="AQ41" s="66">
        <v>0</v>
      </c>
      <c r="AR41" s="66">
        <v>0</v>
      </c>
      <c r="AS41" s="66">
        <v>0</v>
      </c>
      <c r="AT41" s="67" t="s">
        <v>1094</v>
      </c>
      <c r="AU41" s="67" t="s">
        <v>1094</v>
      </c>
      <c r="AV41" s="67">
        <v>0</v>
      </c>
      <c r="AW41" s="210">
        <v>0</v>
      </c>
      <c r="AX41" s="67">
        <v>0</v>
      </c>
    </row>
    <row r="42" spans="1:50" ht="15.75" x14ac:dyDescent="0.25">
      <c r="A42" s="11" t="s">
        <v>90</v>
      </c>
      <c r="B42" s="189" t="s">
        <v>91</v>
      </c>
      <c r="C42" s="66">
        <v>99.319000000000003</v>
      </c>
      <c r="D42" s="66">
        <v>0</v>
      </c>
      <c r="E42" s="66">
        <v>151.66489999999999</v>
      </c>
      <c r="F42" s="66">
        <v>99.319000000000003</v>
      </c>
      <c r="G42" s="66">
        <v>52.3459</v>
      </c>
      <c r="H42" s="66">
        <v>99.319000000000003</v>
      </c>
      <c r="I42" s="66">
        <v>0</v>
      </c>
      <c r="J42" s="66">
        <v>151.66489999999999</v>
      </c>
      <c r="K42" s="66">
        <v>99.319000000000003</v>
      </c>
      <c r="L42" s="66">
        <v>0</v>
      </c>
      <c r="M42" s="66">
        <v>52.3459</v>
      </c>
      <c r="N42" s="67">
        <v>100</v>
      </c>
      <c r="O42" s="67">
        <v>100</v>
      </c>
      <c r="P42" s="67">
        <v>34.514182253111962</v>
      </c>
      <c r="Q42" s="66">
        <v>0</v>
      </c>
      <c r="R42" s="67">
        <v>0</v>
      </c>
      <c r="S42" s="66">
        <v>99.319000000000003</v>
      </c>
      <c r="T42" s="66">
        <v>0</v>
      </c>
      <c r="U42" s="66">
        <v>151.66489999999999</v>
      </c>
      <c r="V42" s="66">
        <v>99.319000000000003</v>
      </c>
      <c r="W42" s="66">
        <v>52.3459</v>
      </c>
      <c r="X42" s="66">
        <v>99.319000000000003</v>
      </c>
      <c r="Y42" s="66">
        <v>0</v>
      </c>
      <c r="Z42" s="66">
        <v>151.66489999999999</v>
      </c>
      <c r="AA42" s="66">
        <v>99.319000000000003</v>
      </c>
      <c r="AB42" s="66">
        <v>0</v>
      </c>
      <c r="AC42" s="66">
        <v>52.3459</v>
      </c>
      <c r="AD42" s="67">
        <v>100</v>
      </c>
      <c r="AE42" s="67">
        <v>100</v>
      </c>
      <c r="AF42" s="67">
        <v>34.514182253111962</v>
      </c>
      <c r="AG42" s="210">
        <v>0</v>
      </c>
      <c r="AH42" s="67">
        <v>0</v>
      </c>
      <c r="AI42" s="66">
        <v>0</v>
      </c>
      <c r="AJ42" s="66">
        <v>0</v>
      </c>
      <c r="AK42" s="66">
        <v>0</v>
      </c>
      <c r="AL42" s="66">
        <v>0</v>
      </c>
      <c r="AM42" s="66">
        <v>0</v>
      </c>
      <c r="AN42" s="66">
        <v>0</v>
      </c>
      <c r="AO42" s="66">
        <v>0</v>
      </c>
      <c r="AP42" s="66">
        <v>0</v>
      </c>
      <c r="AQ42" s="66">
        <v>0</v>
      </c>
      <c r="AR42" s="66">
        <v>0</v>
      </c>
      <c r="AS42" s="66">
        <v>0</v>
      </c>
      <c r="AT42" s="67" t="s">
        <v>1094</v>
      </c>
      <c r="AU42" s="67" t="s">
        <v>1094</v>
      </c>
      <c r="AV42" s="67">
        <v>0</v>
      </c>
      <c r="AW42" s="210">
        <v>0</v>
      </c>
      <c r="AX42" s="67">
        <v>0</v>
      </c>
    </row>
    <row r="43" spans="1:50" ht="15.75" x14ac:dyDescent="0.25">
      <c r="A43" s="68">
        <v>32</v>
      </c>
      <c r="B43" s="189" t="s">
        <v>93</v>
      </c>
      <c r="C43" s="66">
        <v>196.56</v>
      </c>
      <c r="D43" s="66">
        <v>0</v>
      </c>
      <c r="E43" s="66">
        <v>220.87739999999999</v>
      </c>
      <c r="F43" s="66">
        <v>196.56</v>
      </c>
      <c r="G43" s="66">
        <v>24.317399999999999</v>
      </c>
      <c r="H43" s="66">
        <v>196.37903943999999</v>
      </c>
      <c r="I43" s="66">
        <v>0</v>
      </c>
      <c r="J43" s="66">
        <v>220.67405206999999</v>
      </c>
      <c r="K43" s="66">
        <v>196.37903943999999</v>
      </c>
      <c r="L43" s="66">
        <v>0</v>
      </c>
      <c r="M43" s="66">
        <v>24.295012629999999</v>
      </c>
      <c r="N43" s="67">
        <v>99.907936223036216</v>
      </c>
      <c r="O43" s="67">
        <v>99.907936827127898</v>
      </c>
      <c r="P43" s="67">
        <v>11.009455983657462</v>
      </c>
      <c r="Q43" s="66">
        <v>0</v>
      </c>
      <c r="R43" s="67">
        <v>0</v>
      </c>
      <c r="S43" s="66">
        <v>196.56</v>
      </c>
      <c r="T43" s="66">
        <v>0</v>
      </c>
      <c r="U43" s="66">
        <v>220.87739999999999</v>
      </c>
      <c r="V43" s="66">
        <v>196.56</v>
      </c>
      <c r="W43" s="66">
        <v>24.317399999999999</v>
      </c>
      <c r="X43" s="66">
        <v>196.37903943999999</v>
      </c>
      <c r="Y43" s="66">
        <v>0</v>
      </c>
      <c r="Z43" s="66">
        <v>220.67405206999999</v>
      </c>
      <c r="AA43" s="66">
        <v>196.37903943999999</v>
      </c>
      <c r="AB43" s="66">
        <v>0</v>
      </c>
      <c r="AC43" s="66">
        <v>24.295012629999999</v>
      </c>
      <c r="AD43" s="67">
        <v>99.907936223036216</v>
      </c>
      <c r="AE43" s="67">
        <v>99.907936827127898</v>
      </c>
      <c r="AF43" s="67">
        <v>11.009455983657462</v>
      </c>
      <c r="AG43" s="210">
        <v>0</v>
      </c>
      <c r="AH43" s="67">
        <v>0</v>
      </c>
      <c r="AI43" s="66">
        <v>0</v>
      </c>
      <c r="AJ43" s="66">
        <v>0</v>
      </c>
      <c r="AK43" s="66">
        <v>0</v>
      </c>
      <c r="AL43" s="66">
        <v>0</v>
      </c>
      <c r="AM43" s="66">
        <v>0</v>
      </c>
      <c r="AN43" s="66">
        <v>0</v>
      </c>
      <c r="AO43" s="66">
        <v>0</v>
      </c>
      <c r="AP43" s="66">
        <v>0</v>
      </c>
      <c r="AQ43" s="66">
        <v>0</v>
      </c>
      <c r="AR43" s="66">
        <v>0</v>
      </c>
      <c r="AS43" s="66">
        <v>0</v>
      </c>
      <c r="AT43" s="67" t="s">
        <v>1094</v>
      </c>
      <c r="AU43" s="67" t="s">
        <v>1094</v>
      </c>
      <c r="AV43" s="67">
        <v>0</v>
      </c>
      <c r="AW43" s="210">
        <v>0</v>
      </c>
      <c r="AX43" s="67">
        <v>0</v>
      </c>
    </row>
    <row r="44" spans="1:50" ht="15.75" x14ac:dyDescent="0.25">
      <c r="A44" s="70">
        <v>33</v>
      </c>
      <c r="B44" s="191" t="s">
        <v>95</v>
      </c>
      <c r="C44" s="61">
        <v>6559.9753000000001</v>
      </c>
      <c r="D44" s="61">
        <v>0</v>
      </c>
      <c r="E44" s="61">
        <v>6917.4634740500005</v>
      </c>
      <c r="F44" s="61">
        <v>6559.9753000000001</v>
      </c>
      <c r="G44" s="61">
        <v>357.48817405</v>
      </c>
      <c r="H44" s="61">
        <v>6558.2842695799991</v>
      </c>
      <c r="I44" s="61">
        <v>0.15149536999999999</v>
      </c>
      <c r="J44" s="61">
        <v>6915.6653518900002</v>
      </c>
      <c r="K44" s="61">
        <v>6558.2647415799993</v>
      </c>
      <c r="L44" s="61">
        <v>0</v>
      </c>
      <c r="M44" s="61">
        <v>357.40061031000005</v>
      </c>
      <c r="N44" s="61">
        <v>99.973924316147944</v>
      </c>
      <c r="O44" s="61">
        <v>99.975505835897195</v>
      </c>
      <c r="P44" s="61">
        <v>5.1679859004791942</v>
      </c>
      <c r="Q44" s="61">
        <v>0.15149536999999999</v>
      </c>
      <c r="R44" s="61">
        <v>1.9527999999943507E-2</v>
      </c>
      <c r="S44" s="61">
        <v>6479.9753000000001</v>
      </c>
      <c r="T44" s="61">
        <v>0</v>
      </c>
      <c r="U44" s="61">
        <v>6833.2529470500003</v>
      </c>
      <c r="V44" s="61">
        <v>6479.9753000000001</v>
      </c>
      <c r="W44" s="61">
        <v>353.27764704999998</v>
      </c>
      <c r="X44" s="61">
        <v>6478.2842695799991</v>
      </c>
      <c r="Y44" s="61">
        <v>0.15149536999999999</v>
      </c>
      <c r="Z44" s="61">
        <v>6831.45482558</v>
      </c>
      <c r="AA44" s="61">
        <v>6478.2647415799993</v>
      </c>
      <c r="AB44" s="61">
        <v>0</v>
      </c>
      <c r="AC44" s="61">
        <v>353.19008400000001</v>
      </c>
      <c r="AD44" s="61">
        <v>99.973602392898002</v>
      </c>
      <c r="AE44" s="61">
        <v>99.975214098392257</v>
      </c>
      <c r="AF44" s="61">
        <v>5.1700566426568395</v>
      </c>
      <c r="AG44" s="61">
        <v>0.15149536999999999</v>
      </c>
      <c r="AH44" s="61">
        <v>1.9527999999943507E-2</v>
      </c>
      <c r="AI44" s="61">
        <v>80</v>
      </c>
      <c r="AJ44" s="61">
        <v>0</v>
      </c>
      <c r="AK44" s="61">
        <v>84.210526999999999</v>
      </c>
      <c r="AL44" s="61">
        <v>80</v>
      </c>
      <c r="AM44" s="61">
        <v>4.2105269999999999</v>
      </c>
      <c r="AN44" s="61">
        <v>80</v>
      </c>
      <c r="AO44" s="61">
        <v>0</v>
      </c>
      <c r="AP44" s="61">
        <v>84.210526310000006</v>
      </c>
      <c r="AQ44" s="61">
        <v>80</v>
      </c>
      <c r="AR44" s="61">
        <v>0</v>
      </c>
      <c r="AS44" s="61">
        <v>4.2105263099999997</v>
      </c>
      <c r="AT44" s="61">
        <v>100</v>
      </c>
      <c r="AU44" s="61">
        <v>99.999983612502646</v>
      </c>
      <c r="AV44" s="61">
        <v>4.9999999934687489</v>
      </c>
      <c r="AW44" s="61">
        <v>0</v>
      </c>
      <c r="AX44" s="61">
        <v>0</v>
      </c>
    </row>
    <row r="45" spans="1:50" ht="15.75" x14ac:dyDescent="0.25">
      <c r="A45" s="72">
        <v>34</v>
      </c>
      <c r="B45" s="192" t="s">
        <v>97</v>
      </c>
      <c r="C45" s="66">
        <v>222.7662</v>
      </c>
      <c r="D45" s="66">
        <v>0</v>
      </c>
      <c r="E45" s="66">
        <v>234.49073684000001</v>
      </c>
      <c r="F45" s="66">
        <v>222.7662</v>
      </c>
      <c r="G45" s="66">
        <v>11.724536840000001</v>
      </c>
      <c r="H45" s="66">
        <v>222.7662</v>
      </c>
      <c r="I45" s="66">
        <v>0</v>
      </c>
      <c r="J45" s="66">
        <v>234.49073684000001</v>
      </c>
      <c r="K45" s="66">
        <v>222.7662</v>
      </c>
      <c r="L45" s="66">
        <v>0</v>
      </c>
      <c r="M45" s="66">
        <v>11.724536840000001</v>
      </c>
      <c r="N45" s="67">
        <v>100</v>
      </c>
      <c r="O45" s="67">
        <v>100</v>
      </c>
      <c r="P45" s="67">
        <v>4.9999999991470885</v>
      </c>
      <c r="Q45" s="66">
        <v>0</v>
      </c>
      <c r="R45" s="67">
        <v>0</v>
      </c>
      <c r="S45" s="66">
        <v>222.7662</v>
      </c>
      <c r="T45" s="66">
        <v>0</v>
      </c>
      <c r="U45" s="66">
        <v>234.49073684000001</v>
      </c>
      <c r="V45" s="66">
        <v>222.7662</v>
      </c>
      <c r="W45" s="66">
        <v>11.724536840000001</v>
      </c>
      <c r="X45" s="66">
        <v>222.7662</v>
      </c>
      <c r="Y45" s="66">
        <v>0</v>
      </c>
      <c r="Z45" s="66">
        <v>234.49073684000001</v>
      </c>
      <c r="AA45" s="66">
        <v>222.7662</v>
      </c>
      <c r="AB45" s="66">
        <v>0</v>
      </c>
      <c r="AC45" s="66">
        <v>11.724536840000001</v>
      </c>
      <c r="AD45" s="67">
        <v>100</v>
      </c>
      <c r="AE45" s="67">
        <v>100</v>
      </c>
      <c r="AF45" s="67">
        <v>4.9999999991470885</v>
      </c>
      <c r="AG45" s="210">
        <v>0</v>
      </c>
      <c r="AH45" s="67">
        <v>0</v>
      </c>
      <c r="AI45" s="66">
        <v>0</v>
      </c>
      <c r="AJ45" s="66">
        <v>0</v>
      </c>
      <c r="AK45" s="66">
        <v>0</v>
      </c>
      <c r="AL45" s="66">
        <v>0</v>
      </c>
      <c r="AM45" s="66">
        <v>0</v>
      </c>
      <c r="AN45" s="66">
        <v>0</v>
      </c>
      <c r="AO45" s="66">
        <v>0</v>
      </c>
      <c r="AP45" s="66">
        <v>0</v>
      </c>
      <c r="AQ45" s="66">
        <v>0</v>
      </c>
      <c r="AR45" s="66">
        <v>0</v>
      </c>
      <c r="AS45" s="66">
        <v>0</v>
      </c>
      <c r="AT45" s="67" t="s">
        <v>1094</v>
      </c>
      <c r="AU45" s="67" t="s">
        <v>1094</v>
      </c>
      <c r="AV45" s="67">
        <v>0</v>
      </c>
      <c r="AW45" s="210">
        <v>0</v>
      </c>
      <c r="AX45" s="67">
        <v>0</v>
      </c>
    </row>
    <row r="46" spans="1:50" ht="15.75" x14ac:dyDescent="0.25">
      <c r="A46" s="72">
        <v>35</v>
      </c>
      <c r="B46" s="192" t="s">
        <v>99</v>
      </c>
      <c r="C46" s="66">
        <v>533.02869999999996</v>
      </c>
      <c r="D46" s="66">
        <v>0</v>
      </c>
      <c r="E46" s="66">
        <v>561.08360000000005</v>
      </c>
      <c r="F46" s="66">
        <v>533.02869999999996</v>
      </c>
      <c r="G46" s="66">
        <v>28.0549</v>
      </c>
      <c r="H46" s="66">
        <v>533.02869999999996</v>
      </c>
      <c r="I46" s="66">
        <v>0</v>
      </c>
      <c r="J46" s="66">
        <v>561.08359811000003</v>
      </c>
      <c r="K46" s="66">
        <v>533.02869999999996</v>
      </c>
      <c r="L46" s="66">
        <v>0</v>
      </c>
      <c r="M46" s="66">
        <v>28.05489811</v>
      </c>
      <c r="N46" s="67">
        <v>100</v>
      </c>
      <c r="O46" s="67">
        <v>99.999993263208921</v>
      </c>
      <c r="P46" s="67">
        <v>5.00012800311797</v>
      </c>
      <c r="Q46" s="66">
        <v>0</v>
      </c>
      <c r="R46" s="67">
        <v>0</v>
      </c>
      <c r="S46" s="66">
        <v>533.02869999999996</v>
      </c>
      <c r="T46" s="66">
        <v>0</v>
      </c>
      <c r="U46" s="66">
        <v>561.08360000000005</v>
      </c>
      <c r="V46" s="66">
        <v>533.02869999999996</v>
      </c>
      <c r="W46" s="66">
        <v>28.0549</v>
      </c>
      <c r="X46" s="66">
        <v>533.02869999999996</v>
      </c>
      <c r="Y46" s="66">
        <v>0</v>
      </c>
      <c r="Z46" s="66">
        <v>561.08359811000003</v>
      </c>
      <c r="AA46" s="66">
        <v>533.02869999999996</v>
      </c>
      <c r="AB46" s="66">
        <v>0</v>
      </c>
      <c r="AC46" s="66">
        <v>28.05489811</v>
      </c>
      <c r="AD46" s="67">
        <v>100</v>
      </c>
      <c r="AE46" s="67">
        <v>99.999993263208921</v>
      </c>
      <c r="AF46" s="67">
        <v>5.00012800311797</v>
      </c>
      <c r="AG46" s="210">
        <v>0</v>
      </c>
      <c r="AH46" s="67">
        <v>0</v>
      </c>
      <c r="AI46" s="66">
        <v>0</v>
      </c>
      <c r="AJ46" s="66">
        <v>0</v>
      </c>
      <c r="AK46" s="66">
        <v>0</v>
      </c>
      <c r="AL46" s="66">
        <v>0</v>
      </c>
      <c r="AM46" s="66">
        <v>0</v>
      </c>
      <c r="AN46" s="66">
        <v>0</v>
      </c>
      <c r="AO46" s="66">
        <v>0</v>
      </c>
      <c r="AP46" s="66">
        <v>0</v>
      </c>
      <c r="AQ46" s="66">
        <v>0</v>
      </c>
      <c r="AR46" s="66">
        <v>0</v>
      </c>
      <c r="AS46" s="66">
        <v>0</v>
      </c>
      <c r="AT46" s="67" t="s">
        <v>1094</v>
      </c>
      <c r="AU46" s="67" t="s">
        <v>1094</v>
      </c>
      <c r="AV46" s="67">
        <v>0</v>
      </c>
      <c r="AW46" s="210">
        <v>0</v>
      </c>
      <c r="AX46" s="67">
        <v>0</v>
      </c>
    </row>
    <row r="47" spans="1:50" s="126" customFormat="1" ht="15.75" x14ac:dyDescent="0.25">
      <c r="A47" s="136">
        <v>36</v>
      </c>
      <c r="B47" s="189" t="s">
        <v>318</v>
      </c>
      <c r="C47" s="66">
        <v>1337.3811000000001</v>
      </c>
      <c r="D47" s="66">
        <v>0</v>
      </c>
      <c r="E47" s="66">
        <v>1407.7695799999999</v>
      </c>
      <c r="F47" s="66">
        <v>1337.3811000000001</v>
      </c>
      <c r="G47" s="66">
        <v>70.388480000000001</v>
      </c>
      <c r="H47" s="66">
        <v>1337.1701327299998</v>
      </c>
      <c r="I47" s="66">
        <v>0</v>
      </c>
      <c r="J47" s="66">
        <v>1407.5475776399999</v>
      </c>
      <c r="K47" s="66">
        <v>1337.1701327299998</v>
      </c>
      <c r="L47" s="66">
        <v>0</v>
      </c>
      <c r="M47" s="66">
        <v>70.377444910000008</v>
      </c>
      <c r="N47" s="67">
        <v>99.984225343845495</v>
      </c>
      <c r="O47" s="67">
        <v>99.984322590855783</v>
      </c>
      <c r="P47" s="67">
        <v>5.0000046909959606</v>
      </c>
      <c r="Q47" s="66">
        <v>0</v>
      </c>
      <c r="R47" s="67">
        <v>0</v>
      </c>
      <c r="S47" s="66">
        <v>1257.3811000000001</v>
      </c>
      <c r="T47" s="66">
        <v>0</v>
      </c>
      <c r="U47" s="66">
        <v>1323.5590529999999</v>
      </c>
      <c r="V47" s="66">
        <v>1257.3811000000001</v>
      </c>
      <c r="W47" s="66">
        <v>66.177953000000002</v>
      </c>
      <c r="X47" s="66">
        <v>1257.1701327299998</v>
      </c>
      <c r="Y47" s="66">
        <v>0</v>
      </c>
      <c r="Z47" s="66">
        <v>1323.3370513299999</v>
      </c>
      <c r="AA47" s="66">
        <v>1257.1701327299998</v>
      </c>
      <c r="AB47" s="66">
        <v>0</v>
      </c>
      <c r="AC47" s="66">
        <v>66.166918600000002</v>
      </c>
      <c r="AD47" s="67">
        <v>99.983221692293583</v>
      </c>
      <c r="AE47" s="67">
        <v>99.983326169064185</v>
      </c>
      <c r="AF47" s="67">
        <v>5.000004989923009</v>
      </c>
      <c r="AG47" s="210">
        <v>0</v>
      </c>
      <c r="AH47" s="67">
        <v>0</v>
      </c>
      <c r="AI47" s="66">
        <v>80</v>
      </c>
      <c r="AJ47" s="66">
        <v>0</v>
      </c>
      <c r="AK47" s="66">
        <v>84.210526999999999</v>
      </c>
      <c r="AL47" s="66">
        <v>80</v>
      </c>
      <c r="AM47" s="66">
        <v>4.2105269999999999</v>
      </c>
      <c r="AN47" s="66">
        <v>80</v>
      </c>
      <c r="AO47" s="66">
        <v>0</v>
      </c>
      <c r="AP47" s="66">
        <v>84.210526310000006</v>
      </c>
      <c r="AQ47" s="66">
        <v>80</v>
      </c>
      <c r="AR47" s="66">
        <v>0</v>
      </c>
      <c r="AS47" s="66">
        <v>4.2105263099999997</v>
      </c>
      <c r="AT47" s="67">
        <v>100</v>
      </c>
      <c r="AU47" s="67">
        <v>99.999983612502646</v>
      </c>
      <c r="AV47" s="67">
        <v>4.9999999934687489</v>
      </c>
      <c r="AW47" s="210">
        <v>0</v>
      </c>
      <c r="AX47" s="67">
        <v>0</v>
      </c>
    </row>
    <row r="48" spans="1:50" ht="15.75" x14ac:dyDescent="0.25">
      <c r="A48" s="72">
        <v>37</v>
      </c>
      <c r="B48" s="192" t="s">
        <v>101</v>
      </c>
      <c r="C48" s="66">
        <v>1660.9188999999999</v>
      </c>
      <c r="D48" s="66">
        <v>0</v>
      </c>
      <c r="E48" s="66">
        <v>1748.3359</v>
      </c>
      <c r="F48" s="66">
        <v>1660.9188999999999</v>
      </c>
      <c r="G48" s="66">
        <v>87.417000000000002</v>
      </c>
      <c r="H48" s="66">
        <v>1659.4915520499999</v>
      </c>
      <c r="I48" s="66">
        <v>0</v>
      </c>
      <c r="J48" s="66">
        <v>1746.8334333100001</v>
      </c>
      <c r="K48" s="66">
        <v>1659.4915520499999</v>
      </c>
      <c r="L48" s="66">
        <v>0</v>
      </c>
      <c r="M48" s="66">
        <v>87.341881260000008</v>
      </c>
      <c r="N48" s="67">
        <v>99.914062754659483</v>
      </c>
      <c r="O48" s="67">
        <v>99.914068499262171</v>
      </c>
      <c r="P48" s="67">
        <v>5.000011998539529</v>
      </c>
      <c r="Q48" s="66">
        <v>0</v>
      </c>
      <c r="R48" s="67">
        <v>0</v>
      </c>
      <c r="S48" s="66">
        <v>1660.9188999999999</v>
      </c>
      <c r="T48" s="66">
        <v>0</v>
      </c>
      <c r="U48" s="66">
        <v>1748.3359</v>
      </c>
      <c r="V48" s="66">
        <v>1660.9188999999999</v>
      </c>
      <c r="W48" s="66">
        <v>87.417000000000002</v>
      </c>
      <c r="X48" s="66">
        <v>1659.4915520499999</v>
      </c>
      <c r="Y48" s="66">
        <v>0</v>
      </c>
      <c r="Z48" s="66">
        <v>1746.8334333100001</v>
      </c>
      <c r="AA48" s="66">
        <v>1659.4915520499999</v>
      </c>
      <c r="AB48" s="66">
        <v>0</v>
      </c>
      <c r="AC48" s="66">
        <v>87.341881260000008</v>
      </c>
      <c r="AD48" s="67">
        <v>99.914062754659483</v>
      </c>
      <c r="AE48" s="67">
        <v>99.914068499262171</v>
      </c>
      <c r="AF48" s="67">
        <v>5.000011998539529</v>
      </c>
      <c r="AG48" s="210">
        <v>0</v>
      </c>
      <c r="AH48" s="67">
        <v>0</v>
      </c>
      <c r="AI48" s="66">
        <v>0</v>
      </c>
      <c r="AJ48" s="66">
        <v>0</v>
      </c>
      <c r="AK48" s="66">
        <v>0</v>
      </c>
      <c r="AL48" s="66">
        <v>0</v>
      </c>
      <c r="AM48" s="66">
        <v>0</v>
      </c>
      <c r="AN48" s="66">
        <v>0</v>
      </c>
      <c r="AO48" s="66">
        <v>0</v>
      </c>
      <c r="AP48" s="66">
        <v>0</v>
      </c>
      <c r="AQ48" s="66">
        <v>0</v>
      </c>
      <c r="AR48" s="66">
        <v>0</v>
      </c>
      <c r="AS48" s="66">
        <v>0</v>
      </c>
      <c r="AT48" s="67" t="s">
        <v>1094</v>
      </c>
      <c r="AU48" s="67" t="s">
        <v>1094</v>
      </c>
      <c r="AV48" s="67">
        <v>0</v>
      </c>
      <c r="AW48" s="210">
        <v>0</v>
      </c>
      <c r="AX48" s="67">
        <v>0</v>
      </c>
    </row>
    <row r="49" spans="1:50" ht="15.75" x14ac:dyDescent="0.25">
      <c r="A49" s="72">
        <v>38</v>
      </c>
      <c r="B49" s="192" t="s">
        <v>103</v>
      </c>
      <c r="C49" s="66">
        <v>300.80200000000002</v>
      </c>
      <c r="D49" s="66">
        <v>0</v>
      </c>
      <c r="E49" s="66">
        <v>316.63368420999996</v>
      </c>
      <c r="F49" s="66">
        <v>300.80200000000002</v>
      </c>
      <c r="G49" s="66">
        <v>15.831684210000001</v>
      </c>
      <c r="H49" s="66">
        <v>300.80200000000002</v>
      </c>
      <c r="I49" s="66">
        <v>0.15149536999999999</v>
      </c>
      <c r="J49" s="66">
        <v>316.63368420999996</v>
      </c>
      <c r="K49" s="66">
        <v>300.80200000000002</v>
      </c>
      <c r="L49" s="66">
        <v>0</v>
      </c>
      <c r="M49" s="66">
        <v>15.831684210000001</v>
      </c>
      <c r="N49" s="67">
        <v>100</v>
      </c>
      <c r="O49" s="67">
        <v>100</v>
      </c>
      <c r="P49" s="67">
        <v>4.9999999998420899</v>
      </c>
      <c r="Q49" s="66">
        <v>0.15149536999999999</v>
      </c>
      <c r="R49" s="67">
        <v>2.0566881531181025E-14</v>
      </c>
      <c r="S49" s="66">
        <v>300.80200000000002</v>
      </c>
      <c r="T49" s="66">
        <v>0</v>
      </c>
      <c r="U49" s="66">
        <v>316.63368420999996</v>
      </c>
      <c r="V49" s="66">
        <v>300.80200000000002</v>
      </c>
      <c r="W49" s="66">
        <v>15.831684210000001</v>
      </c>
      <c r="X49" s="66">
        <v>300.80200000000002</v>
      </c>
      <c r="Y49" s="66">
        <v>0.15149536999999999</v>
      </c>
      <c r="Z49" s="66">
        <v>316.63368420999996</v>
      </c>
      <c r="AA49" s="66">
        <v>300.80200000000002</v>
      </c>
      <c r="AB49" s="66">
        <v>0</v>
      </c>
      <c r="AC49" s="66">
        <v>15.831684210000001</v>
      </c>
      <c r="AD49" s="67">
        <v>100</v>
      </c>
      <c r="AE49" s="67">
        <v>100</v>
      </c>
      <c r="AF49" s="67">
        <v>4.9999999998420899</v>
      </c>
      <c r="AG49" s="210">
        <v>0.15149536999999999</v>
      </c>
      <c r="AH49" s="67">
        <v>2.0566881531181025E-14</v>
      </c>
      <c r="AI49" s="66">
        <v>0</v>
      </c>
      <c r="AJ49" s="66">
        <v>0</v>
      </c>
      <c r="AK49" s="66">
        <v>0</v>
      </c>
      <c r="AL49" s="66">
        <v>0</v>
      </c>
      <c r="AM49" s="66">
        <v>0</v>
      </c>
      <c r="AN49" s="66">
        <v>0</v>
      </c>
      <c r="AO49" s="66">
        <v>0</v>
      </c>
      <c r="AP49" s="66">
        <v>0</v>
      </c>
      <c r="AQ49" s="66">
        <v>0</v>
      </c>
      <c r="AR49" s="66">
        <v>0</v>
      </c>
      <c r="AS49" s="66">
        <v>0</v>
      </c>
      <c r="AT49" s="67" t="s">
        <v>1094</v>
      </c>
      <c r="AU49" s="67" t="s">
        <v>1094</v>
      </c>
      <c r="AV49" s="67">
        <v>0</v>
      </c>
      <c r="AW49" s="210">
        <v>0</v>
      </c>
      <c r="AX49" s="67">
        <v>0</v>
      </c>
    </row>
    <row r="50" spans="1:50" ht="15.75" x14ac:dyDescent="0.25">
      <c r="A50" s="72">
        <v>39</v>
      </c>
      <c r="B50" s="192" t="s">
        <v>105</v>
      </c>
      <c r="C50" s="66">
        <v>706.63059999999996</v>
      </c>
      <c r="D50" s="66">
        <v>0</v>
      </c>
      <c r="E50" s="66">
        <v>743.83147299999996</v>
      </c>
      <c r="F50" s="66">
        <v>706.63059999999996</v>
      </c>
      <c r="G50" s="66">
        <v>37.200873000000001</v>
      </c>
      <c r="H50" s="66">
        <v>706.63059999999996</v>
      </c>
      <c r="I50" s="66">
        <v>0</v>
      </c>
      <c r="J50" s="66">
        <v>743.81091700000002</v>
      </c>
      <c r="K50" s="66">
        <v>706.61107200000004</v>
      </c>
      <c r="L50" s="66">
        <v>0</v>
      </c>
      <c r="M50" s="66">
        <v>37.199845000000003</v>
      </c>
      <c r="N50" s="67">
        <v>99.997236462728907</v>
      </c>
      <c r="O50" s="67">
        <v>99.997236623989977</v>
      </c>
      <c r="P50" s="67">
        <v>5.0012502034841742</v>
      </c>
      <c r="Q50" s="66">
        <v>0</v>
      </c>
      <c r="R50" s="67">
        <v>1.952799999992294E-2</v>
      </c>
      <c r="S50" s="66">
        <v>706.63059999999996</v>
      </c>
      <c r="T50" s="66">
        <v>0</v>
      </c>
      <c r="U50" s="66">
        <v>743.83147299999996</v>
      </c>
      <c r="V50" s="66">
        <v>706.63059999999996</v>
      </c>
      <c r="W50" s="66">
        <v>37.200873000000001</v>
      </c>
      <c r="X50" s="66">
        <v>706.63059999999996</v>
      </c>
      <c r="Y50" s="66">
        <v>0</v>
      </c>
      <c r="Z50" s="66">
        <v>743.81091700000002</v>
      </c>
      <c r="AA50" s="66">
        <v>706.61107200000004</v>
      </c>
      <c r="AB50" s="66">
        <v>0</v>
      </c>
      <c r="AC50" s="66">
        <v>37.199845000000003</v>
      </c>
      <c r="AD50" s="67">
        <v>99.997236462728907</v>
      </c>
      <c r="AE50" s="67">
        <v>99.997236623989977</v>
      </c>
      <c r="AF50" s="67">
        <v>5.0012502034841742</v>
      </c>
      <c r="AG50" s="210">
        <v>0</v>
      </c>
      <c r="AH50" s="67">
        <v>1.952799999992294E-2</v>
      </c>
      <c r="AI50" s="66">
        <v>0</v>
      </c>
      <c r="AJ50" s="66">
        <v>0</v>
      </c>
      <c r="AK50" s="66">
        <v>0</v>
      </c>
      <c r="AL50" s="66">
        <v>0</v>
      </c>
      <c r="AM50" s="66">
        <v>0</v>
      </c>
      <c r="AN50" s="66">
        <v>0</v>
      </c>
      <c r="AO50" s="66">
        <v>0</v>
      </c>
      <c r="AP50" s="66">
        <v>0</v>
      </c>
      <c r="AQ50" s="66">
        <v>0</v>
      </c>
      <c r="AR50" s="66">
        <v>0</v>
      </c>
      <c r="AS50" s="66">
        <v>0</v>
      </c>
      <c r="AT50" s="67" t="s">
        <v>1094</v>
      </c>
      <c r="AU50" s="67" t="s">
        <v>1094</v>
      </c>
      <c r="AV50" s="67">
        <v>0</v>
      </c>
      <c r="AW50" s="210">
        <v>0</v>
      </c>
      <c r="AX50" s="67">
        <v>0</v>
      </c>
    </row>
    <row r="51" spans="1:50" s="126" customFormat="1" ht="15.75" x14ac:dyDescent="0.25">
      <c r="A51" s="68">
        <v>40</v>
      </c>
      <c r="B51" s="192" t="s">
        <v>107</v>
      </c>
      <c r="C51" s="66">
        <v>1657.2846999999999</v>
      </c>
      <c r="D51" s="66">
        <v>0</v>
      </c>
      <c r="E51" s="66">
        <v>1744.5103999999999</v>
      </c>
      <c r="F51" s="66">
        <v>1657.2846999999999</v>
      </c>
      <c r="G51" s="66">
        <v>87.225700000000003</v>
      </c>
      <c r="H51" s="66">
        <v>1657.27991511</v>
      </c>
      <c r="I51" s="66">
        <v>0</v>
      </c>
      <c r="J51" s="66">
        <v>1744.5053573</v>
      </c>
      <c r="K51" s="66">
        <v>1657.27991511</v>
      </c>
      <c r="L51" s="66">
        <v>0</v>
      </c>
      <c r="M51" s="66">
        <v>87.225442189999995</v>
      </c>
      <c r="N51" s="67">
        <v>99.999711281350756</v>
      </c>
      <c r="O51" s="67">
        <v>99.999704433441053</v>
      </c>
      <c r="P51" s="67">
        <v>5.0000099928039354</v>
      </c>
      <c r="Q51" s="66">
        <v>0</v>
      </c>
      <c r="R51" s="67">
        <v>0</v>
      </c>
      <c r="S51" s="66">
        <v>1657.2846999999999</v>
      </c>
      <c r="T51" s="66">
        <v>0</v>
      </c>
      <c r="U51" s="66">
        <v>1744.5103999999999</v>
      </c>
      <c r="V51" s="66">
        <v>1657.2846999999999</v>
      </c>
      <c r="W51" s="66">
        <v>87.225700000000003</v>
      </c>
      <c r="X51" s="66">
        <v>1657.27991511</v>
      </c>
      <c r="Y51" s="66">
        <v>0</v>
      </c>
      <c r="Z51" s="66">
        <v>1744.5053573</v>
      </c>
      <c r="AA51" s="66">
        <v>1657.27991511</v>
      </c>
      <c r="AB51" s="66">
        <v>0</v>
      </c>
      <c r="AC51" s="66">
        <v>87.225442189999995</v>
      </c>
      <c r="AD51" s="67">
        <v>99.999711281350756</v>
      </c>
      <c r="AE51" s="67">
        <v>99.999704433441053</v>
      </c>
      <c r="AF51" s="67">
        <v>5.0000099928039354</v>
      </c>
      <c r="AG51" s="210">
        <v>0</v>
      </c>
      <c r="AH51" s="67">
        <v>0</v>
      </c>
      <c r="AI51" s="66">
        <v>0</v>
      </c>
      <c r="AJ51" s="66">
        <v>0</v>
      </c>
      <c r="AK51" s="66">
        <v>0</v>
      </c>
      <c r="AL51" s="66">
        <v>0</v>
      </c>
      <c r="AM51" s="66">
        <v>0</v>
      </c>
      <c r="AN51" s="66">
        <v>0</v>
      </c>
      <c r="AO51" s="66">
        <v>0</v>
      </c>
      <c r="AP51" s="66">
        <v>0</v>
      </c>
      <c r="AQ51" s="66">
        <v>0</v>
      </c>
      <c r="AR51" s="66">
        <v>0</v>
      </c>
      <c r="AS51" s="66">
        <v>0</v>
      </c>
      <c r="AT51" s="67" t="s">
        <v>1094</v>
      </c>
      <c r="AU51" s="67" t="s">
        <v>1094</v>
      </c>
      <c r="AV51" s="67">
        <v>0</v>
      </c>
      <c r="AW51" s="210">
        <v>0</v>
      </c>
      <c r="AX51" s="67">
        <v>0</v>
      </c>
    </row>
    <row r="52" spans="1:50" ht="15.75" x14ac:dyDescent="0.25">
      <c r="A52" s="136">
        <v>41</v>
      </c>
      <c r="B52" s="189" t="s">
        <v>319</v>
      </c>
      <c r="C52" s="66">
        <v>141.16309999999999</v>
      </c>
      <c r="D52" s="66">
        <v>0</v>
      </c>
      <c r="E52" s="66">
        <v>160.8081</v>
      </c>
      <c r="F52" s="66">
        <v>141.16309999999999</v>
      </c>
      <c r="G52" s="66">
        <v>19.645</v>
      </c>
      <c r="H52" s="66">
        <v>141.11516968999999</v>
      </c>
      <c r="I52" s="66">
        <v>0</v>
      </c>
      <c r="J52" s="66">
        <v>160.76004748</v>
      </c>
      <c r="K52" s="66">
        <v>141.11516968999999</v>
      </c>
      <c r="L52" s="66">
        <v>0</v>
      </c>
      <c r="M52" s="66">
        <v>19.644877789999999</v>
      </c>
      <c r="N52" s="67">
        <v>99.966046148037265</v>
      </c>
      <c r="O52" s="67">
        <v>99.999377907864599</v>
      </c>
      <c r="P52" s="67">
        <v>12.219999992500624</v>
      </c>
      <c r="Q52" s="66">
        <v>0</v>
      </c>
      <c r="R52" s="67">
        <v>0</v>
      </c>
      <c r="S52" s="66">
        <v>141.16309999999999</v>
      </c>
      <c r="T52" s="66">
        <v>0</v>
      </c>
      <c r="U52" s="66">
        <v>160.8081</v>
      </c>
      <c r="V52" s="66">
        <v>141.16309999999999</v>
      </c>
      <c r="W52" s="66">
        <v>19.645</v>
      </c>
      <c r="X52" s="66">
        <v>141.11516968999999</v>
      </c>
      <c r="Y52" s="66">
        <v>0</v>
      </c>
      <c r="Z52" s="66">
        <v>160.76004748</v>
      </c>
      <c r="AA52" s="66">
        <v>141.11516968999999</v>
      </c>
      <c r="AB52" s="66">
        <v>0</v>
      </c>
      <c r="AC52" s="66">
        <v>19.644877789999999</v>
      </c>
      <c r="AD52" s="67">
        <v>99.966046148037265</v>
      </c>
      <c r="AE52" s="67">
        <v>99.999377907864599</v>
      </c>
      <c r="AF52" s="67">
        <v>12.219999992500624</v>
      </c>
      <c r="AG52" s="210">
        <v>0</v>
      </c>
      <c r="AH52" s="67">
        <v>0</v>
      </c>
      <c r="AI52" s="66">
        <v>0</v>
      </c>
      <c r="AJ52" s="66">
        <v>0</v>
      </c>
      <c r="AK52" s="66">
        <v>0</v>
      </c>
      <c r="AL52" s="66">
        <v>0</v>
      </c>
      <c r="AM52" s="66">
        <v>0</v>
      </c>
      <c r="AN52" s="66">
        <v>0</v>
      </c>
      <c r="AO52" s="66">
        <v>0</v>
      </c>
      <c r="AP52" s="66">
        <v>0</v>
      </c>
      <c r="AQ52" s="66">
        <v>0</v>
      </c>
      <c r="AR52" s="66">
        <v>0</v>
      </c>
      <c r="AS52" s="66">
        <v>0</v>
      </c>
      <c r="AT52" s="67" t="s">
        <v>1094</v>
      </c>
      <c r="AU52" s="67" t="s">
        <v>1094</v>
      </c>
      <c r="AV52" s="67">
        <v>0</v>
      </c>
      <c r="AW52" s="210">
        <v>0</v>
      </c>
      <c r="AX52" s="67">
        <v>0</v>
      </c>
    </row>
    <row r="53" spans="1:50" ht="15.75" x14ac:dyDescent="0.25">
      <c r="A53" s="70">
        <v>42</v>
      </c>
      <c r="B53" s="193" t="s">
        <v>109</v>
      </c>
      <c r="C53" s="61">
        <v>5260.9998000000005</v>
      </c>
      <c r="D53" s="61">
        <v>0</v>
      </c>
      <c r="E53" s="61">
        <v>5525.74556588</v>
      </c>
      <c r="F53" s="61">
        <v>5248.4269000000004</v>
      </c>
      <c r="G53" s="61">
        <v>277.31866587999997</v>
      </c>
      <c r="H53" s="61">
        <v>5224.1398493699999</v>
      </c>
      <c r="I53" s="61">
        <v>0</v>
      </c>
      <c r="J53" s="61">
        <v>5497.2978638499999</v>
      </c>
      <c r="K53" s="61">
        <v>5221.4018772800009</v>
      </c>
      <c r="L53" s="61">
        <v>0</v>
      </c>
      <c r="M53" s="61">
        <v>275.89598656999999</v>
      </c>
      <c r="N53" s="61">
        <v>99.485083373839132</v>
      </c>
      <c r="O53" s="61">
        <v>99.486987539953191</v>
      </c>
      <c r="P53" s="61">
        <v>5.0187563672741913</v>
      </c>
      <c r="Q53" s="61">
        <v>0</v>
      </c>
      <c r="R53" s="61">
        <v>2.7379720899999711</v>
      </c>
      <c r="S53" s="61">
        <v>5260.9998000000005</v>
      </c>
      <c r="T53" s="61">
        <v>0</v>
      </c>
      <c r="U53" s="61">
        <v>5525.74556588</v>
      </c>
      <c r="V53" s="61">
        <v>5248.4269000000004</v>
      </c>
      <c r="W53" s="61">
        <v>277.31866587999997</v>
      </c>
      <c r="X53" s="61">
        <v>5224.1398493699999</v>
      </c>
      <c r="Y53" s="61">
        <v>0</v>
      </c>
      <c r="Z53" s="61">
        <v>5497.2978638499999</v>
      </c>
      <c r="AA53" s="61">
        <v>5221.4018772800009</v>
      </c>
      <c r="AB53" s="61">
        <v>0</v>
      </c>
      <c r="AC53" s="61">
        <v>275.89598656999999</v>
      </c>
      <c r="AD53" s="61">
        <v>99.485083373839132</v>
      </c>
      <c r="AE53" s="61">
        <v>99.486987539953191</v>
      </c>
      <c r="AF53" s="61">
        <v>5.0187563672741913</v>
      </c>
      <c r="AG53" s="61">
        <v>0</v>
      </c>
      <c r="AH53" s="61">
        <v>2.7379720899999711</v>
      </c>
      <c r="AI53" s="61">
        <v>0</v>
      </c>
      <c r="AJ53" s="61">
        <v>0</v>
      </c>
      <c r="AK53" s="61">
        <v>0</v>
      </c>
      <c r="AL53" s="61">
        <v>0</v>
      </c>
      <c r="AM53" s="61">
        <v>0</v>
      </c>
      <c r="AN53" s="61">
        <v>0</v>
      </c>
      <c r="AO53" s="61">
        <v>0</v>
      </c>
      <c r="AP53" s="61">
        <v>0</v>
      </c>
      <c r="AQ53" s="61">
        <v>0</v>
      </c>
      <c r="AR53" s="61">
        <v>0</v>
      </c>
      <c r="AS53" s="61">
        <v>0</v>
      </c>
      <c r="AT53" s="61" t="s">
        <v>1094</v>
      </c>
      <c r="AU53" s="61" t="s">
        <v>1094</v>
      </c>
      <c r="AV53" s="61">
        <v>0</v>
      </c>
      <c r="AW53" s="61">
        <v>0</v>
      </c>
      <c r="AX53" s="61">
        <v>0</v>
      </c>
    </row>
    <row r="54" spans="1:50" ht="15.75" x14ac:dyDescent="0.25">
      <c r="A54" s="72">
        <v>43</v>
      </c>
      <c r="B54" s="192" t="s">
        <v>111</v>
      </c>
      <c r="C54" s="66">
        <v>1423.3795</v>
      </c>
      <c r="D54" s="66">
        <v>0</v>
      </c>
      <c r="E54" s="66">
        <v>1499.3795</v>
      </c>
      <c r="F54" s="66">
        <v>1423.3795</v>
      </c>
      <c r="G54" s="66">
        <v>76</v>
      </c>
      <c r="H54" s="66">
        <v>1423.3794868499999</v>
      </c>
      <c r="I54" s="66">
        <v>0</v>
      </c>
      <c r="J54" s="66">
        <v>1499.3794868499999</v>
      </c>
      <c r="K54" s="66">
        <v>1423.3794868499999</v>
      </c>
      <c r="L54" s="66">
        <v>0</v>
      </c>
      <c r="M54" s="66">
        <v>76</v>
      </c>
      <c r="N54" s="67">
        <v>99.999999076142373</v>
      </c>
      <c r="O54" s="67">
        <v>100</v>
      </c>
      <c r="P54" s="67">
        <v>5.0687634895996911</v>
      </c>
      <c r="Q54" s="66">
        <v>0</v>
      </c>
      <c r="R54" s="67">
        <v>0</v>
      </c>
      <c r="S54" s="66">
        <v>1423.3795</v>
      </c>
      <c r="T54" s="66">
        <v>0</v>
      </c>
      <c r="U54" s="66">
        <v>1499.3795</v>
      </c>
      <c r="V54" s="66">
        <v>1423.3795</v>
      </c>
      <c r="W54" s="66">
        <v>76</v>
      </c>
      <c r="X54" s="66">
        <v>1423.3794868499999</v>
      </c>
      <c r="Y54" s="66">
        <v>0</v>
      </c>
      <c r="Z54" s="66">
        <v>1499.3794868499999</v>
      </c>
      <c r="AA54" s="66">
        <v>1423.3794868499999</v>
      </c>
      <c r="AB54" s="66">
        <v>0</v>
      </c>
      <c r="AC54" s="66">
        <v>76</v>
      </c>
      <c r="AD54" s="67">
        <v>99.999999076142373</v>
      </c>
      <c r="AE54" s="67">
        <v>100</v>
      </c>
      <c r="AF54" s="67">
        <v>5.0687634895996911</v>
      </c>
      <c r="AG54" s="210">
        <v>0</v>
      </c>
      <c r="AH54" s="67">
        <v>0</v>
      </c>
      <c r="AI54" s="66">
        <v>0</v>
      </c>
      <c r="AJ54" s="66">
        <v>0</v>
      </c>
      <c r="AK54" s="66">
        <v>0</v>
      </c>
      <c r="AL54" s="66">
        <v>0</v>
      </c>
      <c r="AM54" s="66">
        <v>0</v>
      </c>
      <c r="AN54" s="66">
        <v>0</v>
      </c>
      <c r="AO54" s="66">
        <v>0</v>
      </c>
      <c r="AP54" s="66">
        <v>0</v>
      </c>
      <c r="AQ54" s="66">
        <v>0</v>
      </c>
      <c r="AR54" s="66">
        <v>0</v>
      </c>
      <c r="AS54" s="66">
        <v>0</v>
      </c>
      <c r="AT54" s="67" t="s">
        <v>1094</v>
      </c>
      <c r="AU54" s="67" t="s">
        <v>1094</v>
      </c>
      <c r="AV54" s="67">
        <v>0</v>
      </c>
      <c r="AW54" s="210">
        <v>0</v>
      </c>
      <c r="AX54" s="67">
        <v>0</v>
      </c>
    </row>
    <row r="55" spans="1:50" ht="15.75" x14ac:dyDescent="0.25">
      <c r="A55" s="72">
        <v>44</v>
      </c>
      <c r="B55" s="192" t="s">
        <v>113</v>
      </c>
      <c r="C55" s="66">
        <v>178.26840000000001</v>
      </c>
      <c r="D55" s="66">
        <v>0</v>
      </c>
      <c r="E55" s="66">
        <v>187.65100000000001</v>
      </c>
      <c r="F55" s="66">
        <v>178.26840000000001</v>
      </c>
      <c r="G55" s="66">
        <v>9.3826000000000001</v>
      </c>
      <c r="H55" s="66">
        <v>178.26840000000001</v>
      </c>
      <c r="I55" s="66">
        <v>0</v>
      </c>
      <c r="J55" s="66">
        <v>187.65100000000001</v>
      </c>
      <c r="K55" s="66">
        <v>178.26840000000001</v>
      </c>
      <c r="L55" s="66">
        <v>0</v>
      </c>
      <c r="M55" s="66">
        <v>9.3826000000000001</v>
      </c>
      <c r="N55" s="67">
        <v>100</v>
      </c>
      <c r="O55" s="67">
        <v>100</v>
      </c>
      <c r="P55" s="67">
        <v>5.0000266452083917</v>
      </c>
      <c r="Q55" s="66">
        <v>0</v>
      </c>
      <c r="R55" s="67">
        <v>0</v>
      </c>
      <c r="S55" s="66">
        <v>178.26840000000001</v>
      </c>
      <c r="T55" s="66">
        <v>0</v>
      </c>
      <c r="U55" s="66">
        <v>187.65100000000001</v>
      </c>
      <c r="V55" s="66">
        <v>178.26840000000001</v>
      </c>
      <c r="W55" s="66">
        <v>9.3826000000000001</v>
      </c>
      <c r="X55" s="66">
        <v>178.26840000000001</v>
      </c>
      <c r="Y55" s="66">
        <v>0</v>
      </c>
      <c r="Z55" s="66">
        <v>187.65100000000001</v>
      </c>
      <c r="AA55" s="66">
        <v>178.26840000000001</v>
      </c>
      <c r="AB55" s="66">
        <v>0</v>
      </c>
      <c r="AC55" s="66">
        <v>9.3826000000000001</v>
      </c>
      <c r="AD55" s="67">
        <v>100</v>
      </c>
      <c r="AE55" s="67">
        <v>100</v>
      </c>
      <c r="AF55" s="67">
        <v>5.0000266452083917</v>
      </c>
      <c r="AG55" s="210">
        <v>0</v>
      </c>
      <c r="AH55" s="67">
        <v>0</v>
      </c>
      <c r="AI55" s="66">
        <v>0</v>
      </c>
      <c r="AJ55" s="66">
        <v>0</v>
      </c>
      <c r="AK55" s="66">
        <v>0</v>
      </c>
      <c r="AL55" s="66">
        <v>0</v>
      </c>
      <c r="AM55" s="66">
        <v>0</v>
      </c>
      <c r="AN55" s="66">
        <v>0</v>
      </c>
      <c r="AO55" s="66">
        <v>0</v>
      </c>
      <c r="AP55" s="66">
        <v>0</v>
      </c>
      <c r="AQ55" s="66">
        <v>0</v>
      </c>
      <c r="AR55" s="66">
        <v>0</v>
      </c>
      <c r="AS55" s="66">
        <v>0</v>
      </c>
      <c r="AT55" s="67" t="s">
        <v>1094</v>
      </c>
      <c r="AU55" s="67" t="s">
        <v>1094</v>
      </c>
      <c r="AV55" s="67">
        <v>0</v>
      </c>
      <c r="AW55" s="210">
        <v>0</v>
      </c>
      <c r="AX55" s="67">
        <v>0</v>
      </c>
    </row>
    <row r="56" spans="1:50" ht="31.5" x14ac:dyDescent="0.25">
      <c r="A56" s="72">
        <v>45</v>
      </c>
      <c r="B56" s="192" t="s">
        <v>115</v>
      </c>
      <c r="C56" s="66">
        <v>780.67269999999996</v>
      </c>
      <c r="D56" s="66">
        <v>0</v>
      </c>
      <c r="E56" s="66">
        <v>821.76089999999999</v>
      </c>
      <c r="F56" s="66">
        <v>780.67269999999996</v>
      </c>
      <c r="G56" s="66">
        <v>41.088200000000001</v>
      </c>
      <c r="H56" s="66">
        <v>780.67269999999996</v>
      </c>
      <c r="I56" s="66">
        <v>0</v>
      </c>
      <c r="J56" s="66">
        <v>821.76073692999989</v>
      </c>
      <c r="K56" s="66">
        <v>780.67269999999996</v>
      </c>
      <c r="L56" s="66">
        <v>0</v>
      </c>
      <c r="M56" s="66">
        <v>41.088036930000001</v>
      </c>
      <c r="N56" s="67">
        <v>100</v>
      </c>
      <c r="O56" s="67">
        <v>99.999603122064244</v>
      </c>
      <c r="P56" s="67">
        <v>5.0000000101611093</v>
      </c>
      <c r="Q56" s="66">
        <v>0</v>
      </c>
      <c r="R56" s="67">
        <v>0</v>
      </c>
      <c r="S56" s="66">
        <v>780.67269999999996</v>
      </c>
      <c r="T56" s="66">
        <v>0</v>
      </c>
      <c r="U56" s="66">
        <v>821.76089999999999</v>
      </c>
      <c r="V56" s="66">
        <v>780.67269999999996</v>
      </c>
      <c r="W56" s="66">
        <v>41.088200000000001</v>
      </c>
      <c r="X56" s="66">
        <v>780.67269999999996</v>
      </c>
      <c r="Y56" s="66">
        <v>0</v>
      </c>
      <c r="Z56" s="66">
        <v>821.76073692999989</v>
      </c>
      <c r="AA56" s="66">
        <v>780.67269999999996</v>
      </c>
      <c r="AB56" s="66">
        <v>0</v>
      </c>
      <c r="AC56" s="66">
        <v>41.088036930000001</v>
      </c>
      <c r="AD56" s="67">
        <v>100</v>
      </c>
      <c r="AE56" s="67">
        <v>99.999603122064244</v>
      </c>
      <c r="AF56" s="67">
        <v>5.0000000101611093</v>
      </c>
      <c r="AG56" s="210">
        <v>0</v>
      </c>
      <c r="AH56" s="67">
        <v>0</v>
      </c>
      <c r="AI56" s="66">
        <v>0</v>
      </c>
      <c r="AJ56" s="66">
        <v>0</v>
      </c>
      <c r="AK56" s="66">
        <v>0</v>
      </c>
      <c r="AL56" s="66">
        <v>0</v>
      </c>
      <c r="AM56" s="66">
        <v>0</v>
      </c>
      <c r="AN56" s="66">
        <v>0</v>
      </c>
      <c r="AO56" s="66">
        <v>0</v>
      </c>
      <c r="AP56" s="66">
        <v>0</v>
      </c>
      <c r="AQ56" s="66">
        <v>0</v>
      </c>
      <c r="AR56" s="66">
        <v>0</v>
      </c>
      <c r="AS56" s="66">
        <v>0</v>
      </c>
      <c r="AT56" s="67" t="s">
        <v>1094</v>
      </c>
      <c r="AU56" s="67" t="s">
        <v>1094</v>
      </c>
      <c r="AV56" s="67">
        <v>0</v>
      </c>
      <c r="AW56" s="210">
        <v>0</v>
      </c>
      <c r="AX56" s="67">
        <v>0</v>
      </c>
    </row>
    <row r="57" spans="1:50" ht="31.5" x14ac:dyDescent="0.25">
      <c r="A57" s="72">
        <v>46</v>
      </c>
      <c r="B57" s="192" t="s">
        <v>117</v>
      </c>
      <c r="C57" s="66">
        <v>670.16690000000006</v>
      </c>
      <c r="D57" s="66">
        <v>0</v>
      </c>
      <c r="E57" s="66">
        <v>705.43884216999993</v>
      </c>
      <c r="F57" s="66">
        <v>670.16690000000006</v>
      </c>
      <c r="G57" s="66">
        <v>35.271942170000003</v>
      </c>
      <c r="H57" s="66">
        <v>670.16690000000006</v>
      </c>
      <c r="I57" s="66">
        <v>0</v>
      </c>
      <c r="J57" s="66">
        <v>705.43884216999993</v>
      </c>
      <c r="K57" s="66">
        <v>670.16690000000006</v>
      </c>
      <c r="L57" s="66">
        <v>0</v>
      </c>
      <c r="M57" s="66">
        <v>35.271942170000003</v>
      </c>
      <c r="N57" s="67">
        <v>100</v>
      </c>
      <c r="O57" s="67">
        <v>100</v>
      </c>
      <c r="P57" s="67">
        <v>5.0000000087179783</v>
      </c>
      <c r="Q57" s="66">
        <v>0</v>
      </c>
      <c r="R57" s="67">
        <v>0</v>
      </c>
      <c r="S57" s="66">
        <v>670.16690000000006</v>
      </c>
      <c r="T57" s="66">
        <v>0</v>
      </c>
      <c r="U57" s="66">
        <v>705.43884216999993</v>
      </c>
      <c r="V57" s="66">
        <v>670.16690000000006</v>
      </c>
      <c r="W57" s="66">
        <v>35.271942170000003</v>
      </c>
      <c r="X57" s="66">
        <v>670.16690000000006</v>
      </c>
      <c r="Y57" s="66">
        <v>0</v>
      </c>
      <c r="Z57" s="66">
        <v>705.43884216999993</v>
      </c>
      <c r="AA57" s="66">
        <v>670.16690000000006</v>
      </c>
      <c r="AB57" s="66">
        <v>0</v>
      </c>
      <c r="AC57" s="66">
        <v>35.271942170000003</v>
      </c>
      <c r="AD57" s="67">
        <v>100</v>
      </c>
      <c r="AE57" s="67">
        <v>100</v>
      </c>
      <c r="AF57" s="67">
        <v>5.0000000087179783</v>
      </c>
      <c r="AG57" s="210">
        <v>0</v>
      </c>
      <c r="AH57" s="67">
        <v>0</v>
      </c>
      <c r="AI57" s="66">
        <v>0</v>
      </c>
      <c r="AJ57" s="66">
        <v>0</v>
      </c>
      <c r="AK57" s="66">
        <v>0</v>
      </c>
      <c r="AL57" s="66">
        <v>0</v>
      </c>
      <c r="AM57" s="66">
        <v>0</v>
      </c>
      <c r="AN57" s="66">
        <v>0</v>
      </c>
      <c r="AO57" s="66">
        <v>0</v>
      </c>
      <c r="AP57" s="66">
        <v>0</v>
      </c>
      <c r="AQ57" s="66">
        <v>0</v>
      </c>
      <c r="AR57" s="66">
        <v>0</v>
      </c>
      <c r="AS57" s="66">
        <v>0</v>
      </c>
      <c r="AT57" s="67" t="s">
        <v>1094</v>
      </c>
      <c r="AU57" s="67" t="s">
        <v>1094</v>
      </c>
      <c r="AV57" s="67">
        <v>0</v>
      </c>
      <c r="AW57" s="210">
        <v>0</v>
      </c>
      <c r="AX57" s="67">
        <v>0</v>
      </c>
    </row>
    <row r="58" spans="1:50" ht="31.5" x14ac:dyDescent="0.25">
      <c r="A58" s="72">
        <v>47</v>
      </c>
      <c r="B58" s="192" t="s">
        <v>119</v>
      </c>
      <c r="C58" s="66">
        <v>144.07429999999999</v>
      </c>
      <c r="D58" s="66">
        <v>0</v>
      </c>
      <c r="E58" s="66">
        <v>138.42259999999999</v>
      </c>
      <c r="F58" s="66">
        <v>131.50139999999999</v>
      </c>
      <c r="G58" s="66">
        <v>6.9211999999999998</v>
      </c>
      <c r="H58" s="66">
        <v>131.50139999999999</v>
      </c>
      <c r="I58" s="66">
        <v>0</v>
      </c>
      <c r="J58" s="66">
        <v>138.03219397999999</v>
      </c>
      <c r="K58" s="66">
        <v>131.13058427999999</v>
      </c>
      <c r="L58" s="66">
        <v>0</v>
      </c>
      <c r="M58" s="66">
        <v>6.9016096999999998</v>
      </c>
      <c r="N58" s="67">
        <v>99.718013861449379</v>
      </c>
      <c r="O58" s="67">
        <v>99.716952262613418</v>
      </c>
      <c r="P58" s="67">
        <v>5.0000000007244685</v>
      </c>
      <c r="Q58" s="66">
        <v>0</v>
      </c>
      <c r="R58" s="67">
        <v>0.37081571999999596</v>
      </c>
      <c r="S58" s="66">
        <v>144.07429999999999</v>
      </c>
      <c r="T58" s="66">
        <v>0</v>
      </c>
      <c r="U58" s="66">
        <v>138.42259999999999</v>
      </c>
      <c r="V58" s="66">
        <v>131.50139999999999</v>
      </c>
      <c r="W58" s="66">
        <v>6.9211999999999998</v>
      </c>
      <c r="X58" s="66">
        <v>131.50139999999999</v>
      </c>
      <c r="Y58" s="66">
        <v>0</v>
      </c>
      <c r="Z58" s="66">
        <v>138.03219397999999</v>
      </c>
      <c r="AA58" s="66">
        <v>131.13058427999999</v>
      </c>
      <c r="AB58" s="66">
        <v>0</v>
      </c>
      <c r="AC58" s="66">
        <v>6.9016096999999998</v>
      </c>
      <c r="AD58" s="67">
        <v>99.718013861449379</v>
      </c>
      <c r="AE58" s="67">
        <v>99.716952262613418</v>
      </c>
      <c r="AF58" s="67">
        <v>5.0000000007244685</v>
      </c>
      <c r="AG58" s="210">
        <v>0</v>
      </c>
      <c r="AH58" s="67">
        <v>0.37081571999999596</v>
      </c>
      <c r="AI58" s="66">
        <v>0</v>
      </c>
      <c r="AJ58" s="66">
        <v>0</v>
      </c>
      <c r="AK58" s="66">
        <v>0</v>
      </c>
      <c r="AL58" s="66">
        <v>0</v>
      </c>
      <c r="AM58" s="66">
        <v>0</v>
      </c>
      <c r="AN58" s="66">
        <v>0</v>
      </c>
      <c r="AO58" s="66">
        <v>0</v>
      </c>
      <c r="AP58" s="66">
        <v>0</v>
      </c>
      <c r="AQ58" s="66">
        <v>0</v>
      </c>
      <c r="AR58" s="66">
        <v>0</v>
      </c>
      <c r="AS58" s="66">
        <v>0</v>
      </c>
      <c r="AT58" s="67" t="s">
        <v>1094</v>
      </c>
      <c r="AU58" s="67" t="s">
        <v>1094</v>
      </c>
      <c r="AV58" s="67">
        <v>0</v>
      </c>
      <c r="AW58" s="210">
        <v>0</v>
      </c>
      <c r="AX58" s="67">
        <v>0</v>
      </c>
    </row>
    <row r="59" spans="1:50" ht="15.75" x14ac:dyDescent="0.25">
      <c r="A59" s="11">
        <v>48</v>
      </c>
      <c r="B59" s="192" t="s">
        <v>122</v>
      </c>
      <c r="C59" s="66">
        <v>355.80020000000002</v>
      </c>
      <c r="D59" s="66">
        <v>0</v>
      </c>
      <c r="E59" s="66">
        <v>374.52659999999997</v>
      </c>
      <c r="F59" s="66">
        <v>355.80020000000002</v>
      </c>
      <c r="G59" s="66">
        <v>18.726400000000002</v>
      </c>
      <c r="H59" s="66">
        <v>355.80020000000002</v>
      </c>
      <c r="I59" s="66">
        <v>0</v>
      </c>
      <c r="J59" s="66">
        <v>374.52652631000001</v>
      </c>
      <c r="K59" s="66">
        <v>355.80020000000002</v>
      </c>
      <c r="L59" s="66">
        <v>0</v>
      </c>
      <c r="M59" s="66">
        <v>18.726326309999997</v>
      </c>
      <c r="N59" s="67">
        <v>100</v>
      </c>
      <c r="O59" s="67">
        <v>99.999606491370457</v>
      </c>
      <c r="P59" s="67">
        <v>4.9999999985314787</v>
      </c>
      <c r="Q59" s="66">
        <v>0</v>
      </c>
      <c r="R59" s="67">
        <v>0</v>
      </c>
      <c r="S59" s="66">
        <v>355.80020000000002</v>
      </c>
      <c r="T59" s="66">
        <v>0</v>
      </c>
      <c r="U59" s="66">
        <v>374.52659999999997</v>
      </c>
      <c r="V59" s="66">
        <v>355.80020000000002</v>
      </c>
      <c r="W59" s="66">
        <v>18.726400000000002</v>
      </c>
      <c r="X59" s="66">
        <v>355.80020000000002</v>
      </c>
      <c r="Y59" s="66">
        <v>0</v>
      </c>
      <c r="Z59" s="66">
        <v>374.52652631000001</v>
      </c>
      <c r="AA59" s="66">
        <v>355.80020000000002</v>
      </c>
      <c r="AB59" s="66">
        <v>0</v>
      </c>
      <c r="AC59" s="66">
        <v>18.726326309999997</v>
      </c>
      <c r="AD59" s="67">
        <v>100</v>
      </c>
      <c r="AE59" s="67">
        <v>99.999606491370457</v>
      </c>
      <c r="AF59" s="67">
        <v>4.9999999985314787</v>
      </c>
      <c r="AG59" s="210">
        <v>0</v>
      </c>
      <c r="AH59" s="67">
        <v>0</v>
      </c>
      <c r="AI59" s="66">
        <v>0</v>
      </c>
      <c r="AJ59" s="66">
        <v>0</v>
      </c>
      <c r="AK59" s="66">
        <v>0</v>
      </c>
      <c r="AL59" s="66">
        <v>0</v>
      </c>
      <c r="AM59" s="66">
        <v>0</v>
      </c>
      <c r="AN59" s="66">
        <v>0</v>
      </c>
      <c r="AO59" s="66">
        <v>0</v>
      </c>
      <c r="AP59" s="66">
        <v>0</v>
      </c>
      <c r="AQ59" s="66">
        <v>0</v>
      </c>
      <c r="AR59" s="66">
        <v>0</v>
      </c>
      <c r="AS59" s="66">
        <v>0</v>
      </c>
      <c r="AT59" s="67" t="s">
        <v>1094</v>
      </c>
      <c r="AU59" s="67" t="s">
        <v>1094</v>
      </c>
      <c r="AV59" s="67">
        <v>0</v>
      </c>
      <c r="AW59" s="210">
        <v>0</v>
      </c>
      <c r="AX59" s="67">
        <v>0</v>
      </c>
    </row>
    <row r="60" spans="1:50" ht="15.75" x14ac:dyDescent="0.25">
      <c r="A60" s="74">
        <v>49</v>
      </c>
      <c r="B60" s="192" t="s">
        <v>125</v>
      </c>
      <c r="C60" s="66">
        <v>1708.6378</v>
      </c>
      <c r="D60" s="66">
        <v>0</v>
      </c>
      <c r="E60" s="66">
        <v>1798.5661237100001</v>
      </c>
      <c r="F60" s="66">
        <v>1708.6378</v>
      </c>
      <c r="G60" s="66">
        <v>89.928323709999987</v>
      </c>
      <c r="H60" s="66">
        <v>1684.35076252</v>
      </c>
      <c r="I60" s="66">
        <v>0</v>
      </c>
      <c r="J60" s="66">
        <v>1770.5090776099998</v>
      </c>
      <c r="K60" s="66">
        <v>1681.98360615</v>
      </c>
      <c r="L60" s="66">
        <v>0</v>
      </c>
      <c r="M60" s="66">
        <v>88.525471459999991</v>
      </c>
      <c r="N60" s="67">
        <v>98.440032530592504</v>
      </c>
      <c r="O60" s="67">
        <v>98.440032914964704</v>
      </c>
      <c r="P60" s="67">
        <v>5.0000009929065161</v>
      </c>
      <c r="Q60" s="66">
        <v>0</v>
      </c>
      <c r="R60" s="67">
        <v>2.3671563699999751</v>
      </c>
      <c r="S60" s="66">
        <v>1708.6378</v>
      </c>
      <c r="T60" s="66">
        <v>0</v>
      </c>
      <c r="U60" s="66">
        <v>1798.5661237100001</v>
      </c>
      <c r="V60" s="66">
        <v>1708.6378</v>
      </c>
      <c r="W60" s="66">
        <v>89.928323709999987</v>
      </c>
      <c r="X60" s="66">
        <v>1684.35076252</v>
      </c>
      <c r="Y60" s="66">
        <v>0</v>
      </c>
      <c r="Z60" s="66">
        <v>1770.5090776099998</v>
      </c>
      <c r="AA60" s="66">
        <v>1681.98360615</v>
      </c>
      <c r="AB60" s="66">
        <v>0</v>
      </c>
      <c r="AC60" s="66">
        <v>88.525471459999991</v>
      </c>
      <c r="AD60" s="67">
        <v>98.440032530592504</v>
      </c>
      <c r="AE60" s="67">
        <v>98.440032914964704</v>
      </c>
      <c r="AF60" s="67">
        <v>5.0000009929065161</v>
      </c>
      <c r="AG60" s="210">
        <v>0</v>
      </c>
      <c r="AH60" s="67">
        <v>2.3671563699999751</v>
      </c>
      <c r="AI60" s="66">
        <v>0</v>
      </c>
      <c r="AJ60" s="66">
        <v>0</v>
      </c>
      <c r="AK60" s="66">
        <v>0</v>
      </c>
      <c r="AL60" s="66">
        <v>0</v>
      </c>
      <c r="AM60" s="66">
        <v>0</v>
      </c>
      <c r="AN60" s="66">
        <v>0</v>
      </c>
      <c r="AO60" s="66">
        <v>0</v>
      </c>
      <c r="AP60" s="66">
        <v>0</v>
      </c>
      <c r="AQ60" s="66">
        <v>0</v>
      </c>
      <c r="AR60" s="66">
        <v>0</v>
      </c>
      <c r="AS60" s="66">
        <v>0</v>
      </c>
      <c r="AT60" s="67" t="s">
        <v>1094</v>
      </c>
      <c r="AU60" s="67" t="s">
        <v>1094</v>
      </c>
      <c r="AV60" s="67">
        <v>0</v>
      </c>
      <c r="AW60" s="210">
        <v>0</v>
      </c>
      <c r="AX60" s="67">
        <v>0</v>
      </c>
    </row>
    <row r="61" spans="1:50" ht="15.75" x14ac:dyDescent="0.25">
      <c r="A61" s="57">
        <v>50</v>
      </c>
      <c r="B61" s="190" t="s">
        <v>128</v>
      </c>
      <c r="C61" s="61">
        <v>8345.055699999999</v>
      </c>
      <c r="D61" s="61">
        <v>0</v>
      </c>
      <c r="E61" s="61">
        <v>9121.134033610002</v>
      </c>
      <c r="F61" s="61">
        <v>8345.055699999999</v>
      </c>
      <c r="G61" s="61">
        <v>776.07833360999996</v>
      </c>
      <c r="H61" s="61">
        <v>8311.4953558300003</v>
      </c>
      <c r="I61" s="61">
        <v>6.0854170599999993</v>
      </c>
      <c r="J61" s="61">
        <v>9083.6371375899998</v>
      </c>
      <c r="K61" s="61">
        <v>8310.4542676100009</v>
      </c>
      <c r="L61" s="61">
        <v>0</v>
      </c>
      <c r="M61" s="61">
        <v>773.18286997999996</v>
      </c>
      <c r="N61" s="61">
        <v>99.585366070234883</v>
      </c>
      <c r="O61" s="61">
        <v>99.62691090517481</v>
      </c>
      <c r="P61" s="61">
        <v>8.5118203013681235</v>
      </c>
      <c r="Q61" s="61">
        <v>6.0854170599999993</v>
      </c>
      <c r="R61" s="61">
        <v>1.0410882200001463</v>
      </c>
      <c r="S61" s="61">
        <v>8345.055699999999</v>
      </c>
      <c r="T61" s="61">
        <v>0</v>
      </c>
      <c r="U61" s="61">
        <v>9121.134033610002</v>
      </c>
      <c r="V61" s="61">
        <v>8345.055699999999</v>
      </c>
      <c r="W61" s="61">
        <v>776.07833360999996</v>
      </c>
      <c r="X61" s="61">
        <v>8311.4953558300003</v>
      </c>
      <c r="Y61" s="61">
        <v>6.0854170599999993</v>
      </c>
      <c r="Z61" s="61">
        <v>9083.6371375899998</v>
      </c>
      <c r="AA61" s="61">
        <v>8310.4542676100009</v>
      </c>
      <c r="AB61" s="61">
        <v>0</v>
      </c>
      <c r="AC61" s="61">
        <v>773.18286997999996</v>
      </c>
      <c r="AD61" s="61">
        <v>99.585366070234883</v>
      </c>
      <c r="AE61" s="61">
        <v>99.62691090517481</v>
      </c>
      <c r="AF61" s="61">
        <v>8.5118203013681235</v>
      </c>
      <c r="AG61" s="61">
        <v>6.0854170599999993</v>
      </c>
      <c r="AH61" s="61">
        <v>1.0410882200001463</v>
      </c>
      <c r="AI61" s="61">
        <v>0</v>
      </c>
      <c r="AJ61" s="61">
        <v>0</v>
      </c>
      <c r="AK61" s="61">
        <v>0</v>
      </c>
      <c r="AL61" s="61">
        <v>0</v>
      </c>
      <c r="AM61" s="61">
        <v>0</v>
      </c>
      <c r="AN61" s="61">
        <v>0</v>
      </c>
      <c r="AO61" s="61">
        <v>0</v>
      </c>
      <c r="AP61" s="61">
        <v>0</v>
      </c>
      <c r="AQ61" s="61">
        <v>0</v>
      </c>
      <c r="AR61" s="61">
        <v>0</v>
      </c>
      <c r="AS61" s="61">
        <v>0</v>
      </c>
      <c r="AT61" s="61" t="s">
        <v>1094</v>
      </c>
      <c r="AU61" s="61" t="s">
        <v>1094</v>
      </c>
      <c r="AV61" s="61">
        <v>0</v>
      </c>
      <c r="AW61" s="61">
        <v>0</v>
      </c>
      <c r="AX61" s="61">
        <v>0</v>
      </c>
    </row>
    <row r="62" spans="1:50" ht="15.75" x14ac:dyDescent="0.25">
      <c r="A62" s="11">
        <v>51</v>
      </c>
      <c r="B62" s="189" t="s">
        <v>131</v>
      </c>
      <c r="C62" s="66">
        <v>903.92430000000002</v>
      </c>
      <c r="D62" s="66">
        <v>0</v>
      </c>
      <c r="E62" s="66">
        <v>951.49926800000003</v>
      </c>
      <c r="F62" s="66">
        <v>903.92430000000002</v>
      </c>
      <c r="G62" s="66">
        <v>47.574967999999998</v>
      </c>
      <c r="H62" s="66">
        <v>903.92430000000002</v>
      </c>
      <c r="I62" s="66">
        <v>0</v>
      </c>
      <c r="J62" s="66">
        <v>951.49926800000003</v>
      </c>
      <c r="K62" s="66">
        <v>903.92430000000002</v>
      </c>
      <c r="L62" s="66">
        <v>0</v>
      </c>
      <c r="M62" s="66">
        <v>47.574967999999998</v>
      </c>
      <c r="N62" s="67">
        <v>100</v>
      </c>
      <c r="O62" s="67">
        <v>100</v>
      </c>
      <c r="P62" s="67">
        <v>5.0000004834475602</v>
      </c>
      <c r="Q62" s="66">
        <v>0</v>
      </c>
      <c r="R62" s="67">
        <v>0</v>
      </c>
      <c r="S62" s="66">
        <v>903.92430000000002</v>
      </c>
      <c r="T62" s="66">
        <v>0</v>
      </c>
      <c r="U62" s="66">
        <v>951.49926800000003</v>
      </c>
      <c r="V62" s="66">
        <v>903.92430000000002</v>
      </c>
      <c r="W62" s="66">
        <v>47.574967999999998</v>
      </c>
      <c r="X62" s="66">
        <v>903.92430000000002</v>
      </c>
      <c r="Y62" s="66">
        <v>0</v>
      </c>
      <c r="Z62" s="66">
        <v>951.49926800000003</v>
      </c>
      <c r="AA62" s="66">
        <v>903.92430000000002</v>
      </c>
      <c r="AB62" s="66">
        <v>0</v>
      </c>
      <c r="AC62" s="66">
        <v>47.574967999999998</v>
      </c>
      <c r="AD62" s="67">
        <v>100</v>
      </c>
      <c r="AE62" s="67">
        <v>100</v>
      </c>
      <c r="AF62" s="67">
        <v>5.0000004834475602</v>
      </c>
      <c r="AG62" s="210">
        <v>0</v>
      </c>
      <c r="AH62" s="67">
        <v>0</v>
      </c>
      <c r="AI62" s="66">
        <v>0</v>
      </c>
      <c r="AJ62" s="66">
        <v>0</v>
      </c>
      <c r="AK62" s="66">
        <v>0</v>
      </c>
      <c r="AL62" s="66">
        <v>0</v>
      </c>
      <c r="AM62" s="66">
        <v>0</v>
      </c>
      <c r="AN62" s="66">
        <v>0</v>
      </c>
      <c r="AO62" s="66">
        <v>0</v>
      </c>
      <c r="AP62" s="66">
        <v>0</v>
      </c>
      <c r="AQ62" s="66">
        <v>0</v>
      </c>
      <c r="AR62" s="66">
        <v>0</v>
      </c>
      <c r="AS62" s="66">
        <v>0</v>
      </c>
      <c r="AT62" s="67" t="s">
        <v>1094</v>
      </c>
      <c r="AU62" s="67" t="s">
        <v>1094</v>
      </c>
      <c r="AV62" s="67">
        <v>0</v>
      </c>
      <c r="AW62" s="210">
        <v>0</v>
      </c>
      <c r="AX62" s="67">
        <v>0</v>
      </c>
    </row>
    <row r="63" spans="1:50" ht="15.75" x14ac:dyDescent="0.25">
      <c r="A63" s="11">
        <v>52</v>
      </c>
      <c r="B63" s="189" t="s">
        <v>134</v>
      </c>
      <c r="C63" s="66">
        <v>154.05500000000001</v>
      </c>
      <c r="D63" s="66">
        <v>0</v>
      </c>
      <c r="E63" s="66">
        <v>162.16315793000001</v>
      </c>
      <c r="F63" s="66">
        <v>154.05500000000001</v>
      </c>
      <c r="G63" s="66">
        <v>8.1081579299999991</v>
      </c>
      <c r="H63" s="66">
        <v>154.05500000000001</v>
      </c>
      <c r="I63" s="66">
        <v>6.0854170599999993</v>
      </c>
      <c r="J63" s="66">
        <v>161.76933243000002</v>
      </c>
      <c r="K63" s="66">
        <v>153.68086578</v>
      </c>
      <c r="L63" s="66">
        <v>0</v>
      </c>
      <c r="M63" s="66">
        <v>8.0884666500000009</v>
      </c>
      <c r="N63" s="67">
        <v>99.757142436142928</v>
      </c>
      <c r="O63" s="67">
        <v>99.757142372287291</v>
      </c>
      <c r="P63" s="67">
        <v>5.000000017617678</v>
      </c>
      <c r="Q63" s="66">
        <v>6.0854170599999993</v>
      </c>
      <c r="R63" s="67">
        <v>0.37413422000000018</v>
      </c>
      <c r="S63" s="66">
        <v>154.05500000000001</v>
      </c>
      <c r="T63" s="66">
        <v>0</v>
      </c>
      <c r="U63" s="66">
        <v>162.16315793000001</v>
      </c>
      <c r="V63" s="66">
        <v>154.05500000000001</v>
      </c>
      <c r="W63" s="66">
        <v>8.1081579299999991</v>
      </c>
      <c r="X63" s="66">
        <v>154.05500000000001</v>
      </c>
      <c r="Y63" s="66">
        <v>6.0854170599999993</v>
      </c>
      <c r="Z63" s="66">
        <v>161.76933243000002</v>
      </c>
      <c r="AA63" s="66">
        <v>153.68086578</v>
      </c>
      <c r="AB63" s="66">
        <v>0</v>
      </c>
      <c r="AC63" s="66">
        <v>8.0884666500000009</v>
      </c>
      <c r="AD63" s="67">
        <v>99.757142436142928</v>
      </c>
      <c r="AE63" s="67">
        <v>99.757142372287291</v>
      </c>
      <c r="AF63" s="67">
        <v>5.000000017617678</v>
      </c>
      <c r="AG63" s="210">
        <v>6.0854170599999993</v>
      </c>
      <c r="AH63" s="67">
        <v>0.37413422000000018</v>
      </c>
      <c r="AI63" s="66">
        <v>0</v>
      </c>
      <c r="AJ63" s="66">
        <v>0</v>
      </c>
      <c r="AK63" s="66">
        <v>0</v>
      </c>
      <c r="AL63" s="66">
        <v>0</v>
      </c>
      <c r="AM63" s="66">
        <v>0</v>
      </c>
      <c r="AN63" s="66">
        <v>0</v>
      </c>
      <c r="AO63" s="66">
        <v>0</v>
      </c>
      <c r="AP63" s="66">
        <v>0</v>
      </c>
      <c r="AQ63" s="66">
        <v>0</v>
      </c>
      <c r="AR63" s="66">
        <v>0</v>
      </c>
      <c r="AS63" s="66">
        <v>0</v>
      </c>
      <c r="AT63" s="67" t="s">
        <v>1094</v>
      </c>
      <c r="AU63" s="67" t="s">
        <v>1094</v>
      </c>
      <c r="AV63" s="67">
        <v>0</v>
      </c>
      <c r="AW63" s="210">
        <v>0</v>
      </c>
      <c r="AX63" s="67">
        <v>0</v>
      </c>
    </row>
    <row r="64" spans="1:50" ht="15.75" x14ac:dyDescent="0.25">
      <c r="A64" s="11">
        <v>53</v>
      </c>
      <c r="B64" s="189" t="s">
        <v>137</v>
      </c>
      <c r="C64" s="66">
        <v>483.15989999999999</v>
      </c>
      <c r="D64" s="66">
        <v>0</v>
      </c>
      <c r="E64" s="66">
        <v>508.58936899999998</v>
      </c>
      <c r="F64" s="66">
        <v>483.15989999999999</v>
      </c>
      <c r="G64" s="66">
        <v>25.429469000000001</v>
      </c>
      <c r="H64" s="66">
        <v>483.15989999999999</v>
      </c>
      <c r="I64" s="66">
        <v>0</v>
      </c>
      <c r="J64" s="66">
        <v>508.58936899999998</v>
      </c>
      <c r="K64" s="66">
        <v>483.15989999999999</v>
      </c>
      <c r="L64" s="66">
        <v>0</v>
      </c>
      <c r="M64" s="66">
        <v>25.429469000000001</v>
      </c>
      <c r="N64" s="67">
        <v>100</v>
      </c>
      <c r="O64" s="67">
        <v>100</v>
      </c>
      <c r="P64" s="67">
        <v>5.0000001081422534</v>
      </c>
      <c r="Q64" s="66">
        <v>0</v>
      </c>
      <c r="R64" s="67">
        <v>0</v>
      </c>
      <c r="S64" s="66">
        <v>483.15989999999999</v>
      </c>
      <c r="T64" s="66">
        <v>0</v>
      </c>
      <c r="U64" s="66">
        <v>508.58936899999998</v>
      </c>
      <c r="V64" s="66">
        <v>483.15989999999999</v>
      </c>
      <c r="W64" s="66">
        <v>25.429469000000001</v>
      </c>
      <c r="X64" s="66">
        <v>483.15989999999999</v>
      </c>
      <c r="Y64" s="66">
        <v>0</v>
      </c>
      <c r="Z64" s="66">
        <v>508.58936899999998</v>
      </c>
      <c r="AA64" s="66">
        <v>483.15989999999999</v>
      </c>
      <c r="AB64" s="66">
        <v>0</v>
      </c>
      <c r="AC64" s="66">
        <v>25.429469000000001</v>
      </c>
      <c r="AD64" s="67">
        <v>100</v>
      </c>
      <c r="AE64" s="67">
        <v>100</v>
      </c>
      <c r="AF64" s="67">
        <v>5.0000001081422534</v>
      </c>
      <c r="AG64" s="210">
        <v>0</v>
      </c>
      <c r="AH64" s="67">
        <v>0</v>
      </c>
      <c r="AI64" s="66">
        <v>0</v>
      </c>
      <c r="AJ64" s="66">
        <v>0</v>
      </c>
      <c r="AK64" s="66">
        <v>0</v>
      </c>
      <c r="AL64" s="66">
        <v>0</v>
      </c>
      <c r="AM64" s="66">
        <v>0</v>
      </c>
      <c r="AN64" s="66">
        <v>0</v>
      </c>
      <c r="AO64" s="66">
        <v>0</v>
      </c>
      <c r="AP64" s="66">
        <v>0</v>
      </c>
      <c r="AQ64" s="66">
        <v>0</v>
      </c>
      <c r="AR64" s="66">
        <v>0</v>
      </c>
      <c r="AS64" s="66">
        <v>0</v>
      </c>
      <c r="AT64" s="67" t="s">
        <v>1094</v>
      </c>
      <c r="AU64" s="67" t="s">
        <v>1094</v>
      </c>
      <c r="AV64" s="67">
        <v>0</v>
      </c>
      <c r="AW64" s="210">
        <v>0</v>
      </c>
      <c r="AX64" s="67">
        <v>0</v>
      </c>
    </row>
    <row r="65" spans="1:50" ht="15.75" x14ac:dyDescent="0.25">
      <c r="A65" s="11">
        <v>54</v>
      </c>
      <c r="B65" s="189" t="s">
        <v>140</v>
      </c>
      <c r="C65" s="66">
        <v>1791.3561999999999</v>
      </c>
      <c r="D65" s="66">
        <v>0</v>
      </c>
      <c r="E65" s="66">
        <v>2036.9154000000001</v>
      </c>
      <c r="F65" s="66">
        <v>1791.3561999999999</v>
      </c>
      <c r="G65" s="66">
        <v>245.5592</v>
      </c>
      <c r="H65" s="66">
        <v>1791.3561999999999</v>
      </c>
      <c r="I65" s="66">
        <v>0</v>
      </c>
      <c r="J65" s="66">
        <v>2036.9154000000001</v>
      </c>
      <c r="K65" s="66">
        <v>1791.3561999999999</v>
      </c>
      <c r="L65" s="66">
        <v>0</v>
      </c>
      <c r="M65" s="66">
        <v>245.5592</v>
      </c>
      <c r="N65" s="67">
        <v>100</v>
      </c>
      <c r="O65" s="67">
        <v>100</v>
      </c>
      <c r="P65" s="67">
        <v>12.055444227089646</v>
      </c>
      <c r="Q65" s="66">
        <v>0</v>
      </c>
      <c r="R65" s="67">
        <v>0</v>
      </c>
      <c r="S65" s="66">
        <v>1791.3561999999999</v>
      </c>
      <c r="T65" s="66">
        <v>0</v>
      </c>
      <c r="U65" s="66">
        <v>2036.9154000000001</v>
      </c>
      <c r="V65" s="66">
        <v>1791.3561999999999</v>
      </c>
      <c r="W65" s="66">
        <v>245.5592</v>
      </c>
      <c r="X65" s="66">
        <v>1791.3561999999999</v>
      </c>
      <c r="Y65" s="66">
        <v>0</v>
      </c>
      <c r="Z65" s="66">
        <v>2036.9154000000001</v>
      </c>
      <c r="AA65" s="66">
        <v>1791.3561999999999</v>
      </c>
      <c r="AB65" s="66">
        <v>0</v>
      </c>
      <c r="AC65" s="66">
        <v>245.5592</v>
      </c>
      <c r="AD65" s="67">
        <v>100</v>
      </c>
      <c r="AE65" s="67">
        <v>100</v>
      </c>
      <c r="AF65" s="67">
        <v>12.055444227089646</v>
      </c>
      <c r="AG65" s="210">
        <v>0</v>
      </c>
      <c r="AH65" s="67">
        <v>0</v>
      </c>
      <c r="AI65" s="66">
        <v>0</v>
      </c>
      <c r="AJ65" s="66">
        <v>0</v>
      </c>
      <c r="AK65" s="66">
        <v>0</v>
      </c>
      <c r="AL65" s="66">
        <v>0</v>
      </c>
      <c r="AM65" s="66">
        <v>0</v>
      </c>
      <c r="AN65" s="66">
        <v>0</v>
      </c>
      <c r="AO65" s="66">
        <v>0</v>
      </c>
      <c r="AP65" s="66">
        <v>0</v>
      </c>
      <c r="AQ65" s="66">
        <v>0</v>
      </c>
      <c r="AR65" s="66">
        <v>0</v>
      </c>
      <c r="AS65" s="66">
        <v>0</v>
      </c>
      <c r="AT65" s="67" t="s">
        <v>1094</v>
      </c>
      <c r="AU65" s="67" t="s">
        <v>1094</v>
      </c>
      <c r="AV65" s="67">
        <v>0</v>
      </c>
      <c r="AW65" s="210">
        <v>0</v>
      </c>
      <c r="AX65" s="67">
        <v>0</v>
      </c>
    </row>
    <row r="66" spans="1:50" ht="15.75" x14ac:dyDescent="0.25">
      <c r="A66" s="11">
        <v>55</v>
      </c>
      <c r="B66" s="189" t="s">
        <v>143</v>
      </c>
      <c r="C66" s="66">
        <v>439.40359999999998</v>
      </c>
      <c r="D66" s="66">
        <v>0</v>
      </c>
      <c r="E66" s="66">
        <v>462.53050000000002</v>
      </c>
      <c r="F66" s="66">
        <v>439.40359999999998</v>
      </c>
      <c r="G66" s="66">
        <v>23.126899999999999</v>
      </c>
      <c r="H66" s="66">
        <v>435.83423743000003</v>
      </c>
      <c r="I66" s="66">
        <v>0</v>
      </c>
      <c r="J66" s="66">
        <v>458.76510063999996</v>
      </c>
      <c r="K66" s="66">
        <v>435.82646943999998</v>
      </c>
      <c r="L66" s="66">
        <v>0</v>
      </c>
      <c r="M66" s="66">
        <v>22.9386312</v>
      </c>
      <c r="N66" s="67">
        <v>99.185912322975952</v>
      </c>
      <c r="O66" s="67">
        <v>99.185931534273948</v>
      </c>
      <c r="P66" s="67">
        <v>5.0000819957750657</v>
      </c>
      <c r="Q66" s="66">
        <v>0</v>
      </c>
      <c r="R66" s="67">
        <v>7.7679900000475754E-3</v>
      </c>
      <c r="S66" s="66">
        <v>439.40359999999998</v>
      </c>
      <c r="T66" s="66">
        <v>0</v>
      </c>
      <c r="U66" s="66">
        <v>462.53050000000002</v>
      </c>
      <c r="V66" s="66">
        <v>439.40359999999998</v>
      </c>
      <c r="W66" s="66">
        <v>23.126899999999999</v>
      </c>
      <c r="X66" s="66">
        <v>435.83423743000003</v>
      </c>
      <c r="Y66" s="66">
        <v>0</v>
      </c>
      <c r="Z66" s="66">
        <v>458.76510063999996</v>
      </c>
      <c r="AA66" s="66">
        <v>435.82646943999998</v>
      </c>
      <c r="AB66" s="66">
        <v>0</v>
      </c>
      <c r="AC66" s="66">
        <v>22.9386312</v>
      </c>
      <c r="AD66" s="67">
        <v>99.185912322975952</v>
      </c>
      <c r="AE66" s="67">
        <v>99.185931534273948</v>
      </c>
      <c r="AF66" s="67">
        <v>5.0000819957750657</v>
      </c>
      <c r="AG66" s="210">
        <v>0</v>
      </c>
      <c r="AH66" s="67">
        <v>7.7679900000475754E-3</v>
      </c>
      <c r="AI66" s="66">
        <v>0</v>
      </c>
      <c r="AJ66" s="66">
        <v>0</v>
      </c>
      <c r="AK66" s="66">
        <v>0</v>
      </c>
      <c r="AL66" s="66">
        <v>0</v>
      </c>
      <c r="AM66" s="66">
        <v>0</v>
      </c>
      <c r="AN66" s="66">
        <v>0</v>
      </c>
      <c r="AO66" s="66">
        <v>0</v>
      </c>
      <c r="AP66" s="66">
        <v>0</v>
      </c>
      <c r="AQ66" s="66">
        <v>0</v>
      </c>
      <c r="AR66" s="66">
        <v>0</v>
      </c>
      <c r="AS66" s="66">
        <v>0</v>
      </c>
      <c r="AT66" s="67" t="s">
        <v>1094</v>
      </c>
      <c r="AU66" s="67" t="s">
        <v>1094</v>
      </c>
      <c r="AV66" s="67">
        <v>0</v>
      </c>
      <c r="AW66" s="210">
        <v>0</v>
      </c>
      <c r="AX66" s="67">
        <v>0</v>
      </c>
    </row>
    <row r="67" spans="1:50" ht="15.75" x14ac:dyDescent="0.25">
      <c r="A67" s="11">
        <v>56</v>
      </c>
      <c r="B67" s="189" t="s">
        <v>146</v>
      </c>
      <c r="C67" s="66">
        <v>789.38630000000001</v>
      </c>
      <c r="D67" s="66">
        <v>0</v>
      </c>
      <c r="E67" s="66">
        <v>830.93294736999997</v>
      </c>
      <c r="F67" s="66">
        <v>789.38630000000001</v>
      </c>
      <c r="G67" s="66">
        <v>41.546647369999995</v>
      </c>
      <c r="H67" s="66">
        <v>789.38549784000008</v>
      </c>
      <c r="I67" s="66">
        <v>0</v>
      </c>
      <c r="J67" s="66">
        <v>830.93210290999991</v>
      </c>
      <c r="K67" s="66">
        <v>789.38549784000008</v>
      </c>
      <c r="L67" s="66">
        <v>0</v>
      </c>
      <c r="M67" s="66">
        <v>41.546605069999998</v>
      </c>
      <c r="N67" s="67">
        <v>99.999898381818895</v>
      </c>
      <c r="O67" s="67">
        <v>99.999898186730647</v>
      </c>
      <c r="P67" s="67">
        <v>4.9999999909138184</v>
      </c>
      <c r="Q67" s="66">
        <v>0</v>
      </c>
      <c r="R67" s="67">
        <v>0</v>
      </c>
      <c r="S67" s="66">
        <v>789.38630000000001</v>
      </c>
      <c r="T67" s="66">
        <v>0</v>
      </c>
      <c r="U67" s="66">
        <v>830.93294736999997</v>
      </c>
      <c r="V67" s="66">
        <v>789.38630000000001</v>
      </c>
      <c r="W67" s="66">
        <v>41.546647369999995</v>
      </c>
      <c r="X67" s="66">
        <v>789.38549784000008</v>
      </c>
      <c r="Y67" s="66">
        <v>0</v>
      </c>
      <c r="Z67" s="66">
        <v>830.93210290999991</v>
      </c>
      <c r="AA67" s="66">
        <v>789.38549784000008</v>
      </c>
      <c r="AB67" s="66">
        <v>0</v>
      </c>
      <c r="AC67" s="66">
        <v>41.546605069999998</v>
      </c>
      <c r="AD67" s="67">
        <v>99.999898381818895</v>
      </c>
      <c r="AE67" s="67">
        <v>99.999898186730647</v>
      </c>
      <c r="AF67" s="67">
        <v>4.9999999909138184</v>
      </c>
      <c r="AG67" s="210">
        <v>0</v>
      </c>
      <c r="AH67" s="67">
        <v>0</v>
      </c>
      <c r="AI67" s="66">
        <v>0</v>
      </c>
      <c r="AJ67" s="66">
        <v>0</v>
      </c>
      <c r="AK67" s="66">
        <v>0</v>
      </c>
      <c r="AL67" s="66">
        <v>0</v>
      </c>
      <c r="AM67" s="66">
        <v>0</v>
      </c>
      <c r="AN67" s="66">
        <v>0</v>
      </c>
      <c r="AO67" s="66">
        <v>0</v>
      </c>
      <c r="AP67" s="66">
        <v>0</v>
      </c>
      <c r="AQ67" s="66">
        <v>0</v>
      </c>
      <c r="AR67" s="66">
        <v>0</v>
      </c>
      <c r="AS67" s="66">
        <v>0</v>
      </c>
      <c r="AT67" s="67" t="s">
        <v>1094</v>
      </c>
      <c r="AU67" s="67" t="s">
        <v>1094</v>
      </c>
      <c r="AV67" s="67">
        <v>0</v>
      </c>
      <c r="AW67" s="210">
        <v>0</v>
      </c>
      <c r="AX67" s="67">
        <v>0</v>
      </c>
    </row>
    <row r="68" spans="1:50" ht="15.75" x14ac:dyDescent="0.25">
      <c r="A68" s="11">
        <v>57</v>
      </c>
      <c r="B68" s="189" t="s">
        <v>149</v>
      </c>
      <c r="C68" s="66">
        <v>358.20609999999999</v>
      </c>
      <c r="D68" s="66">
        <v>0</v>
      </c>
      <c r="E68" s="66">
        <v>381.88283699999999</v>
      </c>
      <c r="F68" s="66">
        <v>358.20609999999999</v>
      </c>
      <c r="G68" s="66">
        <v>23.676736999999999</v>
      </c>
      <c r="H68" s="66">
        <v>333.41059645000001</v>
      </c>
      <c r="I68" s="66">
        <v>0</v>
      </c>
      <c r="J68" s="66">
        <v>354.75615162000003</v>
      </c>
      <c r="K68" s="66">
        <v>332.76127025</v>
      </c>
      <c r="L68" s="66">
        <v>0</v>
      </c>
      <c r="M68" s="66">
        <v>21.994881370000002</v>
      </c>
      <c r="N68" s="67">
        <v>92.896595074734904</v>
      </c>
      <c r="O68" s="67">
        <v>92.896590311409895</v>
      </c>
      <c r="P68" s="67">
        <v>6.1999999914194586</v>
      </c>
      <c r="Q68" s="66">
        <v>0</v>
      </c>
      <c r="R68" s="67">
        <v>0.64932620000001862</v>
      </c>
      <c r="S68" s="66">
        <v>358.20609999999999</v>
      </c>
      <c r="T68" s="66">
        <v>0</v>
      </c>
      <c r="U68" s="66">
        <v>381.88283699999999</v>
      </c>
      <c r="V68" s="66">
        <v>358.20609999999999</v>
      </c>
      <c r="W68" s="66">
        <v>23.676736999999999</v>
      </c>
      <c r="X68" s="66">
        <v>333.41059645000001</v>
      </c>
      <c r="Y68" s="66">
        <v>0</v>
      </c>
      <c r="Z68" s="66">
        <v>354.75615162000003</v>
      </c>
      <c r="AA68" s="66">
        <v>332.76127025</v>
      </c>
      <c r="AB68" s="66">
        <v>0</v>
      </c>
      <c r="AC68" s="66">
        <v>21.994881370000002</v>
      </c>
      <c r="AD68" s="67">
        <v>92.896595074734904</v>
      </c>
      <c r="AE68" s="67">
        <v>92.896590311409895</v>
      </c>
      <c r="AF68" s="67">
        <v>6.1999999914194586</v>
      </c>
      <c r="AG68" s="210">
        <v>0</v>
      </c>
      <c r="AH68" s="67">
        <v>0.64932620000001862</v>
      </c>
      <c r="AI68" s="66">
        <v>0</v>
      </c>
      <c r="AJ68" s="66">
        <v>0</v>
      </c>
      <c r="AK68" s="66">
        <v>0</v>
      </c>
      <c r="AL68" s="66">
        <v>0</v>
      </c>
      <c r="AM68" s="66">
        <v>0</v>
      </c>
      <c r="AN68" s="66">
        <v>0</v>
      </c>
      <c r="AO68" s="66">
        <v>0</v>
      </c>
      <c r="AP68" s="66">
        <v>0</v>
      </c>
      <c r="AQ68" s="66">
        <v>0</v>
      </c>
      <c r="AR68" s="66">
        <v>0</v>
      </c>
      <c r="AS68" s="66">
        <v>0</v>
      </c>
      <c r="AT68" s="67" t="s">
        <v>1094</v>
      </c>
      <c r="AU68" s="67" t="s">
        <v>1094</v>
      </c>
      <c r="AV68" s="67">
        <v>0</v>
      </c>
      <c r="AW68" s="210">
        <v>0</v>
      </c>
      <c r="AX68" s="67">
        <v>0</v>
      </c>
    </row>
    <row r="69" spans="1:50" ht="15.75" x14ac:dyDescent="0.25">
      <c r="A69" s="11">
        <v>58</v>
      </c>
      <c r="B69" s="189" t="s">
        <v>152</v>
      </c>
      <c r="C69" s="66">
        <v>337.94880000000001</v>
      </c>
      <c r="D69" s="66">
        <v>0</v>
      </c>
      <c r="E69" s="66">
        <v>355.73581000000001</v>
      </c>
      <c r="F69" s="66">
        <v>337.94880000000001</v>
      </c>
      <c r="G69" s="66">
        <v>17.787009999999999</v>
      </c>
      <c r="H69" s="66">
        <v>337.94570782</v>
      </c>
      <c r="I69" s="66">
        <v>0</v>
      </c>
      <c r="J69" s="66">
        <v>355.73255508</v>
      </c>
      <c r="K69" s="66">
        <v>337.94570782</v>
      </c>
      <c r="L69" s="66">
        <v>0</v>
      </c>
      <c r="M69" s="66">
        <v>17.786847260000002</v>
      </c>
      <c r="N69" s="67">
        <v>99.999085015244916</v>
      </c>
      <c r="O69" s="67">
        <v>99.999085062638429</v>
      </c>
      <c r="P69" s="67">
        <v>5.0000617053448906</v>
      </c>
      <c r="Q69" s="66">
        <v>0</v>
      </c>
      <c r="R69" s="67">
        <v>0</v>
      </c>
      <c r="S69" s="66">
        <v>337.94880000000001</v>
      </c>
      <c r="T69" s="66">
        <v>0</v>
      </c>
      <c r="U69" s="66">
        <v>355.73581000000001</v>
      </c>
      <c r="V69" s="66">
        <v>337.94880000000001</v>
      </c>
      <c r="W69" s="66">
        <v>17.787009999999999</v>
      </c>
      <c r="X69" s="66">
        <v>337.94570782</v>
      </c>
      <c r="Y69" s="66">
        <v>0</v>
      </c>
      <c r="Z69" s="66">
        <v>355.73255508</v>
      </c>
      <c r="AA69" s="66">
        <v>337.94570782</v>
      </c>
      <c r="AB69" s="66">
        <v>0</v>
      </c>
      <c r="AC69" s="66">
        <v>17.786847260000002</v>
      </c>
      <c r="AD69" s="67">
        <v>99.999085015244916</v>
      </c>
      <c r="AE69" s="67">
        <v>99.999085062638429</v>
      </c>
      <c r="AF69" s="67">
        <v>5.0000617053448906</v>
      </c>
      <c r="AG69" s="210">
        <v>0</v>
      </c>
      <c r="AH69" s="67">
        <v>0</v>
      </c>
      <c r="AI69" s="66">
        <v>0</v>
      </c>
      <c r="AJ69" s="66">
        <v>0</v>
      </c>
      <c r="AK69" s="66">
        <v>0</v>
      </c>
      <c r="AL69" s="66">
        <v>0</v>
      </c>
      <c r="AM69" s="66">
        <v>0</v>
      </c>
      <c r="AN69" s="66">
        <v>0</v>
      </c>
      <c r="AO69" s="66">
        <v>0</v>
      </c>
      <c r="AP69" s="66">
        <v>0</v>
      </c>
      <c r="AQ69" s="66">
        <v>0</v>
      </c>
      <c r="AR69" s="66">
        <v>0</v>
      </c>
      <c r="AS69" s="66">
        <v>0</v>
      </c>
      <c r="AT69" s="67" t="s">
        <v>1094</v>
      </c>
      <c r="AU69" s="67" t="s">
        <v>1094</v>
      </c>
      <c r="AV69" s="67">
        <v>0</v>
      </c>
      <c r="AW69" s="210">
        <v>0</v>
      </c>
      <c r="AX69" s="67">
        <v>0</v>
      </c>
    </row>
    <row r="70" spans="1:50" ht="15.75" x14ac:dyDescent="0.25">
      <c r="A70" s="11">
        <v>59</v>
      </c>
      <c r="B70" s="189" t="s">
        <v>155</v>
      </c>
      <c r="C70" s="66">
        <v>439.15550000000002</v>
      </c>
      <c r="D70" s="66">
        <v>0</v>
      </c>
      <c r="E70" s="66">
        <v>462.26894800000002</v>
      </c>
      <c r="F70" s="66">
        <v>439.15550000000002</v>
      </c>
      <c r="G70" s="66">
        <v>23.113448000000002</v>
      </c>
      <c r="H70" s="66">
        <v>439.15549205000002</v>
      </c>
      <c r="I70" s="66">
        <v>0</v>
      </c>
      <c r="J70" s="66">
        <v>462.26893899999999</v>
      </c>
      <c r="K70" s="66">
        <v>439.15549205000002</v>
      </c>
      <c r="L70" s="66">
        <v>0</v>
      </c>
      <c r="M70" s="66">
        <v>23.11344695</v>
      </c>
      <c r="N70" s="67">
        <v>99.999998189707298</v>
      </c>
      <c r="O70" s="67">
        <v>99.99999545719011</v>
      </c>
      <c r="P70" s="67">
        <v>5</v>
      </c>
      <c r="Q70" s="66">
        <v>0</v>
      </c>
      <c r="R70" s="67">
        <v>0</v>
      </c>
      <c r="S70" s="66">
        <v>439.15550000000002</v>
      </c>
      <c r="T70" s="66">
        <v>0</v>
      </c>
      <c r="U70" s="66">
        <v>462.26894800000002</v>
      </c>
      <c r="V70" s="66">
        <v>439.15550000000002</v>
      </c>
      <c r="W70" s="66">
        <v>23.113448000000002</v>
      </c>
      <c r="X70" s="66">
        <v>439.15549205000002</v>
      </c>
      <c r="Y70" s="66">
        <v>0</v>
      </c>
      <c r="Z70" s="66">
        <v>462.26893899999999</v>
      </c>
      <c r="AA70" s="66">
        <v>439.15549205000002</v>
      </c>
      <c r="AB70" s="66">
        <v>0</v>
      </c>
      <c r="AC70" s="66">
        <v>23.11344695</v>
      </c>
      <c r="AD70" s="67">
        <v>99.999998189707298</v>
      </c>
      <c r="AE70" s="67">
        <v>99.99999545719011</v>
      </c>
      <c r="AF70" s="67">
        <v>5</v>
      </c>
      <c r="AG70" s="210">
        <v>0</v>
      </c>
      <c r="AH70" s="67">
        <v>0</v>
      </c>
      <c r="AI70" s="66">
        <v>0</v>
      </c>
      <c r="AJ70" s="66">
        <v>0</v>
      </c>
      <c r="AK70" s="66">
        <v>0</v>
      </c>
      <c r="AL70" s="66">
        <v>0</v>
      </c>
      <c r="AM70" s="66">
        <v>0</v>
      </c>
      <c r="AN70" s="66">
        <v>0</v>
      </c>
      <c r="AO70" s="66">
        <v>0</v>
      </c>
      <c r="AP70" s="66">
        <v>0</v>
      </c>
      <c r="AQ70" s="66">
        <v>0</v>
      </c>
      <c r="AR70" s="66">
        <v>0</v>
      </c>
      <c r="AS70" s="66">
        <v>0</v>
      </c>
      <c r="AT70" s="67" t="s">
        <v>1094</v>
      </c>
      <c r="AU70" s="67" t="s">
        <v>1094</v>
      </c>
      <c r="AV70" s="67">
        <v>0</v>
      </c>
      <c r="AW70" s="210">
        <v>0</v>
      </c>
      <c r="AX70" s="67">
        <v>0</v>
      </c>
    </row>
    <row r="71" spans="1:50" ht="15.75" x14ac:dyDescent="0.25">
      <c r="A71" s="11">
        <v>60</v>
      </c>
      <c r="B71" s="189" t="s">
        <v>158</v>
      </c>
      <c r="C71" s="66">
        <v>679.9067</v>
      </c>
      <c r="D71" s="66">
        <v>0</v>
      </c>
      <c r="E71" s="66">
        <v>825.43</v>
      </c>
      <c r="F71" s="66">
        <v>679.9067</v>
      </c>
      <c r="G71" s="66">
        <v>145.52330000000001</v>
      </c>
      <c r="H71" s="66">
        <v>679.90504704</v>
      </c>
      <c r="I71" s="66">
        <v>0</v>
      </c>
      <c r="J71" s="66">
        <v>825.42799415000002</v>
      </c>
      <c r="K71" s="66">
        <v>679.90504704</v>
      </c>
      <c r="L71" s="66">
        <v>0</v>
      </c>
      <c r="M71" s="66">
        <v>145.52294711000002</v>
      </c>
      <c r="N71" s="67">
        <v>99.999756884290164</v>
      </c>
      <c r="O71" s="67">
        <v>99.999757502750427</v>
      </c>
      <c r="P71" s="67">
        <v>17.629998999471177</v>
      </c>
      <c r="Q71" s="66">
        <v>0</v>
      </c>
      <c r="R71" s="67">
        <v>0</v>
      </c>
      <c r="S71" s="66">
        <v>679.9067</v>
      </c>
      <c r="T71" s="66">
        <v>0</v>
      </c>
      <c r="U71" s="66">
        <v>825.43</v>
      </c>
      <c r="V71" s="66">
        <v>679.9067</v>
      </c>
      <c r="W71" s="66">
        <v>145.52330000000001</v>
      </c>
      <c r="X71" s="66">
        <v>679.90504704</v>
      </c>
      <c r="Y71" s="66">
        <v>0</v>
      </c>
      <c r="Z71" s="66">
        <v>825.42799415000002</v>
      </c>
      <c r="AA71" s="66">
        <v>679.90504704</v>
      </c>
      <c r="AB71" s="66">
        <v>0</v>
      </c>
      <c r="AC71" s="66">
        <v>145.52294711000002</v>
      </c>
      <c r="AD71" s="67">
        <v>99.999756884290164</v>
      </c>
      <c r="AE71" s="67">
        <v>99.999757502750427</v>
      </c>
      <c r="AF71" s="67">
        <v>17.629998999471177</v>
      </c>
      <c r="AG71" s="210">
        <v>0</v>
      </c>
      <c r="AH71" s="67">
        <v>0</v>
      </c>
      <c r="AI71" s="66">
        <v>0</v>
      </c>
      <c r="AJ71" s="66">
        <v>0</v>
      </c>
      <c r="AK71" s="66">
        <v>0</v>
      </c>
      <c r="AL71" s="66">
        <v>0</v>
      </c>
      <c r="AM71" s="66">
        <v>0</v>
      </c>
      <c r="AN71" s="66">
        <v>0</v>
      </c>
      <c r="AO71" s="66">
        <v>0</v>
      </c>
      <c r="AP71" s="66">
        <v>0</v>
      </c>
      <c r="AQ71" s="66">
        <v>0</v>
      </c>
      <c r="AR71" s="66">
        <v>0</v>
      </c>
      <c r="AS71" s="66">
        <v>0</v>
      </c>
      <c r="AT71" s="67" t="s">
        <v>1094</v>
      </c>
      <c r="AU71" s="67" t="s">
        <v>1094</v>
      </c>
      <c r="AV71" s="67">
        <v>0</v>
      </c>
      <c r="AW71" s="210">
        <v>0</v>
      </c>
      <c r="AX71" s="67">
        <v>0</v>
      </c>
    </row>
    <row r="72" spans="1:50" ht="15.75" x14ac:dyDescent="0.25">
      <c r="A72" s="11">
        <v>61</v>
      </c>
      <c r="B72" s="189" t="s">
        <v>161</v>
      </c>
      <c r="C72" s="66">
        <v>534.57619999999997</v>
      </c>
      <c r="D72" s="66">
        <v>0</v>
      </c>
      <c r="E72" s="66">
        <v>562.71179600000005</v>
      </c>
      <c r="F72" s="66">
        <v>534.57619999999997</v>
      </c>
      <c r="G72" s="66">
        <v>28.135596</v>
      </c>
      <c r="H72" s="66">
        <v>534.57619999999997</v>
      </c>
      <c r="I72" s="66">
        <v>0</v>
      </c>
      <c r="J72" s="66">
        <v>562.71178940999994</v>
      </c>
      <c r="K72" s="66">
        <v>534.57619999999997</v>
      </c>
      <c r="L72" s="66">
        <v>0</v>
      </c>
      <c r="M72" s="66">
        <v>28.135589410000001</v>
      </c>
      <c r="N72" s="67">
        <v>100</v>
      </c>
      <c r="O72" s="67">
        <v>99.99997657771317</v>
      </c>
      <c r="P72" s="67">
        <v>4.9999999892484936</v>
      </c>
      <c r="Q72" s="66">
        <v>0</v>
      </c>
      <c r="R72" s="67">
        <v>0</v>
      </c>
      <c r="S72" s="66">
        <v>534.57619999999997</v>
      </c>
      <c r="T72" s="66">
        <v>0</v>
      </c>
      <c r="U72" s="66">
        <v>562.71179600000005</v>
      </c>
      <c r="V72" s="66">
        <v>534.57619999999997</v>
      </c>
      <c r="W72" s="66">
        <v>28.135596</v>
      </c>
      <c r="X72" s="66">
        <v>534.57619999999997</v>
      </c>
      <c r="Y72" s="66">
        <v>0</v>
      </c>
      <c r="Z72" s="66">
        <v>562.71178940999994</v>
      </c>
      <c r="AA72" s="66">
        <v>534.57619999999997</v>
      </c>
      <c r="AB72" s="66">
        <v>0</v>
      </c>
      <c r="AC72" s="66">
        <v>28.135589410000001</v>
      </c>
      <c r="AD72" s="67">
        <v>100</v>
      </c>
      <c r="AE72" s="67">
        <v>99.99997657771317</v>
      </c>
      <c r="AF72" s="67">
        <v>4.9999999892484936</v>
      </c>
      <c r="AG72" s="210">
        <v>0</v>
      </c>
      <c r="AH72" s="67">
        <v>0</v>
      </c>
      <c r="AI72" s="66">
        <v>0</v>
      </c>
      <c r="AJ72" s="66">
        <v>0</v>
      </c>
      <c r="AK72" s="66">
        <v>0</v>
      </c>
      <c r="AL72" s="66">
        <v>0</v>
      </c>
      <c r="AM72" s="66">
        <v>0</v>
      </c>
      <c r="AN72" s="66">
        <v>0</v>
      </c>
      <c r="AO72" s="66">
        <v>0</v>
      </c>
      <c r="AP72" s="66">
        <v>0</v>
      </c>
      <c r="AQ72" s="66">
        <v>0</v>
      </c>
      <c r="AR72" s="66">
        <v>0</v>
      </c>
      <c r="AS72" s="66">
        <v>0</v>
      </c>
      <c r="AT72" s="67" t="s">
        <v>1094</v>
      </c>
      <c r="AU72" s="67" t="s">
        <v>1094</v>
      </c>
      <c r="AV72" s="67">
        <v>0</v>
      </c>
      <c r="AW72" s="210">
        <v>0</v>
      </c>
      <c r="AX72" s="67">
        <v>0</v>
      </c>
    </row>
    <row r="73" spans="1:50" ht="15.75" x14ac:dyDescent="0.25">
      <c r="A73" s="11">
        <v>62</v>
      </c>
      <c r="B73" s="189" t="s">
        <v>164</v>
      </c>
      <c r="C73" s="66">
        <v>529.30449999999996</v>
      </c>
      <c r="D73" s="66">
        <v>0</v>
      </c>
      <c r="E73" s="66">
        <v>588.11680030999992</v>
      </c>
      <c r="F73" s="66">
        <v>529.30449999999996</v>
      </c>
      <c r="G73" s="66">
        <v>58.812300310000005</v>
      </c>
      <c r="H73" s="66">
        <v>529.29729298000007</v>
      </c>
      <c r="I73" s="66">
        <v>0</v>
      </c>
      <c r="J73" s="66">
        <v>588.09714794000001</v>
      </c>
      <c r="K73" s="66">
        <v>529.28743316999999</v>
      </c>
      <c r="L73" s="66">
        <v>0</v>
      </c>
      <c r="M73" s="66">
        <v>58.809714770000006</v>
      </c>
      <c r="N73" s="67">
        <v>99.996775612147644</v>
      </c>
      <c r="O73" s="67">
        <v>99.995603742777675</v>
      </c>
      <c r="P73" s="67">
        <v>9.9999999959190422</v>
      </c>
      <c r="Q73" s="66">
        <v>0</v>
      </c>
      <c r="R73" s="67">
        <v>9.8598100000799604E-3</v>
      </c>
      <c r="S73" s="66">
        <v>529.30449999999996</v>
      </c>
      <c r="T73" s="66">
        <v>0</v>
      </c>
      <c r="U73" s="66">
        <v>588.11680030999992</v>
      </c>
      <c r="V73" s="66">
        <v>529.30449999999996</v>
      </c>
      <c r="W73" s="66">
        <v>58.812300310000005</v>
      </c>
      <c r="X73" s="66">
        <v>529.29729298000007</v>
      </c>
      <c r="Y73" s="66">
        <v>0</v>
      </c>
      <c r="Z73" s="66">
        <v>588.09714794000001</v>
      </c>
      <c r="AA73" s="66">
        <v>529.28743316999999</v>
      </c>
      <c r="AB73" s="66">
        <v>0</v>
      </c>
      <c r="AC73" s="66">
        <v>58.809714770000006</v>
      </c>
      <c r="AD73" s="67">
        <v>99.996775612147644</v>
      </c>
      <c r="AE73" s="67">
        <v>99.995603742777675</v>
      </c>
      <c r="AF73" s="67">
        <v>9.9999999959190422</v>
      </c>
      <c r="AG73" s="210">
        <v>0</v>
      </c>
      <c r="AH73" s="67">
        <v>9.8598100000799604E-3</v>
      </c>
      <c r="AI73" s="66">
        <v>0</v>
      </c>
      <c r="AJ73" s="66">
        <v>0</v>
      </c>
      <c r="AK73" s="66">
        <v>0</v>
      </c>
      <c r="AL73" s="66">
        <v>0</v>
      </c>
      <c r="AM73" s="66">
        <v>0</v>
      </c>
      <c r="AN73" s="66">
        <v>0</v>
      </c>
      <c r="AO73" s="66">
        <v>0</v>
      </c>
      <c r="AP73" s="66">
        <v>0</v>
      </c>
      <c r="AQ73" s="66">
        <v>0</v>
      </c>
      <c r="AR73" s="66">
        <v>0</v>
      </c>
      <c r="AS73" s="66">
        <v>0</v>
      </c>
      <c r="AT73" s="67" t="s">
        <v>1094</v>
      </c>
      <c r="AU73" s="67" t="s">
        <v>1094</v>
      </c>
      <c r="AV73" s="67">
        <v>0</v>
      </c>
      <c r="AW73" s="210">
        <v>0</v>
      </c>
      <c r="AX73" s="67">
        <v>0</v>
      </c>
    </row>
    <row r="74" spans="1:50" ht="15.75" x14ac:dyDescent="0.25">
      <c r="A74" s="11">
        <v>63</v>
      </c>
      <c r="B74" s="189" t="s">
        <v>167</v>
      </c>
      <c r="C74" s="66">
        <v>620.99109999999996</v>
      </c>
      <c r="D74" s="66">
        <v>0</v>
      </c>
      <c r="E74" s="66">
        <v>653.67570000000001</v>
      </c>
      <c r="F74" s="66">
        <v>620.99109999999996</v>
      </c>
      <c r="G74" s="66">
        <v>32.684600000000003</v>
      </c>
      <c r="H74" s="66">
        <v>620.99017028999992</v>
      </c>
      <c r="I74" s="66">
        <v>0</v>
      </c>
      <c r="J74" s="66">
        <v>653.67471670999998</v>
      </c>
      <c r="K74" s="66">
        <v>620.99017028999992</v>
      </c>
      <c r="L74" s="66">
        <v>0</v>
      </c>
      <c r="M74" s="66">
        <v>32.684546420000004</v>
      </c>
      <c r="N74" s="67">
        <v>99.999850286099104</v>
      </c>
      <c r="O74" s="67">
        <v>99.999836069586294</v>
      </c>
      <c r="P74" s="67">
        <v>5.0001240042607256</v>
      </c>
      <c r="Q74" s="66">
        <v>0</v>
      </c>
      <c r="R74" s="67">
        <v>0</v>
      </c>
      <c r="S74" s="66">
        <v>620.99109999999996</v>
      </c>
      <c r="T74" s="66">
        <v>0</v>
      </c>
      <c r="U74" s="66">
        <v>653.67570000000001</v>
      </c>
      <c r="V74" s="66">
        <v>620.99109999999996</v>
      </c>
      <c r="W74" s="66">
        <v>32.684600000000003</v>
      </c>
      <c r="X74" s="66">
        <v>620.99017028999992</v>
      </c>
      <c r="Y74" s="66">
        <v>0</v>
      </c>
      <c r="Z74" s="66">
        <v>653.67471670999998</v>
      </c>
      <c r="AA74" s="66">
        <v>620.99017028999992</v>
      </c>
      <c r="AB74" s="66">
        <v>0</v>
      </c>
      <c r="AC74" s="66">
        <v>32.684546420000004</v>
      </c>
      <c r="AD74" s="67">
        <v>99.999850286099104</v>
      </c>
      <c r="AE74" s="67">
        <v>99.999836069586294</v>
      </c>
      <c r="AF74" s="67">
        <v>5.0001240042607256</v>
      </c>
      <c r="AG74" s="210">
        <v>0</v>
      </c>
      <c r="AH74" s="67">
        <v>0</v>
      </c>
      <c r="AI74" s="66">
        <v>0</v>
      </c>
      <c r="AJ74" s="66">
        <v>0</v>
      </c>
      <c r="AK74" s="66">
        <v>0</v>
      </c>
      <c r="AL74" s="66">
        <v>0</v>
      </c>
      <c r="AM74" s="66">
        <v>0</v>
      </c>
      <c r="AN74" s="66">
        <v>0</v>
      </c>
      <c r="AO74" s="66">
        <v>0</v>
      </c>
      <c r="AP74" s="66">
        <v>0</v>
      </c>
      <c r="AQ74" s="66">
        <v>0</v>
      </c>
      <c r="AR74" s="66">
        <v>0</v>
      </c>
      <c r="AS74" s="66">
        <v>0</v>
      </c>
      <c r="AT74" s="67" t="s">
        <v>1094</v>
      </c>
      <c r="AU74" s="67" t="s">
        <v>1094</v>
      </c>
      <c r="AV74" s="67">
        <v>0</v>
      </c>
      <c r="AW74" s="210">
        <v>0</v>
      </c>
      <c r="AX74" s="67">
        <v>0</v>
      </c>
    </row>
    <row r="75" spans="1:50" ht="15.75" x14ac:dyDescent="0.25">
      <c r="A75" s="74">
        <v>64</v>
      </c>
      <c r="B75" s="189" t="s">
        <v>170</v>
      </c>
      <c r="C75" s="66">
        <v>283.68150000000003</v>
      </c>
      <c r="D75" s="66">
        <v>0</v>
      </c>
      <c r="E75" s="66">
        <v>338.68150000000003</v>
      </c>
      <c r="F75" s="66">
        <v>283.68150000000003</v>
      </c>
      <c r="G75" s="66">
        <v>55</v>
      </c>
      <c r="H75" s="66">
        <v>278.49971392999998</v>
      </c>
      <c r="I75" s="66">
        <v>0</v>
      </c>
      <c r="J75" s="66">
        <v>332.4972707</v>
      </c>
      <c r="K75" s="66">
        <v>278.49971392999998</v>
      </c>
      <c r="L75" s="66">
        <v>0</v>
      </c>
      <c r="M75" s="66">
        <v>53.997556770000003</v>
      </c>
      <c r="N75" s="67">
        <v>98.173378923193781</v>
      </c>
      <c r="O75" s="67">
        <v>98.177375945454543</v>
      </c>
      <c r="P75" s="67">
        <v>16.240000002502278</v>
      </c>
      <c r="Q75" s="66">
        <v>0</v>
      </c>
      <c r="R75" s="67">
        <v>0</v>
      </c>
      <c r="S75" s="66">
        <v>283.68150000000003</v>
      </c>
      <c r="T75" s="66">
        <v>0</v>
      </c>
      <c r="U75" s="66">
        <v>338.68150000000003</v>
      </c>
      <c r="V75" s="66">
        <v>283.68150000000003</v>
      </c>
      <c r="W75" s="66">
        <v>55</v>
      </c>
      <c r="X75" s="66">
        <v>278.49971392999998</v>
      </c>
      <c r="Y75" s="66">
        <v>0</v>
      </c>
      <c r="Z75" s="66">
        <v>332.4972707</v>
      </c>
      <c r="AA75" s="66">
        <v>278.49971392999998</v>
      </c>
      <c r="AB75" s="66">
        <v>0</v>
      </c>
      <c r="AC75" s="66">
        <v>53.997556770000003</v>
      </c>
      <c r="AD75" s="67">
        <v>98.173378923193781</v>
      </c>
      <c r="AE75" s="67">
        <v>98.177375945454543</v>
      </c>
      <c r="AF75" s="67">
        <v>16.240000002502278</v>
      </c>
      <c r="AG75" s="210">
        <v>0</v>
      </c>
      <c r="AH75" s="67">
        <v>0</v>
      </c>
      <c r="AI75" s="66">
        <v>0</v>
      </c>
      <c r="AJ75" s="66">
        <v>0</v>
      </c>
      <c r="AK75" s="66">
        <v>0</v>
      </c>
      <c r="AL75" s="66">
        <v>0</v>
      </c>
      <c r="AM75" s="66">
        <v>0</v>
      </c>
      <c r="AN75" s="66">
        <v>0</v>
      </c>
      <c r="AO75" s="66">
        <v>0</v>
      </c>
      <c r="AP75" s="66">
        <v>0</v>
      </c>
      <c r="AQ75" s="66">
        <v>0</v>
      </c>
      <c r="AR75" s="66">
        <v>0</v>
      </c>
      <c r="AS75" s="66">
        <v>0</v>
      </c>
      <c r="AT75" s="67" t="s">
        <v>1094</v>
      </c>
      <c r="AU75" s="67" t="s">
        <v>1094</v>
      </c>
      <c r="AV75" s="67">
        <v>0</v>
      </c>
      <c r="AW75" s="210">
        <v>0</v>
      </c>
      <c r="AX75" s="67">
        <v>0</v>
      </c>
    </row>
    <row r="76" spans="1:50" ht="15.75" x14ac:dyDescent="0.25">
      <c r="A76" s="57">
        <v>65</v>
      </c>
      <c r="B76" s="190" t="s">
        <v>173</v>
      </c>
      <c r="C76" s="61">
        <v>1413.6702</v>
      </c>
      <c r="D76" s="61">
        <v>0</v>
      </c>
      <c r="E76" s="61">
        <v>1863.6465531100002</v>
      </c>
      <c r="F76" s="61">
        <v>1412.2939999999999</v>
      </c>
      <c r="G76" s="61">
        <v>451.35255310999997</v>
      </c>
      <c r="H76" s="61">
        <v>1411.87889735</v>
      </c>
      <c r="I76" s="61">
        <v>0</v>
      </c>
      <c r="J76" s="61">
        <v>1861.9417695900001</v>
      </c>
      <c r="K76" s="61">
        <v>1411.61999107</v>
      </c>
      <c r="L76" s="61">
        <v>0</v>
      </c>
      <c r="M76" s="61">
        <v>450.32177852000001</v>
      </c>
      <c r="N76" s="61">
        <v>99.952275593467093</v>
      </c>
      <c r="O76" s="61">
        <v>99.771625399502568</v>
      </c>
      <c r="P76" s="61">
        <v>24.185599457235494</v>
      </c>
      <c r="Q76" s="61">
        <v>0</v>
      </c>
      <c r="R76" s="61">
        <v>0.25890627999999083</v>
      </c>
      <c r="S76" s="61">
        <v>1413.6702</v>
      </c>
      <c r="T76" s="61">
        <v>0</v>
      </c>
      <c r="U76" s="61">
        <v>1863.6465531100002</v>
      </c>
      <c r="V76" s="61">
        <v>1412.2939999999999</v>
      </c>
      <c r="W76" s="61">
        <v>451.35255310999997</v>
      </c>
      <c r="X76" s="61">
        <v>1411.87889735</v>
      </c>
      <c r="Y76" s="61">
        <v>0</v>
      </c>
      <c r="Z76" s="61">
        <v>1861.9417695900001</v>
      </c>
      <c r="AA76" s="61">
        <v>1411.61999107</v>
      </c>
      <c r="AB76" s="61">
        <v>0</v>
      </c>
      <c r="AC76" s="61">
        <v>450.32177852000001</v>
      </c>
      <c r="AD76" s="61">
        <v>99.952275593467093</v>
      </c>
      <c r="AE76" s="61">
        <v>99.771625399502568</v>
      </c>
      <c r="AF76" s="61">
        <v>24.185599457235494</v>
      </c>
      <c r="AG76" s="61">
        <v>0</v>
      </c>
      <c r="AH76" s="61">
        <v>0.25890627999999083</v>
      </c>
      <c r="AI76" s="61">
        <v>0</v>
      </c>
      <c r="AJ76" s="61">
        <v>0</v>
      </c>
      <c r="AK76" s="61">
        <v>0</v>
      </c>
      <c r="AL76" s="61">
        <v>0</v>
      </c>
      <c r="AM76" s="61">
        <v>0</v>
      </c>
      <c r="AN76" s="61">
        <v>0</v>
      </c>
      <c r="AO76" s="61">
        <v>0</v>
      </c>
      <c r="AP76" s="61">
        <v>0</v>
      </c>
      <c r="AQ76" s="61">
        <v>0</v>
      </c>
      <c r="AR76" s="61">
        <v>0</v>
      </c>
      <c r="AS76" s="61">
        <v>0</v>
      </c>
      <c r="AT76" s="61" t="s">
        <v>1094</v>
      </c>
      <c r="AU76" s="61" t="s">
        <v>1094</v>
      </c>
      <c r="AV76" s="61">
        <v>0</v>
      </c>
      <c r="AW76" s="61">
        <v>0</v>
      </c>
      <c r="AX76" s="61">
        <v>0</v>
      </c>
    </row>
    <row r="77" spans="1:50" ht="15.75" x14ac:dyDescent="0.25">
      <c r="A77" s="11">
        <v>66</v>
      </c>
      <c r="B77" s="189" t="s">
        <v>176</v>
      </c>
      <c r="C77" s="66">
        <v>234.82550000000001</v>
      </c>
      <c r="D77" s="66">
        <v>0</v>
      </c>
      <c r="E77" s="66">
        <v>247.18473900000001</v>
      </c>
      <c r="F77" s="66">
        <v>234.82550000000001</v>
      </c>
      <c r="G77" s="66">
        <v>12.359239000000001</v>
      </c>
      <c r="H77" s="66">
        <v>234.82550000000001</v>
      </c>
      <c r="I77" s="66">
        <v>0</v>
      </c>
      <c r="J77" s="66">
        <v>247.18473900000001</v>
      </c>
      <c r="K77" s="66">
        <v>234.82550000000001</v>
      </c>
      <c r="L77" s="66">
        <v>0</v>
      </c>
      <c r="M77" s="66">
        <v>12.359239000000001</v>
      </c>
      <c r="N77" s="67">
        <v>100</v>
      </c>
      <c r="O77" s="67">
        <v>100</v>
      </c>
      <c r="P77" s="67">
        <v>5.0000008293392257</v>
      </c>
      <c r="Q77" s="66">
        <v>0</v>
      </c>
      <c r="R77" s="67">
        <v>0</v>
      </c>
      <c r="S77" s="66">
        <v>234.82550000000001</v>
      </c>
      <c r="T77" s="66">
        <v>0</v>
      </c>
      <c r="U77" s="66">
        <v>247.18473900000001</v>
      </c>
      <c r="V77" s="66">
        <v>234.82550000000001</v>
      </c>
      <c r="W77" s="66">
        <v>12.359239000000001</v>
      </c>
      <c r="X77" s="66">
        <v>234.82550000000001</v>
      </c>
      <c r="Y77" s="66">
        <v>0</v>
      </c>
      <c r="Z77" s="66">
        <v>247.18473900000001</v>
      </c>
      <c r="AA77" s="66">
        <v>234.82550000000001</v>
      </c>
      <c r="AB77" s="66">
        <v>0</v>
      </c>
      <c r="AC77" s="66">
        <v>12.359239000000001</v>
      </c>
      <c r="AD77" s="67">
        <v>100</v>
      </c>
      <c r="AE77" s="67">
        <v>100</v>
      </c>
      <c r="AF77" s="67">
        <v>5.0000008293392257</v>
      </c>
      <c r="AG77" s="210">
        <v>0</v>
      </c>
      <c r="AH77" s="67">
        <v>0</v>
      </c>
      <c r="AI77" s="66">
        <v>0</v>
      </c>
      <c r="AJ77" s="66">
        <v>0</v>
      </c>
      <c r="AK77" s="66">
        <v>0</v>
      </c>
      <c r="AL77" s="66">
        <v>0</v>
      </c>
      <c r="AM77" s="66">
        <v>0</v>
      </c>
      <c r="AN77" s="66">
        <v>0</v>
      </c>
      <c r="AO77" s="66">
        <v>0</v>
      </c>
      <c r="AP77" s="66">
        <v>0</v>
      </c>
      <c r="AQ77" s="66">
        <v>0</v>
      </c>
      <c r="AR77" s="66">
        <v>0</v>
      </c>
      <c r="AS77" s="66">
        <v>0</v>
      </c>
      <c r="AT77" s="67" t="s">
        <v>1094</v>
      </c>
      <c r="AU77" s="67" t="s">
        <v>1094</v>
      </c>
      <c r="AV77" s="67">
        <v>0</v>
      </c>
      <c r="AW77" s="210">
        <v>0</v>
      </c>
      <c r="AX77" s="67">
        <v>0</v>
      </c>
    </row>
    <row r="78" spans="1:50" ht="15.75" x14ac:dyDescent="0.25">
      <c r="A78" s="11">
        <v>67</v>
      </c>
      <c r="B78" s="189" t="s">
        <v>179</v>
      </c>
      <c r="C78" s="66">
        <v>375.80410000000001</v>
      </c>
      <c r="D78" s="66">
        <v>0</v>
      </c>
      <c r="E78" s="66">
        <v>417.560112</v>
      </c>
      <c r="F78" s="66">
        <v>375.80410000000001</v>
      </c>
      <c r="G78" s="66">
        <v>41.756011999999998</v>
      </c>
      <c r="H78" s="66">
        <v>375.80410000000001</v>
      </c>
      <c r="I78" s="66">
        <v>0</v>
      </c>
      <c r="J78" s="66">
        <v>417.56011001999997</v>
      </c>
      <c r="K78" s="66">
        <v>375.80410000000001</v>
      </c>
      <c r="L78" s="66">
        <v>0</v>
      </c>
      <c r="M78" s="66">
        <v>41.756010020000005</v>
      </c>
      <c r="N78" s="67">
        <v>100</v>
      </c>
      <c r="O78" s="67">
        <v>99.999995258167871</v>
      </c>
      <c r="P78" s="67">
        <v>9.9999997648242811</v>
      </c>
      <c r="Q78" s="66">
        <v>0</v>
      </c>
      <c r="R78" s="67">
        <v>0</v>
      </c>
      <c r="S78" s="66">
        <v>375.80410000000001</v>
      </c>
      <c r="T78" s="66">
        <v>0</v>
      </c>
      <c r="U78" s="66">
        <v>417.560112</v>
      </c>
      <c r="V78" s="66">
        <v>375.80410000000001</v>
      </c>
      <c r="W78" s="66">
        <v>41.756011999999998</v>
      </c>
      <c r="X78" s="66">
        <v>375.80410000000001</v>
      </c>
      <c r="Y78" s="66">
        <v>0</v>
      </c>
      <c r="Z78" s="66">
        <v>417.56011001999997</v>
      </c>
      <c r="AA78" s="66">
        <v>375.80410000000001</v>
      </c>
      <c r="AB78" s="66">
        <v>0</v>
      </c>
      <c r="AC78" s="66">
        <v>41.756010020000005</v>
      </c>
      <c r="AD78" s="67">
        <v>100</v>
      </c>
      <c r="AE78" s="67">
        <v>99.999995258167871</v>
      </c>
      <c r="AF78" s="67">
        <v>9.9999997648242811</v>
      </c>
      <c r="AG78" s="210">
        <v>0</v>
      </c>
      <c r="AH78" s="67">
        <v>0</v>
      </c>
      <c r="AI78" s="66">
        <v>0</v>
      </c>
      <c r="AJ78" s="66">
        <v>0</v>
      </c>
      <c r="AK78" s="66">
        <v>0</v>
      </c>
      <c r="AL78" s="66">
        <v>0</v>
      </c>
      <c r="AM78" s="66">
        <v>0</v>
      </c>
      <c r="AN78" s="66">
        <v>0</v>
      </c>
      <c r="AO78" s="66">
        <v>0</v>
      </c>
      <c r="AP78" s="66">
        <v>0</v>
      </c>
      <c r="AQ78" s="66">
        <v>0</v>
      </c>
      <c r="AR78" s="66">
        <v>0</v>
      </c>
      <c r="AS78" s="66">
        <v>0</v>
      </c>
      <c r="AT78" s="67" t="s">
        <v>1094</v>
      </c>
      <c r="AU78" s="67" t="s">
        <v>1094</v>
      </c>
      <c r="AV78" s="67">
        <v>0</v>
      </c>
      <c r="AW78" s="210">
        <v>0</v>
      </c>
      <c r="AX78" s="67">
        <v>0</v>
      </c>
    </row>
    <row r="79" spans="1:50" ht="15.75" x14ac:dyDescent="0.25">
      <c r="A79" s="11">
        <v>68</v>
      </c>
      <c r="B79" s="189" t="s">
        <v>182</v>
      </c>
      <c r="C79" s="66">
        <v>150.3501</v>
      </c>
      <c r="D79" s="66">
        <v>0</v>
      </c>
      <c r="E79" s="66">
        <v>388.00026000000003</v>
      </c>
      <c r="F79" s="66">
        <v>150.3501</v>
      </c>
      <c r="G79" s="66">
        <v>237.65016</v>
      </c>
      <c r="H79" s="66">
        <v>149.93643983999999</v>
      </c>
      <c r="I79" s="66">
        <v>0</v>
      </c>
      <c r="J79" s="66">
        <v>386.3193129</v>
      </c>
      <c r="K79" s="66">
        <v>149.69873380999999</v>
      </c>
      <c r="L79" s="66">
        <v>0</v>
      </c>
      <c r="M79" s="66">
        <v>236.62057909000001</v>
      </c>
      <c r="N79" s="67">
        <v>99.566767039064146</v>
      </c>
      <c r="O79" s="67">
        <v>99.566766161655437</v>
      </c>
      <c r="P79" s="67">
        <v>61.249999984145241</v>
      </c>
      <c r="Q79" s="66">
        <v>0</v>
      </c>
      <c r="R79" s="67">
        <v>0.23770602999999824</v>
      </c>
      <c r="S79" s="66">
        <v>150.3501</v>
      </c>
      <c r="T79" s="66">
        <v>0</v>
      </c>
      <c r="U79" s="66">
        <v>388.00026000000003</v>
      </c>
      <c r="V79" s="66">
        <v>150.3501</v>
      </c>
      <c r="W79" s="66">
        <v>237.65016</v>
      </c>
      <c r="X79" s="66">
        <v>149.93643983999999</v>
      </c>
      <c r="Y79" s="66">
        <v>0</v>
      </c>
      <c r="Z79" s="66">
        <v>386.3193129</v>
      </c>
      <c r="AA79" s="66">
        <v>149.69873380999999</v>
      </c>
      <c r="AB79" s="66">
        <v>0</v>
      </c>
      <c r="AC79" s="66">
        <v>236.62057909000001</v>
      </c>
      <c r="AD79" s="67">
        <v>99.566767039064146</v>
      </c>
      <c r="AE79" s="67">
        <v>99.566766161655437</v>
      </c>
      <c r="AF79" s="67">
        <v>61.249999984145241</v>
      </c>
      <c r="AG79" s="210">
        <v>0</v>
      </c>
      <c r="AH79" s="67">
        <v>0.23770602999999824</v>
      </c>
      <c r="AI79" s="66">
        <v>0</v>
      </c>
      <c r="AJ79" s="66">
        <v>0</v>
      </c>
      <c r="AK79" s="66">
        <v>0</v>
      </c>
      <c r="AL79" s="66">
        <v>0</v>
      </c>
      <c r="AM79" s="66">
        <v>0</v>
      </c>
      <c r="AN79" s="66">
        <v>0</v>
      </c>
      <c r="AO79" s="66">
        <v>0</v>
      </c>
      <c r="AP79" s="66">
        <v>0</v>
      </c>
      <c r="AQ79" s="66">
        <v>0</v>
      </c>
      <c r="AR79" s="66">
        <v>0</v>
      </c>
      <c r="AS79" s="66">
        <v>0</v>
      </c>
      <c r="AT79" s="67" t="s">
        <v>1094</v>
      </c>
      <c r="AU79" s="67" t="s">
        <v>1094</v>
      </c>
      <c r="AV79" s="67">
        <v>0</v>
      </c>
      <c r="AW79" s="210">
        <v>0</v>
      </c>
      <c r="AX79" s="67">
        <v>0</v>
      </c>
    </row>
    <row r="80" spans="1:50" ht="31.5" x14ac:dyDescent="0.25">
      <c r="A80" s="11">
        <v>69</v>
      </c>
      <c r="B80" s="194" t="s">
        <v>300</v>
      </c>
      <c r="C80" s="66">
        <v>17.892299999999999</v>
      </c>
      <c r="D80" s="66">
        <v>0</v>
      </c>
      <c r="E80" s="66">
        <v>40.869999999999997</v>
      </c>
      <c r="F80" s="66">
        <v>16.516100000000002</v>
      </c>
      <c r="G80" s="66">
        <v>24.353899999999999</v>
      </c>
      <c r="H80" s="66">
        <v>16.516099910000001</v>
      </c>
      <c r="I80" s="66">
        <v>0</v>
      </c>
      <c r="J80" s="66">
        <v>40.869999909999997</v>
      </c>
      <c r="K80" s="66">
        <v>16.516099910000001</v>
      </c>
      <c r="L80" s="66">
        <v>0</v>
      </c>
      <c r="M80" s="66">
        <v>24.353899999999999</v>
      </c>
      <c r="N80" s="67">
        <v>99.999999455077159</v>
      </c>
      <c r="O80" s="67">
        <v>100</v>
      </c>
      <c r="P80" s="67">
        <v>59.588695996158123</v>
      </c>
      <c r="Q80" s="66">
        <v>0</v>
      </c>
      <c r="R80" s="67">
        <v>0</v>
      </c>
      <c r="S80" s="66">
        <v>17.892299999999999</v>
      </c>
      <c r="T80" s="66">
        <v>0</v>
      </c>
      <c r="U80" s="66">
        <v>40.869999999999997</v>
      </c>
      <c r="V80" s="66">
        <v>16.516100000000002</v>
      </c>
      <c r="W80" s="66">
        <v>24.353899999999999</v>
      </c>
      <c r="X80" s="66">
        <v>16.516099910000001</v>
      </c>
      <c r="Y80" s="66">
        <v>0</v>
      </c>
      <c r="Z80" s="66">
        <v>40.869999909999997</v>
      </c>
      <c r="AA80" s="66">
        <v>16.516099910000001</v>
      </c>
      <c r="AB80" s="66">
        <v>0</v>
      </c>
      <c r="AC80" s="66">
        <v>24.353899999999999</v>
      </c>
      <c r="AD80" s="67">
        <v>99.999999455077159</v>
      </c>
      <c r="AE80" s="67">
        <v>100</v>
      </c>
      <c r="AF80" s="67">
        <v>59.588695996158123</v>
      </c>
      <c r="AG80" s="210">
        <v>0</v>
      </c>
      <c r="AH80" s="67">
        <v>0</v>
      </c>
      <c r="AI80" s="66">
        <v>0</v>
      </c>
      <c r="AJ80" s="66">
        <v>0</v>
      </c>
      <c r="AK80" s="66">
        <v>0</v>
      </c>
      <c r="AL80" s="66">
        <v>0</v>
      </c>
      <c r="AM80" s="66">
        <v>0</v>
      </c>
      <c r="AN80" s="66">
        <v>0</v>
      </c>
      <c r="AO80" s="66">
        <v>0</v>
      </c>
      <c r="AP80" s="66">
        <v>0</v>
      </c>
      <c r="AQ80" s="66">
        <v>0</v>
      </c>
      <c r="AR80" s="66">
        <v>0</v>
      </c>
      <c r="AS80" s="66">
        <v>0</v>
      </c>
      <c r="AT80" s="67" t="s">
        <v>1094</v>
      </c>
      <c r="AU80" s="67" t="s">
        <v>1094</v>
      </c>
      <c r="AV80" s="67">
        <v>0</v>
      </c>
      <c r="AW80" s="210">
        <v>0</v>
      </c>
      <c r="AX80" s="67">
        <v>0</v>
      </c>
    </row>
    <row r="81" spans="1:50" ht="31.5" x14ac:dyDescent="0.25">
      <c r="A81" s="11">
        <v>70</v>
      </c>
      <c r="B81" s="194" t="s">
        <v>301</v>
      </c>
      <c r="C81" s="66">
        <v>20.1816</v>
      </c>
      <c r="D81" s="66">
        <v>0</v>
      </c>
      <c r="E81" s="66">
        <v>123.06659999999999</v>
      </c>
      <c r="F81" s="66">
        <v>20.1816</v>
      </c>
      <c r="G81" s="66">
        <v>102.88500000000001</v>
      </c>
      <c r="H81" s="66">
        <v>20.1816</v>
      </c>
      <c r="I81" s="66">
        <v>0</v>
      </c>
      <c r="J81" s="66">
        <v>123.06659999999999</v>
      </c>
      <c r="K81" s="66">
        <v>20.1816</v>
      </c>
      <c r="L81" s="66">
        <v>0</v>
      </c>
      <c r="M81" s="66">
        <v>102.88500000000001</v>
      </c>
      <c r="N81" s="67">
        <v>100</v>
      </c>
      <c r="O81" s="67">
        <v>100</v>
      </c>
      <c r="P81" s="67">
        <v>83.601074540127058</v>
      </c>
      <c r="Q81" s="66">
        <v>0</v>
      </c>
      <c r="R81" s="67">
        <v>0</v>
      </c>
      <c r="S81" s="66">
        <v>20.1816</v>
      </c>
      <c r="T81" s="66">
        <v>0</v>
      </c>
      <c r="U81" s="66">
        <v>123.06659999999999</v>
      </c>
      <c r="V81" s="66">
        <v>20.1816</v>
      </c>
      <c r="W81" s="66">
        <v>102.88500000000001</v>
      </c>
      <c r="X81" s="66">
        <v>20.1816</v>
      </c>
      <c r="Y81" s="66">
        <v>0</v>
      </c>
      <c r="Z81" s="66">
        <v>123.06659999999999</v>
      </c>
      <c r="AA81" s="66">
        <v>20.1816</v>
      </c>
      <c r="AB81" s="66">
        <v>0</v>
      </c>
      <c r="AC81" s="66">
        <v>102.88500000000001</v>
      </c>
      <c r="AD81" s="67">
        <v>100</v>
      </c>
      <c r="AE81" s="67">
        <v>100</v>
      </c>
      <c r="AF81" s="67">
        <v>83.601074540127058</v>
      </c>
      <c r="AG81" s="210">
        <v>0</v>
      </c>
      <c r="AH81" s="67">
        <v>0</v>
      </c>
      <c r="AI81" s="66">
        <v>0</v>
      </c>
      <c r="AJ81" s="66">
        <v>0</v>
      </c>
      <c r="AK81" s="66">
        <v>0</v>
      </c>
      <c r="AL81" s="66">
        <v>0</v>
      </c>
      <c r="AM81" s="66">
        <v>0</v>
      </c>
      <c r="AN81" s="66">
        <v>0</v>
      </c>
      <c r="AO81" s="66">
        <v>0</v>
      </c>
      <c r="AP81" s="66">
        <v>0</v>
      </c>
      <c r="AQ81" s="66">
        <v>0</v>
      </c>
      <c r="AR81" s="66">
        <v>0</v>
      </c>
      <c r="AS81" s="66">
        <v>0</v>
      </c>
      <c r="AT81" s="67" t="s">
        <v>1094</v>
      </c>
      <c r="AU81" s="67" t="s">
        <v>1094</v>
      </c>
      <c r="AV81" s="67">
        <v>0</v>
      </c>
      <c r="AW81" s="210">
        <v>0</v>
      </c>
      <c r="AX81" s="67">
        <v>0</v>
      </c>
    </row>
    <row r="82" spans="1:50" ht="15.75" x14ac:dyDescent="0.25">
      <c r="A82" s="74">
        <v>71</v>
      </c>
      <c r="B82" s="189" t="s">
        <v>189</v>
      </c>
      <c r="C82" s="66">
        <v>614.61659999999995</v>
      </c>
      <c r="D82" s="66">
        <v>0</v>
      </c>
      <c r="E82" s="66">
        <v>646.96484211000006</v>
      </c>
      <c r="F82" s="66">
        <v>614.61659999999995</v>
      </c>
      <c r="G82" s="66">
        <v>32.348242110000001</v>
      </c>
      <c r="H82" s="66">
        <v>614.61515759999997</v>
      </c>
      <c r="I82" s="66">
        <v>0</v>
      </c>
      <c r="J82" s="66">
        <v>646.94100775999993</v>
      </c>
      <c r="K82" s="66">
        <v>614.59395734999998</v>
      </c>
      <c r="L82" s="66">
        <v>0</v>
      </c>
      <c r="M82" s="66">
        <v>32.347050410000001</v>
      </c>
      <c r="N82" s="67">
        <v>99.996315971615473</v>
      </c>
      <c r="O82" s="67">
        <v>99.996316028562077</v>
      </c>
      <c r="P82" s="67">
        <v>5.0000000034006193</v>
      </c>
      <c r="Q82" s="66">
        <v>0</v>
      </c>
      <c r="R82" s="67">
        <v>2.1200249999992593E-2</v>
      </c>
      <c r="S82" s="66">
        <v>614.61659999999995</v>
      </c>
      <c r="T82" s="66">
        <v>0</v>
      </c>
      <c r="U82" s="66">
        <v>646.96484211000006</v>
      </c>
      <c r="V82" s="66">
        <v>614.61659999999995</v>
      </c>
      <c r="W82" s="66">
        <v>32.348242110000001</v>
      </c>
      <c r="X82" s="66">
        <v>614.61515759999997</v>
      </c>
      <c r="Y82" s="66">
        <v>0</v>
      </c>
      <c r="Z82" s="66">
        <v>646.94100775999993</v>
      </c>
      <c r="AA82" s="66">
        <v>614.59395734999998</v>
      </c>
      <c r="AB82" s="66">
        <v>0</v>
      </c>
      <c r="AC82" s="66">
        <v>32.347050410000001</v>
      </c>
      <c r="AD82" s="67">
        <v>99.996315971615473</v>
      </c>
      <c r="AE82" s="67">
        <v>99.996316028562077</v>
      </c>
      <c r="AF82" s="67">
        <v>5.0000000034006193</v>
      </c>
      <c r="AG82" s="210">
        <v>0</v>
      </c>
      <c r="AH82" s="67">
        <v>2.1200249999992593E-2</v>
      </c>
      <c r="AI82" s="66">
        <v>0</v>
      </c>
      <c r="AJ82" s="66">
        <v>0</v>
      </c>
      <c r="AK82" s="66">
        <v>0</v>
      </c>
      <c r="AL82" s="66">
        <v>0</v>
      </c>
      <c r="AM82" s="66">
        <v>0</v>
      </c>
      <c r="AN82" s="66">
        <v>0</v>
      </c>
      <c r="AO82" s="66">
        <v>0</v>
      </c>
      <c r="AP82" s="66">
        <v>0</v>
      </c>
      <c r="AQ82" s="66">
        <v>0</v>
      </c>
      <c r="AR82" s="66">
        <v>0</v>
      </c>
      <c r="AS82" s="66">
        <v>0</v>
      </c>
      <c r="AT82" s="67" t="s">
        <v>1094</v>
      </c>
      <c r="AU82" s="67" t="s">
        <v>1094</v>
      </c>
      <c r="AV82" s="67">
        <v>0</v>
      </c>
      <c r="AW82" s="210">
        <v>0</v>
      </c>
      <c r="AX82" s="67">
        <v>0</v>
      </c>
    </row>
    <row r="83" spans="1:50" ht="15.75" x14ac:dyDescent="0.25">
      <c r="A83" s="57">
        <v>72</v>
      </c>
      <c r="B83" s="190" t="s">
        <v>192</v>
      </c>
      <c r="C83" s="61">
        <v>4626.7881000000007</v>
      </c>
      <c r="D83" s="61">
        <v>0</v>
      </c>
      <c r="E83" s="61">
        <v>5113.3565498900007</v>
      </c>
      <c r="F83" s="61">
        <v>4626.7881000000007</v>
      </c>
      <c r="G83" s="61">
        <v>486.56844988999995</v>
      </c>
      <c r="H83" s="61">
        <v>4613.7386779899998</v>
      </c>
      <c r="I83" s="61">
        <v>1.02625846</v>
      </c>
      <c r="J83" s="61">
        <v>5096.6857957999991</v>
      </c>
      <c r="K83" s="61">
        <v>4613.1236836099997</v>
      </c>
      <c r="L83" s="61">
        <v>0</v>
      </c>
      <c r="M83" s="61">
        <v>483.56211218999999</v>
      </c>
      <c r="N83" s="61">
        <v>99.704667339530829</v>
      </c>
      <c r="O83" s="61">
        <v>99.382134682041226</v>
      </c>
      <c r="P83" s="61">
        <v>9.4877756166269194</v>
      </c>
      <c r="Q83" s="61">
        <v>1.02625846</v>
      </c>
      <c r="R83" s="61">
        <v>0.61499438000004958</v>
      </c>
      <c r="S83" s="61">
        <v>4626.7881000000007</v>
      </c>
      <c r="T83" s="61">
        <v>0</v>
      </c>
      <c r="U83" s="61">
        <v>5113.3565498900007</v>
      </c>
      <c r="V83" s="61">
        <v>4626.7881000000007</v>
      </c>
      <c r="W83" s="61">
        <v>486.56844988999995</v>
      </c>
      <c r="X83" s="61">
        <v>4613.7386779899998</v>
      </c>
      <c r="Y83" s="61">
        <v>1.02625846</v>
      </c>
      <c r="Z83" s="61">
        <v>5096.6857957999991</v>
      </c>
      <c r="AA83" s="61">
        <v>4613.1236836099997</v>
      </c>
      <c r="AB83" s="61">
        <v>0</v>
      </c>
      <c r="AC83" s="61">
        <v>483.56211218999999</v>
      </c>
      <c r="AD83" s="61">
        <v>99.704667339530829</v>
      </c>
      <c r="AE83" s="61">
        <v>99.382134682041226</v>
      </c>
      <c r="AF83" s="61">
        <v>9.4877756166269194</v>
      </c>
      <c r="AG83" s="61">
        <v>1.02625846</v>
      </c>
      <c r="AH83" s="61">
        <v>0.61499438000004958</v>
      </c>
      <c r="AI83" s="61">
        <v>0</v>
      </c>
      <c r="AJ83" s="61">
        <v>0</v>
      </c>
      <c r="AK83" s="61">
        <v>0</v>
      </c>
      <c r="AL83" s="61">
        <v>0</v>
      </c>
      <c r="AM83" s="61">
        <v>0</v>
      </c>
      <c r="AN83" s="61">
        <v>0</v>
      </c>
      <c r="AO83" s="61">
        <v>0</v>
      </c>
      <c r="AP83" s="61">
        <v>0</v>
      </c>
      <c r="AQ83" s="61">
        <v>0</v>
      </c>
      <c r="AR83" s="61">
        <v>0</v>
      </c>
      <c r="AS83" s="61">
        <v>0</v>
      </c>
      <c r="AT83" s="61" t="s">
        <v>1094</v>
      </c>
      <c r="AU83" s="61" t="s">
        <v>1094</v>
      </c>
      <c r="AV83" s="61">
        <v>0</v>
      </c>
      <c r="AW83" s="61">
        <v>0</v>
      </c>
      <c r="AX83" s="61">
        <v>0</v>
      </c>
    </row>
    <row r="84" spans="1:50" ht="15.75" x14ac:dyDescent="0.25">
      <c r="A84" s="11">
        <v>73</v>
      </c>
      <c r="B84" s="189" t="s">
        <v>195</v>
      </c>
      <c r="C84" s="66">
        <v>235.12289999999999</v>
      </c>
      <c r="D84" s="66">
        <v>0</v>
      </c>
      <c r="E84" s="66">
        <v>256.5258</v>
      </c>
      <c r="F84" s="66">
        <v>235.12289999999999</v>
      </c>
      <c r="G84" s="66">
        <v>21.402899999999999</v>
      </c>
      <c r="H84" s="66">
        <v>235.12289999999999</v>
      </c>
      <c r="I84" s="66">
        <v>0</v>
      </c>
      <c r="J84" s="66">
        <v>256.5258</v>
      </c>
      <c r="K84" s="66">
        <v>235.12289999999999</v>
      </c>
      <c r="L84" s="66">
        <v>0</v>
      </c>
      <c r="M84" s="66">
        <v>21.402899999999999</v>
      </c>
      <c r="N84" s="67">
        <v>100</v>
      </c>
      <c r="O84" s="67">
        <v>100</v>
      </c>
      <c r="P84" s="67">
        <v>8.3433713100202791</v>
      </c>
      <c r="Q84" s="66">
        <v>0</v>
      </c>
      <c r="R84" s="67">
        <v>0</v>
      </c>
      <c r="S84" s="66">
        <v>235.12289999999999</v>
      </c>
      <c r="T84" s="66">
        <v>0</v>
      </c>
      <c r="U84" s="66">
        <v>256.5258</v>
      </c>
      <c r="V84" s="66">
        <v>235.12289999999999</v>
      </c>
      <c r="W84" s="66">
        <v>21.402899999999999</v>
      </c>
      <c r="X84" s="66">
        <v>235.12289999999999</v>
      </c>
      <c r="Y84" s="66">
        <v>0</v>
      </c>
      <c r="Z84" s="66">
        <v>256.5258</v>
      </c>
      <c r="AA84" s="66">
        <v>235.12289999999999</v>
      </c>
      <c r="AB84" s="66">
        <v>0</v>
      </c>
      <c r="AC84" s="66">
        <v>21.402899999999999</v>
      </c>
      <c r="AD84" s="67">
        <v>100</v>
      </c>
      <c r="AE84" s="67">
        <v>100</v>
      </c>
      <c r="AF84" s="67">
        <v>8.3433713100202791</v>
      </c>
      <c r="AG84" s="210">
        <v>0</v>
      </c>
      <c r="AH84" s="67">
        <v>0</v>
      </c>
      <c r="AI84" s="66">
        <v>0</v>
      </c>
      <c r="AJ84" s="66">
        <v>0</v>
      </c>
      <c r="AK84" s="66">
        <v>0</v>
      </c>
      <c r="AL84" s="66">
        <v>0</v>
      </c>
      <c r="AM84" s="66">
        <v>0</v>
      </c>
      <c r="AN84" s="66">
        <v>0</v>
      </c>
      <c r="AO84" s="66">
        <v>0</v>
      </c>
      <c r="AP84" s="66">
        <v>0</v>
      </c>
      <c r="AQ84" s="66">
        <v>0</v>
      </c>
      <c r="AR84" s="66">
        <v>0</v>
      </c>
      <c r="AS84" s="66">
        <v>0</v>
      </c>
      <c r="AT84" s="67" t="s">
        <v>1094</v>
      </c>
      <c r="AU84" s="67" t="s">
        <v>1094</v>
      </c>
      <c r="AV84" s="67">
        <v>0</v>
      </c>
      <c r="AW84" s="210">
        <v>0</v>
      </c>
      <c r="AX84" s="67">
        <v>0</v>
      </c>
    </row>
    <row r="85" spans="1:50" ht="15.75" x14ac:dyDescent="0.25">
      <c r="A85" s="11">
        <v>74</v>
      </c>
      <c r="B85" s="189" t="s">
        <v>198</v>
      </c>
      <c r="C85" s="66">
        <v>197.40369999999999</v>
      </c>
      <c r="D85" s="66">
        <v>0</v>
      </c>
      <c r="E85" s="66">
        <v>207.79336841999998</v>
      </c>
      <c r="F85" s="66">
        <v>197.40369999999999</v>
      </c>
      <c r="G85" s="66">
        <v>10.38966842</v>
      </c>
      <c r="H85" s="66">
        <v>197.40369999999999</v>
      </c>
      <c r="I85" s="66">
        <v>0</v>
      </c>
      <c r="J85" s="66">
        <v>207.79336841999998</v>
      </c>
      <c r="K85" s="66">
        <v>197.40369999999999</v>
      </c>
      <c r="L85" s="66">
        <v>0</v>
      </c>
      <c r="M85" s="66">
        <v>10.38966842</v>
      </c>
      <c r="N85" s="67">
        <v>100</v>
      </c>
      <c r="O85" s="67">
        <v>100</v>
      </c>
      <c r="P85" s="67">
        <v>4.999999999518753</v>
      </c>
      <c r="Q85" s="66">
        <v>0</v>
      </c>
      <c r="R85" s="67">
        <v>0</v>
      </c>
      <c r="S85" s="66">
        <v>197.40369999999999</v>
      </c>
      <c r="T85" s="66">
        <v>0</v>
      </c>
      <c r="U85" s="66">
        <v>207.79336841999998</v>
      </c>
      <c r="V85" s="66">
        <v>197.40369999999999</v>
      </c>
      <c r="W85" s="66">
        <v>10.38966842</v>
      </c>
      <c r="X85" s="66">
        <v>197.40369999999999</v>
      </c>
      <c r="Y85" s="66">
        <v>0</v>
      </c>
      <c r="Z85" s="66">
        <v>207.79336841999998</v>
      </c>
      <c r="AA85" s="66">
        <v>197.40369999999999</v>
      </c>
      <c r="AB85" s="66">
        <v>0</v>
      </c>
      <c r="AC85" s="66">
        <v>10.38966842</v>
      </c>
      <c r="AD85" s="67">
        <v>100</v>
      </c>
      <c r="AE85" s="67">
        <v>100</v>
      </c>
      <c r="AF85" s="67">
        <v>4.999999999518753</v>
      </c>
      <c r="AG85" s="210">
        <v>0</v>
      </c>
      <c r="AH85" s="67">
        <v>0</v>
      </c>
      <c r="AI85" s="66">
        <v>0</v>
      </c>
      <c r="AJ85" s="66">
        <v>0</v>
      </c>
      <c r="AK85" s="66">
        <v>0</v>
      </c>
      <c r="AL85" s="66">
        <v>0</v>
      </c>
      <c r="AM85" s="66">
        <v>0</v>
      </c>
      <c r="AN85" s="66">
        <v>0</v>
      </c>
      <c r="AO85" s="66">
        <v>0</v>
      </c>
      <c r="AP85" s="66">
        <v>0</v>
      </c>
      <c r="AQ85" s="66">
        <v>0</v>
      </c>
      <c r="AR85" s="66">
        <v>0</v>
      </c>
      <c r="AS85" s="66">
        <v>0</v>
      </c>
      <c r="AT85" s="67" t="s">
        <v>1094</v>
      </c>
      <c r="AU85" s="67" t="s">
        <v>1094</v>
      </c>
      <c r="AV85" s="67">
        <v>0</v>
      </c>
      <c r="AW85" s="210">
        <v>0</v>
      </c>
      <c r="AX85" s="67">
        <v>0</v>
      </c>
    </row>
    <row r="86" spans="1:50" ht="15.75" x14ac:dyDescent="0.25">
      <c r="A86" s="11">
        <v>75</v>
      </c>
      <c r="B86" s="189" t="s">
        <v>201</v>
      </c>
      <c r="C86" s="66">
        <v>197.05250000000001</v>
      </c>
      <c r="D86" s="66">
        <v>0</v>
      </c>
      <c r="E86" s="66">
        <v>283.43340000000001</v>
      </c>
      <c r="F86" s="66">
        <v>197.05250000000001</v>
      </c>
      <c r="G86" s="66">
        <v>86.380899999999997</v>
      </c>
      <c r="H86" s="66">
        <v>197.05250000000001</v>
      </c>
      <c r="I86" s="66">
        <v>0</v>
      </c>
      <c r="J86" s="66">
        <v>283.43340000000001</v>
      </c>
      <c r="K86" s="66">
        <v>197.05250000000001</v>
      </c>
      <c r="L86" s="66">
        <v>0</v>
      </c>
      <c r="M86" s="66">
        <v>86.380899999999997</v>
      </c>
      <c r="N86" s="67">
        <v>100</v>
      </c>
      <c r="O86" s="67">
        <v>100</v>
      </c>
      <c r="P86" s="67">
        <v>30.476612848027084</v>
      </c>
      <c r="Q86" s="66">
        <v>0</v>
      </c>
      <c r="R86" s="67">
        <v>0</v>
      </c>
      <c r="S86" s="66">
        <v>197.05250000000001</v>
      </c>
      <c r="T86" s="66">
        <v>0</v>
      </c>
      <c r="U86" s="66">
        <v>283.43340000000001</v>
      </c>
      <c r="V86" s="66">
        <v>197.05250000000001</v>
      </c>
      <c r="W86" s="66">
        <v>86.380899999999997</v>
      </c>
      <c r="X86" s="66">
        <v>197.05250000000001</v>
      </c>
      <c r="Y86" s="66">
        <v>0</v>
      </c>
      <c r="Z86" s="66">
        <v>283.43340000000001</v>
      </c>
      <c r="AA86" s="66">
        <v>197.05250000000001</v>
      </c>
      <c r="AB86" s="66">
        <v>0</v>
      </c>
      <c r="AC86" s="66">
        <v>86.380899999999997</v>
      </c>
      <c r="AD86" s="67">
        <v>100</v>
      </c>
      <c r="AE86" s="67">
        <v>100</v>
      </c>
      <c r="AF86" s="67">
        <v>30.476612848027084</v>
      </c>
      <c r="AG86" s="210">
        <v>0</v>
      </c>
      <c r="AH86" s="67">
        <v>0</v>
      </c>
      <c r="AI86" s="66">
        <v>0</v>
      </c>
      <c r="AJ86" s="66">
        <v>0</v>
      </c>
      <c r="AK86" s="66">
        <v>0</v>
      </c>
      <c r="AL86" s="66">
        <v>0</v>
      </c>
      <c r="AM86" s="66">
        <v>0</v>
      </c>
      <c r="AN86" s="66">
        <v>0</v>
      </c>
      <c r="AO86" s="66">
        <v>0</v>
      </c>
      <c r="AP86" s="66">
        <v>0</v>
      </c>
      <c r="AQ86" s="66">
        <v>0</v>
      </c>
      <c r="AR86" s="66">
        <v>0</v>
      </c>
      <c r="AS86" s="66">
        <v>0</v>
      </c>
      <c r="AT86" s="67" t="s">
        <v>1094</v>
      </c>
      <c r="AU86" s="67" t="s">
        <v>1094</v>
      </c>
      <c r="AV86" s="67">
        <v>0</v>
      </c>
      <c r="AW86" s="210">
        <v>0</v>
      </c>
      <c r="AX86" s="67">
        <v>0</v>
      </c>
    </row>
    <row r="87" spans="1:50" ht="15.75" x14ac:dyDescent="0.25">
      <c r="A87" s="11">
        <v>76</v>
      </c>
      <c r="B87" s="189" t="s">
        <v>204</v>
      </c>
      <c r="C87" s="66">
        <v>166.11150000000001</v>
      </c>
      <c r="D87" s="66">
        <v>0</v>
      </c>
      <c r="E87" s="66">
        <v>174.8545</v>
      </c>
      <c r="F87" s="66">
        <v>166.11150000000001</v>
      </c>
      <c r="G87" s="66">
        <v>8.7430000000000003</v>
      </c>
      <c r="H87" s="66">
        <v>164.99605261000002</v>
      </c>
      <c r="I87" s="66">
        <v>0</v>
      </c>
      <c r="J87" s="66">
        <v>173.56449895</v>
      </c>
      <c r="K87" s="66">
        <v>164.88599983</v>
      </c>
      <c r="L87" s="66">
        <v>0</v>
      </c>
      <c r="M87" s="66">
        <v>8.6784991199999997</v>
      </c>
      <c r="N87" s="67">
        <v>99.262242427526076</v>
      </c>
      <c r="O87" s="67">
        <v>99.262256891227267</v>
      </c>
      <c r="P87" s="67">
        <v>5.0001579657716055</v>
      </c>
      <c r="Q87" s="66">
        <v>0</v>
      </c>
      <c r="R87" s="67">
        <v>0.11005278000001795</v>
      </c>
      <c r="S87" s="66">
        <v>166.11150000000001</v>
      </c>
      <c r="T87" s="66">
        <v>0</v>
      </c>
      <c r="U87" s="66">
        <v>174.8545</v>
      </c>
      <c r="V87" s="66">
        <v>166.11150000000001</v>
      </c>
      <c r="W87" s="66">
        <v>8.7430000000000003</v>
      </c>
      <c r="X87" s="66">
        <v>164.99605261000002</v>
      </c>
      <c r="Y87" s="66">
        <v>0</v>
      </c>
      <c r="Z87" s="66">
        <v>173.56449895</v>
      </c>
      <c r="AA87" s="66">
        <v>164.88599983</v>
      </c>
      <c r="AB87" s="66">
        <v>0</v>
      </c>
      <c r="AC87" s="66">
        <v>8.6784991199999997</v>
      </c>
      <c r="AD87" s="67">
        <v>99.262242427526076</v>
      </c>
      <c r="AE87" s="67">
        <v>99.262256891227267</v>
      </c>
      <c r="AF87" s="67">
        <v>5.0001579657716055</v>
      </c>
      <c r="AG87" s="210">
        <v>0</v>
      </c>
      <c r="AH87" s="67">
        <v>0.11005278000001795</v>
      </c>
      <c r="AI87" s="66">
        <v>0</v>
      </c>
      <c r="AJ87" s="66">
        <v>0</v>
      </c>
      <c r="AK87" s="66">
        <v>0</v>
      </c>
      <c r="AL87" s="66">
        <v>0</v>
      </c>
      <c r="AM87" s="66">
        <v>0</v>
      </c>
      <c r="AN87" s="66">
        <v>0</v>
      </c>
      <c r="AO87" s="66">
        <v>0</v>
      </c>
      <c r="AP87" s="66">
        <v>0</v>
      </c>
      <c r="AQ87" s="66">
        <v>0</v>
      </c>
      <c r="AR87" s="66">
        <v>0</v>
      </c>
      <c r="AS87" s="66">
        <v>0</v>
      </c>
      <c r="AT87" s="67" t="s">
        <v>1094</v>
      </c>
      <c r="AU87" s="67" t="s">
        <v>1094</v>
      </c>
      <c r="AV87" s="67">
        <v>0</v>
      </c>
      <c r="AW87" s="210">
        <v>0</v>
      </c>
      <c r="AX87" s="67">
        <v>0</v>
      </c>
    </row>
    <row r="88" spans="1:50" ht="15.75" x14ac:dyDescent="0.25">
      <c r="A88" s="11">
        <v>77</v>
      </c>
      <c r="B88" s="189" t="s">
        <v>207</v>
      </c>
      <c r="C88" s="66">
        <v>987.85670000000005</v>
      </c>
      <c r="D88" s="66">
        <v>0</v>
      </c>
      <c r="E88" s="66">
        <v>1039.84915789</v>
      </c>
      <c r="F88" s="66">
        <v>987.85670000000005</v>
      </c>
      <c r="G88" s="66">
        <v>51.992457889999997</v>
      </c>
      <c r="H88" s="66">
        <v>987.85670000000005</v>
      </c>
      <c r="I88" s="66">
        <v>0</v>
      </c>
      <c r="J88" s="66">
        <v>1039.84915789</v>
      </c>
      <c r="K88" s="66">
        <v>987.85670000000005</v>
      </c>
      <c r="L88" s="66">
        <v>0</v>
      </c>
      <c r="M88" s="66">
        <v>51.992457889999997</v>
      </c>
      <c r="N88" s="67">
        <v>100</v>
      </c>
      <c r="O88" s="67">
        <v>100</v>
      </c>
      <c r="P88" s="67">
        <v>4.9999999995672439</v>
      </c>
      <c r="Q88" s="66">
        <v>0</v>
      </c>
      <c r="R88" s="67">
        <v>0</v>
      </c>
      <c r="S88" s="66">
        <v>987.85670000000005</v>
      </c>
      <c r="T88" s="66">
        <v>0</v>
      </c>
      <c r="U88" s="66">
        <v>1039.84915789</v>
      </c>
      <c r="V88" s="66">
        <v>987.85670000000005</v>
      </c>
      <c r="W88" s="66">
        <v>51.992457889999997</v>
      </c>
      <c r="X88" s="66">
        <v>987.85670000000005</v>
      </c>
      <c r="Y88" s="66">
        <v>0</v>
      </c>
      <c r="Z88" s="66">
        <v>1039.84915789</v>
      </c>
      <c r="AA88" s="66">
        <v>987.85670000000005</v>
      </c>
      <c r="AB88" s="66">
        <v>0</v>
      </c>
      <c r="AC88" s="66">
        <v>51.992457889999997</v>
      </c>
      <c r="AD88" s="67">
        <v>100</v>
      </c>
      <c r="AE88" s="67">
        <v>100</v>
      </c>
      <c r="AF88" s="67">
        <v>4.9999999995672439</v>
      </c>
      <c r="AG88" s="210">
        <v>0</v>
      </c>
      <c r="AH88" s="67">
        <v>0</v>
      </c>
      <c r="AI88" s="66">
        <v>0</v>
      </c>
      <c r="AJ88" s="66">
        <v>0</v>
      </c>
      <c r="AK88" s="66">
        <v>0</v>
      </c>
      <c r="AL88" s="66">
        <v>0</v>
      </c>
      <c r="AM88" s="66">
        <v>0</v>
      </c>
      <c r="AN88" s="66">
        <v>0</v>
      </c>
      <c r="AO88" s="66">
        <v>0</v>
      </c>
      <c r="AP88" s="66">
        <v>0</v>
      </c>
      <c r="AQ88" s="66">
        <v>0</v>
      </c>
      <c r="AR88" s="66">
        <v>0</v>
      </c>
      <c r="AS88" s="66">
        <v>0</v>
      </c>
      <c r="AT88" s="67" t="s">
        <v>1094</v>
      </c>
      <c r="AU88" s="67" t="s">
        <v>1094</v>
      </c>
      <c r="AV88" s="67">
        <v>0</v>
      </c>
      <c r="AW88" s="210">
        <v>0</v>
      </c>
      <c r="AX88" s="67">
        <v>0</v>
      </c>
    </row>
    <row r="89" spans="1:50" ht="15.75" x14ac:dyDescent="0.25">
      <c r="A89" s="11">
        <v>78</v>
      </c>
      <c r="B89" s="189" t="s">
        <v>210</v>
      </c>
      <c r="C89" s="66">
        <v>348.38650000000001</v>
      </c>
      <c r="D89" s="66">
        <v>0</v>
      </c>
      <c r="E89" s="66">
        <v>410.62110000000001</v>
      </c>
      <c r="F89" s="66">
        <v>348.38650000000001</v>
      </c>
      <c r="G89" s="66">
        <v>62.2346</v>
      </c>
      <c r="H89" s="66">
        <v>348.38650000000001</v>
      </c>
      <c r="I89" s="66">
        <v>0</v>
      </c>
      <c r="J89" s="66">
        <v>410.62110000000001</v>
      </c>
      <c r="K89" s="66">
        <v>348.38650000000001</v>
      </c>
      <c r="L89" s="66">
        <v>0</v>
      </c>
      <c r="M89" s="66">
        <v>62.2346</v>
      </c>
      <c r="N89" s="67">
        <v>100</v>
      </c>
      <c r="O89" s="67">
        <v>100</v>
      </c>
      <c r="P89" s="67">
        <v>15.156210920481191</v>
      </c>
      <c r="Q89" s="66">
        <v>0</v>
      </c>
      <c r="R89" s="67">
        <v>0</v>
      </c>
      <c r="S89" s="66">
        <v>348.38650000000001</v>
      </c>
      <c r="T89" s="66">
        <v>0</v>
      </c>
      <c r="U89" s="66">
        <v>410.62110000000001</v>
      </c>
      <c r="V89" s="66">
        <v>348.38650000000001</v>
      </c>
      <c r="W89" s="66">
        <v>62.2346</v>
      </c>
      <c r="X89" s="66">
        <v>348.38650000000001</v>
      </c>
      <c r="Y89" s="66">
        <v>0</v>
      </c>
      <c r="Z89" s="66">
        <v>410.62110000000001</v>
      </c>
      <c r="AA89" s="66">
        <v>348.38650000000001</v>
      </c>
      <c r="AB89" s="66">
        <v>0</v>
      </c>
      <c r="AC89" s="66">
        <v>62.2346</v>
      </c>
      <c r="AD89" s="67">
        <v>100</v>
      </c>
      <c r="AE89" s="67">
        <v>100</v>
      </c>
      <c r="AF89" s="67">
        <v>15.156210920481191</v>
      </c>
      <c r="AG89" s="210">
        <v>0</v>
      </c>
      <c r="AH89" s="67">
        <v>0</v>
      </c>
      <c r="AI89" s="66">
        <v>0</v>
      </c>
      <c r="AJ89" s="66">
        <v>0</v>
      </c>
      <c r="AK89" s="66">
        <v>0</v>
      </c>
      <c r="AL89" s="66">
        <v>0</v>
      </c>
      <c r="AM89" s="66">
        <v>0</v>
      </c>
      <c r="AN89" s="66">
        <v>0</v>
      </c>
      <c r="AO89" s="66">
        <v>0</v>
      </c>
      <c r="AP89" s="66">
        <v>0</v>
      </c>
      <c r="AQ89" s="66">
        <v>0</v>
      </c>
      <c r="AR89" s="66">
        <v>0</v>
      </c>
      <c r="AS89" s="66">
        <v>0</v>
      </c>
      <c r="AT89" s="67" t="s">
        <v>1094</v>
      </c>
      <c r="AU89" s="67" t="s">
        <v>1094</v>
      </c>
      <c r="AV89" s="67">
        <v>0</v>
      </c>
      <c r="AW89" s="210">
        <v>0</v>
      </c>
      <c r="AX89" s="67">
        <v>0</v>
      </c>
    </row>
    <row r="90" spans="1:50" ht="15.75" x14ac:dyDescent="0.25">
      <c r="A90" s="11">
        <v>79</v>
      </c>
      <c r="B90" s="189" t="s">
        <v>213</v>
      </c>
      <c r="C90" s="66">
        <v>478.96100000000001</v>
      </c>
      <c r="D90" s="66">
        <v>0</v>
      </c>
      <c r="E90" s="66">
        <v>504.16947368000001</v>
      </c>
      <c r="F90" s="66">
        <v>478.96100000000001</v>
      </c>
      <c r="G90" s="66">
        <v>25.208473680000001</v>
      </c>
      <c r="H90" s="66">
        <v>478.96023681000003</v>
      </c>
      <c r="I90" s="66">
        <v>8.0805910000000009E-2</v>
      </c>
      <c r="J90" s="66">
        <v>503.90106567999999</v>
      </c>
      <c r="K90" s="66">
        <v>478.70601224000001</v>
      </c>
      <c r="L90" s="66">
        <v>0</v>
      </c>
      <c r="M90" s="66">
        <v>25.195053440000002</v>
      </c>
      <c r="N90" s="67">
        <v>99.946762312589115</v>
      </c>
      <c r="O90" s="67">
        <v>99.946762980693094</v>
      </c>
      <c r="P90" s="67">
        <v>5.000000030958458</v>
      </c>
      <c r="Q90" s="66">
        <v>8.0805910000000009E-2</v>
      </c>
      <c r="R90" s="67">
        <v>0.25422457000000032</v>
      </c>
      <c r="S90" s="66">
        <v>478.96100000000001</v>
      </c>
      <c r="T90" s="66">
        <v>0</v>
      </c>
      <c r="U90" s="66">
        <v>504.16947368000001</v>
      </c>
      <c r="V90" s="66">
        <v>478.96100000000001</v>
      </c>
      <c r="W90" s="66">
        <v>25.208473680000001</v>
      </c>
      <c r="X90" s="66">
        <v>478.96023681000003</v>
      </c>
      <c r="Y90" s="66">
        <v>8.0805910000000009E-2</v>
      </c>
      <c r="Z90" s="66">
        <v>503.90106567999999</v>
      </c>
      <c r="AA90" s="66">
        <v>478.70601224000001</v>
      </c>
      <c r="AB90" s="66">
        <v>0</v>
      </c>
      <c r="AC90" s="66">
        <v>25.195053440000002</v>
      </c>
      <c r="AD90" s="67">
        <v>99.946762312589115</v>
      </c>
      <c r="AE90" s="67">
        <v>99.946762980693094</v>
      </c>
      <c r="AF90" s="67">
        <v>5.000000030958458</v>
      </c>
      <c r="AG90" s="210">
        <v>8.0805910000000009E-2</v>
      </c>
      <c r="AH90" s="67">
        <v>0.25422457000000032</v>
      </c>
      <c r="AI90" s="66">
        <v>0</v>
      </c>
      <c r="AJ90" s="66">
        <v>0</v>
      </c>
      <c r="AK90" s="66">
        <v>0</v>
      </c>
      <c r="AL90" s="66">
        <v>0</v>
      </c>
      <c r="AM90" s="66">
        <v>0</v>
      </c>
      <c r="AN90" s="66">
        <v>0</v>
      </c>
      <c r="AO90" s="66">
        <v>0</v>
      </c>
      <c r="AP90" s="66">
        <v>0</v>
      </c>
      <c r="AQ90" s="66">
        <v>0</v>
      </c>
      <c r="AR90" s="66">
        <v>0</v>
      </c>
      <c r="AS90" s="66">
        <v>0</v>
      </c>
      <c r="AT90" s="67" t="s">
        <v>1094</v>
      </c>
      <c r="AU90" s="67" t="s">
        <v>1094</v>
      </c>
      <c r="AV90" s="67">
        <v>0</v>
      </c>
      <c r="AW90" s="210">
        <v>0</v>
      </c>
      <c r="AX90" s="67">
        <v>0</v>
      </c>
    </row>
    <row r="91" spans="1:50" ht="15.75" x14ac:dyDescent="0.25">
      <c r="A91" s="11">
        <v>80</v>
      </c>
      <c r="B91" s="189" t="s">
        <v>216</v>
      </c>
      <c r="C91" s="66">
        <v>469.25369999999998</v>
      </c>
      <c r="D91" s="66">
        <v>0</v>
      </c>
      <c r="E91" s="66">
        <v>493.95126399999998</v>
      </c>
      <c r="F91" s="66">
        <v>469.25369999999998</v>
      </c>
      <c r="G91" s="66">
        <v>24.697564</v>
      </c>
      <c r="H91" s="66">
        <v>469.25369999999998</v>
      </c>
      <c r="I91" s="66">
        <v>0</v>
      </c>
      <c r="J91" s="66">
        <v>493.95126399999998</v>
      </c>
      <c r="K91" s="66">
        <v>469.25369999999998</v>
      </c>
      <c r="L91" s="66">
        <v>0</v>
      </c>
      <c r="M91" s="66">
        <v>24.697564</v>
      </c>
      <c r="N91" s="67">
        <v>100</v>
      </c>
      <c r="O91" s="67">
        <v>100</v>
      </c>
      <c r="P91" s="67">
        <v>5.0000001619592984</v>
      </c>
      <c r="Q91" s="66">
        <v>0</v>
      </c>
      <c r="R91" s="67">
        <v>0</v>
      </c>
      <c r="S91" s="66">
        <v>469.25369999999998</v>
      </c>
      <c r="T91" s="66">
        <v>0</v>
      </c>
      <c r="U91" s="66">
        <v>493.95126399999998</v>
      </c>
      <c r="V91" s="66">
        <v>469.25369999999998</v>
      </c>
      <c r="W91" s="66">
        <v>24.697564</v>
      </c>
      <c r="X91" s="66">
        <v>469.25369999999998</v>
      </c>
      <c r="Y91" s="66">
        <v>0</v>
      </c>
      <c r="Z91" s="66">
        <v>493.95126399999998</v>
      </c>
      <c r="AA91" s="66">
        <v>469.25369999999998</v>
      </c>
      <c r="AB91" s="66">
        <v>0</v>
      </c>
      <c r="AC91" s="66">
        <v>24.697564</v>
      </c>
      <c r="AD91" s="67">
        <v>100</v>
      </c>
      <c r="AE91" s="67">
        <v>100</v>
      </c>
      <c r="AF91" s="67">
        <v>5.0000001619592984</v>
      </c>
      <c r="AG91" s="210">
        <v>0</v>
      </c>
      <c r="AH91" s="67">
        <v>0</v>
      </c>
      <c r="AI91" s="66">
        <v>0</v>
      </c>
      <c r="AJ91" s="66">
        <v>0</v>
      </c>
      <c r="AK91" s="66">
        <v>0</v>
      </c>
      <c r="AL91" s="66">
        <v>0</v>
      </c>
      <c r="AM91" s="66">
        <v>0</v>
      </c>
      <c r="AN91" s="66">
        <v>0</v>
      </c>
      <c r="AO91" s="66">
        <v>0</v>
      </c>
      <c r="AP91" s="66">
        <v>0</v>
      </c>
      <c r="AQ91" s="66">
        <v>0</v>
      </c>
      <c r="AR91" s="66">
        <v>0</v>
      </c>
      <c r="AS91" s="66">
        <v>0</v>
      </c>
      <c r="AT91" s="67" t="s">
        <v>1094</v>
      </c>
      <c r="AU91" s="67" t="s">
        <v>1094</v>
      </c>
      <c r="AV91" s="67">
        <v>0</v>
      </c>
      <c r="AW91" s="210">
        <v>0</v>
      </c>
      <c r="AX91" s="67">
        <v>0</v>
      </c>
    </row>
    <row r="92" spans="1:50" ht="15.75" x14ac:dyDescent="0.25">
      <c r="A92" s="11">
        <v>81</v>
      </c>
      <c r="B92" s="189" t="s">
        <v>219</v>
      </c>
      <c r="C92" s="66">
        <v>193.55930000000001</v>
      </c>
      <c r="D92" s="66">
        <v>0</v>
      </c>
      <c r="E92" s="66">
        <v>203.74663158000001</v>
      </c>
      <c r="F92" s="66">
        <v>193.55930000000001</v>
      </c>
      <c r="G92" s="66">
        <v>10.18733158</v>
      </c>
      <c r="H92" s="66">
        <v>193.55929997999999</v>
      </c>
      <c r="I92" s="66">
        <v>0</v>
      </c>
      <c r="J92" s="66">
        <v>203.74663156</v>
      </c>
      <c r="K92" s="66">
        <v>193.55929997999999</v>
      </c>
      <c r="L92" s="66">
        <v>0</v>
      </c>
      <c r="M92" s="66">
        <v>10.18733158</v>
      </c>
      <c r="N92" s="67">
        <v>99.999999989667245</v>
      </c>
      <c r="O92" s="67">
        <v>100</v>
      </c>
      <c r="P92" s="67">
        <v>5.0000000009816112</v>
      </c>
      <c r="Q92" s="66">
        <v>0</v>
      </c>
      <c r="R92" s="67">
        <v>0</v>
      </c>
      <c r="S92" s="66">
        <v>193.55930000000001</v>
      </c>
      <c r="T92" s="66">
        <v>0</v>
      </c>
      <c r="U92" s="66">
        <v>203.74663158000001</v>
      </c>
      <c r="V92" s="66">
        <v>193.55930000000001</v>
      </c>
      <c r="W92" s="66">
        <v>10.18733158</v>
      </c>
      <c r="X92" s="66">
        <v>193.55929997999999</v>
      </c>
      <c r="Y92" s="66">
        <v>0</v>
      </c>
      <c r="Z92" s="66">
        <v>203.74663156</v>
      </c>
      <c r="AA92" s="66">
        <v>193.55929997999999</v>
      </c>
      <c r="AB92" s="66">
        <v>0</v>
      </c>
      <c r="AC92" s="66">
        <v>10.18733158</v>
      </c>
      <c r="AD92" s="67">
        <v>99.999999989667245</v>
      </c>
      <c r="AE92" s="67">
        <v>100</v>
      </c>
      <c r="AF92" s="67">
        <v>5.0000000009816112</v>
      </c>
      <c r="AG92" s="210">
        <v>0</v>
      </c>
      <c r="AH92" s="67">
        <v>0</v>
      </c>
      <c r="AI92" s="66">
        <v>0</v>
      </c>
      <c r="AJ92" s="66">
        <v>0</v>
      </c>
      <c r="AK92" s="66">
        <v>0</v>
      </c>
      <c r="AL92" s="66">
        <v>0</v>
      </c>
      <c r="AM92" s="66">
        <v>0</v>
      </c>
      <c r="AN92" s="66">
        <v>0</v>
      </c>
      <c r="AO92" s="66">
        <v>0</v>
      </c>
      <c r="AP92" s="66">
        <v>0</v>
      </c>
      <c r="AQ92" s="66">
        <v>0</v>
      </c>
      <c r="AR92" s="66">
        <v>0</v>
      </c>
      <c r="AS92" s="66">
        <v>0</v>
      </c>
      <c r="AT92" s="67" t="s">
        <v>1094</v>
      </c>
      <c r="AU92" s="67" t="s">
        <v>1094</v>
      </c>
      <c r="AV92" s="67">
        <v>0</v>
      </c>
      <c r="AW92" s="210">
        <v>0</v>
      </c>
      <c r="AX92" s="67">
        <v>0</v>
      </c>
    </row>
    <row r="93" spans="1:50" ht="15.75" x14ac:dyDescent="0.25">
      <c r="A93" s="11">
        <v>82</v>
      </c>
      <c r="B93" s="189" t="s">
        <v>222</v>
      </c>
      <c r="C93" s="66">
        <v>487.48680000000002</v>
      </c>
      <c r="D93" s="66">
        <v>0</v>
      </c>
      <c r="E93" s="66">
        <v>627.26080000000002</v>
      </c>
      <c r="F93" s="66">
        <v>487.48680000000002</v>
      </c>
      <c r="G93" s="66">
        <v>139.774</v>
      </c>
      <c r="H93" s="66">
        <v>477.96279355000001</v>
      </c>
      <c r="I93" s="66">
        <v>0</v>
      </c>
      <c r="J93" s="66">
        <v>614.68903321000005</v>
      </c>
      <c r="K93" s="66">
        <v>477.71643139999998</v>
      </c>
      <c r="L93" s="66">
        <v>0</v>
      </c>
      <c r="M93" s="66">
        <v>136.97260181000001</v>
      </c>
      <c r="N93" s="67">
        <v>97.995767557193332</v>
      </c>
      <c r="O93" s="67">
        <v>97.995765886359422</v>
      </c>
      <c r="P93" s="67">
        <v>22.283235003349279</v>
      </c>
      <c r="Q93" s="66">
        <v>0</v>
      </c>
      <c r="R93" s="67">
        <v>0.24636215000003858</v>
      </c>
      <c r="S93" s="66">
        <v>487.48680000000002</v>
      </c>
      <c r="T93" s="66">
        <v>0</v>
      </c>
      <c r="U93" s="66">
        <v>627.26080000000002</v>
      </c>
      <c r="V93" s="66">
        <v>487.48680000000002</v>
      </c>
      <c r="W93" s="66">
        <v>139.774</v>
      </c>
      <c r="X93" s="66">
        <v>477.96279355000001</v>
      </c>
      <c r="Y93" s="66">
        <v>0</v>
      </c>
      <c r="Z93" s="66">
        <v>614.68903321000005</v>
      </c>
      <c r="AA93" s="66">
        <v>477.71643139999998</v>
      </c>
      <c r="AB93" s="66">
        <v>0</v>
      </c>
      <c r="AC93" s="66">
        <v>136.97260181000001</v>
      </c>
      <c r="AD93" s="67">
        <v>97.995767557193332</v>
      </c>
      <c r="AE93" s="67">
        <v>97.995765886359422</v>
      </c>
      <c r="AF93" s="67">
        <v>22.283235003349279</v>
      </c>
      <c r="AG93" s="210">
        <v>0</v>
      </c>
      <c r="AH93" s="67">
        <v>0.24636215000003858</v>
      </c>
      <c r="AI93" s="66">
        <v>0</v>
      </c>
      <c r="AJ93" s="66">
        <v>0</v>
      </c>
      <c r="AK93" s="66">
        <v>0</v>
      </c>
      <c r="AL93" s="66">
        <v>0</v>
      </c>
      <c r="AM93" s="66">
        <v>0</v>
      </c>
      <c r="AN93" s="66">
        <v>0</v>
      </c>
      <c r="AO93" s="66">
        <v>0</v>
      </c>
      <c r="AP93" s="66">
        <v>0</v>
      </c>
      <c r="AQ93" s="66">
        <v>0</v>
      </c>
      <c r="AR93" s="66">
        <v>0</v>
      </c>
      <c r="AS93" s="66">
        <v>0</v>
      </c>
      <c r="AT93" s="67" t="s">
        <v>1094</v>
      </c>
      <c r="AU93" s="67" t="s">
        <v>1094</v>
      </c>
      <c r="AV93" s="67">
        <v>0</v>
      </c>
      <c r="AW93" s="210">
        <v>0</v>
      </c>
      <c r="AX93" s="67">
        <v>0</v>
      </c>
    </row>
    <row r="94" spans="1:50" ht="15.75" x14ac:dyDescent="0.25">
      <c r="A94" s="11">
        <v>83</v>
      </c>
      <c r="B94" s="189" t="s">
        <v>225</v>
      </c>
      <c r="C94" s="66">
        <v>638.76790000000005</v>
      </c>
      <c r="D94" s="66">
        <v>0</v>
      </c>
      <c r="E94" s="66">
        <v>672.38726399999996</v>
      </c>
      <c r="F94" s="66">
        <v>638.76790000000005</v>
      </c>
      <c r="G94" s="66">
        <v>33.619363999999997</v>
      </c>
      <c r="H94" s="66">
        <v>636.35869560000003</v>
      </c>
      <c r="I94" s="66">
        <v>0</v>
      </c>
      <c r="J94" s="66">
        <v>669.85125851999999</v>
      </c>
      <c r="K94" s="66">
        <v>636.35869560000003</v>
      </c>
      <c r="L94" s="66">
        <v>0</v>
      </c>
      <c r="M94" s="66">
        <v>33.492562920000005</v>
      </c>
      <c r="N94" s="67">
        <v>99.622835712314284</v>
      </c>
      <c r="O94" s="67">
        <v>99.62283319815333</v>
      </c>
      <c r="P94" s="67">
        <v>4.9999999991042792</v>
      </c>
      <c r="Q94" s="66">
        <v>0</v>
      </c>
      <c r="R94" s="67">
        <v>0</v>
      </c>
      <c r="S94" s="66">
        <v>638.76790000000005</v>
      </c>
      <c r="T94" s="66">
        <v>0</v>
      </c>
      <c r="U94" s="66">
        <v>672.38726399999996</v>
      </c>
      <c r="V94" s="66">
        <v>638.76790000000005</v>
      </c>
      <c r="W94" s="66">
        <v>33.619363999999997</v>
      </c>
      <c r="X94" s="66">
        <v>636.35869560000003</v>
      </c>
      <c r="Y94" s="66">
        <v>0</v>
      </c>
      <c r="Z94" s="66">
        <v>669.85125851999999</v>
      </c>
      <c r="AA94" s="66">
        <v>636.35869560000003</v>
      </c>
      <c r="AB94" s="66">
        <v>0</v>
      </c>
      <c r="AC94" s="66">
        <v>33.492562920000005</v>
      </c>
      <c r="AD94" s="67">
        <v>99.622835712314284</v>
      </c>
      <c r="AE94" s="67">
        <v>99.62283319815333</v>
      </c>
      <c r="AF94" s="67">
        <v>4.9999999991042792</v>
      </c>
      <c r="AG94" s="210">
        <v>0</v>
      </c>
      <c r="AH94" s="67">
        <v>0</v>
      </c>
      <c r="AI94" s="66">
        <v>0</v>
      </c>
      <c r="AJ94" s="66">
        <v>0</v>
      </c>
      <c r="AK94" s="66">
        <v>0</v>
      </c>
      <c r="AL94" s="66">
        <v>0</v>
      </c>
      <c r="AM94" s="66">
        <v>0</v>
      </c>
      <c r="AN94" s="66">
        <v>0</v>
      </c>
      <c r="AO94" s="66">
        <v>0</v>
      </c>
      <c r="AP94" s="66">
        <v>0</v>
      </c>
      <c r="AQ94" s="66">
        <v>0</v>
      </c>
      <c r="AR94" s="66">
        <v>0</v>
      </c>
      <c r="AS94" s="66">
        <v>0</v>
      </c>
      <c r="AT94" s="67" t="s">
        <v>1094</v>
      </c>
      <c r="AU94" s="67" t="s">
        <v>1094</v>
      </c>
      <c r="AV94" s="67">
        <v>0</v>
      </c>
      <c r="AW94" s="210">
        <v>0</v>
      </c>
      <c r="AX94" s="67">
        <v>0</v>
      </c>
    </row>
    <row r="95" spans="1:50" ht="15.75" x14ac:dyDescent="0.25">
      <c r="A95" s="74">
        <v>84</v>
      </c>
      <c r="B95" s="189" t="s">
        <v>228</v>
      </c>
      <c r="C95" s="66">
        <v>226.82560000000001</v>
      </c>
      <c r="D95" s="66">
        <v>0</v>
      </c>
      <c r="E95" s="66">
        <v>238.76379032</v>
      </c>
      <c r="F95" s="66">
        <v>226.82560000000001</v>
      </c>
      <c r="G95" s="66">
        <v>11.93819032</v>
      </c>
      <c r="H95" s="66">
        <v>226.82559943999999</v>
      </c>
      <c r="I95" s="66">
        <v>0.94545255000000006</v>
      </c>
      <c r="J95" s="66">
        <v>238.75921757</v>
      </c>
      <c r="K95" s="66">
        <v>226.82124456</v>
      </c>
      <c r="L95" s="66">
        <v>0</v>
      </c>
      <c r="M95" s="66">
        <v>11.93797301</v>
      </c>
      <c r="N95" s="67">
        <v>99.998079828731846</v>
      </c>
      <c r="O95" s="67">
        <v>99.998179707357863</v>
      </c>
      <c r="P95" s="67">
        <v>5.0000050810603769</v>
      </c>
      <c r="Q95" s="66">
        <v>0.94545255000000006</v>
      </c>
      <c r="R95" s="67">
        <v>4.3548799999927335E-3</v>
      </c>
      <c r="S95" s="66">
        <v>226.82560000000001</v>
      </c>
      <c r="T95" s="66">
        <v>0</v>
      </c>
      <c r="U95" s="66">
        <v>238.76379032</v>
      </c>
      <c r="V95" s="66">
        <v>226.82560000000001</v>
      </c>
      <c r="W95" s="66">
        <v>11.93819032</v>
      </c>
      <c r="X95" s="66">
        <v>226.82559943999999</v>
      </c>
      <c r="Y95" s="66">
        <v>0.94545255000000006</v>
      </c>
      <c r="Z95" s="66">
        <v>238.75921757</v>
      </c>
      <c r="AA95" s="66">
        <v>226.82124456</v>
      </c>
      <c r="AB95" s="66">
        <v>0</v>
      </c>
      <c r="AC95" s="66">
        <v>11.93797301</v>
      </c>
      <c r="AD95" s="67">
        <v>99.998079828731846</v>
      </c>
      <c r="AE95" s="67">
        <v>99.998179707357863</v>
      </c>
      <c r="AF95" s="67">
        <v>5.0000050810603769</v>
      </c>
      <c r="AG95" s="210">
        <v>0.94545255000000006</v>
      </c>
      <c r="AH95" s="67">
        <v>4.3548799999927335E-3</v>
      </c>
      <c r="AI95" s="66">
        <v>0</v>
      </c>
      <c r="AJ95" s="66">
        <v>0</v>
      </c>
      <c r="AK95" s="66">
        <v>0</v>
      </c>
      <c r="AL95" s="66">
        <v>0</v>
      </c>
      <c r="AM95" s="66">
        <v>0</v>
      </c>
      <c r="AN95" s="66">
        <v>0</v>
      </c>
      <c r="AO95" s="66">
        <v>0</v>
      </c>
      <c r="AP95" s="66">
        <v>0</v>
      </c>
      <c r="AQ95" s="66">
        <v>0</v>
      </c>
      <c r="AR95" s="66">
        <v>0</v>
      </c>
      <c r="AS95" s="66">
        <v>0</v>
      </c>
      <c r="AT95" s="67" t="s">
        <v>1094</v>
      </c>
      <c r="AU95" s="67" t="s">
        <v>1094</v>
      </c>
      <c r="AV95" s="67">
        <v>0</v>
      </c>
      <c r="AW95" s="210">
        <v>0</v>
      </c>
      <c r="AX95" s="67">
        <v>0</v>
      </c>
    </row>
    <row r="96" spans="1:50" ht="15.75" x14ac:dyDescent="0.25">
      <c r="A96" s="57">
        <v>85</v>
      </c>
      <c r="B96" s="190" t="s">
        <v>231</v>
      </c>
      <c r="C96" s="61">
        <v>1280.0918000000001</v>
      </c>
      <c r="D96" s="61">
        <v>0</v>
      </c>
      <c r="E96" s="61">
        <v>2523.8814522900007</v>
      </c>
      <c r="F96" s="61">
        <v>1280.0918000000001</v>
      </c>
      <c r="G96" s="61">
        <v>1243.78965229</v>
      </c>
      <c r="H96" s="61">
        <v>1252.1236095300003</v>
      </c>
      <c r="I96" s="61">
        <v>1.6722296399999999</v>
      </c>
      <c r="J96" s="61">
        <v>2477.23100432</v>
      </c>
      <c r="K96" s="61">
        <v>1251.6879343500002</v>
      </c>
      <c r="L96" s="61">
        <v>0</v>
      </c>
      <c r="M96" s="61">
        <v>1225.5430699700003</v>
      </c>
      <c r="N96" s="61">
        <v>97.78110713231662</v>
      </c>
      <c r="O96" s="61">
        <v>98.53298487518326</v>
      </c>
      <c r="P96" s="61">
        <v>49.472296601842828</v>
      </c>
      <c r="Q96" s="61">
        <v>1.6722296399999999</v>
      </c>
      <c r="R96" s="61">
        <v>0.43567518000000532</v>
      </c>
      <c r="S96" s="61">
        <v>1280.0918000000001</v>
      </c>
      <c r="T96" s="61">
        <v>0</v>
      </c>
      <c r="U96" s="61">
        <v>2523.8814522900007</v>
      </c>
      <c r="V96" s="61">
        <v>1280.0918000000001</v>
      </c>
      <c r="W96" s="61">
        <v>1243.78965229</v>
      </c>
      <c r="X96" s="61">
        <v>1252.1236095300003</v>
      </c>
      <c r="Y96" s="61">
        <v>1.6722296399999999</v>
      </c>
      <c r="Z96" s="61">
        <v>2477.23100432</v>
      </c>
      <c r="AA96" s="61">
        <v>1251.6879343500002</v>
      </c>
      <c r="AB96" s="61">
        <v>0</v>
      </c>
      <c r="AC96" s="61">
        <v>1225.5430699700003</v>
      </c>
      <c r="AD96" s="61">
        <v>97.78110713231662</v>
      </c>
      <c r="AE96" s="61">
        <v>98.53298487518326</v>
      </c>
      <c r="AF96" s="61">
        <v>49.472296601842828</v>
      </c>
      <c r="AG96" s="61">
        <v>1.6722296399999999</v>
      </c>
      <c r="AH96" s="61">
        <v>0.43567518000000532</v>
      </c>
      <c r="AI96" s="61">
        <v>0</v>
      </c>
      <c r="AJ96" s="61">
        <v>0</v>
      </c>
      <c r="AK96" s="61">
        <v>0</v>
      </c>
      <c r="AL96" s="61">
        <v>0</v>
      </c>
      <c r="AM96" s="61">
        <v>0</v>
      </c>
      <c r="AN96" s="61">
        <v>0</v>
      </c>
      <c r="AO96" s="61">
        <v>0</v>
      </c>
      <c r="AP96" s="61">
        <v>0</v>
      </c>
      <c r="AQ96" s="61">
        <v>0</v>
      </c>
      <c r="AR96" s="61">
        <v>0</v>
      </c>
      <c r="AS96" s="61">
        <v>0</v>
      </c>
      <c r="AT96" s="61" t="s">
        <v>1094</v>
      </c>
      <c r="AU96" s="61" t="s">
        <v>1094</v>
      </c>
      <c r="AV96" s="61">
        <v>0</v>
      </c>
      <c r="AW96" s="61">
        <v>0</v>
      </c>
      <c r="AX96" s="61">
        <v>0</v>
      </c>
    </row>
    <row r="97" spans="1:50" ht="15.75" x14ac:dyDescent="0.25">
      <c r="A97" s="11">
        <v>86</v>
      </c>
      <c r="B97" s="189" t="s">
        <v>234</v>
      </c>
      <c r="C97" s="66">
        <v>376.46140000000003</v>
      </c>
      <c r="D97" s="66">
        <v>0</v>
      </c>
      <c r="E97" s="66">
        <v>1242.244909</v>
      </c>
      <c r="F97" s="66">
        <v>376.46140000000003</v>
      </c>
      <c r="G97" s="66">
        <v>865.78350899999998</v>
      </c>
      <c r="H97" s="66">
        <v>375.88160596</v>
      </c>
      <c r="I97" s="66">
        <v>0.31065890999999995</v>
      </c>
      <c r="J97" s="66">
        <v>1238.8941096199999</v>
      </c>
      <c r="K97" s="66">
        <v>375.44593077999997</v>
      </c>
      <c r="L97" s="66">
        <v>0</v>
      </c>
      <c r="M97" s="66">
        <v>863.44817884000008</v>
      </c>
      <c r="N97" s="67">
        <v>99.730259405081085</v>
      </c>
      <c r="O97" s="67">
        <v>99.730263959093278</v>
      </c>
      <c r="P97" s="67">
        <v>69.695074997559033</v>
      </c>
      <c r="Q97" s="66">
        <v>0.31065890999999995</v>
      </c>
      <c r="R97" s="67">
        <v>0.43567518000000488</v>
      </c>
      <c r="S97" s="66">
        <v>376.46140000000003</v>
      </c>
      <c r="T97" s="66">
        <v>0</v>
      </c>
      <c r="U97" s="66">
        <v>1242.244909</v>
      </c>
      <c r="V97" s="66">
        <v>376.46140000000003</v>
      </c>
      <c r="W97" s="66">
        <v>865.78350899999998</v>
      </c>
      <c r="X97" s="66">
        <v>375.88160596</v>
      </c>
      <c r="Y97" s="66">
        <v>0.31065890999999995</v>
      </c>
      <c r="Z97" s="66">
        <v>1238.8941096199999</v>
      </c>
      <c r="AA97" s="66">
        <v>375.44593077999997</v>
      </c>
      <c r="AB97" s="66">
        <v>0</v>
      </c>
      <c r="AC97" s="66">
        <v>863.44817884000008</v>
      </c>
      <c r="AD97" s="67">
        <v>99.730259405081085</v>
      </c>
      <c r="AE97" s="67">
        <v>99.730263959093278</v>
      </c>
      <c r="AF97" s="67">
        <v>69.695074997559033</v>
      </c>
      <c r="AG97" s="210">
        <v>0.31065890999999995</v>
      </c>
      <c r="AH97" s="67">
        <v>0.43567518000000488</v>
      </c>
      <c r="AI97" s="66">
        <v>0</v>
      </c>
      <c r="AJ97" s="66">
        <v>0</v>
      </c>
      <c r="AK97" s="66">
        <v>0</v>
      </c>
      <c r="AL97" s="66">
        <v>0</v>
      </c>
      <c r="AM97" s="66">
        <v>0</v>
      </c>
      <c r="AN97" s="66">
        <v>0</v>
      </c>
      <c r="AO97" s="66">
        <v>0</v>
      </c>
      <c r="AP97" s="66">
        <v>0</v>
      </c>
      <c r="AQ97" s="66">
        <v>0</v>
      </c>
      <c r="AR97" s="66">
        <v>0</v>
      </c>
      <c r="AS97" s="66">
        <v>0</v>
      </c>
      <c r="AT97" s="67" t="s">
        <v>1094</v>
      </c>
      <c r="AU97" s="67" t="s">
        <v>1094</v>
      </c>
      <c r="AV97" s="67">
        <v>0</v>
      </c>
      <c r="AW97" s="210">
        <v>0</v>
      </c>
      <c r="AX97" s="67">
        <v>0</v>
      </c>
    </row>
    <row r="98" spans="1:50" ht="15.75" x14ac:dyDescent="0.25">
      <c r="A98" s="11">
        <v>87</v>
      </c>
      <c r="B98" s="189" t="s">
        <v>237</v>
      </c>
      <c r="C98" s="66">
        <v>71.105999999999995</v>
      </c>
      <c r="D98" s="66">
        <v>0</v>
      </c>
      <c r="E98" s="66">
        <v>109.10599999999999</v>
      </c>
      <c r="F98" s="66">
        <v>71.105999999999995</v>
      </c>
      <c r="G98" s="66">
        <v>38</v>
      </c>
      <c r="H98" s="66">
        <v>71.105998420000006</v>
      </c>
      <c r="I98" s="66">
        <v>0</v>
      </c>
      <c r="J98" s="66">
        <v>109.10599757999999</v>
      </c>
      <c r="K98" s="66">
        <v>71.105998420000006</v>
      </c>
      <c r="L98" s="66">
        <v>0</v>
      </c>
      <c r="M98" s="66">
        <v>37.999999159999994</v>
      </c>
      <c r="N98" s="67">
        <v>99.999997777965305</v>
      </c>
      <c r="O98" s="67">
        <v>99.999997789473667</v>
      </c>
      <c r="P98" s="67">
        <v>34.828515391316763</v>
      </c>
      <c r="Q98" s="66">
        <v>0</v>
      </c>
      <c r="R98" s="67">
        <v>0</v>
      </c>
      <c r="S98" s="66">
        <v>71.105999999999995</v>
      </c>
      <c r="T98" s="66">
        <v>0</v>
      </c>
      <c r="U98" s="66">
        <v>109.10599999999999</v>
      </c>
      <c r="V98" s="66">
        <v>71.105999999999995</v>
      </c>
      <c r="W98" s="66">
        <v>38</v>
      </c>
      <c r="X98" s="66">
        <v>71.105998420000006</v>
      </c>
      <c r="Y98" s="66">
        <v>0</v>
      </c>
      <c r="Z98" s="66">
        <v>109.10599757999999</v>
      </c>
      <c r="AA98" s="66">
        <v>71.105998420000006</v>
      </c>
      <c r="AB98" s="66">
        <v>0</v>
      </c>
      <c r="AC98" s="66">
        <v>37.999999159999994</v>
      </c>
      <c r="AD98" s="67">
        <v>99.999997777965305</v>
      </c>
      <c r="AE98" s="67">
        <v>99.999997789473667</v>
      </c>
      <c r="AF98" s="67">
        <v>34.828515391316763</v>
      </c>
      <c r="AG98" s="210">
        <v>0</v>
      </c>
      <c r="AH98" s="67">
        <v>0</v>
      </c>
      <c r="AI98" s="66">
        <v>0</v>
      </c>
      <c r="AJ98" s="66">
        <v>0</v>
      </c>
      <c r="AK98" s="66">
        <v>0</v>
      </c>
      <c r="AL98" s="66">
        <v>0</v>
      </c>
      <c r="AM98" s="66">
        <v>0</v>
      </c>
      <c r="AN98" s="66">
        <v>0</v>
      </c>
      <c r="AO98" s="66">
        <v>0</v>
      </c>
      <c r="AP98" s="66">
        <v>0</v>
      </c>
      <c r="AQ98" s="66">
        <v>0</v>
      </c>
      <c r="AR98" s="66">
        <v>0</v>
      </c>
      <c r="AS98" s="66">
        <v>0</v>
      </c>
      <c r="AT98" s="67" t="s">
        <v>1094</v>
      </c>
      <c r="AU98" s="67" t="s">
        <v>1094</v>
      </c>
      <c r="AV98" s="67">
        <v>0</v>
      </c>
      <c r="AW98" s="210">
        <v>0</v>
      </c>
      <c r="AX98" s="67">
        <v>0</v>
      </c>
    </row>
    <row r="99" spans="1:50" ht="15.75" x14ac:dyDescent="0.25">
      <c r="A99" s="11">
        <v>88</v>
      </c>
      <c r="B99" s="189" t="s">
        <v>240</v>
      </c>
      <c r="C99" s="66">
        <v>234.3142</v>
      </c>
      <c r="D99" s="66">
        <v>0</v>
      </c>
      <c r="E99" s="66">
        <v>378.10419999999999</v>
      </c>
      <c r="F99" s="66">
        <v>234.3142</v>
      </c>
      <c r="G99" s="66">
        <v>143.79</v>
      </c>
      <c r="H99" s="66">
        <v>208.61859175000001</v>
      </c>
      <c r="I99" s="66">
        <v>0</v>
      </c>
      <c r="J99" s="66">
        <v>336.64014624999999</v>
      </c>
      <c r="K99" s="66">
        <v>208.61859175000001</v>
      </c>
      <c r="L99" s="66">
        <v>0</v>
      </c>
      <c r="M99" s="66">
        <v>128.02155450000001</v>
      </c>
      <c r="N99" s="67">
        <v>89.033695674440565</v>
      </c>
      <c r="O99" s="67">
        <v>89.033698101397889</v>
      </c>
      <c r="P99" s="67">
        <v>38.02920000068174</v>
      </c>
      <c r="Q99" s="66">
        <v>0</v>
      </c>
      <c r="R99" s="67">
        <v>0</v>
      </c>
      <c r="S99" s="66">
        <v>234.3142</v>
      </c>
      <c r="T99" s="66">
        <v>0</v>
      </c>
      <c r="U99" s="66">
        <v>378.10419999999999</v>
      </c>
      <c r="V99" s="66">
        <v>234.3142</v>
      </c>
      <c r="W99" s="66">
        <v>143.79</v>
      </c>
      <c r="X99" s="66">
        <v>208.61859175000001</v>
      </c>
      <c r="Y99" s="66">
        <v>0</v>
      </c>
      <c r="Z99" s="66">
        <v>336.64014624999999</v>
      </c>
      <c r="AA99" s="66">
        <v>208.61859175000001</v>
      </c>
      <c r="AB99" s="66">
        <v>0</v>
      </c>
      <c r="AC99" s="66">
        <v>128.02155450000001</v>
      </c>
      <c r="AD99" s="67">
        <v>89.033695674440565</v>
      </c>
      <c r="AE99" s="67">
        <v>89.033698101397889</v>
      </c>
      <c r="AF99" s="67">
        <v>38.02920000068174</v>
      </c>
      <c r="AG99" s="210">
        <v>0</v>
      </c>
      <c r="AH99" s="67">
        <v>0</v>
      </c>
      <c r="AI99" s="66">
        <v>0</v>
      </c>
      <c r="AJ99" s="66">
        <v>0</v>
      </c>
      <c r="AK99" s="66">
        <v>0</v>
      </c>
      <c r="AL99" s="66">
        <v>0</v>
      </c>
      <c r="AM99" s="66">
        <v>0</v>
      </c>
      <c r="AN99" s="66">
        <v>0</v>
      </c>
      <c r="AO99" s="66">
        <v>0</v>
      </c>
      <c r="AP99" s="66">
        <v>0</v>
      </c>
      <c r="AQ99" s="66">
        <v>0</v>
      </c>
      <c r="AR99" s="66">
        <v>0</v>
      </c>
      <c r="AS99" s="66">
        <v>0</v>
      </c>
      <c r="AT99" s="67" t="s">
        <v>1094</v>
      </c>
      <c r="AU99" s="67" t="s">
        <v>1094</v>
      </c>
      <c r="AV99" s="67">
        <v>0</v>
      </c>
      <c r="AW99" s="210">
        <v>0</v>
      </c>
      <c r="AX99" s="67">
        <v>0</v>
      </c>
    </row>
    <row r="100" spans="1:50" ht="15.75" x14ac:dyDescent="0.25">
      <c r="A100" s="11">
        <v>89</v>
      </c>
      <c r="B100" s="189" t="s">
        <v>243</v>
      </c>
      <c r="C100" s="66">
        <v>79.3262</v>
      </c>
      <c r="D100" s="66">
        <v>0</v>
      </c>
      <c r="E100" s="66">
        <v>83.501265000000004</v>
      </c>
      <c r="F100" s="66">
        <v>79.3262</v>
      </c>
      <c r="G100" s="66">
        <v>4.175065</v>
      </c>
      <c r="H100" s="66">
        <v>78.330993090000007</v>
      </c>
      <c r="I100" s="66">
        <v>0</v>
      </c>
      <c r="J100" s="66">
        <v>82.453678670000002</v>
      </c>
      <c r="K100" s="66">
        <v>78.330993090000007</v>
      </c>
      <c r="L100" s="66">
        <v>0</v>
      </c>
      <c r="M100" s="66">
        <v>4.1226855799999997</v>
      </c>
      <c r="N100" s="67">
        <v>98.745424702053057</v>
      </c>
      <c r="O100" s="67">
        <v>98.745422646114491</v>
      </c>
      <c r="P100" s="67">
        <v>5.0000019968787637</v>
      </c>
      <c r="Q100" s="66">
        <v>0</v>
      </c>
      <c r="R100" s="67">
        <v>0</v>
      </c>
      <c r="S100" s="66">
        <v>79.3262</v>
      </c>
      <c r="T100" s="66">
        <v>0</v>
      </c>
      <c r="U100" s="66">
        <v>83.501265000000004</v>
      </c>
      <c r="V100" s="66">
        <v>79.3262</v>
      </c>
      <c r="W100" s="66">
        <v>4.175065</v>
      </c>
      <c r="X100" s="66">
        <v>78.330993090000007</v>
      </c>
      <c r="Y100" s="66">
        <v>0</v>
      </c>
      <c r="Z100" s="66">
        <v>82.453678670000002</v>
      </c>
      <c r="AA100" s="66">
        <v>78.330993090000007</v>
      </c>
      <c r="AB100" s="66">
        <v>0</v>
      </c>
      <c r="AC100" s="66">
        <v>4.1226855799999997</v>
      </c>
      <c r="AD100" s="67">
        <v>98.745424702053057</v>
      </c>
      <c r="AE100" s="67">
        <v>98.745422646114491</v>
      </c>
      <c r="AF100" s="67">
        <v>5.0000019968787637</v>
      </c>
      <c r="AG100" s="210">
        <v>0</v>
      </c>
      <c r="AH100" s="67">
        <v>0</v>
      </c>
      <c r="AI100" s="66">
        <v>0</v>
      </c>
      <c r="AJ100" s="66">
        <v>0</v>
      </c>
      <c r="AK100" s="66">
        <v>0</v>
      </c>
      <c r="AL100" s="66">
        <v>0</v>
      </c>
      <c r="AM100" s="66">
        <v>0</v>
      </c>
      <c r="AN100" s="66">
        <v>0</v>
      </c>
      <c r="AO100" s="66">
        <v>0</v>
      </c>
      <c r="AP100" s="66">
        <v>0</v>
      </c>
      <c r="AQ100" s="66">
        <v>0</v>
      </c>
      <c r="AR100" s="66">
        <v>0</v>
      </c>
      <c r="AS100" s="66">
        <v>0</v>
      </c>
      <c r="AT100" s="67" t="s">
        <v>1094</v>
      </c>
      <c r="AU100" s="67" t="s">
        <v>1094</v>
      </c>
      <c r="AV100" s="67">
        <v>0</v>
      </c>
      <c r="AW100" s="210">
        <v>0</v>
      </c>
      <c r="AX100" s="67">
        <v>0</v>
      </c>
    </row>
    <row r="101" spans="1:50" ht="15.75" x14ac:dyDescent="0.25">
      <c r="A101" s="11">
        <v>90</v>
      </c>
      <c r="B101" s="189" t="s">
        <v>246</v>
      </c>
      <c r="C101" s="66">
        <v>369.28769999999997</v>
      </c>
      <c r="D101" s="66">
        <v>0</v>
      </c>
      <c r="E101" s="66">
        <v>435.48077829000005</v>
      </c>
      <c r="F101" s="66">
        <v>369.28769999999997</v>
      </c>
      <c r="G101" s="66">
        <v>66.193078290000003</v>
      </c>
      <c r="H101" s="66">
        <v>368.90619347000001</v>
      </c>
      <c r="I101" s="66">
        <v>0</v>
      </c>
      <c r="J101" s="66">
        <v>435.03088852999997</v>
      </c>
      <c r="K101" s="66">
        <v>368.90619347000001</v>
      </c>
      <c r="L101" s="66">
        <v>0</v>
      </c>
      <c r="M101" s="66">
        <v>66.124695060000008</v>
      </c>
      <c r="N101" s="67">
        <v>99.896691243710535</v>
      </c>
      <c r="O101" s="67">
        <v>99.896691267778181</v>
      </c>
      <c r="P101" s="67">
        <v>15.20000000079075</v>
      </c>
      <c r="Q101" s="66">
        <v>0</v>
      </c>
      <c r="R101" s="67">
        <v>0</v>
      </c>
      <c r="S101" s="66">
        <v>369.28769999999997</v>
      </c>
      <c r="T101" s="66">
        <v>0</v>
      </c>
      <c r="U101" s="66">
        <v>435.48077829000005</v>
      </c>
      <c r="V101" s="66">
        <v>369.28769999999997</v>
      </c>
      <c r="W101" s="66">
        <v>66.193078290000003</v>
      </c>
      <c r="X101" s="66">
        <v>368.90619347000001</v>
      </c>
      <c r="Y101" s="66">
        <v>0</v>
      </c>
      <c r="Z101" s="66">
        <v>435.03088852999997</v>
      </c>
      <c r="AA101" s="66">
        <v>368.90619347000001</v>
      </c>
      <c r="AB101" s="66">
        <v>0</v>
      </c>
      <c r="AC101" s="66">
        <v>66.124695060000008</v>
      </c>
      <c r="AD101" s="67">
        <v>99.896691243710535</v>
      </c>
      <c r="AE101" s="67">
        <v>99.896691267778181</v>
      </c>
      <c r="AF101" s="67">
        <v>15.20000000079075</v>
      </c>
      <c r="AG101" s="210">
        <v>0</v>
      </c>
      <c r="AH101" s="67">
        <v>0</v>
      </c>
      <c r="AI101" s="66">
        <v>0</v>
      </c>
      <c r="AJ101" s="66">
        <v>0</v>
      </c>
      <c r="AK101" s="66">
        <v>0</v>
      </c>
      <c r="AL101" s="66">
        <v>0</v>
      </c>
      <c r="AM101" s="66">
        <v>0</v>
      </c>
      <c r="AN101" s="66">
        <v>0</v>
      </c>
      <c r="AO101" s="66">
        <v>0</v>
      </c>
      <c r="AP101" s="66">
        <v>0</v>
      </c>
      <c r="AQ101" s="66">
        <v>0</v>
      </c>
      <c r="AR101" s="66">
        <v>0</v>
      </c>
      <c r="AS101" s="66">
        <v>0</v>
      </c>
      <c r="AT101" s="67" t="s">
        <v>1094</v>
      </c>
      <c r="AU101" s="67" t="s">
        <v>1094</v>
      </c>
      <c r="AV101" s="67">
        <v>0</v>
      </c>
      <c r="AW101" s="210">
        <v>0</v>
      </c>
      <c r="AX101" s="67">
        <v>0</v>
      </c>
    </row>
    <row r="102" spans="1:50" ht="15.75" x14ac:dyDescent="0.25">
      <c r="A102" s="11">
        <v>91</v>
      </c>
      <c r="B102" s="189" t="s">
        <v>249</v>
      </c>
      <c r="C102" s="66">
        <v>26.077500000000001</v>
      </c>
      <c r="D102" s="66">
        <v>0</v>
      </c>
      <c r="E102" s="66">
        <v>45.929499999999997</v>
      </c>
      <c r="F102" s="66">
        <v>26.077500000000001</v>
      </c>
      <c r="G102" s="66">
        <v>19.852</v>
      </c>
      <c r="H102" s="66">
        <v>26.07718612</v>
      </c>
      <c r="I102" s="66">
        <v>0</v>
      </c>
      <c r="J102" s="66">
        <v>45.928947719999996</v>
      </c>
      <c r="K102" s="66">
        <v>26.07718612</v>
      </c>
      <c r="L102" s="66">
        <v>0</v>
      </c>
      <c r="M102" s="66">
        <v>19.851761600000003</v>
      </c>
      <c r="N102" s="67">
        <v>99.99879635701275</v>
      </c>
      <c r="O102" s="67">
        <v>99.99879911343946</v>
      </c>
      <c r="P102" s="67">
        <v>43.222766001572147</v>
      </c>
      <c r="Q102" s="66">
        <v>0</v>
      </c>
      <c r="R102" s="67">
        <v>0</v>
      </c>
      <c r="S102" s="66">
        <v>26.077500000000001</v>
      </c>
      <c r="T102" s="66">
        <v>0</v>
      </c>
      <c r="U102" s="66">
        <v>45.929499999999997</v>
      </c>
      <c r="V102" s="66">
        <v>26.077500000000001</v>
      </c>
      <c r="W102" s="66">
        <v>19.852</v>
      </c>
      <c r="X102" s="66">
        <v>26.07718612</v>
      </c>
      <c r="Y102" s="66">
        <v>0</v>
      </c>
      <c r="Z102" s="66">
        <v>45.928947719999996</v>
      </c>
      <c r="AA102" s="66">
        <v>26.07718612</v>
      </c>
      <c r="AB102" s="66">
        <v>0</v>
      </c>
      <c r="AC102" s="66">
        <v>19.851761600000003</v>
      </c>
      <c r="AD102" s="67">
        <v>99.99879635701275</v>
      </c>
      <c r="AE102" s="67">
        <v>99.99879911343946</v>
      </c>
      <c r="AF102" s="67">
        <v>43.222766001572147</v>
      </c>
      <c r="AG102" s="210">
        <v>0</v>
      </c>
      <c r="AH102" s="67">
        <v>0</v>
      </c>
      <c r="AI102" s="66">
        <v>0</v>
      </c>
      <c r="AJ102" s="66">
        <v>0</v>
      </c>
      <c r="AK102" s="66">
        <v>0</v>
      </c>
      <c r="AL102" s="66">
        <v>0</v>
      </c>
      <c r="AM102" s="66">
        <v>0</v>
      </c>
      <c r="AN102" s="66">
        <v>0</v>
      </c>
      <c r="AO102" s="66">
        <v>0</v>
      </c>
      <c r="AP102" s="66">
        <v>0</v>
      </c>
      <c r="AQ102" s="66">
        <v>0</v>
      </c>
      <c r="AR102" s="66">
        <v>0</v>
      </c>
      <c r="AS102" s="66">
        <v>0</v>
      </c>
      <c r="AT102" s="67" t="s">
        <v>1094</v>
      </c>
      <c r="AU102" s="67" t="s">
        <v>1094</v>
      </c>
      <c r="AV102" s="67">
        <v>0</v>
      </c>
      <c r="AW102" s="210">
        <v>0</v>
      </c>
      <c r="AX102" s="67">
        <v>0</v>
      </c>
    </row>
    <row r="103" spans="1:50" ht="15.75" x14ac:dyDescent="0.25">
      <c r="A103" s="11">
        <v>92</v>
      </c>
      <c r="B103" s="189" t="s">
        <v>252</v>
      </c>
      <c r="C103" s="66">
        <v>30.832999999999998</v>
      </c>
      <c r="D103" s="66">
        <v>0</v>
      </c>
      <c r="E103" s="66">
        <v>118.5857</v>
      </c>
      <c r="F103" s="66">
        <v>30.832999999999998</v>
      </c>
      <c r="G103" s="66">
        <v>87.752700000000004</v>
      </c>
      <c r="H103" s="66">
        <v>30.832999999999998</v>
      </c>
      <c r="I103" s="66">
        <v>0</v>
      </c>
      <c r="J103" s="66">
        <v>118.5857</v>
      </c>
      <c r="K103" s="66">
        <v>30.832999999999998</v>
      </c>
      <c r="L103" s="66">
        <v>0</v>
      </c>
      <c r="M103" s="66">
        <v>87.752700000000004</v>
      </c>
      <c r="N103" s="67">
        <v>100</v>
      </c>
      <c r="O103" s="67">
        <v>100</v>
      </c>
      <c r="P103" s="67">
        <v>73.999394530706482</v>
      </c>
      <c r="Q103" s="66">
        <v>0</v>
      </c>
      <c r="R103" s="67">
        <v>0</v>
      </c>
      <c r="S103" s="66">
        <v>30.832999999999998</v>
      </c>
      <c r="T103" s="66">
        <v>0</v>
      </c>
      <c r="U103" s="66">
        <v>118.5857</v>
      </c>
      <c r="V103" s="66">
        <v>30.832999999999998</v>
      </c>
      <c r="W103" s="66">
        <v>87.752700000000004</v>
      </c>
      <c r="X103" s="66">
        <v>30.832999999999998</v>
      </c>
      <c r="Y103" s="66">
        <v>0</v>
      </c>
      <c r="Z103" s="66">
        <v>118.5857</v>
      </c>
      <c r="AA103" s="66">
        <v>30.832999999999998</v>
      </c>
      <c r="AB103" s="66">
        <v>0</v>
      </c>
      <c r="AC103" s="66">
        <v>87.752700000000004</v>
      </c>
      <c r="AD103" s="67">
        <v>100</v>
      </c>
      <c r="AE103" s="67">
        <v>100</v>
      </c>
      <c r="AF103" s="67">
        <v>73.999394530706482</v>
      </c>
      <c r="AG103" s="210">
        <v>0</v>
      </c>
      <c r="AH103" s="67">
        <v>0</v>
      </c>
      <c r="AI103" s="66">
        <v>0</v>
      </c>
      <c r="AJ103" s="66">
        <v>0</v>
      </c>
      <c r="AK103" s="66">
        <v>0</v>
      </c>
      <c r="AL103" s="66">
        <v>0</v>
      </c>
      <c r="AM103" s="66">
        <v>0</v>
      </c>
      <c r="AN103" s="66">
        <v>0</v>
      </c>
      <c r="AO103" s="66">
        <v>0</v>
      </c>
      <c r="AP103" s="66">
        <v>0</v>
      </c>
      <c r="AQ103" s="66">
        <v>0</v>
      </c>
      <c r="AR103" s="66">
        <v>0</v>
      </c>
      <c r="AS103" s="66">
        <v>0</v>
      </c>
      <c r="AT103" s="67" t="s">
        <v>1094</v>
      </c>
      <c r="AU103" s="67" t="s">
        <v>1094</v>
      </c>
      <c r="AV103" s="67">
        <v>0</v>
      </c>
      <c r="AW103" s="210">
        <v>0</v>
      </c>
      <c r="AX103" s="67">
        <v>0</v>
      </c>
    </row>
    <row r="104" spans="1:50" ht="15.75" x14ac:dyDescent="0.25">
      <c r="A104" s="11">
        <v>93</v>
      </c>
      <c r="B104" s="189" t="s">
        <v>254</v>
      </c>
      <c r="C104" s="66">
        <v>27.963200000000001</v>
      </c>
      <c r="D104" s="66">
        <v>0</v>
      </c>
      <c r="E104" s="66">
        <v>29.894200000000001</v>
      </c>
      <c r="F104" s="66">
        <v>27.963200000000001</v>
      </c>
      <c r="G104" s="66">
        <v>1.931</v>
      </c>
      <c r="H104" s="66">
        <v>27.647440719999999</v>
      </c>
      <c r="I104" s="66">
        <v>1.36157073</v>
      </c>
      <c r="J104" s="66">
        <v>29.55663595</v>
      </c>
      <c r="K104" s="66">
        <v>27.647440719999999</v>
      </c>
      <c r="L104" s="66">
        <v>0</v>
      </c>
      <c r="M104" s="66">
        <v>1.9091952299999999</v>
      </c>
      <c r="N104" s="67">
        <v>98.870804199805448</v>
      </c>
      <c r="O104" s="67">
        <v>98.870804246504392</v>
      </c>
      <c r="P104" s="67">
        <v>6.4594469858806773</v>
      </c>
      <c r="Q104" s="66">
        <v>1.36157073</v>
      </c>
      <c r="R104" s="67">
        <v>4.4408920985006262E-16</v>
      </c>
      <c r="S104" s="66">
        <v>27.963200000000001</v>
      </c>
      <c r="T104" s="66">
        <v>0</v>
      </c>
      <c r="U104" s="66">
        <v>29.894200000000001</v>
      </c>
      <c r="V104" s="66">
        <v>27.963200000000001</v>
      </c>
      <c r="W104" s="66">
        <v>1.931</v>
      </c>
      <c r="X104" s="66">
        <v>27.647440719999999</v>
      </c>
      <c r="Y104" s="66">
        <v>1.36157073</v>
      </c>
      <c r="Z104" s="66">
        <v>29.55663595</v>
      </c>
      <c r="AA104" s="66">
        <v>27.647440719999999</v>
      </c>
      <c r="AB104" s="66">
        <v>0</v>
      </c>
      <c r="AC104" s="66">
        <v>1.9091952299999999</v>
      </c>
      <c r="AD104" s="67">
        <v>98.870804199805448</v>
      </c>
      <c r="AE104" s="67">
        <v>98.870804246504392</v>
      </c>
      <c r="AF104" s="67">
        <v>6.4594469858806773</v>
      </c>
      <c r="AG104" s="210">
        <v>1.36157073</v>
      </c>
      <c r="AH104" s="67">
        <v>4.4408920985006262E-16</v>
      </c>
      <c r="AI104" s="66">
        <v>0</v>
      </c>
      <c r="AJ104" s="66">
        <v>0</v>
      </c>
      <c r="AK104" s="66">
        <v>0</v>
      </c>
      <c r="AL104" s="66">
        <v>0</v>
      </c>
      <c r="AM104" s="66">
        <v>0</v>
      </c>
      <c r="AN104" s="66">
        <v>0</v>
      </c>
      <c r="AO104" s="66">
        <v>0</v>
      </c>
      <c r="AP104" s="66">
        <v>0</v>
      </c>
      <c r="AQ104" s="66">
        <v>0</v>
      </c>
      <c r="AR104" s="66">
        <v>0</v>
      </c>
      <c r="AS104" s="66">
        <v>0</v>
      </c>
      <c r="AT104" s="67" t="s">
        <v>1094</v>
      </c>
      <c r="AU104" s="67" t="s">
        <v>1094</v>
      </c>
      <c r="AV104" s="67">
        <v>0</v>
      </c>
      <c r="AW104" s="210">
        <v>0</v>
      </c>
      <c r="AX104" s="67">
        <v>0</v>
      </c>
    </row>
    <row r="105" spans="1:50" ht="15.75" x14ac:dyDescent="0.25">
      <c r="A105" s="9">
        <v>94</v>
      </c>
      <c r="B105" s="189" t="s">
        <v>256</v>
      </c>
      <c r="C105" s="66">
        <v>64.7226</v>
      </c>
      <c r="D105" s="66">
        <v>0</v>
      </c>
      <c r="E105" s="66">
        <v>81.034899999999993</v>
      </c>
      <c r="F105" s="66">
        <v>64.7226</v>
      </c>
      <c r="G105" s="66">
        <v>16.3123</v>
      </c>
      <c r="H105" s="66">
        <v>64.7226</v>
      </c>
      <c r="I105" s="66">
        <v>0</v>
      </c>
      <c r="J105" s="66">
        <v>81.034899999999993</v>
      </c>
      <c r="K105" s="66">
        <v>64.7226</v>
      </c>
      <c r="L105" s="66">
        <v>0</v>
      </c>
      <c r="M105" s="66">
        <v>16.3123</v>
      </c>
      <c r="N105" s="67">
        <v>100</v>
      </c>
      <c r="O105" s="67">
        <v>100</v>
      </c>
      <c r="P105" s="67">
        <v>20.129968692501627</v>
      </c>
      <c r="Q105" s="66">
        <v>0</v>
      </c>
      <c r="R105" s="67">
        <v>0</v>
      </c>
      <c r="S105" s="66">
        <v>64.7226</v>
      </c>
      <c r="T105" s="66">
        <v>0</v>
      </c>
      <c r="U105" s="66">
        <v>81.034899999999993</v>
      </c>
      <c r="V105" s="66">
        <v>64.7226</v>
      </c>
      <c r="W105" s="66">
        <v>16.3123</v>
      </c>
      <c r="X105" s="66">
        <v>64.7226</v>
      </c>
      <c r="Y105" s="66">
        <v>0</v>
      </c>
      <c r="Z105" s="66">
        <v>81.034899999999993</v>
      </c>
      <c r="AA105" s="66">
        <v>64.7226</v>
      </c>
      <c r="AB105" s="66">
        <v>0</v>
      </c>
      <c r="AC105" s="66">
        <v>16.3123</v>
      </c>
      <c r="AD105" s="67">
        <v>100</v>
      </c>
      <c r="AE105" s="67">
        <v>100</v>
      </c>
      <c r="AF105" s="67">
        <v>20.129968692501627</v>
      </c>
      <c r="AG105" s="210">
        <v>0</v>
      </c>
      <c r="AH105" s="67">
        <v>0</v>
      </c>
      <c r="AI105" s="66">
        <v>0</v>
      </c>
      <c r="AJ105" s="66">
        <v>0</v>
      </c>
      <c r="AK105" s="66">
        <v>0</v>
      </c>
      <c r="AL105" s="66">
        <v>0</v>
      </c>
      <c r="AM105" s="66">
        <v>0</v>
      </c>
      <c r="AN105" s="66">
        <v>0</v>
      </c>
      <c r="AO105" s="66">
        <v>0</v>
      </c>
      <c r="AP105" s="66">
        <v>0</v>
      </c>
      <c r="AQ105" s="66">
        <v>0</v>
      </c>
      <c r="AR105" s="66">
        <v>0</v>
      </c>
      <c r="AS105" s="66">
        <v>0</v>
      </c>
      <c r="AT105" s="67" t="s">
        <v>1094</v>
      </c>
      <c r="AU105" s="67" t="s">
        <v>1094</v>
      </c>
      <c r="AV105" s="67">
        <v>0</v>
      </c>
      <c r="AW105" s="210">
        <v>0</v>
      </c>
      <c r="AX105" s="67">
        <v>0</v>
      </c>
    </row>
  </sheetData>
  <mergeCells count="47">
    <mergeCell ref="AI7:AX8"/>
    <mergeCell ref="AI9:AI11"/>
    <mergeCell ref="AJ9:AJ11"/>
    <mergeCell ref="AK9:AM9"/>
    <mergeCell ref="AN9:AN11"/>
    <mergeCell ref="AO9:AO11"/>
    <mergeCell ref="AP9:AS9"/>
    <mergeCell ref="AT9:AU10"/>
    <mergeCell ref="AV9:AV11"/>
    <mergeCell ref="AW9:AW11"/>
    <mergeCell ref="AX9:AX11"/>
    <mergeCell ref="AK10:AK11"/>
    <mergeCell ref="AL10:AM10"/>
    <mergeCell ref="AP10:AP11"/>
    <mergeCell ref="AQ10:AS10"/>
    <mergeCell ref="S7:AH8"/>
    <mergeCell ref="S9:S11"/>
    <mergeCell ref="T9:T11"/>
    <mergeCell ref="U10:U11"/>
    <mergeCell ref="V10:W10"/>
    <mergeCell ref="Z10:Z11"/>
    <mergeCell ref="AH9:AH11"/>
    <mergeCell ref="AA10:AC10"/>
    <mergeCell ref="U9:W9"/>
    <mergeCell ref="AG9:AG11"/>
    <mergeCell ref="A7:A11"/>
    <mergeCell ref="B7:B11"/>
    <mergeCell ref="C7:R8"/>
    <mergeCell ref="C9:C11"/>
    <mergeCell ref="J9:M9"/>
    <mergeCell ref="N9:O10"/>
    <mergeCell ref="P9:P11"/>
    <mergeCell ref="Q9:Q11"/>
    <mergeCell ref="R9:R11"/>
    <mergeCell ref="X9:X11"/>
    <mergeCell ref="Y9:Y11"/>
    <mergeCell ref="Z9:AC9"/>
    <mergeCell ref="AF9:AF11"/>
    <mergeCell ref="AD9:AE10"/>
    <mergeCell ref="J10:J11"/>
    <mergeCell ref="K10:M10"/>
    <mergeCell ref="D9:D11"/>
    <mergeCell ref="E9:G9"/>
    <mergeCell ref="H9:H11"/>
    <mergeCell ref="I9:I11"/>
    <mergeCell ref="E10:E11"/>
    <mergeCell ref="F10:G10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AX105"/>
  <sheetViews>
    <sheetView view="pageBreakPreview" zoomScale="60" zoomScaleNormal="70" workbookViewId="0">
      <pane xSplit="2" ySplit="12" topLeftCell="C13" activePane="bottomRight" state="frozen"/>
      <selection activeCell="F34" sqref="F34"/>
      <selection pane="topRight" activeCell="F34" sqref="F34"/>
      <selection pane="bottomLeft" activeCell="F34" sqref="F34"/>
      <selection pane="bottomRight" activeCell="AJ9" sqref="AJ9:AJ11"/>
    </sheetView>
  </sheetViews>
  <sheetFormatPr defaultRowHeight="15" outlineLevelCol="1" x14ac:dyDescent="0.25"/>
  <cols>
    <col min="1" max="1" width="5" customWidth="1"/>
    <col min="2" max="2" width="32.85546875" customWidth="1"/>
    <col min="3" max="4" width="18.7109375" style="126" customWidth="1"/>
    <col min="5" max="6" width="18.7109375" style="126" customWidth="1" outlineLevel="1"/>
    <col min="7" max="15" width="18.7109375" style="126" customWidth="1"/>
    <col min="16" max="18" width="18.7109375" style="126" customWidth="1" outlineLevel="1"/>
    <col min="19" max="20" width="18.7109375" style="126" customWidth="1"/>
    <col min="21" max="22" width="18.7109375" style="126" customWidth="1" outlineLevel="1"/>
    <col min="23" max="31" width="18.7109375" style="126" customWidth="1"/>
    <col min="32" max="34" width="18.7109375" style="126" customWidth="1" outlineLevel="1"/>
    <col min="35" max="36" width="18.7109375" style="126" customWidth="1"/>
    <col min="37" max="38" width="18.7109375" style="126" customWidth="1" outlineLevel="1"/>
    <col min="39" max="47" width="18.7109375" style="126" customWidth="1"/>
    <col min="48" max="50" width="18.7109375" style="126" customWidth="1" outlineLevel="1"/>
  </cols>
  <sheetData>
    <row r="1" spans="1:50" s="126" customFormat="1" ht="15.75" x14ac:dyDescent="0.25">
      <c r="B1" s="127"/>
    </row>
    <row r="2" spans="1:50" s="126" customFormat="1" ht="17.45" customHeight="1" x14ac:dyDescent="0.3">
      <c r="C2" s="216"/>
      <c r="D2" s="217"/>
      <c r="E2" s="217"/>
      <c r="F2" s="217"/>
      <c r="G2" s="217"/>
      <c r="H2" s="217"/>
      <c r="I2" s="217"/>
      <c r="J2" s="217"/>
      <c r="K2" s="217"/>
      <c r="L2" s="217"/>
      <c r="T2" s="217"/>
      <c r="U2" s="217"/>
      <c r="V2" s="217"/>
      <c r="W2" s="217"/>
      <c r="X2" s="217"/>
      <c r="Y2" s="217"/>
      <c r="Z2" s="217"/>
      <c r="AA2" s="217"/>
      <c r="AB2" s="217"/>
      <c r="AJ2" s="217"/>
      <c r="AK2" s="217"/>
      <c r="AL2" s="217"/>
      <c r="AM2" s="217"/>
      <c r="AN2" s="217"/>
      <c r="AO2" s="217"/>
      <c r="AP2" s="217"/>
      <c r="AQ2" s="217"/>
      <c r="AR2" s="217"/>
    </row>
    <row r="3" spans="1:50" s="126" customFormat="1" ht="20.45" customHeight="1" x14ac:dyDescent="0.3">
      <c r="A3" s="128"/>
      <c r="B3" s="128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38"/>
      <c r="N3" s="38"/>
      <c r="O3" s="38"/>
      <c r="P3" s="3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38"/>
      <c r="AD3" s="38"/>
      <c r="AE3" s="38"/>
      <c r="AF3" s="38"/>
      <c r="AS3" s="38"/>
      <c r="AT3" s="38"/>
      <c r="AU3" s="38"/>
      <c r="AV3" s="38"/>
    </row>
    <row r="4" spans="1:50" s="126" customFormat="1" ht="20.25" customHeight="1" x14ac:dyDescent="0.3">
      <c r="A4" s="128"/>
      <c r="B4" s="128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38"/>
      <c r="N4" s="38"/>
      <c r="O4" s="38"/>
      <c r="P4" s="38"/>
      <c r="T4" s="40"/>
      <c r="U4" s="40"/>
      <c r="V4" s="40"/>
      <c r="W4" s="40"/>
      <c r="X4" s="40"/>
      <c r="Y4" s="40"/>
      <c r="Z4" s="40"/>
      <c r="AA4" s="40"/>
      <c r="AB4" s="40"/>
      <c r="AC4" s="38"/>
      <c r="AD4" s="38"/>
      <c r="AE4" s="38"/>
      <c r="AF4" s="38"/>
      <c r="AJ4" s="40"/>
      <c r="AK4" s="40"/>
      <c r="AL4" s="40"/>
      <c r="AM4" s="40"/>
      <c r="AN4" s="40"/>
      <c r="AO4" s="40"/>
      <c r="AP4" s="40"/>
      <c r="AQ4" s="40"/>
      <c r="AR4" s="40"/>
      <c r="AS4" s="38"/>
      <c r="AT4" s="38"/>
      <c r="AU4" s="38"/>
      <c r="AV4" s="38"/>
    </row>
    <row r="5" spans="1:50" s="126" customFormat="1" ht="20.25" x14ac:dyDescent="0.3">
      <c r="A5" s="128"/>
      <c r="B5" s="128"/>
      <c r="D5" s="215"/>
      <c r="E5" s="215"/>
      <c r="F5" s="214"/>
      <c r="G5" s="42"/>
      <c r="H5" s="43"/>
      <c r="I5" s="43"/>
      <c r="T5" s="215"/>
      <c r="U5" s="215"/>
      <c r="V5" s="214"/>
      <c r="W5" s="42"/>
      <c r="X5" s="43"/>
      <c r="Y5" s="43"/>
      <c r="AJ5" s="215"/>
      <c r="AK5" s="215"/>
      <c r="AL5" s="214"/>
      <c r="AM5" s="42"/>
      <c r="AN5" s="43"/>
      <c r="AO5" s="43"/>
    </row>
    <row r="6" spans="1:50" ht="15.75" x14ac:dyDescent="0.25">
      <c r="B6" s="44" t="s">
        <v>1093</v>
      </c>
      <c r="C6" s="76"/>
      <c r="Q6" s="76"/>
      <c r="R6" s="76"/>
      <c r="S6" s="76"/>
      <c r="AG6" s="76"/>
      <c r="AH6" s="76"/>
      <c r="AI6" s="76"/>
      <c r="AW6" s="76"/>
      <c r="AX6" s="76"/>
    </row>
    <row r="7" spans="1:50" ht="15" customHeight="1" x14ac:dyDescent="0.25">
      <c r="A7" s="275" t="s">
        <v>284</v>
      </c>
      <c r="B7" s="275" t="s">
        <v>285</v>
      </c>
      <c r="C7" s="282" t="s">
        <v>997</v>
      </c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  <c r="S7" s="282" t="s">
        <v>1017</v>
      </c>
      <c r="T7" s="283"/>
      <c r="U7" s="283"/>
      <c r="V7" s="283"/>
      <c r="W7" s="283"/>
      <c r="X7" s="283"/>
      <c r="Y7" s="283"/>
      <c r="Z7" s="283"/>
      <c r="AA7" s="283"/>
      <c r="AB7" s="283"/>
      <c r="AC7" s="283"/>
      <c r="AD7" s="283"/>
      <c r="AE7" s="283"/>
      <c r="AF7" s="283"/>
      <c r="AG7" s="283"/>
      <c r="AH7" s="283"/>
      <c r="AI7" s="282" t="s">
        <v>1018</v>
      </c>
      <c r="AJ7" s="283"/>
      <c r="AK7" s="283"/>
      <c r="AL7" s="283"/>
      <c r="AM7" s="283"/>
      <c r="AN7" s="283"/>
      <c r="AO7" s="283"/>
      <c r="AP7" s="283"/>
      <c r="AQ7" s="283"/>
      <c r="AR7" s="283"/>
      <c r="AS7" s="283"/>
      <c r="AT7" s="283"/>
      <c r="AU7" s="283"/>
      <c r="AV7" s="283"/>
      <c r="AW7" s="283"/>
      <c r="AX7" s="283"/>
    </row>
    <row r="8" spans="1:50" ht="15.75" customHeight="1" thickBot="1" x14ac:dyDescent="0.3">
      <c r="A8" s="275"/>
      <c r="B8" s="275"/>
      <c r="C8" s="284"/>
      <c r="D8" s="279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79"/>
      <c r="S8" s="284"/>
      <c r="T8" s="279"/>
      <c r="U8" s="279"/>
      <c r="V8" s="279"/>
      <c r="W8" s="279"/>
      <c r="X8" s="279"/>
      <c r="Y8" s="279"/>
      <c r="Z8" s="279"/>
      <c r="AA8" s="279"/>
      <c r="AB8" s="279"/>
      <c r="AC8" s="279"/>
      <c r="AD8" s="279"/>
      <c r="AE8" s="279"/>
      <c r="AF8" s="279"/>
      <c r="AG8" s="279"/>
      <c r="AH8" s="279"/>
      <c r="AI8" s="284"/>
      <c r="AJ8" s="279"/>
      <c r="AK8" s="279"/>
      <c r="AL8" s="279"/>
      <c r="AM8" s="279"/>
      <c r="AN8" s="279"/>
      <c r="AO8" s="279"/>
      <c r="AP8" s="279"/>
      <c r="AQ8" s="279"/>
      <c r="AR8" s="279"/>
      <c r="AS8" s="279"/>
      <c r="AT8" s="279"/>
      <c r="AU8" s="279"/>
      <c r="AV8" s="279"/>
      <c r="AW8" s="279"/>
      <c r="AX8" s="279"/>
    </row>
    <row r="9" spans="1:50" ht="15" customHeight="1" x14ac:dyDescent="0.25">
      <c r="A9" s="275"/>
      <c r="B9" s="275"/>
      <c r="C9" s="253" t="s">
        <v>315</v>
      </c>
      <c r="D9" s="254" t="s">
        <v>1096</v>
      </c>
      <c r="E9" s="268" t="s">
        <v>287</v>
      </c>
      <c r="F9" s="268"/>
      <c r="G9" s="268"/>
      <c r="H9" s="268" t="s">
        <v>312</v>
      </c>
      <c r="I9" s="268" t="s">
        <v>262</v>
      </c>
      <c r="J9" s="268" t="s">
        <v>288</v>
      </c>
      <c r="K9" s="268"/>
      <c r="L9" s="268"/>
      <c r="M9" s="268"/>
      <c r="N9" s="281" t="s">
        <v>289</v>
      </c>
      <c r="O9" s="281"/>
      <c r="P9" s="268" t="s">
        <v>290</v>
      </c>
      <c r="Q9" s="268" t="s">
        <v>266</v>
      </c>
      <c r="R9" s="268" t="s">
        <v>291</v>
      </c>
      <c r="S9" s="253" t="s">
        <v>315</v>
      </c>
      <c r="T9" s="254" t="s">
        <v>1096</v>
      </c>
      <c r="U9" s="254" t="s">
        <v>287</v>
      </c>
      <c r="V9" s="254"/>
      <c r="W9" s="254"/>
      <c r="X9" s="254" t="s">
        <v>312</v>
      </c>
      <c r="Y9" s="254" t="s">
        <v>262</v>
      </c>
      <c r="Z9" s="254" t="s">
        <v>288</v>
      </c>
      <c r="AA9" s="254"/>
      <c r="AB9" s="254"/>
      <c r="AC9" s="254"/>
      <c r="AD9" s="269" t="s">
        <v>289</v>
      </c>
      <c r="AE9" s="269"/>
      <c r="AF9" s="254" t="s">
        <v>290</v>
      </c>
      <c r="AG9" s="254" t="s">
        <v>266</v>
      </c>
      <c r="AH9" s="254" t="s">
        <v>291</v>
      </c>
      <c r="AI9" s="253" t="s">
        <v>315</v>
      </c>
      <c r="AJ9" s="254" t="s">
        <v>1096</v>
      </c>
      <c r="AK9" s="254" t="s">
        <v>287</v>
      </c>
      <c r="AL9" s="254"/>
      <c r="AM9" s="254"/>
      <c r="AN9" s="254" t="s">
        <v>312</v>
      </c>
      <c r="AO9" s="254" t="s">
        <v>262</v>
      </c>
      <c r="AP9" s="254" t="s">
        <v>288</v>
      </c>
      <c r="AQ9" s="254"/>
      <c r="AR9" s="254"/>
      <c r="AS9" s="254"/>
      <c r="AT9" s="269" t="s">
        <v>289</v>
      </c>
      <c r="AU9" s="269"/>
      <c r="AV9" s="254" t="s">
        <v>290</v>
      </c>
      <c r="AW9" s="254" t="s">
        <v>266</v>
      </c>
      <c r="AX9" s="254" t="s">
        <v>291</v>
      </c>
    </row>
    <row r="10" spans="1:50" ht="15" customHeight="1" x14ac:dyDescent="0.25">
      <c r="A10" s="275"/>
      <c r="B10" s="275"/>
      <c r="C10" s="220"/>
      <c r="D10" s="224"/>
      <c r="E10" s="224" t="s">
        <v>292</v>
      </c>
      <c r="F10" s="224" t="s">
        <v>293</v>
      </c>
      <c r="G10" s="224"/>
      <c r="H10" s="224"/>
      <c r="I10" s="224"/>
      <c r="J10" s="224" t="s">
        <v>292</v>
      </c>
      <c r="K10" s="224" t="s">
        <v>294</v>
      </c>
      <c r="L10" s="224"/>
      <c r="M10" s="224"/>
      <c r="N10" s="270"/>
      <c r="O10" s="270"/>
      <c r="P10" s="224"/>
      <c r="Q10" s="224"/>
      <c r="R10" s="224"/>
      <c r="S10" s="220"/>
      <c r="T10" s="224"/>
      <c r="U10" s="224" t="s">
        <v>292</v>
      </c>
      <c r="V10" s="224" t="s">
        <v>293</v>
      </c>
      <c r="W10" s="224"/>
      <c r="X10" s="224"/>
      <c r="Y10" s="224"/>
      <c r="Z10" s="224" t="s">
        <v>292</v>
      </c>
      <c r="AA10" s="224" t="s">
        <v>294</v>
      </c>
      <c r="AB10" s="224"/>
      <c r="AC10" s="224"/>
      <c r="AD10" s="270"/>
      <c r="AE10" s="270"/>
      <c r="AF10" s="224"/>
      <c r="AG10" s="224"/>
      <c r="AH10" s="224"/>
      <c r="AI10" s="220"/>
      <c r="AJ10" s="224"/>
      <c r="AK10" s="224" t="s">
        <v>292</v>
      </c>
      <c r="AL10" s="224" t="s">
        <v>293</v>
      </c>
      <c r="AM10" s="224"/>
      <c r="AN10" s="224"/>
      <c r="AO10" s="224"/>
      <c r="AP10" s="224" t="s">
        <v>292</v>
      </c>
      <c r="AQ10" s="224" t="s">
        <v>294</v>
      </c>
      <c r="AR10" s="224"/>
      <c r="AS10" s="224"/>
      <c r="AT10" s="270"/>
      <c r="AU10" s="270"/>
      <c r="AV10" s="224"/>
      <c r="AW10" s="224"/>
      <c r="AX10" s="224"/>
    </row>
    <row r="11" spans="1:50" ht="105" x14ac:dyDescent="0.25">
      <c r="A11" s="275"/>
      <c r="B11" s="275"/>
      <c r="C11" s="254"/>
      <c r="D11" s="224"/>
      <c r="E11" s="224"/>
      <c r="F11" s="205" t="s">
        <v>259</v>
      </c>
      <c r="G11" s="205" t="s">
        <v>260</v>
      </c>
      <c r="H11" s="224"/>
      <c r="I11" s="224"/>
      <c r="J11" s="224"/>
      <c r="K11" s="205" t="s">
        <v>264</v>
      </c>
      <c r="L11" s="205" t="s">
        <v>303</v>
      </c>
      <c r="M11" s="205" t="s">
        <v>260</v>
      </c>
      <c r="N11" s="205" t="s">
        <v>965</v>
      </c>
      <c r="O11" s="205" t="s">
        <v>295</v>
      </c>
      <c r="P11" s="224"/>
      <c r="Q11" s="224"/>
      <c r="R11" s="224"/>
      <c r="S11" s="254"/>
      <c r="T11" s="224"/>
      <c r="U11" s="224"/>
      <c r="V11" s="205" t="s">
        <v>259</v>
      </c>
      <c r="W11" s="205" t="s">
        <v>260</v>
      </c>
      <c r="X11" s="224"/>
      <c r="Y11" s="224"/>
      <c r="Z11" s="224"/>
      <c r="AA11" s="205" t="s">
        <v>264</v>
      </c>
      <c r="AB11" s="205" t="s">
        <v>303</v>
      </c>
      <c r="AC11" s="205" t="s">
        <v>260</v>
      </c>
      <c r="AD11" s="205" t="s">
        <v>965</v>
      </c>
      <c r="AE11" s="205" t="s">
        <v>295</v>
      </c>
      <c r="AF11" s="224"/>
      <c r="AG11" s="224"/>
      <c r="AH11" s="224"/>
      <c r="AI11" s="254"/>
      <c r="AJ11" s="224"/>
      <c r="AK11" s="224"/>
      <c r="AL11" s="205" t="s">
        <v>259</v>
      </c>
      <c r="AM11" s="205" t="s">
        <v>260</v>
      </c>
      <c r="AN11" s="224"/>
      <c r="AO11" s="224"/>
      <c r="AP11" s="224"/>
      <c r="AQ11" s="205" t="s">
        <v>264</v>
      </c>
      <c r="AR11" s="205" t="s">
        <v>303</v>
      </c>
      <c r="AS11" s="205" t="s">
        <v>260</v>
      </c>
      <c r="AT11" s="205" t="s">
        <v>965</v>
      </c>
      <c r="AU11" s="205" t="s">
        <v>295</v>
      </c>
      <c r="AV11" s="224"/>
      <c r="AW11" s="224"/>
      <c r="AX11" s="224"/>
    </row>
    <row r="12" spans="1:50" ht="31.5" x14ac:dyDescent="0.25">
      <c r="A12" s="50" t="s">
        <v>2</v>
      </c>
      <c r="B12" s="195" t="s">
        <v>3</v>
      </c>
      <c r="C12" s="53">
        <v>58693.874499999998</v>
      </c>
      <c r="D12" s="53">
        <v>0</v>
      </c>
      <c r="E12" s="53">
        <v>66478.081036489995</v>
      </c>
      <c r="F12" s="53">
        <v>58693.874499999998</v>
      </c>
      <c r="G12" s="53">
        <v>7784.20653649</v>
      </c>
      <c r="H12" s="53">
        <v>58420.30308007999</v>
      </c>
      <c r="I12" s="53">
        <v>316.53794611000001</v>
      </c>
      <c r="J12" s="53">
        <v>64968.681572029993</v>
      </c>
      <c r="K12" s="53">
        <v>57514.815764909996</v>
      </c>
      <c r="L12" s="53">
        <v>0</v>
      </c>
      <c r="M12" s="53">
        <v>7453.8658071200007</v>
      </c>
      <c r="N12" s="53">
        <v>97.991172426195845</v>
      </c>
      <c r="O12" s="53">
        <v>95.756269726124785</v>
      </c>
      <c r="P12" s="53">
        <v>11.473013807208</v>
      </c>
      <c r="Q12" s="53">
        <v>316.53794611000001</v>
      </c>
      <c r="R12" s="53">
        <v>905.48731516999976</v>
      </c>
      <c r="S12" s="53">
        <v>55004.629300000008</v>
      </c>
      <c r="T12" s="53">
        <v>0</v>
      </c>
      <c r="U12" s="53">
        <v>62159.770186199989</v>
      </c>
      <c r="V12" s="53">
        <v>55004.629300000008</v>
      </c>
      <c r="W12" s="53">
        <v>7155.1408861999998</v>
      </c>
      <c r="X12" s="53">
        <v>54731.057880079992</v>
      </c>
      <c r="Y12" s="53">
        <v>316.53794611000001</v>
      </c>
      <c r="Z12" s="53">
        <v>61810.034832169993</v>
      </c>
      <c r="AA12" s="53">
        <v>54730.732126610004</v>
      </c>
      <c r="AB12" s="53">
        <v>0</v>
      </c>
      <c r="AC12" s="53">
        <v>7079.3027055600005</v>
      </c>
      <c r="AD12" s="53">
        <v>99.502047051537886</v>
      </c>
      <c r="AE12" s="53">
        <v>98.94008822682629</v>
      </c>
      <c r="AF12" s="53">
        <v>11.453322627599407</v>
      </c>
      <c r="AG12" s="53">
        <v>316.53794611000001</v>
      </c>
      <c r="AH12" s="53">
        <v>0.32575347000040278</v>
      </c>
      <c r="AI12" s="53">
        <v>3689.2451999999998</v>
      </c>
      <c r="AJ12" s="53">
        <v>0</v>
      </c>
      <c r="AK12" s="53">
        <v>4318.3108502899995</v>
      </c>
      <c r="AL12" s="53">
        <v>3689.2451999999998</v>
      </c>
      <c r="AM12" s="53">
        <v>629.06565029000001</v>
      </c>
      <c r="AN12" s="53">
        <v>3689.2451999999998</v>
      </c>
      <c r="AO12" s="53">
        <v>0</v>
      </c>
      <c r="AP12" s="53">
        <v>3158.6467398599998</v>
      </c>
      <c r="AQ12" s="53">
        <v>2784.0836383000001</v>
      </c>
      <c r="AR12" s="53">
        <v>0</v>
      </c>
      <c r="AS12" s="53">
        <v>374.56310156000001</v>
      </c>
      <c r="AT12" s="53">
        <v>75.464857643509305</v>
      </c>
      <c r="AU12" s="53">
        <v>59.54276813355267</v>
      </c>
      <c r="AV12" s="53">
        <v>11.858341005129358</v>
      </c>
      <c r="AW12" s="53">
        <v>0</v>
      </c>
      <c r="AX12" s="53">
        <v>905.16156170000011</v>
      </c>
    </row>
    <row r="13" spans="1:50" ht="15.75" x14ac:dyDescent="0.25">
      <c r="A13" s="57" t="s">
        <v>6</v>
      </c>
      <c r="B13" s="190" t="s">
        <v>7</v>
      </c>
      <c r="C13" s="61">
        <v>31930.663599999993</v>
      </c>
      <c r="D13" s="61">
        <v>0</v>
      </c>
      <c r="E13" s="61">
        <v>35507.292690359995</v>
      </c>
      <c r="F13" s="61">
        <v>31930.663599999993</v>
      </c>
      <c r="G13" s="61">
        <v>3576.6290903599997</v>
      </c>
      <c r="H13" s="61">
        <v>31930.157665799998</v>
      </c>
      <c r="I13" s="61">
        <v>1.7596105099999999</v>
      </c>
      <c r="J13" s="61">
        <v>34389.667959159997</v>
      </c>
      <c r="K13" s="61">
        <v>31065.570116299998</v>
      </c>
      <c r="L13" s="61">
        <v>0</v>
      </c>
      <c r="M13" s="61">
        <v>3324.0978428600006</v>
      </c>
      <c r="N13" s="61">
        <v>97.290712480839275</v>
      </c>
      <c r="O13" s="61">
        <v>92.939406320307555</v>
      </c>
      <c r="P13" s="61">
        <v>9.6659783014118847</v>
      </c>
      <c r="Q13" s="61">
        <v>1.7596105099999999</v>
      </c>
      <c r="R13" s="61">
        <v>864.58754950000002</v>
      </c>
      <c r="S13" s="61">
        <v>28936.5478</v>
      </c>
      <c r="T13" s="61">
        <v>0</v>
      </c>
      <c r="U13" s="61">
        <v>31926.736230259998</v>
      </c>
      <c r="V13" s="61">
        <v>28936.5478</v>
      </c>
      <c r="W13" s="61">
        <v>2990.1884302600001</v>
      </c>
      <c r="X13" s="61">
        <v>28936.041865800002</v>
      </c>
      <c r="Y13" s="61">
        <v>1.7596105099999999</v>
      </c>
      <c r="Z13" s="61">
        <v>31926.047293719999</v>
      </c>
      <c r="AA13" s="61">
        <v>28936.023978020003</v>
      </c>
      <c r="AB13" s="61">
        <v>0</v>
      </c>
      <c r="AC13" s="61">
        <v>2990.0233157000002</v>
      </c>
      <c r="AD13" s="61">
        <v>99.998189756485061</v>
      </c>
      <c r="AE13" s="61">
        <v>99.994478121902659</v>
      </c>
      <c r="AF13" s="61">
        <v>9.3654666617253035</v>
      </c>
      <c r="AG13" s="61">
        <v>1.7596105099999999</v>
      </c>
      <c r="AH13" s="61">
        <v>1.7887780000405584E-2</v>
      </c>
      <c r="AI13" s="61">
        <v>2994.1158</v>
      </c>
      <c r="AJ13" s="61">
        <v>0</v>
      </c>
      <c r="AK13" s="61">
        <v>3580.5564600999996</v>
      </c>
      <c r="AL13" s="61">
        <v>2994.1158</v>
      </c>
      <c r="AM13" s="61">
        <v>586.44066010000006</v>
      </c>
      <c r="AN13" s="61">
        <v>2994.1158</v>
      </c>
      <c r="AO13" s="61">
        <v>0</v>
      </c>
      <c r="AP13" s="61">
        <v>2463.6206654399998</v>
      </c>
      <c r="AQ13" s="61">
        <v>2129.5461382800004</v>
      </c>
      <c r="AR13" s="61">
        <v>0</v>
      </c>
      <c r="AS13" s="61">
        <v>334.07452716</v>
      </c>
      <c r="AT13" s="61">
        <v>71.124374624388281</v>
      </c>
      <c r="AU13" s="61">
        <v>56.966467349489967</v>
      </c>
      <c r="AV13" s="61">
        <v>13.560307065387223</v>
      </c>
      <c r="AW13" s="61">
        <v>0</v>
      </c>
      <c r="AX13" s="61">
        <v>864.56966172000011</v>
      </c>
    </row>
    <row r="14" spans="1:50" ht="15.75" x14ac:dyDescent="0.25">
      <c r="A14" s="11" t="s">
        <v>9</v>
      </c>
      <c r="B14" s="189" t="s">
        <v>10</v>
      </c>
      <c r="C14" s="66">
        <v>4930.8245999999999</v>
      </c>
      <c r="D14" s="66">
        <v>0</v>
      </c>
      <c r="E14" s="66">
        <v>5190.3416850000003</v>
      </c>
      <c r="F14" s="66">
        <v>4930.8245999999999</v>
      </c>
      <c r="G14" s="66">
        <v>259.51708500000001</v>
      </c>
      <c r="H14" s="66">
        <v>4930.8245999999999</v>
      </c>
      <c r="I14" s="66">
        <v>0</v>
      </c>
      <c r="J14" s="66">
        <v>5190.3416850000003</v>
      </c>
      <c r="K14" s="66">
        <v>4930.8245999999999</v>
      </c>
      <c r="L14" s="66">
        <v>0</v>
      </c>
      <c r="M14" s="66">
        <v>259.51708500000001</v>
      </c>
      <c r="N14" s="67">
        <v>100</v>
      </c>
      <c r="O14" s="67">
        <v>100</v>
      </c>
      <c r="P14" s="67">
        <v>5.0000000144499159</v>
      </c>
      <c r="Q14" s="66">
        <v>0</v>
      </c>
      <c r="R14" s="67">
        <v>0</v>
      </c>
      <c r="S14" s="66">
        <v>4930.8245999999999</v>
      </c>
      <c r="T14" s="66">
        <v>0</v>
      </c>
      <c r="U14" s="66">
        <v>5190.3416850000003</v>
      </c>
      <c r="V14" s="66">
        <v>4930.8245999999999</v>
      </c>
      <c r="W14" s="66">
        <v>259.51708500000001</v>
      </c>
      <c r="X14" s="66">
        <v>4930.8245999999999</v>
      </c>
      <c r="Y14" s="66">
        <v>0</v>
      </c>
      <c r="Z14" s="66">
        <v>5190.3416850000003</v>
      </c>
      <c r="AA14" s="66">
        <v>4930.8245999999999</v>
      </c>
      <c r="AB14" s="66">
        <v>0</v>
      </c>
      <c r="AC14" s="66">
        <v>259.51708500000001</v>
      </c>
      <c r="AD14" s="67">
        <v>100</v>
      </c>
      <c r="AE14" s="67">
        <v>100</v>
      </c>
      <c r="AF14" s="67">
        <v>5.0000000144499159</v>
      </c>
      <c r="AG14" s="210">
        <v>0</v>
      </c>
      <c r="AH14" s="67">
        <v>0</v>
      </c>
      <c r="AI14" s="66">
        <v>0</v>
      </c>
      <c r="AJ14" s="66">
        <v>0</v>
      </c>
      <c r="AK14" s="66">
        <v>0</v>
      </c>
      <c r="AL14" s="66">
        <v>0</v>
      </c>
      <c r="AM14" s="66">
        <v>0</v>
      </c>
      <c r="AN14" s="66">
        <v>0</v>
      </c>
      <c r="AO14" s="66">
        <v>0</v>
      </c>
      <c r="AP14" s="66">
        <v>0</v>
      </c>
      <c r="AQ14" s="66">
        <v>0</v>
      </c>
      <c r="AR14" s="66">
        <v>0</v>
      </c>
      <c r="AS14" s="66">
        <v>0</v>
      </c>
      <c r="AT14" s="67" t="s">
        <v>1094</v>
      </c>
      <c r="AU14" s="67" t="s">
        <v>1094</v>
      </c>
      <c r="AV14" s="67">
        <v>0</v>
      </c>
      <c r="AW14" s="210">
        <v>0</v>
      </c>
      <c r="AX14" s="67">
        <v>0</v>
      </c>
    </row>
    <row r="15" spans="1:50" ht="15.75" x14ac:dyDescent="0.25">
      <c r="A15" s="11" t="s">
        <v>12</v>
      </c>
      <c r="B15" s="189" t="s">
        <v>13</v>
      </c>
      <c r="C15" s="66">
        <v>7857.8150999999998</v>
      </c>
      <c r="D15" s="66">
        <v>0</v>
      </c>
      <c r="E15" s="66">
        <v>7922.9403216000001</v>
      </c>
      <c r="F15" s="66">
        <v>7857.8150999999998</v>
      </c>
      <c r="G15" s="66">
        <v>65.125221600000003</v>
      </c>
      <c r="H15" s="66">
        <v>7857.8150999999998</v>
      </c>
      <c r="I15" s="66">
        <v>0</v>
      </c>
      <c r="J15" s="66">
        <v>7922.9403216000001</v>
      </c>
      <c r="K15" s="66">
        <v>7857.8150999999998</v>
      </c>
      <c r="L15" s="66">
        <v>0</v>
      </c>
      <c r="M15" s="66">
        <v>65.125221600000003</v>
      </c>
      <c r="N15" s="67">
        <v>100</v>
      </c>
      <c r="O15" s="67">
        <v>100</v>
      </c>
      <c r="P15" s="67">
        <v>0.82198298808905168</v>
      </c>
      <c r="Q15" s="66">
        <v>0</v>
      </c>
      <c r="R15" s="67">
        <v>0</v>
      </c>
      <c r="S15" s="66">
        <v>7857.8150999999998</v>
      </c>
      <c r="T15" s="66">
        <v>0</v>
      </c>
      <c r="U15" s="66">
        <v>7922.9403216000001</v>
      </c>
      <c r="V15" s="66">
        <v>7857.8150999999998</v>
      </c>
      <c r="W15" s="66">
        <v>65.125221600000003</v>
      </c>
      <c r="X15" s="66">
        <v>7857.8150999999998</v>
      </c>
      <c r="Y15" s="66">
        <v>0</v>
      </c>
      <c r="Z15" s="66">
        <v>7922.9403216000001</v>
      </c>
      <c r="AA15" s="66">
        <v>7857.8150999999998</v>
      </c>
      <c r="AB15" s="66">
        <v>0</v>
      </c>
      <c r="AC15" s="66">
        <v>65.125221600000003</v>
      </c>
      <c r="AD15" s="67">
        <v>100</v>
      </c>
      <c r="AE15" s="67">
        <v>100</v>
      </c>
      <c r="AF15" s="67">
        <v>0.82198298808905168</v>
      </c>
      <c r="AG15" s="210">
        <v>0</v>
      </c>
      <c r="AH15" s="67">
        <v>0</v>
      </c>
      <c r="AI15" s="66">
        <v>0</v>
      </c>
      <c r="AJ15" s="66">
        <v>0</v>
      </c>
      <c r="AK15" s="66">
        <v>0</v>
      </c>
      <c r="AL15" s="66">
        <v>0</v>
      </c>
      <c r="AM15" s="66">
        <v>0</v>
      </c>
      <c r="AN15" s="66">
        <v>0</v>
      </c>
      <c r="AO15" s="66">
        <v>0</v>
      </c>
      <c r="AP15" s="66">
        <v>0</v>
      </c>
      <c r="AQ15" s="66">
        <v>0</v>
      </c>
      <c r="AR15" s="66">
        <v>0</v>
      </c>
      <c r="AS15" s="66">
        <v>0</v>
      </c>
      <c r="AT15" s="67" t="s">
        <v>1094</v>
      </c>
      <c r="AU15" s="67" t="s">
        <v>1094</v>
      </c>
      <c r="AV15" s="67">
        <v>0</v>
      </c>
      <c r="AW15" s="210">
        <v>0</v>
      </c>
      <c r="AX15" s="67">
        <v>0</v>
      </c>
    </row>
    <row r="16" spans="1:50" ht="15.75" x14ac:dyDescent="0.25">
      <c r="A16" s="11" t="s">
        <v>15</v>
      </c>
      <c r="B16" s="189" t="s">
        <v>16</v>
      </c>
      <c r="C16" s="66">
        <v>430.67739999999998</v>
      </c>
      <c r="D16" s="66">
        <v>0</v>
      </c>
      <c r="E16" s="66">
        <v>552.15060000000005</v>
      </c>
      <c r="F16" s="66">
        <v>430.67739999999998</v>
      </c>
      <c r="G16" s="66">
        <v>121.47320000000001</v>
      </c>
      <c r="H16" s="66">
        <v>430.67739999999998</v>
      </c>
      <c r="I16" s="66">
        <v>0.70876899999999998</v>
      </c>
      <c r="J16" s="66">
        <v>552.15060000000005</v>
      </c>
      <c r="K16" s="66">
        <v>430.67739999999998</v>
      </c>
      <c r="L16" s="66">
        <v>0</v>
      </c>
      <c r="M16" s="66">
        <v>121.47320000000001</v>
      </c>
      <c r="N16" s="67">
        <v>100</v>
      </c>
      <c r="O16" s="67">
        <v>100</v>
      </c>
      <c r="P16" s="67">
        <v>22.000012315480593</v>
      </c>
      <c r="Q16" s="66">
        <v>0.70876899999999998</v>
      </c>
      <c r="R16" s="67">
        <v>1.7985612998927536E-14</v>
      </c>
      <c r="S16" s="66">
        <v>430.67739999999998</v>
      </c>
      <c r="T16" s="66">
        <v>0</v>
      </c>
      <c r="U16" s="66">
        <v>552.15060000000005</v>
      </c>
      <c r="V16" s="66">
        <v>430.67739999999998</v>
      </c>
      <c r="W16" s="66">
        <v>121.47320000000001</v>
      </c>
      <c r="X16" s="66">
        <v>430.67739999999998</v>
      </c>
      <c r="Y16" s="66">
        <v>0.70876899999999998</v>
      </c>
      <c r="Z16" s="66">
        <v>552.15060000000005</v>
      </c>
      <c r="AA16" s="66">
        <v>430.67739999999998</v>
      </c>
      <c r="AB16" s="66">
        <v>0</v>
      </c>
      <c r="AC16" s="66">
        <v>121.47320000000001</v>
      </c>
      <c r="AD16" s="67">
        <v>100</v>
      </c>
      <c r="AE16" s="67">
        <v>100</v>
      </c>
      <c r="AF16" s="67">
        <v>22.000012315480593</v>
      </c>
      <c r="AG16" s="210">
        <v>0.70876899999999998</v>
      </c>
      <c r="AH16" s="67">
        <v>1.7985612998927536E-14</v>
      </c>
      <c r="AI16" s="66">
        <v>0</v>
      </c>
      <c r="AJ16" s="66">
        <v>0</v>
      </c>
      <c r="AK16" s="66">
        <v>0</v>
      </c>
      <c r="AL16" s="66">
        <v>0</v>
      </c>
      <c r="AM16" s="66">
        <v>0</v>
      </c>
      <c r="AN16" s="66">
        <v>0</v>
      </c>
      <c r="AO16" s="66">
        <v>0</v>
      </c>
      <c r="AP16" s="66">
        <v>0</v>
      </c>
      <c r="AQ16" s="66">
        <v>0</v>
      </c>
      <c r="AR16" s="66">
        <v>0</v>
      </c>
      <c r="AS16" s="66">
        <v>0</v>
      </c>
      <c r="AT16" s="67" t="s">
        <v>1094</v>
      </c>
      <c r="AU16" s="67" t="s">
        <v>1094</v>
      </c>
      <c r="AV16" s="67">
        <v>0</v>
      </c>
      <c r="AW16" s="210">
        <v>0</v>
      </c>
      <c r="AX16" s="67">
        <v>0</v>
      </c>
    </row>
    <row r="17" spans="1:50" ht="15.75" x14ac:dyDescent="0.25">
      <c r="A17" s="11" t="s">
        <v>18</v>
      </c>
      <c r="B17" s="189" t="s">
        <v>19</v>
      </c>
      <c r="C17" s="66">
        <v>3889.6930000000002</v>
      </c>
      <c r="D17" s="66">
        <v>0</v>
      </c>
      <c r="E17" s="66">
        <v>5035.4784</v>
      </c>
      <c r="F17" s="66">
        <v>3889.6930000000002</v>
      </c>
      <c r="G17" s="66">
        <v>1145.7854</v>
      </c>
      <c r="H17" s="66">
        <v>3889.2738342299999</v>
      </c>
      <c r="I17" s="66">
        <v>0</v>
      </c>
      <c r="J17" s="66">
        <v>3951.169868</v>
      </c>
      <c r="K17" s="66">
        <v>3052.1208342300001</v>
      </c>
      <c r="L17" s="66">
        <v>0</v>
      </c>
      <c r="M17" s="66">
        <v>899.04903376999994</v>
      </c>
      <c r="N17" s="67">
        <v>78.466882456533199</v>
      </c>
      <c r="O17" s="67">
        <v>78.465743565068991</v>
      </c>
      <c r="P17" s="67">
        <v>22.753996001317955</v>
      </c>
      <c r="Q17" s="66">
        <v>0</v>
      </c>
      <c r="R17" s="67">
        <v>837.15299999999979</v>
      </c>
      <c r="S17" s="66">
        <v>3052.54</v>
      </c>
      <c r="T17" s="66">
        <v>0</v>
      </c>
      <c r="U17" s="66">
        <v>3951.7291</v>
      </c>
      <c r="V17" s="66">
        <v>3052.54</v>
      </c>
      <c r="W17" s="66">
        <v>899.18910000000005</v>
      </c>
      <c r="X17" s="66">
        <v>3052.1208342300001</v>
      </c>
      <c r="Y17" s="66">
        <v>0</v>
      </c>
      <c r="Z17" s="66">
        <v>3951.169868</v>
      </c>
      <c r="AA17" s="66">
        <v>3052.1208342300001</v>
      </c>
      <c r="AB17" s="66">
        <v>0</v>
      </c>
      <c r="AC17" s="66">
        <v>899.04903376999994</v>
      </c>
      <c r="AD17" s="67">
        <v>99.986268295583358</v>
      </c>
      <c r="AE17" s="67">
        <v>99.984423050724246</v>
      </c>
      <c r="AF17" s="67">
        <v>22.753996001317955</v>
      </c>
      <c r="AG17" s="210">
        <v>0</v>
      </c>
      <c r="AH17" s="67">
        <v>0</v>
      </c>
      <c r="AI17" s="66">
        <v>837.15300000000002</v>
      </c>
      <c r="AJ17" s="66">
        <v>0</v>
      </c>
      <c r="AK17" s="66">
        <v>1083.7492999999999</v>
      </c>
      <c r="AL17" s="66">
        <v>837.15300000000002</v>
      </c>
      <c r="AM17" s="66">
        <v>246.59630000000001</v>
      </c>
      <c r="AN17" s="66">
        <v>837.15300000000002</v>
      </c>
      <c r="AO17" s="66">
        <v>0</v>
      </c>
      <c r="AP17" s="66">
        <v>0</v>
      </c>
      <c r="AQ17" s="66">
        <v>0</v>
      </c>
      <c r="AR17" s="66">
        <v>0</v>
      </c>
      <c r="AS17" s="66">
        <v>0</v>
      </c>
      <c r="AT17" s="67">
        <v>0</v>
      </c>
      <c r="AU17" s="67">
        <v>0</v>
      </c>
      <c r="AV17" s="67">
        <v>0</v>
      </c>
      <c r="AW17" s="210">
        <v>0</v>
      </c>
      <c r="AX17" s="67">
        <v>837.15300000000002</v>
      </c>
    </row>
    <row r="18" spans="1:50" ht="15.75" x14ac:dyDescent="0.25">
      <c r="A18" s="11" t="s">
        <v>21</v>
      </c>
      <c r="B18" s="189" t="s">
        <v>22</v>
      </c>
      <c r="C18" s="66">
        <v>38.497</v>
      </c>
      <c r="D18" s="66">
        <v>0</v>
      </c>
      <c r="E18" s="66">
        <v>44.914570320000003</v>
      </c>
      <c r="F18" s="66">
        <v>38.497</v>
      </c>
      <c r="G18" s="66">
        <v>6.4175703200000003</v>
      </c>
      <c r="H18" s="66">
        <v>38.497</v>
      </c>
      <c r="I18" s="66">
        <v>0</v>
      </c>
      <c r="J18" s="66">
        <v>44.914570320000003</v>
      </c>
      <c r="K18" s="66">
        <v>38.497</v>
      </c>
      <c r="L18" s="66">
        <v>0</v>
      </c>
      <c r="M18" s="66">
        <v>6.4175703200000003</v>
      </c>
      <c r="N18" s="67">
        <v>100</v>
      </c>
      <c r="O18" s="67">
        <v>100</v>
      </c>
      <c r="P18" s="67">
        <v>14.288392996475624</v>
      </c>
      <c r="Q18" s="66">
        <v>0</v>
      </c>
      <c r="R18" s="67">
        <v>0</v>
      </c>
      <c r="S18" s="66">
        <v>38.497</v>
      </c>
      <c r="T18" s="66">
        <v>0</v>
      </c>
      <c r="U18" s="66">
        <v>44.914570320000003</v>
      </c>
      <c r="V18" s="66">
        <v>38.497</v>
      </c>
      <c r="W18" s="66">
        <v>6.4175703200000003</v>
      </c>
      <c r="X18" s="66">
        <v>38.497</v>
      </c>
      <c r="Y18" s="66">
        <v>0</v>
      </c>
      <c r="Z18" s="66">
        <v>44.914570320000003</v>
      </c>
      <c r="AA18" s="66">
        <v>38.497</v>
      </c>
      <c r="AB18" s="66">
        <v>0</v>
      </c>
      <c r="AC18" s="66">
        <v>6.4175703200000003</v>
      </c>
      <c r="AD18" s="67">
        <v>100</v>
      </c>
      <c r="AE18" s="67">
        <v>100</v>
      </c>
      <c r="AF18" s="67">
        <v>14.288392996475624</v>
      </c>
      <c r="AG18" s="210">
        <v>0</v>
      </c>
      <c r="AH18" s="67">
        <v>0</v>
      </c>
      <c r="AI18" s="66">
        <v>0</v>
      </c>
      <c r="AJ18" s="66">
        <v>0</v>
      </c>
      <c r="AK18" s="66">
        <v>0</v>
      </c>
      <c r="AL18" s="66">
        <v>0</v>
      </c>
      <c r="AM18" s="66">
        <v>0</v>
      </c>
      <c r="AN18" s="66">
        <v>0</v>
      </c>
      <c r="AO18" s="66">
        <v>0</v>
      </c>
      <c r="AP18" s="66">
        <v>0</v>
      </c>
      <c r="AQ18" s="66">
        <v>0</v>
      </c>
      <c r="AR18" s="66">
        <v>0</v>
      </c>
      <c r="AS18" s="66">
        <v>0</v>
      </c>
      <c r="AT18" s="67" t="s">
        <v>1094</v>
      </c>
      <c r="AU18" s="67" t="s">
        <v>1094</v>
      </c>
      <c r="AV18" s="67">
        <v>0</v>
      </c>
      <c r="AW18" s="210">
        <v>0</v>
      </c>
      <c r="AX18" s="67">
        <v>0</v>
      </c>
    </row>
    <row r="19" spans="1:50" ht="15.75" x14ac:dyDescent="0.25">
      <c r="A19" s="11" t="s">
        <v>24</v>
      </c>
      <c r="B19" s="189" t="s">
        <v>25</v>
      </c>
      <c r="C19" s="66">
        <v>1144.9681</v>
      </c>
      <c r="D19" s="66">
        <v>0</v>
      </c>
      <c r="E19" s="66">
        <v>1206.3713170000001</v>
      </c>
      <c r="F19" s="66">
        <v>1144.9681</v>
      </c>
      <c r="G19" s="66">
        <v>61.403216999999998</v>
      </c>
      <c r="H19" s="66">
        <v>1144.96790902</v>
      </c>
      <c r="I19" s="66">
        <v>0</v>
      </c>
      <c r="J19" s="66">
        <v>1206.3711177</v>
      </c>
      <c r="K19" s="66">
        <v>1144.96790902</v>
      </c>
      <c r="L19" s="66">
        <v>0</v>
      </c>
      <c r="M19" s="66">
        <v>61.403208679999999</v>
      </c>
      <c r="N19" s="67">
        <v>99.9999833200593</v>
      </c>
      <c r="O19" s="67">
        <v>99.999986450221328</v>
      </c>
      <c r="P19" s="67">
        <v>5.0899103749323782</v>
      </c>
      <c r="Q19" s="66">
        <v>0</v>
      </c>
      <c r="R19" s="67">
        <v>0</v>
      </c>
      <c r="S19" s="66">
        <v>1014.9857</v>
      </c>
      <c r="T19" s="66">
        <v>0</v>
      </c>
      <c r="U19" s="66">
        <v>1069.419134</v>
      </c>
      <c r="V19" s="66">
        <v>1014.9857</v>
      </c>
      <c r="W19" s="66">
        <v>54.433433999999998</v>
      </c>
      <c r="X19" s="66">
        <v>1014.98550902</v>
      </c>
      <c r="Y19" s="66">
        <v>0</v>
      </c>
      <c r="Z19" s="66">
        <v>1069.4189347000001</v>
      </c>
      <c r="AA19" s="66">
        <v>1014.98550902</v>
      </c>
      <c r="AB19" s="66">
        <v>0</v>
      </c>
      <c r="AC19" s="66">
        <v>54.433425679999999</v>
      </c>
      <c r="AD19" s="67">
        <v>99.999981183971371</v>
      </c>
      <c r="AE19" s="67">
        <v>99.999984715276284</v>
      </c>
      <c r="AF19" s="67">
        <v>5.0900001780191033</v>
      </c>
      <c r="AG19" s="210">
        <v>0</v>
      </c>
      <c r="AH19" s="67">
        <v>0</v>
      </c>
      <c r="AI19" s="66">
        <v>129.98240000000001</v>
      </c>
      <c r="AJ19" s="66">
        <v>0</v>
      </c>
      <c r="AK19" s="66">
        <v>136.95218299999999</v>
      </c>
      <c r="AL19" s="66">
        <v>129.98240000000001</v>
      </c>
      <c r="AM19" s="66">
        <v>6.9697829999999996</v>
      </c>
      <c r="AN19" s="66">
        <v>129.98240000000001</v>
      </c>
      <c r="AO19" s="66">
        <v>0</v>
      </c>
      <c r="AP19" s="66">
        <v>136.95218299999999</v>
      </c>
      <c r="AQ19" s="66">
        <v>129.98240000000001</v>
      </c>
      <c r="AR19" s="66">
        <v>0</v>
      </c>
      <c r="AS19" s="66">
        <v>6.9697829999999996</v>
      </c>
      <c r="AT19" s="67">
        <v>100</v>
      </c>
      <c r="AU19" s="67">
        <v>100</v>
      </c>
      <c r="AV19" s="67">
        <v>5.0892091292914987</v>
      </c>
      <c r="AW19" s="210">
        <v>0</v>
      </c>
      <c r="AX19" s="67">
        <v>0</v>
      </c>
    </row>
    <row r="20" spans="1:50" ht="15.75" x14ac:dyDescent="0.25">
      <c r="A20" s="11" t="s">
        <v>27</v>
      </c>
      <c r="B20" s="189" t="s">
        <v>28</v>
      </c>
      <c r="C20" s="66">
        <v>25.252800000000001</v>
      </c>
      <c r="D20" s="66">
        <v>0</v>
      </c>
      <c r="E20" s="66">
        <v>35.472900000000003</v>
      </c>
      <c r="F20" s="66">
        <v>25.252800000000001</v>
      </c>
      <c r="G20" s="66">
        <v>10.2201</v>
      </c>
      <c r="H20" s="66">
        <v>25.252800000000001</v>
      </c>
      <c r="I20" s="66">
        <v>1.0508415099999999</v>
      </c>
      <c r="J20" s="66">
        <v>35.472838780000004</v>
      </c>
      <c r="K20" s="66">
        <v>25.252759040000001</v>
      </c>
      <c r="L20" s="66">
        <v>0</v>
      </c>
      <c r="M20" s="66">
        <v>10.220079740000001</v>
      </c>
      <c r="N20" s="67">
        <v>99.999837800164741</v>
      </c>
      <c r="O20" s="67">
        <v>99.999801763192139</v>
      </c>
      <c r="P20" s="67">
        <v>28.811000448495822</v>
      </c>
      <c r="Q20" s="66">
        <v>1.0508415099999999</v>
      </c>
      <c r="R20" s="67">
        <v>4.0960000001311059E-5</v>
      </c>
      <c r="S20" s="66">
        <v>25.252800000000001</v>
      </c>
      <c r="T20" s="66">
        <v>0</v>
      </c>
      <c r="U20" s="66">
        <v>35.472900000000003</v>
      </c>
      <c r="V20" s="66">
        <v>25.252800000000001</v>
      </c>
      <c r="W20" s="66">
        <v>10.2201</v>
      </c>
      <c r="X20" s="66">
        <v>25.252800000000001</v>
      </c>
      <c r="Y20" s="66">
        <v>1.0508415099999999</v>
      </c>
      <c r="Z20" s="66">
        <v>35.472838780000004</v>
      </c>
      <c r="AA20" s="66">
        <v>25.252759040000001</v>
      </c>
      <c r="AB20" s="66">
        <v>0</v>
      </c>
      <c r="AC20" s="66">
        <v>10.220079740000001</v>
      </c>
      <c r="AD20" s="67">
        <v>99.999837800164741</v>
      </c>
      <c r="AE20" s="67">
        <v>99.999801763192139</v>
      </c>
      <c r="AF20" s="67">
        <v>28.811000448495822</v>
      </c>
      <c r="AG20" s="210">
        <v>1.0508415099999999</v>
      </c>
      <c r="AH20" s="67">
        <v>4.0960000001311059E-5</v>
      </c>
      <c r="AI20" s="66">
        <v>0</v>
      </c>
      <c r="AJ20" s="66">
        <v>0</v>
      </c>
      <c r="AK20" s="66">
        <v>0</v>
      </c>
      <c r="AL20" s="66">
        <v>0</v>
      </c>
      <c r="AM20" s="66">
        <v>0</v>
      </c>
      <c r="AN20" s="66">
        <v>0</v>
      </c>
      <c r="AO20" s="66">
        <v>0</v>
      </c>
      <c r="AP20" s="66">
        <v>0</v>
      </c>
      <c r="AQ20" s="66">
        <v>0</v>
      </c>
      <c r="AR20" s="66">
        <v>0</v>
      </c>
      <c r="AS20" s="66">
        <v>0</v>
      </c>
      <c r="AT20" s="67" t="s">
        <v>1094</v>
      </c>
      <c r="AU20" s="67" t="s">
        <v>1094</v>
      </c>
      <c r="AV20" s="67">
        <v>0</v>
      </c>
      <c r="AW20" s="210">
        <v>0</v>
      </c>
      <c r="AX20" s="67">
        <v>0</v>
      </c>
    </row>
    <row r="21" spans="1:50" ht="15.75" x14ac:dyDescent="0.25">
      <c r="A21" s="11" t="s">
        <v>30</v>
      </c>
      <c r="B21" s="189" t="s">
        <v>31</v>
      </c>
      <c r="C21" s="66">
        <v>4110.2737999999999</v>
      </c>
      <c r="D21" s="66">
        <v>0</v>
      </c>
      <c r="E21" s="66">
        <v>4756.8316160000004</v>
      </c>
      <c r="F21" s="66">
        <v>4110.2737999999999</v>
      </c>
      <c r="G21" s="66">
        <v>646.557816</v>
      </c>
      <c r="H21" s="66">
        <v>4110.2726999799997</v>
      </c>
      <c r="I21" s="66">
        <v>0</v>
      </c>
      <c r="J21" s="66">
        <v>4723.6207326599997</v>
      </c>
      <c r="K21" s="66">
        <v>4082.8381929199995</v>
      </c>
      <c r="L21" s="66">
        <v>0</v>
      </c>
      <c r="M21" s="66">
        <v>640.78253973999995</v>
      </c>
      <c r="N21" s="67">
        <v>99.332511447777506</v>
      </c>
      <c r="O21" s="67">
        <v>99.106765687911803</v>
      </c>
      <c r="P21" s="67">
        <v>13.56549511499747</v>
      </c>
      <c r="Q21" s="66">
        <v>0</v>
      </c>
      <c r="R21" s="67">
        <v>27.434507060000215</v>
      </c>
      <c r="S21" s="66">
        <v>3223.9875999999999</v>
      </c>
      <c r="T21" s="66">
        <v>0</v>
      </c>
      <c r="U21" s="66">
        <v>3712.0123880000001</v>
      </c>
      <c r="V21" s="66">
        <v>3223.9875999999999</v>
      </c>
      <c r="W21" s="66">
        <v>488.024788</v>
      </c>
      <c r="X21" s="66">
        <v>3223.9864999800002</v>
      </c>
      <c r="Y21" s="66">
        <v>0</v>
      </c>
      <c r="Z21" s="66">
        <v>3711.9879729999998</v>
      </c>
      <c r="AA21" s="66">
        <v>3223.9686546399998</v>
      </c>
      <c r="AB21" s="66">
        <v>0</v>
      </c>
      <c r="AC21" s="66">
        <v>488.01931836</v>
      </c>
      <c r="AD21" s="67">
        <v>99.999412362504131</v>
      </c>
      <c r="AE21" s="67">
        <v>99.998879229060805</v>
      </c>
      <c r="AF21" s="67">
        <v>13.147114751171637</v>
      </c>
      <c r="AG21" s="210">
        <v>0</v>
      </c>
      <c r="AH21" s="67">
        <v>1.7845340000349097E-2</v>
      </c>
      <c r="AI21" s="66">
        <v>886.28620000000001</v>
      </c>
      <c r="AJ21" s="66">
        <v>0</v>
      </c>
      <c r="AK21" s="66">
        <v>1044.8192280000001</v>
      </c>
      <c r="AL21" s="66">
        <v>886.28620000000001</v>
      </c>
      <c r="AM21" s="66">
        <v>158.533028</v>
      </c>
      <c r="AN21" s="66">
        <v>886.28620000000001</v>
      </c>
      <c r="AO21" s="66">
        <v>0</v>
      </c>
      <c r="AP21" s="66">
        <v>1011.6327596599999</v>
      </c>
      <c r="AQ21" s="66">
        <v>858.86953827999992</v>
      </c>
      <c r="AR21" s="66">
        <v>0</v>
      </c>
      <c r="AS21" s="66">
        <v>152.76322138</v>
      </c>
      <c r="AT21" s="67">
        <v>96.906567910004682</v>
      </c>
      <c r="AU21" s="67">
        <v>96.360501850756293</v>
      </c>
      <c r="AV21" s="67">
        <v>15.100659791933019</v>
      </c>
      <c r="AW21" s="210">
        <v>0</v>
      </c>
      <c r="AX21" s="67">
        <v>27.416661720000093</v>
      </c>
    </row>
    <row r="22" spans="1:50" ht="15.75" x14ac:dyDescent="0.25">
      <c r="A22" s="11" t="s">
        <v>33</v>
      </c>
      <c r="B22" s="189" t="s">
        <v>34</v>
      </c>
      <c r="C22" s="66">
        <v>1704.1460999999999</v>
      </c>
      <c r="D22" s="66">
        <v>0</v>
      </c>
      <c r="E22" s="66">
        <v>1796.6285216800002</v>
      </c>
      <c r="F22" s="66">
        <v>1704.1460999999999</v>
      </c>
      <c r="G22" s="66">
        <v>92.482421680000002</v>
      </c>
      <c r="H22" s="66">
        <v>1704.14606946</v>
      </c>
      <c r="I22" s="66">
        <v>0</v>
      </c>
      <c r="J22" s="66">
        <v>1796.6284911400001</v>
      </c>
      <c r="K22" s="66">
        <v>1704.14606946</v>
      </c>
      <c r="L22" s="66">
        <v>0</v>
      </c>
      <c r="M22" s="66">
        <v>92.482421680000002</v>
      </c>
      <c r="N22" s="67">
        <v>99.999998207900148</v>
      </c>
      <c r="O22" s="67">
        <v>100</v>
      </c>
      <c r="P22" s="67">
        <v>5.1475539955017569</v>
      </c>
      <c r="Q22" s="66">
        <v>0</v>
      </c>
      <c r="R22" s="67">
        <v>0</v>
      </c>
      <c r="S22" s="66">
        <v>1704.1460999999999</v>
      </c>
      <c r="T22" s="66">
        <v>0</v>
      </c>
      <c r="U22" s="66">
        <v>1796.6285216800002</v>
      </c>
      <c r="V22" s="66">
        <v>1704.1460999999999</v>
      </c>
      <c r="W22" s="66">
        <v>92.482421680000002</v>
      </c>
      <c r="X22" s="66">
        <v>1704.14606946</v>
      </c>
      <c r="Y22" s="66">
        <v>0</v>
      </c>
      <c r="Z22" s="66">
        <v>1796.6284911400001</v>
      </c>
      <c r="AA22" s="66">
        <v>1704.14606946</v>
      </c>
      <c r="AB22" s="66">
        <v>0</v>
      </c>
      <c r="AC22" s="66">
        <v>92.482421680000002</v>
      </c>
      <c r="AD22" s="67">
        <v>99.999998207900148</v>
      </c>
      <c r="AE22" s="67">
        <v>100</v>
      </c>
      <c r="AF22" s="67">
        <v>5.1475539955017569</v>
      </c>
      <c r="AG22" s="210">
        <v>0</v>
      </c>
      <c r="AH22" s="67">
        <v>0</v>
      </c>
      <c r="AI22" s="66">
        <v>0</v>
      </c>
      <c r="AJ22" s="66">
        <v>0</v>
      </c>
      <c r="AK22" s="66">
        <v>0</v>
      </c>
      <c r="AL22" s="66">
        <v>0</v>
      </c>
      <c r="AM22" s="66">
        <v>0</v>
      </c>
      <c r="AN22" s="66">
        <v>0</v>
      </c>
      <c r="AO22" s="66">
        <v>0</v>
      </c>
      <c r="AP22" s="66">
        <v>0</v>
      </c>
      <c r="AQ22" s="66">
        <v>0</v>
      </c>
      <c r="AR22" s="66">
        <v>0</v>
      </c>
      <c r="AS22" s="66">
        <v>0</v>
      </c>
      <c r="AT22" s="67" t="s">
        <v>1094</v>
      </c>
      <c r="AU22" s="67" t="s">
        <v>1094</v>
      </c>
      <c r="AV22" s="67">
        <v>0</v>
      </c>
      <c r="AW22" s="210">
        <v>0</v>
      </c>
      <c r="AX22" s="67">
        <v>0</v>
      </c>
    </row>
    <row r="23" spans="1:50" ht="15.75" x14ac:dyDescent="0.25">
      <c r="A23" s="11" t="s">
        <v>36</v>
      </c>
      <c r="B23" s="189" t="s">
        <v>37</v>
      </c>
      <c r="C23" s="66">
        <v>916.23739999999998</v>
      </c>
      <c r="D23" s="66">
        <v>0</v>
      </c>
      <c r="E23" s="66">
        <v>1108.1110233699999</v>
      </c>
      <c r="F23" s="66">
        <v>916.23739999999998</v>
      </c>
      <c r="G23" s="66">
        <v>191.87362337000002</v>
      </c>
      <c r="H23" s="66">
        <v>916.15195412000003</v>
      </c>
      <c r="I23" s="66">
        <v>0</v>
      </c>
      <c r="J23" s="66">
        <v>1108.0060365100001</v>
      </c>
      <c r="K23" s="66">
        <v>916.15195263999999</v>
      </c>
      <c r="L23" s="66">
        <v>0</v>
      </c>
      <c r="M23" s="66">
        <v>191.85408387000001</v>
      </c>
      <c r="N23" s="67">
        <v>99.990674102585203</v>
      </c>
      <c r="O23" s="67">
        <v>99.98981647416835</v>
      </c>
      <c r="P23" s="67">
        <v>17.315256194298584</v>
      </c>
      <c r="Q23" s="66">
        <v>0</v>
      </c>
      <c r="R23" s="67">
        <v>1.4800000371906208E-6</v>
      </c>
      <c r="S23" s="66">
        <v>916.23739999999998</v>
      </c>
      <c r="T23" s="66">
        <v>0</v>
      </c>
      <c r="U23" s="66">
        <v>1108.1110233699999</v>
      </c>
      <c r="V23" s="66">
        <v>916.23739999999998</v>
      </c>
      <c r="W23" s="66">
        <v>191.87362337000002</v>
      </c>
      <c r="X23" s="66">
        <v>916.15195412000003</v>
      </c>
      <c r="Y23" s="66">
        <v>0</v>
      </c>
      <c r="Z23" s="66">
        <v>1108.0060365100001</v>
      </c>
      <c r="AA23" s="66">
        <v>916.15195263999999</v>
      </c>
      <c r="AB23" s="66">
        <v>0</v>
      </c>
      <c r="AC23" s="66">
        <v>191.85408387000001</v>
      </c>
      <c r="AD23" s="67">
        <v>99.990674102585203</v>
      </c>
      <c r="AE23" s="67">
        <v>99.98981647416835</v>
      </c>
      <c r="AF23" s="67">
        <v>17.315256194298584</v>
      </c>
      <c r="AG23" s="210">
        <v>0</v>
      </c>
      <c r="AH23" s="67">
        <v>1.4800000371906208E-6</v>
      </c>
      <c r="AI23" s="66">
        <v>0</v>
      </c>
      <c r="AJ23" s="66">
        <v>0</v>
      </c>
      <c r="AK23" s="66">
        <v>0</v>
      </c>
      <c r="AL23" s="66">
        <v>0</v>
      </c>
      <c r="AM23" s="66">
        <v>0</v>
      </c>
      <c r="AN23" s="66">
        <v>0</v>
      </c>
      <c r="AO23" s="66">
        <v>0</v>
      </c>
      <c r="AP23" s="66">
        <v>0</v>
      </c>
      <c r="AQ23" s="66">
        <v>0</v>
      </c>
      <c r="AR23" s="66">
        <v>0</v>
      </c>
      <c r="AS23" s="66">
        <v>0</v>
      </c>
      <c r="AT23" s="67" t="s">
        <v>1094</v>
      </c>
      <c r="AU23" s="67" t="s">
        <v>1094</v>
      </c>
      <c r="AV23" s="67">
        <v>0</v>
      </c>
      <c r="AW23" s="210">
        <v>0</v>
      </c>
      <c r="AX23" s="67">
        <v>0</v>
      </c>
    </row>
    <row r="24" spans="1:50" ht="15.75" x14ac:dyDescent="0.25">
      <c r="A24" s="11" t="s">
        <v>39</v>
      </c>
      <c r="B24" s="189" t="s">
        <v>297</v>
      </c>
      <c r="C24" s="66">
        <v>0</v>
      </c>
      <c r="D24" s="66">
        <v>0</v>
      </c>
      <c r="E24" s="66">
        <v>0</v>
      </c>
      <c r="F24" s="66">
        <v>0</v>
      </c>
      <c r="G24" s="66">
        <v>0</v>
      </c>
      <c r="H24" s="66">
        <v>0</v>
      </c>
      <c r="I24" s="66">
        <v>0</v>
      </c>
      <c r="J24" s="66">
        <v>0</v>
      </c>
      <c r="K24" s="66">
        <v>0</v>
      </c>
      <c r="L24" s="66">
        <v>0</v>
      </c>
      <c r="M24" s="66">
        <v>0</v>
      </c>
      <c r="N24" s="67" t="s">
        <v>1094</v>
      </c>
      <c r="O24" s="67" t="s">
        <v>1094</v>
      </c>
      <c r="P24" s="67">
        <v>0</v>
      </c>
      <c r="Q24" s="66">
        <v>0</v>
      </c>
      <c r="R24" s="67">
        <v>0</v>
      </c>
      <c r="S24" s="66">
        <v>0</v>
      </c>
      <c r="T24" s="66">
        <v>0</v>
      </c>
      <c r="U24" s="66">
        <v>0</v>
      </c>
      <c r="V24" s="66">
        <v>0</v>
      </c>
      <c r="W24" s="66">
        <v>0</v>
      </c>
      <c r="X24" s="66">
        <v>0</v>
      </c>
      <c r="Y24" s="66">
        <v>0</v>
      </c>
      <c r="Z24" s="66">
        <v>0</v>
      </c>
      <c r="AA24" s="66">
        <v>0</v>
      </c>
      <c r="AB24" s="66">
        <v>0</v>
      </c>
      <c r="AC24" s="66">
        <v>0</v>
      </c>
      <c r="AD24" s="67" t="s">
        <v>1094</v>
      </c>
      <c r="AE24" s="67" t="s">
        <v>1094</v>
      </c>
      <c r="AF24" s="67">
        <v>0</v>
      </c>
      <c r="AG24" s="210">
        <v>0</v>
      </c>
      <c r="AH24" s="67">
        <v>0</v>
      </c>
      <c r="AI24" s="66">
        <v>0</v>
      </c>
      <c r="AJ24" s="66">
        <v>0</v>
      </c>
      <c r="AK24" s="66">
        <v>0</v>
      </c>
      <c r="AL24" s="66">
        <v>0</v>
      </c>
      <c r="AM24" s="66">
        <v>0</v>
      </c>
      <c r="AN24" s="66">
        <v>0</v>
      </c>
      <c r="AO24" s="66">
        <v>0</v>
      </c>
      <c r="AP24" s="66">
        <v>0</v>
      </c>
      <c r="AQ24" s="66">
        <v>0</v>
      </c>
      <c r="AR24" s="66">
        <v>0</v>
      </c>
      <c r="AS24" s="66">
        <v>0</v>
      </c>
      <c r="AT24" s="67" t="s">
        <v>1094</v>
      </c>
      <c r="AU24" s="67" t="s">
        <v>1094</v>
      </c>
      <c r="AV24" s="67">
        <v>0</v>
      </c>
      <c r="AW24" s="210">
        <v>0</v>
      </c>
      <c r="AX24" s="67">
        <v>0</v>
      </c>
    </row>
    <row r="25" spans="1:50" ht="15.75" x14ac:dyDescent="0.25">
      <c r="A25" s="11" t="s">
        <v>41</v>
      </c>
      <c r="B25" s="189" t="s">
        <v>42</v>
      </c>
      <c r="C25" s="66">
        <v>916.50509999999997</v>
      </c>
      <c r="D25" s="66">
        <v>0</v>
      </c>
      <c r="E25" s="66">
        <v>964.74221053000008</v>
      </c>
      <c r="F25" s="66">
        <v>916.50509999999997</v>
      </c>
      <c r="G25" s="66">
        <v>48.237110530000002</v>
      </c>
      <c r="H25" s="66">
        <v>916.50509999999997</v>
      </c>
      <c r="I25" s="66">
        <v>0</v>
      </c>
      <c r="J25" s="66">
        <v>964.74221053000008</v>
      </c>
      <c r="K25" s="66">
        <v>916.50509999999997</v>
      </c>
      <c r="L25" s="66">
        <v>0</v>
      </c>
      <c r="M25" s="66">
        <v>48.237110530000002</v>
      </c>
      <c r="N25" s="67">
        <v>100</v>
      </c>
      <c r="O25" s="67">
        <v>100</v>
      </c>
      <c r="P25" s="67">
        <v>5.0000000003627916</v>
      </c>
      <c r="Q25" s="66">
        <v>0</v>
      </c>
      <c r="R25" s="67">
        <v>0</v>
      </c>
      <c r="S25" s="66">
        <v>746.97699999999998</v>
      </c>
      <c r="T25" s="66">
        <v>0</v>
      </c>
      <c r="U25" s="66">
        <v>786.29157895000003</v>
      </c>
      <c r="V25" s="66">
        <v>746.97699999999998</v>
      </c>
      <c r="W25" s="66">
        <v>39.314578950000005</v>
      </c>
      <c r="X25" s="66">
        <v>746.97699999999998</v>
      </c>
      <c r="Y25" s="66">
        <v>0</v>
      </c>
      <c r="Z25" s="66">
        <v>786.29157895000003</v>
      </c>
      <c r="AA25" s="66">
        <v>746.97699999999998</v>
      </c>
      <c r="AB25" s="66">
        <v>0</v>
      </c>
      <c r="AC25" s="66">
        <v>39.314578950000005</v>
      </c>
      <c r="AD25" s="67">
        <v>100</v>
      </c>
      <c r="AE25" s="67">
        <v>100</v>
      </c>
      <c r="AF25" s="67">
        <v>5.0000000003179483</v>
      </c>
      <c r="AG25" s="210">
        <v>0</v>
      </c>
      <c r="AH25" s="67">
        <v>0</v>
      </c>
      <c r="AI25" s="66">
        <v>169.52809999999999</v>
      </c>
      <c r="AJ25" s="66">
        <v>0</v>
      </c>
      <c r="AK25" s="66">
        <v>178.45063158000002</v>
      </c>
      <c r="AL25" s="66">
        <v>169.52809999999999</v>
      </c>
      <c r="AM25" s="66">
        <v>8.9225315799999994</v>
      </c>
      <c r="AN25" s="66">
        <v>169.52809999999999</v>
      </c>
      <c r="AO25" s="66">
        <v>0</v>
      </c>
      <c r="AP25" s="66">
        <v>178.45063158000002</v>
      </c>
      <c r="AQ25" s="66">
        <v>169.52809999999999</v>
      </c>
      <c r="AR25" s="66">
        <v>0</v>
      </c>
      <c r="AS25" s="66">
        <v>8.9225315799999994</v>
      </c>
      <c r="AT25" s="67">
        <v>100</v>
      </c>
      <c r="AU25" s="67">
        <v>100</v>
      </c>
      <c r="AV25" s="67">
        <v>5.0000000005603784</v>
      </c>
      <c r="AW25" s="210">
        <v>0</v>
      </c>
      <c r="AX25" s="67">
        <v>0</v>
      </c>
    </row>
    <row r="26" spans="1:50" ht="15.75" x14ac:dyDescent="0.25">
      <c r="A26" s="11" t="s">
        <v>44</v>
      </c>
      <c r="B26" s="189" t="s">
        <v>45</v>
      </c>
      <c r="C26" s="66">
        <v>936.35900000000004</v>
      </c>
      <c r="D26" s="66">
        <v>0</v>
      </c>
      <c r="E26" s="66">
        <v>985.64105264</v>
      </c>
      <c r="F26" s="66">
        <v>936.35900000000004</v>
      </c>
      <c r="G26" s="66">
        <v>49.282052639999996</v>
      </c>
      <c r="H26" s="66">
        <v>936.35900000000004</v>
      </c>
      <c r="I26" s="66">
        <v>0</v>
      </c>
      <c r="J26" s="66">
        <v>985.64105264</v>
      </c>
      <c r="K26" s="66">
        <v>936.35900000000004</v>
      </c>
      <c r="L26" s="66">
        <v>0</v>
      </c>
      <c r="M26" s="66">
        <v>49.282052639999996</v>
      </c>
      <c r="N26" s="67">
        <v>100</v>
      </c>
      <c r="O26" s="67">
        <v>100</v>
      </c>
      <c r="P26" s="67">
        <v>5.0000000008116539</v>
      </c>
      <c r="Q26" s="66">
        <v>0</v>
      </c>
      <c r="R26" s="67">
        <v>0</v>
      </c>
      <c r="S26" s="66">
        <v>881.80010000000004</v>
      </c>
      <c r="T26" s="66">
        <v>0</v>
      </c>
      <c r="U26" s="66">
        <v>928.21063158000004</v>
      </c>
      <c r="V26" s="66">
        <v>881.80010000000004</v>
      </c>
      <c r="W26" s="66">
        <v>46.410531579999997</v>
      </c>
      <c r="X26" s="66">
        <v>881.80010000000004</v>
      </c>
      <c r="Y26" s="66">
        <v>0</v>
      </c>
      <c r="Z26" s="66">
        <v>928.21063158000004</v>
      </c>
      <c r="AA26" s="66">
        <v>881.80010000000004</v>
      </c>
      <c r="AB26" s="66">
        <v>0</v>
      </c>
      <c r="AC26" s="66">
        <v>46.410531579999997</v>
      </c>
      <c r="AD26" s="67">
        <v>100</v>
      </c>
      <c r="AE26" s="67">
        <v>100</v>
      </c>
      <c r="AF26" s="67">
        <v>5.0000000001077334</v>
      </c>
      <c r="AG26" s="210">
        <v>0</v>
      </c>
      <c r="AH26" s="67">
        <v>0</v>
      </c>
      <c r="AI26" s="66">
        <v>54.558900000000001</v>
      </c>
      <c r="AJ26" s="66">
        <v>0</v>
      </c>
      <c r="AK26" s="66">
        <v>57.43042106</v>
      </c>
      <c r="AL26" s="66">
        <v>54.558900000000001</v>
      </c>
      <c r="AM26" s="66">
        <v>2.8715210600000001</v>
      </c>
      <c r="AN26" s="66">
        <v>54.558900000000001</v>
      </c>
      <c r="AO26" s="66">
        <v>0</v>
      </c>
      <c r="AP26" s="66">
        <v>57.43042106</v>
      </c>
      <c r="AQ26" s="66">
        <v>54.558900000000001</v>
      </c>
      <c r="AR26" s="66">
        <v>0</v>
      </c>
      <c r="AS26" s="66">
        <v>2.8715210600000001</v>
      </c>
      <c r="AT26" s="67">
        <v>100</v>
      </c>
      <c r="AU26" s="67">
        <v>100</v>
      </c>
      <c r="AV26" s="67">
        <v>5.0000000121886625</v>
      </c>
      <c r="AW26" s="210">
        <v>0</v>
      </c>
      <c r="AX26" s="67">
        <v>0</v>
      </c>
    </row>
    <row r="27" spans="1:50" ht="15.75" x14ac:dyDescent="0.25">
      <c r="A27" s="11" t="s">
        <v>47</v>
      </c>
      <c r="B27" s="189" t="s">
        <v>48</v>
      </c>
      <c r="C27" s="66">
        <v>94</v>
      </c>
      <c r="D27" s="66">
        <v>0</v>
      </c>
      <c r="E27" s="66">
        <v>121.96705</v>
      </c>
      <c r="F27" s="66">
        <v>94</v>
      </c>
      <c r="G27" s="66">
        <v>27.96705</v>
      </c>
      <c r="H27" s="66">
        <v>94</v>
      </c>
      <c r="I27" s="66">
        <v>0</v>
      </c>
      <c r="J27" s="66">
        <v>121.96705</v>
      </c>
      <c r="K27" s="66">
        <v>94</v>
      </c>
      <c r="L27" s="66">
        <v>0</v>
      </c>
      <c r="M27" s="66">
        <v>27.96705</v>
      </c>
      <c r="N27" s="67">
        <v>100</v>
      </c>
      <c r="O27" s="67">
        <v>100</v>
      </c>
      <c r="P27" s="67">
        <v>22.930004456121551</v>
      </c>
      <c r="Q27" s="66">
        <v>0</v>
      </c>
      <c r="R27" s="67">
        <v>0</v>
      </c>
      <c r="S27" s="66">
        <v>94</v>
      </c>
      <c r="T27" s="66">
        <v>0</v>
      </c>
      <c r="U27" s="66">
        <v>121.96705</v>
      </c>
      <c r="V27" s="66">
        <v>94</v>
      </c>
      <c r="W27" s="66">
        <v>27.96705</v>
      </c>
      <c r="X27" s="66">
        <v>94</v>
      </c>
      <c r="Y27" s="66">
        <v>0</v>
      </c>
      <c r="Z27" s="66">
        <v>121.96705</v>
      </c>
      <c r="AA27" s="66">
        <v>94</v>
      </c>
      <c r="AB27" s="66">
        <v>0</v>
      </c>
      <c r="AC27" s="66">
        <v>27.96705</v>
      </c>
      <c r="AD27" s="67">
        <v>100</v>
      </c>
      <c r="AE27" s="67">
        <v>100</v>
      </c>
      <c r="AF27" s="67">
        <v>22.930004456121551</v>
      </c>
      <c r="AG27" s="210">
        <v>0</v>
      </c>
      <c r="AH27" s="67">
        <v>0</v>
      </c>
      <c r="AI27" s="66">
        <v>0</v>
      </c>
      <c r="AJ27" s="66">
        <v>0</v>
      </c>
      <c r="AK27" s="66">
        <v>0</v>
      </c>
      <c r="AL27" s="66">
        <v>0</v>
      </c>
      <c r="AM27" s="66">
        <v>0</v>
      </c>
      <c r="AN27" s="66">
        <v>0</v>
      </c>
      <c r="AO27" s="66">
        <v>0</v>
      </c>
      <c r="AP27" s="66">
        <v>0</v>
      </c>
      <c r="AQ27" s="66">
        <v>0</v>
      </c>
      <c r="AR27" s="66">
        <v>0</v>
      </c>
      <c r="AS27" s="66">
        <v>0</v>
      </c>
      <c r="AT27" s="67" t="s">
        <v>1094</v>
      </c>
      <c r="AU27" s="67" t="s">
        <v>1094</v>
      </c>
      <c r="AV27" s="67">
        <v>0</v>
      </c>
      <c r="AW27" s="210">
        <v>0</v>
      </c>
      <c r="AX27" s="67">
        <v>0</v>
      </c>
    </row>
    <row r="28" spans="1:50" ht="15.75" x14ac:dyDescent="0.25">
      <c r="A28" s="11" t="s">
        <v>50</v>
      </c>
      <c r="B28" s="189" t="s">
        <v>51</v>
      </c>
      <c r="C28" s="66">
        <v>2292.7642000000001</v>
      </c>
      <c r="D28" s="66">
        <v>0</v>
      </c>
      <c r="E28" s="66">
        <v>2796.39492621</v>
      </c>
      <c r="F28" s="66">
        <v>2292.7642000000001</v>
      </c>
      <c r="G28" s="66">
        <v>503.63072621000003</v>
      </c>
      <c r="H28" s="66">
        <v>2292.7642000000001</v>
      </c>
      <c r="I28" s="66">
        <v>0</v>
      </c>
      <c r="J28" s="66">
        <v>2796.39492621</v>
      </c>
      <c r="K28" s="66">
        <v>2292.7642000000001</v>
      </c>
      <c r="L28" s="66">
        <v>0</v>
      </c>
      <c r="M28" s="66">
        <v>503.63072621000003</v>
      </c>
      <c r="N28" s="67">
        <v>100</v>
      </c>
      <c r="O28" s="67">
        <v>100</v>
      </c>
      <c r="P28" s="67">
        <v>18.009999999984945</v>
      </c>
      <c r="Q28" s="66">
        <v>0</v>
      </c>
      <c r="R28" s="67">
        <v>0</v>
      </c>
      <c r="S28" s="66">
        <v>1608.4235000000001</v>
      </c>
      <c r="T28" s="66">
        <v>0</v>
      </c>
      <c r="U28" s="66">
        <v>1961.7313087</v>
      </c>
      <c r="V28" s="66">
        <v>1608.4235000000001</v>
      </c>
      <c r="W28" s="66">
        <v>353.30780870000001</v>
      </c>
      <c r="X28" s="66">
        <v>1608.4235000000001</v>
      </c>
      <c r="Y28" s="66">
        <v>0</v>
      </c>
      <c r="Z28" s="66">
        <v>1961.7313087</v>
      </c>
      <c r="AA28" s="66">
        <v>1608.4235000000001</v>
      </c>
      <c r="AB28" s="66">
        <v>0</v>
      </c>
      <c r="AC28" s="66">
        <v>353.30780870000001</v>
      </c>
      <c r="AD28" s="67">
        <v>100</v>
      </c>
      <c r="AE28" s="67">
        <v>100</v>
      </c>
      <c r="AF28" s="67">
        <v>18.010000000159554</v>
      </c>
      <c r="AG28" s="210">
        <v>0</v>
      </c>
      <c r="AH28" s="67">
        <v>0</v>
      </c>
      <c r="AI28" s="66">
        <v>684.34069999999997</v>
      </c>
      <c r="AJ28" s="66">
        <v>0</v>
      </c>
      <c r="AK28" s="66">
        <v>834.66361750999999</v>
      </c>
      <c r="AL28" s="66">
        <v>684.34069999999997</v>
      </c>
      <c r="AM28" s="66">
        <v>150.32291751</v>
      </c>
      <c r="AN28" s="66">
        <v>684.34069999999997</v>
      </c>
      <c r="AO28" s="66">
        <v>0</v>
      </c>
      <c r="AP28" s="66">
        <v>834.66361750999999</v>
      </c>
      <c r="AQ28" s="66">
        <v>684.34069999999997</v>
      </c>
      <c r="AR28" s="66">
        <v>0</v>
      </c>
      <c r="AS28" s="66">
        <v>150.32291751</v>
      </c>
      <c r="AT28" s="67">
        <v>100</v>
      </c>
      <c r="AU28" s="67">
        <v>100</v>
      </c>
      <c r="AV28" s="67">
        <v>18.009999999574557</v>
      </c>
      <c r="AW28" s="210">
        <v>0</v>
      </c>
      <c r="AX28" s="67">
        <v>0</v>
      </c>
    </row>
    <row r="29" spans="1:50" ht="15.75" x14ac:dyDescent="0.25">
      <c r="A29" s="11" t="s">
        <v>53</v>
      </c>
      <c r="B29" s="189" t="s">
        <v>54</v>
      </c>
      <c r="C29" s="66">
        <v>1395.3953999999999</v>
      </c>
      <c r="D29" s="66">
        <v>0</v>
      </c>
      <c r="E29" s="66">
        <v>1468.8372999999999</v>
      </c>
      <c r="F29" s="66">
        <v>1395.3953999999999</v>
      </c>
      <c r="G29" s="66">
        <v>73.441900000000004</v>
      </c>
      <c r="H29" s="66">
        <v>1395.39539999</v>
      </c>
      <c r="I29" s="66">
        <v>0</v>
      </c>
      <c r="J29" s="66">
        <v>1468.8372630700001</v>
      </c>
      <c r="K29" s="66">
        <v>1395.39539999</v>
      </c>
      <c r="L29" s="66">
        <v>0</v>
      </c>
      <c r="M29" s="66">
        <v>73.441863080000005</v>
      </c>
      <c r="N29" s="67">
        <v>99.999999999283361</v>
      </c>
      <c r="O29" s="67">
        <v>99.999949728969426</v>
      </c>
      <c r="P29" s="67">
        <v>4.9999999949960419</v>
      </c>
      <c r="Q29" s="66">
        <v>0</v>
      </c>
      <c r="R29" s="67">
        <v>0</v>
      </c>
      <c r="S29" s="66">
        <v>1196.1561999999999</v>
      </c>
      <c r="T29" s="66">
        <v>0</v>
      </c>
      <c r="U29" s="66">
        <v>1259.1117999999999</v>
      </c>
      <c r="V29" s="66">
        <v>1196.1561999999999</v>
      </c>
      <c r="W29" s="66">
        <v>62.955599999999997</v>
      </c>
      <c r="X29" s="66">
        <v>1196.15619999</v>
      </c>
      <c r="Y29" s="66">
        <v>0</v>
      </c>
      <c r="Z29" s="66">
        <v>1259.11178939</v>
      </c>
      <c r="AA29" s="66">
        <v>1196.15619999</v>
      </c>
      <c r="AB29" s="66">
        <v>0</v>
      </c>
      <c r="AC29" s="66">
        <v>62.955589400000001</v>
      </c>
      <c r="AD29" s="67">
        <v>99.999999999164004</v>
      </c>
      <c r="AE29" s="67">
        <v>99.99998316273691</v>
      </c>
      <c r="AF29" s="67">
        <v>4.9999999944802358</v>
      </c>
      <c r="AG29" s="210">
        <v>0</v>
      </c>
      <c r="AH29" s="67">
        <v>0</v>
      </c>
      <c r="AI29" s="66">
        <v>199.23920000000001</v>
      </c>
      <c r="AJ29" s="66">
        <v>0</v>
      </c>
      <c r="AK29" s="66">
        <v>209.72550000000001</v>
      </c>
      <c r="AL29" s="66">
        <v>199.23920000000001</v>
      </c>
      <c r="AM29" s="66">
        <v>10.4863</v>
      </c>
      <c r="AN29" s="66">
        <v>199.23920000000001</v>
      </c>
      <c r="AO29" s="66">
        <v>0</v>
      </c>
      <c r="AP29" s="66">
        <v>209.72547367999999</v>
      </c>
      <c r="AQ29" s="66">
        <v>199.23920000000001</v>
      </c>
      <c r="AR29" s="66">
        <v>0</v>
      </c>
      <c r="AS29" s="66">
        <v>10.48627368</v>
      </c>
      <c r="AT29" s="67">
        <v>100</v>
      </c>
      <c r="AU29" s="67">
        <v>99.999749005845729</v>
      </c>
      <c r="AV29" s="67">
        <v>4.9999999980927443</v>
      </c>
      <c r="AW29" s="210">
        <v>0</v>
      </c>
      <c r="AX29" s="67">
        <v>0</v>
      </c>
    </row>
    <row r="30" spans="1:50" ht="15.75" x14ac:dyDescent="0.25">
      <c r="A30" s="11" t="s">
        <v>56</v>
      </c>
      <c r="B30" s="189" t="s">
        <v>57</v>
      </c>
      <c r="C30" s="66">
        <v>538.29859999999996</v>
      </c>
      <c r="D30" s="66">
        <v>0</v>
      </c>
      <c r="E30" s="66">
        <v>596.73945100999993</v>
      </c>
      <c r="F30" s="66">
        <v>538.29859999999996</v>
      </c>
      <c r="G30" s="66">
        <v>58.440851010000003</v>
      </c>
      <c r="H30" s="66">
        <v>538.29859999999996</v>
      </c>
      <c r="I30" s="66">
        <v>0</v>
      </c>
      <c r="J30" s="66">
        <v>596.73945100999993</v>
      </c>
      <c r="K30" s="66">
        <v>538.29859999999996</v>
      </c>
      <c r="L30" s="66">
        <v>0</v>
      </c>
      <c r="M30" s="66">
        <v>58.440851010000003</v>
      </c>
      <c r="N30" s="67">
        <v>100</v>
      </c>
      <c r="O30" s="67">
        <v>100</v>
      </c>
      <c r="P30" s="67">
        <v>9.793361392662586</v>
      </c>
      <c r="Q30" s="66">
        <v>0</v>
      </c>
      <c r="R30" s="67">
        <v>0</v>
      </c>
      <c r="S30" s="66">
        <v>505.2713</v>
      </c>
      <c r="T30" s="66">
        <v>0</v>
      </c>
      <c r="U30" s="66">
        <v>561.97387205999996</v>
      </c>
      <c r="V30" s="66">
        <v>505.2713</v>
      </c>
      <c r="W30" s="66">
        <v>56.702572060000001</v>
      </c>
      <c r="X30" s="66">
        <v>505.2713</v>
      </c>
      <c r="Y30" s="66">
        <v>0</v>
      </c>
      <c r="Z30" s="66">
        <v>561.97387205999996</v>
      </c>
      <c r="AA30" s="66">
        <v>505.2713</v>
      </c>
      <c r="AB30" s="66">
        <v>0</v>
      </c>
      <c r="AC30" s="66">
        <v>56.702572060000001</v>
      </c>
      <c r="AD30" s="67">
        <v>100</v>
      </c>
      <c r="AE30" s="67">
        <v>100</v>
      </c>
      <c r="AF30" s="67">
        <v>10.089894722711605</v>
      </c>
      <c r="AG30" s="210">
        <v>0</v>
      </c>
      <c r="AH30" s="67">
        <v>0</v>
      </c>
      <c r="AI30" s="66">
        <v>33.027299999999997</v>
      </c>
      <c r="AJ30" s="66">
        <v>0</v>
      </c>
      <c r="AK30" s="66">
        <v>34.765578950000005</v>
      </c>
      <c r="AL30" s="66">
        <v>33.027299999999997</v>
      </c>
      <c r="AM30" s="66">
        <v>1.73827895</v>
      </c>
      <c r="AN30" s="66">
        <v>33.027299999999997</v>
      </c>
      <c r="AO30" s="66">
        <v>0</v>
      </c>
      <c r="AP30" s="66">
        <v>34.765578950000005</v>
      </c>
      <c r="AQ30" s="66">
        <v>33.027299999999997</v>
      </c>
      <c r="AR30" s="66">
        <v>0</v>
      </c>
      <c r="AS30" s="66">
        <v>1.73827895</v>
      </c>
      <c r="AT30" s="67">
        <v>100</v>
      </c>
      <c r="AU30" s="67">
        <v>100</v>
      </c>
      <c r="AV30" s="67">
        <v>5.0000000071910202</v>
      </c>
      <c r="AW30" s="210">
        <v>0</v>
      </c>
      <c r="AX30" s="67">
        <v>0</v>
      </c>
    </row>
    <row r="31" spans="1:50" ht="15.75" x14ac:dyDescent="0.25">
      <c r="A31" s="11" t="s">
        <v>59</v>
      </c>
      <c r="B31" s="189" t="s">
        <v>60</v>
      </c>
      <c r="C31" s="66">
        <v>708.95600000000002</v>
      </c>
      <c r="D31" s="66">
        <v>0</v>
      </c>
      <c r="E31" s="66">
        <v>923.72974499999998</v>
      </c>
      <c r="F31" s="66">
        <v>708.95600000000002</v>
      </c>
      <c r="G31" s="66">
        <v>214.77374499999999</v>
      </c>
      <c r="H31" s="66">
        <v>708.95599900000002</v>
      </c>
      <c r="I31" s="66">
        <v>0</v>
      </c>
      <c r="J31" s="66">
        <v>923.72974398999997</v>
      </c>
      <c r="K31" s="66">
        <v>708.95599900000002</v>
      </c>
      <c r="L31" s="66">
        <v>0</v>
      </c>
      <c r="M31" s="66">
        <v>214.77374499000001</v>
      </c>
      <c r="N31" s="67">
        <v>99.999999858947518</v>
      </c>
      <c r="O31" s="67">
        <v>99.999999995343941</v>
      </c>
      <c r="P31" s="67">
        <v>23.250712276763615</v>
      </c>
      <c r="Q31" s="66">
        <v>0</v>
      </c>
      <c r="R31" s="67">
        <v>0</v>
      </c>
      <c r="S31" s="66">
        <v>708.95600000000002</v>
      </c>
      <c r="T31" s="66">
        <v>0</v>
      </c>
      <c r="U31" s="66">
        <v>923.72974499999998</v>
      </c>
      <c r="V31" s="66">
        <v>708.95600000000002</v>
      </c>
      <c r="W31" s="66">
        <v>214.77374499999999</v>
      </c>
      <c r="X31" s="66">
        <v>708.95599900000002</v>
      </c>
      <c r="Y31" s="66">
        <v>0</v>
      </c>
      <c r="Z31" s="66">
        <v>923.72974398999997</v>
      </c>
      <c r="AA31" s="66">
        <v>708.95599900000002</v>
      </c>
      <c r="AB31" s="66">
        <v>0</v>
      </c>
      <c r="AC31" s="66">
        <v>214.77374499000001</v>
      </c>
      <c r="AD31" s="67">
        <v>99.999999858947518</v>
      </c>
      <c r="AE31" s="67">
        <v>99.999999995343941</v>
      </c>
      <c r="AF31" s="67">
        <v>23.250712276763615</v>
      </c>
      <c r="AG31" s="210">
        <v>0</v>
      </c>
      <c r="AH31" s="67">
        <v>0</v>
      </c>
      <c r="AI31" s="66">
        <v>0</v>
      </c>
      <c r="AJ31" s="66">
        <v>0</v>
      </c>
      <c r="AK31" s="66">
        <v>0</v>
      </c>
      <c r="AL31" s="66">
        <v>0</v>
      </c>
      <c r="AM31" s="66">
        <v>0</v>
      </c>
      <c r="AN31" s="66">
        <v>0</v>
      </c>
      <c r="AO31" s="66">
        <v>0</v>
      </c>
      <c r="AP31" s="66">
        <v>0</v>
      </c>
      <c r="AQ31" s="66">
        <v>0</v>
      </c>
      <c r="AR31" s="66">
        <v>0</v>
      </c>
      <c r="AS31" s="66">
        <v>0</v>
      </c>
      <c r="AT31" s="67" t="s">
        <v>1094</v>
      </c>
      <c r="AU31" s="67" t="s">
        <v>1094</v>
      </c>
      <c r="AV31" s="67">
        <v>0</v>
      </c>
      <c r="AW31" s="210">
        <v>0</v>
      </c>
      <c r="AX31" s="67">
        <v>0</v>
      </c>
    </row>
    <row r="32" spans="1:50" ht="15.75" x14ac:dyDescent="0.25">
      <c r="A32" s="57" t="s">
        <v>62</v>
      </c>
      <c r="B32" s="190" t="s">
        <v>63</v>
      </c>
      <c r="C32" s="61">
        <v>3922.7929000000004</v>
      </c>
      <c r="D32" s="61">
        <v>0</v>
      </c>
      <c r="E32" s="61">
        <v>4332.7246765800001</v>
      </c>
      <c r="F32" s="61">
        <v>3922.7929000000004</v>
      </c>
      <c r="G32" s="61">
        <v>409.93177658000002</v>
      </c>
      <c r="H32" s="61">
        <v>3908.8888131099998</v>
      </c>
      <c r="I32" s="61">
        <v>0</v>
      </c>
      <c r="J32" s="61">
        <v>4317.7578633000003</v>
      </c>
      <c r="K32" s="61">
        <v>3908.8888131099998</v>
      </c>
      <c r="L32" s="61">
        <v>0</v>
      </c>
      <c r="M32" s="61">
        <v>408.86905019</v>
      </c>
      <c r="N32" s="61">
        <v>99.645556437863419</v>
      </c>
      <c r="O32" s="61">
        <v>99.740755303512657</v>
      </c>
      <c r="P32" s="61">
        <v>9.4694761293887666</v>
      </c>
      <c r="Q32" s="61">
        <v>0</v>
      </c>
      <c r="R32" s="61">
        <v>0</v>
      </c>
      <c r="S32" s="61">
        <v>3872.8570000000004</v>
      </c>
      <c r="T32" s="61">
        <v>0</v>
      </c>
      <c r="U32" s="61">
        <v>4274.1213395800005</v>
      </c>
      <c r="V32" s="61">
        <v>3872.8570000000004</v>
      </c>
      <c r="W32" s="61">
        <v>401.26433957999996</v>
      </c>
      <c r="X32" s="61">
        <v>3858.9529131099998</v>
      </c>
      <c r="Y32" s="61">
        <v>0</v>
      </c>
      <c r="Z32" s="61">
        <v>4259.1545262999998</v>
      </c>
      <c r="AA32" s="61">
        <v>3858.9529131099998</v>
      </c>
      <c r="AB32" s="61">
        <v>0</v>
      </c>
      <c r="AC32" s="61">
        <v>400.20161318999999</v>
      </c>
      <c r="AD32" s="61">
        <v>99.640986308298992</v>
      </c>
      <c r="AE32" s="61">
        <v>99.735155535846445</v>
      </c>
      <c r="AF32" s="61">
        <v>9.3962689242379263</v>
      </c>
      <c r="AG32" s="61">
        <v>0</v>
      </c>
      <c r="AH32" s="61">
        <v>0</v>
      </c>
      <c r="AI32" s="61">
        <v>49.935899999999997</v>
      </c>
      <c r="AJ32" s="61">
        <v>0</v>
      </c>
      <c r="AK32" s="61">
        <v>58.603337000000003</v>
      </c>
      <c r="AL32" s="61">
        <v>49.935899999999997</v>
      </c>
      <c r="AM32" s="61">
        <v>8.6674369999999996</v>
      </c>
      <c r="AN32" s="61">
        <v>49.935899999999997</v>
      </c>
      <c r="AO32" s="61">
        <v>0</v>
      </c>
      <c r="AP32" s="61">
        <v>58.603337000000003</v>
      </c>
      <c r="AQ32" s="61">
        <v>49.935899999999997</v>
      </c>
      <c r="AR32" s="61">
        <v>0</v>
      </c>
      <c r="AS32" s="61">
        <v>8.6674369999999996</v>
      </c>
      <c r="AT32" s="61">
        <v>100</v>
      </c>
      <c r="AU32" s="61">
        <v>100</v>
      </c>
      <c r="AV32" s="61">
        <v>14.790005900175956</v>
      </c>
      <c r="AW32" s="61">
        <v>0</v>
      </c>
      <c r="AX32" s="61">
        <v>0</v>
      </c>
    </row>
    <row r="33" spans="1:50" ht="15.75" x14ac:dyDescent="0.25">
      <c r="A33" s="11" t="s">
        <v>65</v>
      </c>
      <c r="B33" s="189" t="s">
        <v>66</v>
      </c>
      <c r="C33" s="66">
        <v>45.784599999999998</v>
      </c>
      <c r="D33" s="66">
        <v>0</v>
      </c>
      <c r="E33" s="66">
        <v>48.194316000000001</v>
      </c>
      <c r="F33" s="66">
        <v>45.784599999999998</v>
      </c>
      <c r="G33" s="66">
        <v>2.409716</v>
      </c>
      <c r="H33" s="66">
        <v>45.784559000000002</v>
      </c>
      <c r="I33" s="66">
        <v>0</v>
      </c>
      <c r="J33" s="66">
        <v>48.194272590000004</v>
      </c>
      <c r="K33" s="66">
        <v>45.784559000000002</v>
      </c>
      <c r="L33" s="66">
        <v>0</v>
      </c>
      <c r="M33" s="66">
        <v>2.40971359</v>
      </c>
      <c r="N33" s="67">
        <v>99.999910450238744</v>
      </c>
      <c r="O33" s="67">
        <v>99.999899988214381</v>
      </c>
      <c r="P33" s="67">
        <v>4.9999999180400527</v>
      </c>
      <c r="Q33" s="66">
        <v>0</v>
      </c>
      <c r="R33" s="67">
        <v>0</v>
      </c>
      <c r="S33" s="66">
        <v>45.784599999999998</v>
      </c>
      <c r="T33" s="66">
        <v>0</v>
      </c>
      <c r="U33" s="66">
        <v>48.194316000000001</v>
      </c>
      <c r="V33" s="66">
        <v>45.784599999999998</v>
      </c>
      <c r="W33" s="66">
        <v>2.409716</v>
      </c>
      <c r="X33" s="66">
        <v>45.784559000000002</v>
      </c>
      <c r="Y33" s="66">
        <v>0</v>
      </c>
      <c r="Z33" s="66">
        <v>48.194272590000004</v>
      </c>
      <c r="AA33" s="66">
        <v>45.784559000000002</v>
      </c>
      <c r="AB33" s="66">
        <v>0</v>
      </c>
      <c r="AC33" s="66">
        <v>2.40971359</v>
      </c>
      <c r="AD33" s="67">
        <v>99.999910450238744</v>
      </c>
      <c r="AE33" s="67">
        <v>99.999899988214381</v>
      </c>
      <c r="AF33" s="67">
        <v>4.9999999180400527</v>
      </c>
      <c r="AG33" s="210">
        <v>0</v>
      </c>
      <c r="AH33" s="67">
        <v>0</v>
      </c>
      <c r="AI33" s="66">
        <v>0</v>
      </c>
      <c r="AJ33" s="66">
        <v>0</v>
      </c>
      <c r="AK33" s="66">
        <v>0</v>
      </c>
      <c r="AL33" s="66">
        <v>0</v>
      </c>
      <c r="AM33" s="66">
        <v>0</v>
      </c>
      <c r="AN33" s="66">
        <v>0</v>
      </c>
      <c r="AO33" s="66">
        <v>0</v>
      </c>
      <c r="AP33" s="66">
        <v>0</v>
      </c>
      <c r="AQ33" s="66">
        <v>0</v>
      </c>
      <c r="AR33" s="66">
        <v>0</v>
      </c>
      <c r="AS33" s="66">
        <v>0</v>
      </c>
      <c r="AT33" s="67" t="s">
        <v>1094</v>
      </c>
      <c r="AU33" s="67" t="s">
        <v>1094</v>
      </c>
      <c r="AV33" s="67">
        <v>0</v>
      </c>
      <c r="AW33" s="210">
        <v>0</v>
      </c>
      <c r="AX33" s="67">
        <v>0</v>
      </c>
    </row>
    <row r="34" spans="1:50" ht="15.75" x14ac:dyDescent="0.25">
      <c r="A34" s="11" t="s">
        <v>68</v>
      </c>
      <c r="B34" s="189" t="s">
        <v>69</v>
      </c>
      <c r="C34" s="66">
        <v>15.7</v>
      </c>
      <c r="D34" s="66">
        <v>0</v>
      </c>
      <c r="E34" s="66">
        <v>21.356829999999999</v>
      </c>
      <c r="F34" s="66">
        <v>15.7</v>
      </c>
      <c r="G34" s="66">
        <v>5.6568300000000002</v>
      </c>
      <c r="H34" s="66">
        <v>15.7</v>
      </c>
      <c r="I34" s="66">
        <v>0</v>
      </c>
      <c r="J34" s="66">
        <v>21.356829999999999</v>
      </c>
      <c r="K34" s="66">
        <v>15.7</v>
      </c>
      <c r="L34" s="66">
        <v>0</v>
      </c>
      <c r="M34" s="66">
        <v>5.6568300000000002</v>
      </c>
      <c r="N34" s="67">
        <v>100</v>
      </c>
      <c r="O34" s="67">
        <v>100</v>
      </c>
      <c r="P34" s="67">
        <v>26.487217438168496</v>
      </c>
      <c r="Q34" s="66">
        <v>0</v>
      </c>
      <c r="R34" s="67">
        <v>0</v>
      </c>
      <c r="S34" s="66">
        <v>15.7</v>
      </c>
      <c r="T34" s="66">
        <v>0</v>
      </c>
      <c r="U34" s="66">
        <v>21.356829999999999</v>
      </c>
      <c r="V34" s="66">
        <v>15.7</v>
      </c>
      <c r="W34" s="66">
        <v>5.6568300000000002</v>
      </c>
      <c r="X34" s="66">
        <v>15.7</v>
      </c>
      <c r="Y34" s="66">
        <v>0</v>
      </c>
      <c r="Z34" s="66">
        <v>21.356829999999999</v>
      </c>
      <c r="AA34" s="66">
        <v>15.7</v>
      </c>
      <c r="AB34" s="66">
        <v>0</v>
      </c>
      <c r="AC34" s="66">
        <v>5.6568300000000002</v>
      </c>
      <c r="AD34" s="67">
        <v>100</v>
      </c>
      <c r="AE34" s="67">
        <v>100</v>
      </c>
      <c r="AF34" s="67">
        <v>26.487217438168496</v>
      </c>
      <c r="AG34" s="210">
        <v>0</v>
      </c>
      <c r="AH34" s="67">
        <v>0</v>
      </c>
      <c r="AI34" s="66">
        <v>0</v>
      </c>
      <c r="AJ34" s="66">
        <v>0</v>
      </c>
      <c r="AK34" s="66">
        <v>0</v>
      </c>
      <c r="AL34" s="66">
        <v>0</v>
      </c>
      <c r="AM34" s="66">
        <v>0</v>
      </c>
      <c r="AN34" s="66">
        <v>0</v>
      </c>
      <c r="AO34" s="66">
        <v>0</v>
      </c>
      <c r="AP34" s="66">
        <v>0</v>
      </c>
      <c r="AQ34" s="66">
        <v>0</v>
      </c>
      <c r="AR34" s="66">
        <v>0</v>
      </c>
      <c r="AS34" s="66">
        <v>0</v>
      </c>
      <c r="AT34" s="67" t="s">
        <v>1094</v>
      </c>
      <c r="AU34" s="67" t="s">
        <v>1094</v>
      </c>
      <c r="AV34" s="67">
        <v>0</v>
      </c>
      <c r="AW34" s="210">
        <v>0</v>
      </c>
      <c r="AX34" s="67">
        <v>0</v>
      </c>
    </row>
    <row r="35" spans="1:50" ht="15.75" x14ac:dyDescent="0.25">
      <c r="A35" s="11" t="s">
        <v>71</v>
      </c>
      <c r="B35" s="189" t="s">
        <v>72</v>
      </c>
      <c r="C35" s="66">
        <v>38.130000000000003</v>
      </c>
      <c r="D35" s="66">
        <v>0</v>
      </c>
      <c r="E35" s="66">
        <v>48.044834789999996</v>
      </c>
      <c r="F35" s="66">
        <v>38.130000000000003</v>
      </c>
      <c r="G35" s="66">
        <v>9.9148347899999987</v>
      </c>
      <c r="H35" s="66">
        <v>38.130000000000003</v>
      </c>
      <c r="I35" s="66">
        <v>0</v>
      </c>
      <c r="J35" s="66">
        <v>48.044834760000001</v>
      </c>
      <c r="K35" s="66">
        <v>38.130000000000003</v>
      </c>
      <c r="L35" s="66">
        <v>0</v>
      </c>
      <c r="M35" s="66">
        <v>9.9148347599999997</v>
      </c>
      <c r="N35" s="67">
        <v>100</v>
      </c>
      <c r="O35" s="67">
        <v>99.999999697423107</v>
      </c>
      <c r="P35" s="67">
        <v>20.636629951019525</v>
      </c>
      <c r="Q35" s="66">
        <v>0</v>
      </c>
      <c r="R35" s="67">
        <v>0</v>
      </c>
      <c r="S35" s="66">
        <v>38.130000000000003</v>
      </c>
      <c r="T35" s="66">
        <v>0</v>
      </c>
      <c r="U35" s="66">
        <v>48.044834789999996</v>
      </c>
      <c r="V35" s="66">
        <v>38.130000000000003</v>
      </c>
      <c r="W35" s="66">
        <v>9.9148347899999987</v>
      </c>
      <c r="X35" s="66">
        <v>38.130000000000003</v>
      </c>
      <c r="Y35" s="66">
        <v>0</v>
      </c>
      <c r="Z35" s="66">
        <v>48.044834760000001</v>
      </c>
      <c r="AA35" s="66">
        <v>38.130000000000003</v>
      </c>
      <c r="AB35" s="66">
        <v>0</v>
      </c>
      <c r="AC35" s="66">
        <v>9.9148347599999997</v>
      </c>
      <c r="AD35" s="67">
        <v>100</v>
      </c>
      <c r="AE35" s="67">
        <v>99.999999697423107</v>
      </c>
      <c r="AF35" s="67">
        <v>20.636629951019525</v>
      </c>
      <c r="AG35" s="210">
        <v>0</v>
      </c>
      <c r="AH35" s="67">
        <v>0</v>
      </c>
      <c r="AI35" s="66">
        <v>0</v>
      </c>
      <c r="AJ35" s="66">
        <v>0</v>
      </c>
      <c r="AK35" s="66">
        <v>0</v>
      </c>
      <c r="AL35" s="66">
        <v>0</v>
      </c>
      <c r="AM35" s="66">
        <v>0</v>
      </c>
      <c r="AN35" s="66">
        <v>0</v>
      </c>
      <c r="AO35" s="66">
        <v>0</v>
      </c>
      <c r="AP35" s="66">
        <v>0</v>
      </c>
      <c r="AQ35" s="66">
        <v>0</v>
      </c>
      <c r="AR35" s="66">
        <v>0</v>
      </c>
      <c r="AS35" s="66">
        <v>0</v>
      </c>
      <c r="AT35" s="67" t="s">
        <v>1094</v>
      </c>
      <c r="AU35" s="67" t="s">
        <v>1094</v>
      </c>
      <c r="AV35" s="67">
        <v>0</v>
      </c>
      <c r="AW35" s="210">
        <v>0</v>
      </c>
      <c r="AX35" s="67">
        <v>0</v>
      </c>
    </row>
    <row r="36" spans="1:50" ht="15.75" x14ac:dyDescent="0.25">
      <c r="A36" s="11" t="s">
        <v>74</v>
      </c>
      <c r="B36" s="189" t="s">
        <v>298</v>
      </c>
      <c r="C36" s="66">
        <v>0</v>
      </c>
      <c r="D36" s="66">
        <v>0</v>
      </c>
      <c r="E36" s="66">
        <v>0</v>
      </c>
      <c r="F36" s="66">
        <v>0</v>
      </c>
      <c r="G36" s="66">
        <v>0</v>
      </c>
      <c r="H36" s="66">
        <v>0</v>
      </c>
      <c r="I36" s="66">
        <v>0</v>
      </c>
      <c r="J36" s="66">
        <v>0</v>
      </c>
      <c r="K36" s="66">
        <v>0</v>
      </c>
      <c r="L36" s="66">
        <v>0</v>
      </c>
      <c r="M36" s="66">
        <v>0</v>
      </c>
      <c r="N36" s="67" t="s">
        <v>1094</v>
      </c>
      <c r="O36" s="67" t="s">
        <v>1094</v>
      </c>
      <c r="P36" s="67">
        <v>0</v>
      </c>
      <c r="Q36" s="66">
        <v>0</v>
      </c>
      <c r="R36" s="67">
        <v>0</v>
      </c>
      <c r="S36" s="66">
        <v>0</v>
      </c>
      <c r="T36" s="66">
        <v>0</v>
      </c>
      <c r="U36" s="66">
        <v>0</v>
      </c>
      <c r="V36" s="66">
        <v>0</v>
      </c>
      <c r="W36" s="66">
        <v>0</v>
      </c>
      <c r="X36" s="66">
        <v>0</v>
      </c>
      <c r="Y36" s="66">
        <v>0</v>
      </c>
      <c r="Z36" s="66">
        <v>0</v>
      </c>
      <c r="AA36" s="66">
        <v>0</v>
      </c>
      <c r="AB36" s="66">
        <v>0</v>
      </c>
      <c r="AC36" s="66">
        <v>0</v>
      </c>
      <c r="AD36" s="67" t="s">
        <v>1094</v>
      </c>
      <c r="AE36" s="67" t="s">
        <v>1094</v>
      </c>
      <c r="AF36" s="67">
        <v>0</v>
      </c>
      <c r="AG36" s="210">
        <v>0</v>
      </c>
      <c r="AH36" s="67">
        <v>0</v>
      </c>
      <c r="AI36" s="66">
        <v>0</v>
      </c>
      <c r="AJ36" s="66">
        <v>0</v>
      </c>
      <c r="AK36" s="66">
        <v>0</v>
      </c>
      <c r="AL36" s="66">
        <v>0</v>
      </c>
      <c r="AM36" s="66">
        <v>0</v>
      </c>
      <c r="AN36" s="66">
        <v>0</v>
      </c>
      <c r="AO36" s="66">
        <v>0</v>
      </c>
      <c r="AP36" s="66">
        <v>0</v>
      </c>
      <c r="AQ36" s="66">
        <v>0</v>
      </c>
      <c r="AR36" s="66">
        <v>0</v>
      </c>
      <c r="AS36" s="66">
        <v>0</v>
      </c>
      <c r="AT36" s="67" t="s">
        <v>1094</v>
      </c>
      <c r="AU36" s="67" t="s">
        <v>1094</v>
      </c>
      <c r="AV36" s="67">
        <v>0</v>
      </c>
      <c r="AW36" s="210">
        <v>0</v>
      </c>
      <c r="AX36" s="67">
        <v>0</v>
      </c>
    </row>
    <row r="37" spans="1:50" ht="15.75" x14ac:dyDescent="0.25">
      <c r="A37" s="11" t="s">
        <v>76</v>
      </c>
      <c r="B37" s="189" t="s">
        <v>77</v>
      </c>
      <c r="C37" s="66">
        <v>78.297399999999996</v>
      </c>
      <c r="D37" s="66">
        <v>0</v>
      </c>
      <c r="E37" s="66">
        <v>82.418315790000008</v>
      </c>
      <c r="F37" s="66">
        <v>78.297399999999996</v>
      </c>
      <c r="G37" s="66">
        <v>4.1209157899999997</v>
      </c>
      <c r="H37" s="66">
        <v>76.324447290000009</v>
      </c>
      <c r="I37" s="66">
        <v>0</v>
      </c>
      <c r="J37" s="66">
        <v>80.341523469999998</v>
      </c>
      <c r="K37" s="66">
        <v>76.324447290000009</v>
      </c>
      <c r="L37" s="66">
        <v>0</v>
      </c>
      <c r="M37" s="66">
        <v>4.0170761800000001</v>
      </c>
      <c r="N37" s="67">
        <v>97.480181066037972</v>
      </c>
      <c r="O37" s="67">
        <v>97.480181219621585</v>
      </c>
      <c r="P37" s="67">
        <v>5.0000000080904616</v>
      </c>
      <c r="Q37" s="66">
        <v>0</v>
      </c>
      <c r="R37" s="67">
        <v>0</v>
      </c>
      <c r="S37" s="66">
        <v>78.297399999999996</v>
      </c>
      <c r="T37" s="66">
        <v>0</v>
      </c>
      <c r="U37" s="66">
        <v>82.418315790000008</v>
      </c>
      <c r="V37" s="66">
        <v>78.297399999999996</v>
      </c>
      <c r="W37" s="66">
        <v>4.1209157899999997</v>
      </c>
      <c r="X37" s="66">
        <v>76.324447290000009</v>
      </c>
      <c r="Y37" s="66">
        <v>0</v>
      </c>
      <c r="Z37" s="66">
        <v>80.341523469999998</v>
      </c>
      <c r="AA37" s="66">
        <v>76.324447290000009</v>
      </c>
      <c r="AB37" s="66">
        <v>0</v>
      </c>
      <c r="AC37" s="66">
        <v>4.0170761800000001</v>
      </c>
      <c r="AD37" s="67">
        <v>97.480181066037972</v>
      </c>
      <c r="AE37" s="67">
        <v>97.480181219621585</v>
      </c>
      <c r="AF37" s="67">
        <v>5.0000000080904616</v>
      </c>
      <c r="AG37" s="210">
        <v>0</v>
      </c>
      <c r="AH37" s="67">
        <v>0</v>
      </c>
      <c r="AI37" s="66">
        <v>0</v>
      </c>
      <c r="AJ37" s="66">
        <v>0</v>
      </c>
      <c r="AK37" s="66">
        <v>0</v>
      </c>
      <c r="AL37" s="66">
        <v>0</v>
      </c>
      <c r="AM37" s="66">
        <v>0</v>
      </c>
      <c r="AN37" s="66">
        <v>0</v>
      </c>
      <c r="AO37" s="66">
        <v>0</v>
      </c>
      <c r="AP37" s="66">
        <v>0</v>
      </c>
      <c r="AQ37" s="66">
        <v>0</v>
      </c>
      <c r="AR37" s="66">
        <v>0</v>
      </c>
      <c r="AS37" s="66">
        <v>0</v>
      </c>
      <c r="AT37" s="67" t="s">
        <v>1094</v>
      </c>
      <c r="AU37" s="67" t="s">
        <v>1094</v>
      </c>
      <c r="AV37" s="67">
        <v>0</v>
      </c>
      <c r="AW37" s="210">
        <v>0</v>
      </c>
      <c r="AX37" s="67">
        <v>0</v>
      </c>
    </row>
    <row r="38" spans="1:50" ht="15.75" x14ac:dyDescent="0.25">
      <c r="A38" s="11" t="s">
        <v>79</v>
      </c>
      <c r="B38" s="189" t="s">
        <v>80</v>
      </c>
      <c r="C38" s="66">
        <v>1814.1068</v>
      </c>
      <c r="D38" s="66">
        <v>0</v>
      </c>
      <c r="E38" s="66">
        <v>1931.9972700000001</v>
      </c>
      <c r="F38" s="66">
        <v>1814.1068</v>
      </c>
      <c r="G38" s="66">
        <v>117.89046999999999</v>
      </c>
      <c r="H38" s="66">
        <v>1803.0884629899999</v>
      </c>
      <c r="I38" s="66">
        <v>0</v>
      </c>
      <c r="J38" s="66">
        <v>1920.2628850000001</v>
      </c>
      <c r="K38" s="66">
        <v>1803.0884629899999</v>
      </c>
      <c r="L38" s="66">
        <v>0</v>
      </c>
      <c r="M38" s="66">
        <v>117.17442201</v>
      </c>
      <c r="N38" s="67">
        <v>99.392630190791408</v>
      </c>
      <c r="O38" s="67">
        <v>99.392615883200747</v>
      </c>
      <c r="P38" s="67">
        <v>6.1019989984340084</v>
      </c>
      <c r="Q38" s="66">
        <v>0</v>
      </c>
      <c r="R38" s="67">
        <v>0</v>
      </c>
      <c r="S38" s="66">
        <v>1814.1068</v>
      </c>
      <c r="T38" s="66">
        <v>0</v>
      </c>
      <c r="U38" s="66">
        <v>1931.9972700000001</v>
      </c>
      <c r="V38" s="66">
        <v>1814.1068</v>
      </c>
      <c r="W38" s="66">
        <v>117.89046999999999</v>
      </c>
      <c r="X38" s="66">
        <v>1803.0884629899999</v>
      </c>
      <c r="Y38" s="66">
        <v>0</v>
      </c>
      <c r="Z38" s="66">
        <v>1920.2628850000001</v>
      </c>
      <c r="AA38" s="66">
        <v>1803.0884629899999</v>
      </c>
      <c r="AB38" s="66">
        <v>0</v>
      </c>
      <c r="AC38" s="66">
        <v>117.17442201</v>
      </c>
      <c r="AD38" s="67">
        <v>99.392630190791408</v>
      </c>
      <c r="AE38" s="67">
        <v>99.392615883200747</v>
      </c>
      <c r="AF38" s="67">
        <v>6.1019989984340084</v>
      </c>
      <c r="AG38" s="210">
        <v>0</v>
      </c>
      <c r="AH38" s="67">
        <v>0</v>
      </c>
      <c r="AI38" s="66">
        <v>0</v>
      </c>
      <c r="AJ38" s="66">
        <v>0</v>
      </c>
      <c r="AK38" s="66">
        <v>0</v>
      </c>
      <c r="AL38" s="66">
        <v>0</v>
      </c>
      <c r="AM38" s="66">
        <v>0</v>
      </c>
      <c r="AN38" s="66">
        <v>0</v>
      </c>
      <c r="AO38" s="66">
        <v>0</v>
      </c>
      <c r="AP38" s="66">
        <v>0</v>
      </c>
      <c r="AQ38" s="66">
        <v>0</v>
      </c>
      <c r="AR38" s="66">
        <v>0</v>
      </c>
      <c r="AS38" s="66">
        <v>0</v>
      </c>
      <c r="AT38" s="67" t="s">
        <v>1094</v>
      </c>
      <c r="AU38" s="67" t="s">
        <v>1094</v>
      </c>
      <c r="AV38" s="67">
        <v>0</v>
      </c>
      <c r="AW38" s="210">
        <v>0</v>
      </c>
      <c r="AX38" s="67">
        <v>0</v>
      </c>
    </row>
    <row r="39" spans="1:50" ht="15.75" x14ac:dyDescent="0.25">
      <c r="A39" s="11" t="s">
        <v>82</v>
      </c>
      <c r="B39" s="189" t="s">
        <v>83</v>
      </c>
      <c r="C39" s="66">
        <v>729.71469999999999</v>
      </c>
      <c r="D39" s="66">
        <v>0</v>
      </c>
      <c r="E39" s="66">
        <v>768.12080000000003</v>
      </c>
      <c r="F39" s="66">
        <v>729.71469999999999</v>
      </c>
      <c r="G39" s="66">
        <v>38.406100000000002</v>
      </c>
      <c r="H39" s="66">
        <v>729.71469999999999</v>
      </c>
      <c r="I39" s="66">
        <v>0</v>
      </c>
      <c r="J39" s="66">
        <v>768.12074498000004</v>
      </c>
      <c r="K39" s="66">
        <v>729.71469999999999</v>
      </c>
      <c r="L39" s="66">
        <v>0</v>
      </c>
      <c r="M39" s="66">
        <v>38.406044979999997</v>
      </c>
      <c r="N39" s="67">
        <v>100</v>
      </c>
      <c r="O39" s="67">
        <v>99.999856741507202</v>
      </c>
      <c r="P39" s="67">
        <v>5.0000010064823854</v>
      </c>
      <c r="Q39" s="66">
        <v>0</v>
      </c>
      <c r="R39" s="67">
        <v>0</v>
      </c>
      <c r="S39" s="66">
        <v>729.71469999999999</v>
      </c>
      <c r="T39" s="66">
        <v>0</v>
      </c>
      <c r="U39" s="66">
        <v>768.12080000000003</v>
      </c>
      <c r="V39" s="66">
        <v>729.71469999999999</v>
      </c>
      <c r="W39" s="66">
        <v>38.406100000000002</v>
      </c>
      <c r="X39" s="66">
        <v>729.71469999999999</v>
      </c>
      <c r="Y39" s="66">
        <v>0</v>
      </c>
      <c r="Z39" s="66">
        <v>768.12074498000004</v>
      </c>
      <c r="AA39" s="66">
        <v>729.71469999999999</v>
      </c>
      <c r="AB39" s="66">
        <v>0</v>
      </c>
      <c r="AC39" s="66">
        <v>38.406044979999997</v>
      </c>
      <c r="AD39" s="67">
        <v>100</v>
      </c>
      <c r="AE39" s="67">
        <v>99.999856741507202</v>
      </c>
      <c r="AF39" s="67">
        <v>5.0000010064823854</v>
      </c>
      <c r="AG39" s="210">
        <v>0</v>
      </c>
      <c r="AH39" s="67">
        <v>0</v>
      </c>
      <c r="AI39" s="66">
        <v>0</v>
      </c>
      <c r="AJ39" s="66">
        <v>0</v>
      </c>
      <c r="AK39" s="66">
        <v>0</v>
      </c>
      <c r="AL39" s="66">
        <v>0</v>
      </c>
      <c r="AM39" s="66">
        <v>0</v>
      </c>
      <c r="AN39" s="66">
        <v>0</v>
      </c>
      <c r="AO39" s="66">
        <v>0</v>
      </c>
      <c r="AP39" s="66">
        <v>0</v>
      </c>
      <c r="AQ39" s="66">
        <v>0</v>
      </c>
      <c r="AR39" s="66">
        <v>0</v>
      </c>
      <c r="AS39" s="66">
        <v>0</v>
      </c>
      <c r="AT39" s="67" t="s">
        <v>1094</v>
      </c>
      <c r="AU39" s="67" t="s">
        <v>1094</v>
      </c>
      <c r="AV39" s="67">
        <v>0</v>
      </c>
      <c r="AW39" s="210">
        <v>0</v>
      </c>
      <c r="AX39" s="67">
        <v>0</v>
      </c>
    </row>
    <row r="40" spans="1:50" ht="15.75" x14ac:dyDescent="0.25">
      <c r="A40" s="11" t="s">
        <v>85</v>
      </c>
      <c r="B40" s="189" t="s">
        <v>299</v>
      </c>
      <c r="C40" s="66">
        <v>0</v>
      </c>
      <c r="D40" s="66">
        <v>0</v>
      </c>
      <c r="E40" s="66">
        <v>0</v>
      </c>
      <c r="F40" s="66">
        <v>0</v>
      </c>
      <c r="G40" s="66">
        <v>0</v>
      </c>
      <c r="H40" s="66">
        <v>0</v>
      </c>
      <c r="I40" s="66">
        <v>0</v>
      </c>
      <c r="J40" s="66">
        <v>0</v>
      </c>
      <c r="K40" s="66">
        <v>0</v>
      </c>
      <c r="L40" s="66">
        <v>0</v>
      </c>
      <c r="M40" s="66">
        <v>0</v>
      </c>
      <c r="N40" s="67" t="s">
        <v>1094</v>
      </c>
      <c r="O40" s="67" t="s">
        <v>1094</v>
      </c>
      <c r="P40" s="67">
        <v>0</v>
      </c>
      <c r="Q40" s="66">
        <v>0</v>
      </c>
      <c r="R40" s="67">
        <v>0</v>
      </c>
      <c r="S40" s="66">
        <v>0</v>
      </c>
      <c r="T40" s="66">
        <v>0</v>
      </c>
      <c r="U40" s="66">
        <v>0</v>
      </c>
      <c r="V40" s="66">
        <v>0</v>
      </c>
      <c r="W40" s="66">
        <v>0</v>
      </c>
      <c r="X40" s="66">
        <v>0</v>
      </c>
      <c r="Y40" s="66">
        <v>0</v>
      </c>
      <c r="Z40" s="66">
        <v>0</v>
      </c>
      <c r="AA40" s="66">
        <v>0</v>
      </c>
      <c r="AB40" s="66">
        <v>0</v>
      </c>
      <c r="AC40" s="66">
        <v>0</v>
      </c>
      <c r="AD40" s="67" t="s">
        <v>1094</v>
      </c>
      <c r="AE40" s="67" t="s">
        <v>1094</v>
      </c>
      <c r="AF40" s="67">
        <v>0</v>
      </c>
      <c r="AG40" s="210">
        <v>0</v>
      </c>
      <c r="AH40" s="67">
        <v>0</v>
      </c>
      <c r="AI40" s="66">
        <v>0</v>
      </c>
      <c r="AJ40" s="66">
        <v>0</v>
      </c>
      <c r="AK40" s="66">
        <v>0</v>
      </c>
      <c r="AL40" s="66">
        <v>0</v>
      </c>
      <c r="AM40" s="66">
        <v>0</v>
      </c>
      <c r="AN40" s="66">
        <v>0</v>
      </c>
      <c r="AO40" s="66">
        <v>0</v>
      </c>
      <c r="AP40" s="66">
        <v>0</v>
      </c>
      <c r="AQ40" s="66">
        <v>0</v>
      </c>
      <c r="AR40" s="66">
        <v>0</v>
      </c>
      <c r="AS40" s="66">
        <v>0</v>
      </c>
      <c r="AT40" s="67" t="s">
        <v>1094</v>
      </c>
      <c r="AU40" s="67" t="s">
        <v>1094</v>
      </c>
      <c r="AV40" s="67">
        <v>0</v>
      </c>
      <c r="AW40" s="210">
        <v>0</v>
      </c>
      <c r="AX40" s="67">
        <v>0</v>
      </c>
    </row>
    <row r="41" spans="1:50" ht="15.75" x14ac:dyDescent="0.25">
      <c r="A41" s="11" t="s">
        <v>87</v>
      </c>
      <c r="B41" s="189" t="s">
        <v>88</v>
      </c>
      <c r="C41" s="66">
        <v>0</v>
      </c>
      <c r="D41" s="66">
        <v>0</v>
      </c>
      <c r="E41" s="66">
        <v>0</v>
      </c>
      <c r="F41" s="66">
        <v>0</v>
      </c>
      <c r="G41" s="66">
        <v>0</v>
      </c>
      <c r="H41" s="66">
        <v>0</v>
      </c>
      <c r="I41" s="66">
        <v>0</v>
      </c>
      <c r="J41" s="66">
        <v>0</v>
      </c>
      <c r="K41" s="66">
        <v>0</v>
      </c>
      <c r="L41" s="66">
        <v>0</v>
      </c>
      <c r="M41" s="66">
        <v>0</v>
      </c>
      <c r="N41" s="67" t="s">
        <v>1094</v>
      </c>
      <c r="O41" s="67" t="s">
        <v>1094</v>
      </c>
      <c r="P41" s="67">
        <v>0</v>
      </c>
      <c r="Q41" s="66">
        <v>0</v>
      </c>
      <c r="R41" s="67">
        <v>0</v>
      </c>
      <c r="S41" s="66">
        <v>0</v>
      </c>
      <c r="T41" s="66">
        <v>0</v>
      </c>
      <c r="U41" s="66">
        <v>0</v>
      </c>
      <c r="V41" s="66">
        <v>0</v>
      </c>
      <c r="W41" s="66">
        <v>0</v>
      </c>
      <c r="X41" s="66">
        <v>0</v>
      </c>
      <c r="Y41" s="66">
        <v>0</v>
      </c>
      <c r="Z41" s="66">
        <v>0</v>
      </c>
      <c r="AA41" s="66">
        <v>0</v>
      </c>
      <c r="AB41" s="66">
        <v>0</v>
      </c>
      <c r="AC41" s="66">
        <v>0</v>
      </c>
      <c r="AD41" s="67" t="s">
        <v>1094</v>
      </c>
      <c r="AE41" s="67" t="s">
        <v>1094</v>
      </c>
      <c r="AF41" s="67">
        <v>0</v>
      </c>
      <c r="AG41" s="210">
        <v>0</v>
      </c>
      <c r="AH41" s="67">
        <v>0</v>
      </c>
      <c r="AI41" s="66">
        <v>0</v>
      </c>
      <c r="AJ41" s="66">
        <v>0</v>
      </c>
      <c r="AK41" s="66">
        <v>0</v>
      </c>
      <c r="AL41" s="66">
        <v>0</v>
      </c>
      <c r="AM41" s="66">
        <v>0</v>
      </c>
      <c r="AN41" s="66">
        <v>0</v>
      </c>
      <c r="AO41" s="66">
        <v>0</v>
      </c>
      <c r="AP41" s="66">
        <v>0</v>
      </c>
      <c r="AQ41" s="66">
        <v>0</v>
      </c>
      <c r="AR41" s="66">
        <v>0</v>
      </c>
      <c r="AS41" s="66">
        <v>0</v>
      </c>
      <c r="AT41" s="67" t="s">
        <v>1094</v>
      </c>
      <c r="AU41" s="67" t="s">
        <v>1094</v>
      </c>
      <c r="AV41" s="67">
        <v>0</v>
      </c>
      <c r="AW41" s="210">
        <v>0</v>
      </c>
      <c r="AX41" s="67">
        <v>0</v>
      </c>
    </row>
    <row r="42" spans="1:50" ht="15.75" x14ac:dyDescent="0.25">
      <c r="A42" s="11" t="s">
        <v>90</v>
      </c>
      <c r="B42" s="189" t="s">
        <v>91</v>
      </c>
      <c r="C42" s="66">
        <v>236.5513</v>
      </c>
      <c r="D42" s="66">
        <v>0</v>
      </c>
      <c r="E42" s="66">
        <v>300.67340000000002</v>
      </c>
      <c r="F42" s="66">
        <v>236.5513</v>
      </c>
      <c r="G42" s="66">
        <v>64.122100000000003</v>
      </c>
      <c r="H42" s="66">
        <v>235.65566441999999</v>
      </c>
      <c r="I42" s="66">
        <v>0</v>
      </c>
      <c r="J42" s="66">
        <v>299.53498308999997</v>
      </c>
      <c r="K42" s="66">
        <v>235.65566441999999</v>
      </c>
      <c r="L42" s="66">
        <v>0</v>
      </c>
      <c r="M42" s="66">
        <v>63.879318670000004</v>
      </c>
      <c r="N42" s="67">
        <v>99.621377866027373</v>
      </c>
      <c r="O42" s="67">
        <v>99.621376514493448</v>
      </c>
      <c r="P42" s="67">
        <v>21.326162978034009</v>
      </c>
      <c r="Q42" s="66">
        <v>0</v>
      </c>
      <c r="R42" s="67">
        <v>0</v>
      </c>
      <c r="S42" s="66">
        <v>236.5513</v>
      </c>
      <c r="T42" s="66">
        <v>0</v>
      </c>
      <c r="U42" s="66">
        <v>300.67340000000002</v>
      </c>
      <c r="V42" s="66">
        <v>236.5513</v>
      </c>
      <c r="W42" s="66">
        <v>64.122100000000003</v>
      </c>
      <c r="X42" s="66">
        <v>235.65566441999999</v>
      </c>
      <c r="Y42" s="66">
        <v>0</v>
      </c>
      <c r="Z42" s="66">
        <v>299.53498308999997</v>
      </c>
      <c r="AA42" s="66">
        <v>235.65566441999999</v>
      </c>
      <c r="AB42" s="66">
        <v>0</v>
      </c>
      <c r="AC42" s="66">
        <v>63.879318670000004</v>
      </c>
      <c r="AD42" s="67">
        <v>99.621377866027373</v>
      </c>
      <c r="AE42" s="67">
        <v>99.621376514493448</v>
      </c>
      <c r="AF42" s="67">
        <v>21.326162978034009</v>
      </c>
      <c r="AG42" s="210">
        <v>0</v>
      </c>
      <c r="AH42" s="67">
        <v>0</v>
      </c>
      <c r="AI42" s="66">
        <v>0</v>
      </c>
      <c r="AJ42" s="66">
        <v>0</v>
      </c>
      <c r="AK42" s="66">
        <v>0</v>
      </c>
      <c r="AL42" s="66">
        <v>0</v>
      </c>
      <c r="AM42" s="66">
        <v>0</v>
      </c>
      <c r="AN42" s="66">
        <v>0</v>
      </c>
      <c r="AO42" s="66">
        <v>0</v>
      </c>
      <c r="AP42" s="66">
        <v>0</v>
      </c>
      <c r="AQ42" s="66">
        <v>0</v>
      </c>
      <c r="AR42" s="66">
        <v>0</v>
      </c>
      <c r="AS42" s="66">
        <v>0</v>
      </c>
      <c r="AT42" s="67" t="s">
        <v>1094</v>
      </c>
      <c r="AU42" s="67" t="s">
        <v>1094</v>
      </c>
      <c r="AV42" s="67">
        <v>0</v>
      </c>
      <c r="AW42" s="210">
        <v>0</v>
      </c>
      <c r="AX42" s="67">
        <v>0</v>
      </c>
    </row>
    <row r="43" spans="1:50" ht="15.75" x14ac:dyDescent="0.25">
      <c r="A43" s="68">
        <v>32</v>
      </c>
      <c r="B43" s="189" t="s">
        <v>93</v>
      </c>
      <c r="C43" s="66">
        <v>964.5080999999999</v>
      </c>
      <c r="D43" s="66">
        <v>0</v>
      </c>
      <c r="E43" s="66">
        <v>1131.9189100000001</v>
      </c>
      <c r="F43" s="66">
        <v>964.5080999999999</v>
      </c>
      <c r="G43" s="66">
        <v>167.41081</v>
      </c>
      <c r="H43" s="66">
        <v>964.49097940999991</v>
      </c>
      <c r="I43" s="66">
        <v>0</v>
      </c>
      <c r="J43" s="66">
        <v>1131.90178941</v>
      </c>
      <c r="K43" s="66">
        <v>964.49097940999991</v>
      </c>
      <c r="L43" s="66">
        <v>0</v>
      </c>
      <c r="M43" s="66">
        <v>167.41081</v>
      </c>
      <c r="N43" s="67">
        <v>99.998224940775515</v>
      </c>
      <c r="O43" s="67">
        <v>100</v>
      </c>
      <c r="P43" s="67">
        <v>14.790223989950782</v>
      </c>
      <c r="Q43" s="66">
        <v>0</v>
      </c>
      <c r="R43" s="67">
        <v>0</v>
      </c>
      <c r="S43" s="66">
        <v>914.57219999999995</v>
      </c>
      <c r="T43" s="66">
        <v>0</v>
      </c>
      <c r="U43" s="66">
        <v>1073.3155730000001</v>
      </c>
      <c r="V43" s="66">
        <v>914.57219999999995</v>
      </c>
      <c r="W43" s="66">
        <v>158.74337299999999</v>
      </c>
      <c r="X43" s="66">
        <v>914.55507940999996</v>
      </c>
      <c r="Y43" s="66">
        <v>0</v>
      </c>
      <c r="Z43" s="66">
        <v>1073.29845241</v>
      </c>
      <c r="AA43" s="66">
        <v>914.55507940999996</v>
      </c>
      <c r="AB43" s="66">
        <v>0</v>
      </c>
      <c r="AC43" s="66">
        <v>158.74337299999999</v>
      </c>
      <c r="AD43" s="67">
        <v>99.998128022041342</v>
      </c>
      <c r="AE43" s="67">
        <v>100</v>
      </c>
      <c r="AF43" s="67">
        <v>14.790235897904754</v>
      </c>
      <c r="AG43" s="210">
        <v>0</v>
      </c>
      <c r="AH43" s="67">
        <v>0</v>
      </c>
      <c r="AI43" s="66">
        <v>49.935899999999997</v>
      </c>
      <c r="AJ43" s="66">
        <v>0</v>
      </c>
      <c r="AK43" s="66">
        <v>58.603337000000003</v>
      </c>
      <c r="AL43" s="66">
        <v>49.935899999999997</v>
      </c>
      <c r="AM43" s="66">
        <v>8.6674369999999996</v>
      </c>
      <c r="AN43" s="66">
        <v>49.935899999999997</v>
      </c>
      <c r="AO43" s="66">
        <v>0</v>
      </c>
      <c r="AP43" s="66">
        <v>58.603337000000003</v>
      </c>
      <c r="AQ43" s="66">
        <v>49.935899999999997</v>
      </c>
      <c r="AR43" s="66">
        <v>0</v>
      </c>
      <c r="AS43" s="66">
        <v>8.6674369999999996</v>
      </c>
      <c r="AT43" s="67">
        <v>100</v>
      </c>
      <c r="AU43" s="67">
        <v>100</v>
      </c>
      <c r="AV43" s="67">
        <v>14.790005900175956</v>
      </c>
      <c r="AW43" s="210">
        <v>0</v>
      </c>
      <c r="AX43" s="67">
        <v>0</v>
      </c>
    </row>
    <row r="44" spans="1:50" ht="15.75" x14ac:dyDescent="0.25">
      <c r="A44" s="70">
        <v>33</v>
      </c>
      <c r="B44" s="191" t="s">
        <v>95</v>
      </c>
      <c r="C44" s="61">
        <v>3343.5334000000003</v>
      </c>
      <c r="D44" s="61">
        <v>0</v>
      </c>
      <c r="E44" s="61">
        <v>4016.9636393599999</v>
      </c>
      <c r="F44" s="61">
        <v>3343.5334000000003</v>
      </c>
      <c r="G44" s="61">
        <v>673.43023935999997</v>
      </c>
      <c r="H44" s="61">
        <v>3332.4958470299998</v>
      </c>
      <c r="I44" s="61">
        <v>0</v>
      </c>
      <c r="J44" s="61">
        <v>4005.8799403900002</v>
      </c>
      <c r="K44" s="61">
        <v>3332.4936969299997</v>
      </c>
      <c r="L44" s="61">
        <v>0</v>
      </c>
      <c r="M44" s="61">
        <v>673.38624346000006</v>
      </c>
      <c r="N44" s="61">
        <v>99.669819267544909</v>
      </c>
      <c r="O44" s="61">
        <v>99.993466895688897</v>
      </c>
      <c r="P44" s="61">
        <v>16.80994571680651</v>
      </c>
      <c r="Q44" s="61">
        <v>0</v>
      </c>
      <c r="R44" s="61">
        <v>2.1501000000014869E-3</v>
      </c>
      <c r="S44" s="61">
        <v>3343.5334000000003</v>
      </c>
      <c r="T44" s="61">
        <v>0</v>
      </c>
      <c r="U44" s="61">
        <v>4016.9636393599999</v>
      </c>
      <c r="V44" s="61">
        <v>3343.5334000000003</v>
      </c>
      <c r="W44" s="61">
        <v>673.43023935999997</v>
      </c>
      <c r="X44" s="61">
        <v>3332.4958470299998</v>
      </c>
      <c r="Y44" s="61">
        <v>0</v>
      </c>
      <c r="Z44" s="61">
        <v>4005.8799403900002</v>
      </c>
      <c r="AA44" s="61">
        <v>3332.4936969299997</v>
      </c>
      <c r="AB44" s="61">
        <v>0</v>
      </c>
      <c r="AC44" s="61">
        <v>673.38624346000006</v>
      </c>
      <c r="AD44" s="61">
        <v>99.669819267544909</v>
      </c>
      <c r="AE44" s="61">
        <v>99.993466895688897</v>
      </c>
      <c r="AF44" s="61">
        <v>16.80994571680651</v>
      </c>
      <c r="AG44" s="61">
        <v>0</v>
      </c>
      <c r="AH44" s="61">
        <v>2.1501000000014869E-3</v>
      </c>
      <c r="AI44" s="61">
        <v>0</v>
      </c>
      <c r="AJ44" s="61">
        <v>0</v>
      </c>
      <c r="AK44" s="61">
        <v>0</v>
      </c>
      <c r="AL44" s="61">
        <v>0</v>
      </c>
      <c r="AM44" s="61">
        <v>0</v>
      </c>
      <c r="AN44" s="61">
        <v>0</v>
      </c>
      <c r="AO44" s="61">
        <v>0</v>
      </c>
      <c r="AP44" s="61">
        <v>0</v>
      </c>
      <c r="AQ44" s="61">
        <v>0</v>
      </c>
      <c r="AR44" s="61">
        <v>0</v>
      </c>
      <c r="AS44" s="61">
        <v>0</v>
      </c>
      <c r="AT44" s="61" t="s">
        <v>1094</v>
      </c>
      <c r="AU44" s="61" t="s">
        <v>1094</v>
      </c>
      <c r="AV44" s="61">
        <v>0</v>
      </c>
      <c r="AW44" s="61">
        <v>0</v>
      </c>
      <c r="AX44" s="61">
        <v>0</v>
      </c>
    </row>
    <row r="45" spans="1:50" ht="15.75" x14ac:dyDescent="0.25">
      <c r="A45" s="72">
        <v>34</v>
      </c>
      <c r="B45" s="192" t="s">
        <v>97</v>
      </c>
      <c r="C45" s="66">
        <v>9.0457000000000001</v>
      </c>
      <c r="D45" s="66">
        <v>0</v>
      </c>
      <c r="E45" s="66">
        <v>9.5217894699999999</v>
      </c>
      <c r="F45" s="66">
        <v>9.0457000000000001</v>
      </c>
      <c r="G45" s="66">
        <v>0.47608946999999996</v>
      </c>
      <c r="H45" s="66">
        <v>9.0457000000000001</v>
      </c>
      <c r="I45" s="66">
        <v>0</v>
      </c>
      <c r="J45" s="66">
        <v>9.5217894699999999</v>
      </c>
      <c r="K45" s="66">
        <v>9.0457000000000001</v>
      </c>
      <c r="L45" s="66">
        <v>0</v>
      </c>
      <c r="M45" s="66">
        <v>0.47608946999999996</v>
      </c>
      <c r="N45" s="67">
        <v>100</v>
      </c>
      <c r="O45" s="67">
        <v>100</v>
      </c>
      <c r="P45" s="67">
        <v>4.9999999632422032</v>
      </c>
      <c r="Q45" s="66">
        <v>0</v>
      </c>
      <c r="R45" s="67">
        <v>0</v>
      </c>
      <c r="S45" s="66">
        <v>9.0457000000000001</v>
      </c>
      <c r="T45" s="66">
        <v>0</v>
      </c>
      <c r="U45" s="66">
        <v>9.5217894699999999</v>
      </c>
      <c r="V45" s="66">
        <v>9.0457000000000001</v>
      </c>
      <c r="W45" s="66">
        <v>0.47608946999999996</v>
      </c>
      <c r="X45" s="66">
        <v>9.0457000000000001</v>
      </c>
      <c r="Y45" s="66">
        <v>0</v>
      </c>
      <c r="Z45" s="66">
        <v>9.5217894699999999</v>
      </c>
      <c r="AA45" s="66">
        <v>9.0457000000000001</v>
      </c>
      <c r="AB45" s="66">
        <v>0</v>
      </c>
      <c r="AC45" s="66">
        <v>0.47608946999999996</v>
      </c>
      <c r="AD45" s="67">
        <v>100</v>
      </c>
      <c r="AE45" s="67">
        <v>100</v>
      </c>
      <c r="AF45" s="67">
        <v>4.9999999632422032</v>
      </c>
      <c r="AG45" s="210">
        <v>0</v>
      </c>
      <c r="AH45" s="67">
        <v>0</v>
      </c>
      <c r="AI45" s="66">
        <v>0</v>
      </c>
      <c r="AJ45" s="66">
        <v>0</v>
      </c>
      <c r="AK45" s="66">
        <v>0</v>
      </c>
      <c r="AL45" s="66">
        <v>0</v>
      </c>
      <c r="AM45" s="66">
        <v>0</v>
      </c>
      <c r="AN45" s="66">
        <v>0</v>
      </c>
      <c r="AO45" s="66">
        <v>0</v>
      </c>
      <c r="AP45" s="66">
        <v>0</v>
      </c>
      <c r="AQ45" s="66">
        <v>0</v>
      </c>
      <c r="AR45" s="66">
        <v>0</v>
      </c>
      <c r="AS45" s="66">
        <v>0</v>
      </c>
      <c r="AT45" s="67" t="s">
        <v>1094</v>
      </c>
      <c r="AU45" s="67" t="s">
        <v>1094</v>
      </c>
      <c r="AV45" s="67">
        <v>0</v>
      </c>
      <c r="AW45" s="210">
        <v>0</v>
      </c>
      <c r="AX45" s="67">
        <v>0</v>
      </c>
    </row>
    <row r="46" spans="1:50" ht="15.75" x14ac:dyDescent="0.25">
      <c r="A46" s="72">
        <v>35</v>
      </c>
      <c r="B46" s="192" t="s">
        <v>99</v>
      </c>
      <c r="C46" s="66">
        <v>85.250299999999996</v>
      </c>
      <c r="D46" s="66">
        <v>0</v>
      </c>
      <c r="E46" s="66">
        <v>85.57658726999999</v>
      </c>
      <c r="F46" s="66">
        <v>85.250299999999996</v>
      </c>
      <c r="G46" s="66">
        <v>0.32628727000000002</v>
      </c>
      <c r="H46" s="66">
        <v>74.215296769999995</v>
      </c>
      <c r="I46" s="66">
        <v>0</v>
      </c>
      <c r="J46" s="66">
        <v>74.499348639999994</v>
      </c>
      <c r="K46" s="66">
        <v>74.215296769999995</v>
      </c>
      <c r="L46" s="66">
        <v>0</v>
      </c>
      <c r="M46" s="66">
        <v>0.28405186999999998</v>
      </c>
      <c r="N46" s="67">
        <v>87.055760237793876</v>
      </c>
      <c r="O46" s="67">
        <v>87.05576224288491</v>
      </c>
      <c r="P46" s="67">
        <v>0.38128101142549803</v>
      </c>
      <c r="Q46" s="66">
        <v>0</v>
      </c>
      <c r="R46" s="67">
        <v>0</v>
      </c>
      <c r="S46" s="66">
        <v>85.250299999999996</v>
      </c>
      <c r="T46" s="66">
        <v>0</v>
      </c>
      <c r="U46" s="66">
        <v>85.57658726999999</v>
      </c>
      <c r="V46" s="66">
        <v>85.250299999999996</v>
      </c>
      <c r="W46" s="66">
        <v>0.32628727000000002</v>
      </c>
      <c r="X46" s="66">
        <v>74.215296769999995</v>
      </c>
      <c r="Y46" s="66">
        <v>0</v>
      </c>
      <c r="Z46" s="66">
        <v>74.499348639999994</v>
      </c>
      <c r="AA46" s="66">
        <v>74.215296769999995</v>
      </c>
      <c r="AB46" s="66">
        <v>0</v>
      </c>
      <c r="AC46" s="66">
        <v>0.28405186999999998</v>
      </c>
      <c r="AD46" s="67">
        <v>87.055760237793876</v>
      </c>
      <c r="AE46" s="67">
        <v>87.05576224288491</v>
      </c>
      <c r="AF46" s="67">
        <v>0.38128101142549803</v>
      </c>
      <c r="AG46" s="210">
        <v>0</v>
      </c>
      <c r="AH46" s="67">
        <v>0</v>
      </c>
      <c r="AI46" s="66">
        <v>0</v>
      </c>
      <c r="AJ46" s="66">
        <v>0</v>
      </c>
      <c r="AK46" s="66">
        <v>0</v>
      </c>
      <c r="AL46" s="66">
        <v>0</v>
      </c>
      <c r="AM46" s="66">
        <v>0</v>
      </c>
      <c r="AN46" s="66">
        <v>0</v>
      </c>
      <c r="AO46" s="66">
        <v>0</v>
      </c>
      <c r="AP46" s="66">
        <v>0</v>
      </c>
      <c r="AQ46" s="66">
        <v>0</v>
      </c>
      <c r="AR46" s="66">
        <v>0</v>
      </c>
      <c r="AS46" s="66">
        <v>0</v>
      </c>
      <c r="AT46" s="67" t="s">
        <v>1094</v>
      </c>
      <c r="AU46" s="67" t="s">
        <v>1094</v>
      </c>
      <c r="AV46" s="67">
        <v>0</v>
      </c>
      <c r="AW46" s="210">
        <v>0</v>
      </c>
      <c r="AX46" s="67">
        <v>0</v>
      </c>
    </row>
    <row r="47" spans="1:50" s="126" customFormat="1" ht="15.75" x14ac:dyDescent="0.25">
      <c r="A47" s="136">
        <v>36</v>
      </c>
      <c r="B47" s="189" t="s">
        <v>318</v>
      </c>
      <c r="C47" s="66">
        <v>0</v>
      </c>
      <c r="D47" s="66">
        <v>0</v>
      </c>
      <c r="E47" s="66">
        <v>0</v>
      </c>
      <c r="F47" s="66">
        <v>0</v>
      </c>
      <c r="G47" s="66">
        <v>0</v>
      </c>
      <c r="H47" s="66">
        <v>0</v>
      </c>
      <c r="I47" s="66">
        <v>0</v>
      </c>
      <c r="J47" s="66">
        <v>0</v>
      </c>
      <c r="K47" s="66">
        <v>0</v>
      </c>
      <c r="L47" s="66">
        <v>0</v>
      </c>
      <c r="M47" s="66">
        <v>0</v>
      </c>
      <c r="N47" s="67" t="s">
        <v>1094</v>
      </c>
      <c r="O47" s="67" t="s">
        <v>1094</v>
      </c>
      <c r="P47" s="67">
        <v>0</v>
      </c>
      <c r="Q47" s="66">
        <v>0</v>
      </c>
      <c r="R47" s="67">
        <v>0</v>
      </c>
      <c r="S47" s="66">
        <v>0</v>
      </c>
      <c r="T47" s="66">
        <v>0</v>
      </c>
      <c r="U47" s="66">
        <v>0</v>
      </c>
      <c r="V47" s="66">
        <v>0</v>
      </c>
      <c r="W47" s="66">
        <v>0</v>
      </c>
      <c r="X47" s="66">
        <v>0</v>
      </c>
      <c r="Y47" s="66">
        <v>0</v>
      </c>
      <c r="Z47" s="66">
        <v>0</v>
      </c>
      <c r="AA47" s="66">
        <v>0</v>
      </c>
      <c r="AB47" s="66">
        <v>0</v>
      </c>
      <c r="AC47" s="66">
        <v>0</v>
      </c>
      <c r="AD47" s="67" t="s">
        <v>1094</v>
      </c>
      <c r="AE47" s="67" t="s">
        <v>1094</v>
      </c>
      <c r="AF47" s="67">
        <v>0</v>
      </c>
      <c r="AG47" s="210">
        <v>0</v>
      </c>
      <c r="AH47" s="67">
        <v>0</v>
      </c>
      <c r="AI47" s="66">
        <v>0</v>
      </c>
      <c r="AJ47" s="66">
        <v>0</v>
      </c>
      <c r="AK47" s="66">
        <v>0</v>
      </c>
      <c r="AL47" s="66">
        <v>0</v>
      </c>
      <c r="AM47" s="66">
        <v>0</v>
      </c>
      <c r="AN47" s="66">
        <v>0</v>
      </c>
      <c r="AO47" s="66">
        <v>0</v>
      </c>
      <c r="AP47" s="66">
        <v>0</v>
      </c>
      <c r="AQ47" s="66">
        <v>0</v>
      </c>
      <c r="AR47" s="66">
        <v>0</v>
      </c>
      <c r="AS47" s="66">
        <v>0</v>
      </c>
      <c r="AT47" s="67" t="s">
        <v>1094</v>
      </c>
      <c r="AU47" s="67" t="s">
        <v>1094</v>
      </c>
      <c r="AV47" s="67">
        <v>0</v>
      </c>
      <c r="AW47" s="210">
        <v>0</v>
      </c>
      <c r="AX47" s="67">
        <v>0</v>
      </c>
    </row>
    <row r="48" spans="1:50" ht="15.75" x14ac:dyDescent="0.25">
      <c r="A48" s="72">
        <v>37</v>
      </c>
      <c r="B48" s="192" t="s">
        <v>101</v>
      </c>
      <c r="C48" s="66">
        <v>1144.0401999999999</v>
      </c>
      <c r="D48" s="66">
        <v>0</v>
      </c>
      <c r="E48" s="66">
        <v>1348.0409</v>
      </c>
      <c r="F48" s="66">
        <v>1144.0401999999999</v>
      </c>
      <c r="G48" s="66">
        <v>204.00069999999999</v>
      </c>
      <c r="H48" s="66">
        <v>1144.0401999999999</v>
      </c>
      <c r="I48" s="66">
        <v>0</v>
      </c>
      <c r="J48" s="66">
        <v>1348.0409</v>
      </c>
      <c r="K48" s="66">
        <v>1144.0401999999999</v>
      </c>
      <c r="L48" s="66">
        <v>0</v>
      </c>
      <c r="M48" s="66">
        <v>204.00069999999999</v>
      </c>
      <c r="N48" s="67">
        <v>100</v>
      </c>
      <c r="O48" s="67">
        <v>100</v>
      </c>
      <c r="P48" s="67">
        <v>15.133123928213157</v>
      </c>
      <c r="Q48" s="66">
        <v>0</v>
      </c>
      <c r="R48" s="67">
        <v>0</v>
      </c>
      <c r="S48" s="66">
        <v>1144.0401999999999</v>
      </c>
      <c r="T48" s="66">
        <v>0</v>
      </c>
      <c r="U48" s="66">
        <v>1348.0409</v>
      </c>
      <c r="V48" s="66">
        <v>1144.0401999999999</v>
      </c>
      <c r="W48" s="66">
        <v>204.00069999999999</v>
      </c>
      <c r="X48" s="66">
        <v>1144.0401999999999</v>
      </c>
      <c r="Y48" s="66">
        <v>0</v>
      </c>
      <c r="Z48" s="66">
        <v>1348.0409</v>
      </c>
      <c r="AA48" s="66">
        <v>1144.0401999999999</v>
      </c>
      <c r="AB48" s="66">
        <v>0</v>
      </c>
      <c r="AC48" s="66">
        <v>204.00069999999999</v>
      </c>
      <c r="AD48" s="67">
        <v>100</v>
      </c>
      <c r="AE48" s="67">
        <v>100</v>
      </c>
      <c r="AF48" s="67">
        <v>15.133123928213157</v>
      </c>
      <c r="AG48" s="210">
        <v>0</v>
      </c>
      <c r="AH48" s="67">
        <v>0</v>
      </c>
      <c r="AI48" s="66">
        <v>0</v>
      </c>
      <c r="AJ48" s="66">
        <v>0</v>
      </c>
      <c r="AK48" s="66">
        <v>0</v>
      </c>
      <c r="AL48" s="66">
        <v>0</v>
      </c>
      <c r="AM48" s="66">
        <v>0</v>
      </c>
      <c r="AN48" s="66">
        <v>0</v>
      </c>
      <c r="AO48" s="66">
        <v>0</v>
      </c>
      <c r="AP48" s="66">
        <v>0</v>
      </c>
      <c r="AQ48" s="66">
        <v>0</v>
      </c>
      <c r="AR48" s="66">
        <v>0</v>
      </c>
      <c r="AS48" s="66">
        <v>0</v>
      </c>
      <c r="AT48" s="67" t="s">
        <v>1094</v>
      </c>
      <c r="AU48" s="67" t="s">
        <v>1094</v>
      </c>
      <c r="AV48" s="67">
        <v>0</v>
      </c>
      <c r="AW48" s="210">
        <v>0</v>
      </c>
      <c r="AX48" s="67">
        <v>0</v>
      </c>
    </row>
    <row r="49" spans="1:50" ht="15.75" x14ac:dyDescent="0.25">
      <c r="A49" s="72">
        <v>38</v>
      </c>
      <c r="B49" s="192" t="s">
        <v>103</v>
      </c>
      <c r="C49" s="66">
        <v>62.712899999999998</v>
      </c>
      <c r="D49" s="66">
        <v>0</v>
      </c>
      <c r="E49" s="66">
        <v>91.073352620000009</v>
      </c>
      <c r="F49" s="66">
        <v>62.712899999999998</v>
      </c>
      <c r="G49" s="66">
        <v>28.36045262</v>
      </c>
      <c r="H49" s="66">
        <v>62.710350259999998</v>
      </c>
      <c r="I49" s="66">
        <v>0</v>
      </c>
      <c r="J49" s="66">
        <v>91.066894930000004</v>
      </c>
      <c r="K49" s="66">
        <v>62.708200159999997</v>
      </c>
      <c r="L49" s="66">
        <v>0</v>
      </c>
      <c r="M49" s="66">
        <v>28.35869477</v>
      </c>
      <c r="N49" s="67">
        <v>99.99250578429637</v>
      </c>
      <c r="O49" s="67">
        <v>99.9938017561865</v>
      </c>
      <c r="P49" s="67">
        <v>31.140509173831344</v>
      </c>
      <c r="Q49" s="66">
        <v>0</v>
      </c>
      <c r="R49" s="67">
        <v>2.1501000000014869E-3</v>
      </c>
      <c r="S49" s="66">
        <v>62.712899999999998</v>
      </c>
      <c r="T49" s="66">
        <v>0</v>
      </c>
      <c r="U49" s="66">
        <v>91.073352620000009</v>
      </c>
      <c r="V49" s="66">
        <v>62.712899999999998</v>
      </c>
      <c r="W49" s="66">
        <v>28.36045262</v>
      </c>
      <c r="X49" s="66">
        <v>62.710350259999998</v>
      </c>
      <c r="Y49" s="66">
        <v>0</v>
      </c>
      <c r="Z49" s="66">
        <v>91.066894930000004</v>
      </c>
      <c r="AA49" s="66">
        <v>62.708200159999997</v>
      </c>
      <c r="AB49" s="66">
        <v>0</v>
      </c>
      <c r="AC49" s="66">
        <v>28.35869477</v>
      </c>
      <c r="AD49" s="67">
        <v>99.99250578429637</v>
      </c>
      <c r="AE49" s="67">
        <v>99.9938017561865</v>
      </c>
      <c r="AF49" s="67">
        <v>31.140509173831344</v>
      </c>
      <c r="AG49" s="210">
        <v>0</v>
      </c>
      <c r="AH49" s="67">
        <v>2.1501000000014869E-3</v>
      </c>
      <c r="AI49" s="66">
        <v>0</v>
      </c>
      <c r="AJ49" s="66">
        <v>0</v>
      </c>
      <c r="AK49" s="66">
        <v>0</v>
      </c>
      <c r="AL49" s="66">
        <v>0</v>
      </c>
      <c r="AM49" s="66">
        <v>0</v>
      </c>
      <c r="AN49" s="66">
        <v>0</v>
      </c>
      <c r="AO49" s="66">
        <v>0</v>
      </c>
      <c r="AP49" s="66">
        <v>0</v>
      </c>
      <c r="AQ49" s="66">
        <v>0</v>
      </c>
      <c r="AR49" s="66">
        <v>0</v>
      </c>
      <c r="AS49" s="66">
        <v>0</v>
      </c>
      <c r="AT49" s="67" t="s">
        <v>1094</v>
      </c>
      <c r="AU49" s="67" t="s">
        <v>1094</v>
      </c>
      <c r="AV49" s="67">
        <v>0</v>
      </c>
      <c r="AW49" s="210">
        <v>0</v>
      </c>
      <c r="AX49" s="67">
        <v>0</v>
      </c>
    </row>
    <row r="50" spans="1:50" ht="15.75" x14ac:dyDescent="0.25">
      <c r="A50" s="72">
        <v>39</v>
      </c>
      <c r="B50" s="192" t="s">
        <v>105</v>
      </c>
      <c r="C50" s="66">
        <v>622.67999999999995</v>
      </c>
      <c r="D50" s="66">
        <v>0</v>
      </c>
      <c r="E50" s="66">
        <v>707.99561000000006</v>
      </c>
      <c r="F50" s="66">
        <v>622.67999999999995</v>
      </c>
      <c r="G50" s="66">
        <v>85.315610000000007</v>
      </c>
      <c r="H50" s="66">
        <v>622.67999999999995</v>
      </c>
      <c r="I50" s="66">
        <v>0</v>
      </c>
      <c r="J50" s="66">
        <v>707.99561000000006</v>
      </c>
      <c r="K50" s="66">
        <v>622.67999999999995</v>
      </c>
      <c r="L50" s="66">
        <v>0</v>
      </c>
      <c r="M50" s="66">
        <v>85.315610000000007</v>
      </c>
      <c r="N50" s="67">
        <v>100</v>
      </c>
      <c r="O50" s="67">
        <v>100</v>
      </c>
      <c r="P50" s="67">
        <v>12.050302119811168</v>
      </c>
      <c r="Q50" s="66">
        <v>0</v>
      </c>
      <c r="R50" s="67">
        <v>0</v>
      </c>
      <c r="S50" s="66">
        <v>622.67999999999995</v>
      </c>
      <c r="T50" s="66">
        <v>0</v>
      </c>
      <c r="U50" s="66">
        <v>707.99561000000006</v>
      </c>
      <c r="V50" s="66">
        <v>622.67999999999995</v>
      </c>
      <c r="W50" s="66">
        <v>85.315610000000007</v>
      </c>
      <c r="X50" s="66">
        <v>622.67999999999995</v>
      </c>
      <c r="Y50" s="66">
        <v>0</v>
      </c>
      <c r="Z50" s="66">
        <v>707.99561000000006</v>
      </c>
      <c r="AA50" s="66">
        <v>622.67999999999995</v>
      </c>
      <c r="AB50" s="66">
        <v>0</v>
      </c>
      <c r="AC50" s="66">
        <v>85.315610000000007</v>
      </c>
      <c r="AD50" s="67">
        <v>100</v>
      </c>
      <c r="AE50" s="67">
        <v>100</v>
      </c>
      <c r="AF50" s="67">
        <v>12.050302119811168</v>
      </c>
      <c r="AG50" s="210">
        <v>0</v>
      </c>
      <c r="AH50" s="67">
        <v>0</v>
      </c>
      <c r="AI50" s="66">
        <v>0</v>
      </c>
      <c r="AJ50" s="66">
        <v>0</v>
      </c>
      <c r="AK50" s="66">
        <v>0</v>
      </c>
      <c r="AL50" s="66">
        <v>0</v>
      </c>
      <c r="AM50" s="66">
        <v>0</v>
      </c>
      <c r="AN50" s="66">
        <v>0</v>
      </c>
      <c r="AO50" s="66">
        <v>0</v>
      </c>
      <c r="AP50" s="66">
        <v>0</v>
      </c>
      <c r="AQ50" s="66">
        <v>0</v>
      </c>
      <c r="AR50" s="66">
        <v>0</v>
      </c>
      <c r="AS50" s="66">
        <v>0</v>
      </c>
      <c r="AT50" s="67" t="s">
        <v>1094</v>
      </c>
      <c r="AU50" s="67" t="s">
        <v>1094</v>
      </c>
      <c r="AV50" s="67">
        <v>0</v>
      </c>
      <c r="AW50" s="210">
        <v>0</v>
      </c>
      <c r="AX50" s="67">
        <v>0</v>
      </c>
    </row>
    <row r="51" spans="1:50" ht="15.75" x14ac:dyDescent="0.25">
      <c r="A51" s="68">
        <v>40</v>
      </c>
      <c r="B51" s="192" t="s">
        <v>107</v>
      </c>
      <c r="C51" s="66">
        <v>1419.8043</v>
      </c>
      <c r="D51" s="66">
        <v>0</v>
      </c>
      <c r="E51" s="66">
        <v>1774.7554</v>
      </c>
      <c r="F51" s="66">
        <v>1419.8043</v>
      </c>
      <c r="G51" s="66">
        <v>354.9511</v>
      </c>
      <c r="H51" s="66">
        <v>1419.8043</v>
      </c>
      <c r="I51" s="66">
        <v>0</v>
      </c>
      <c r="J51" s="66">
        <v>1774.7553973500001</v>
      </c>
      <c r="K51" s="66">
        <v>1419.8043</v>
      </c>
      <c r="L51" s="66">
        <v>0</v>
      </c>
      <c r="M51" s="66">
        <v>354.95109735</v>
      </c>
      <c r="N51" s="67">
        <v>100</v>
      </c>
      <c r="O51" s="67">
        <v>99.999999253418295</v>
      </c>
      <c r="P51" s="67">
        <v>20.000001007462775</v>
      </c>
      <c r="Q51" s="66">
        <v>0</v>
      </c>
      <c r="R51" s="67">
        <v>0</v>
      </c>
      <c r="S51" s="66">
        <v>1419.8043</v>
      </c>
      <c r="T51" s="66">
        <v>0</v>
      </c>
      <c r="U51" s="66">
        <v>1774.7554</v>
      </c>
      <c r="V51" s="66">
        <v>1419.8043</v>
      </c>
      <c r="W51" s="66">
        <v>354.9511</v>
      </c>
      <c r="X51" s="66">
        <v>1419.8043</v>
      </c>
      <c r="Y51" s="66">
        <v>0</v>
      </c>
      <c r="Z51" s="66">
        <v>1774.7553973500001</v>
      </c>
      <c r="AA51" s="66">
        <v>1419.8043</v>
      </c>
      <c r="AB51" s="66">
        <v>0</v>
      </c>
      <c r="AC51" s="66">
        <v>354.95109735</v>
      </c>
      <c r="AD51" s="67">
        <v>100</v>
      </c>
      <c r="AE51" s="67">
        <v>99.999999253418295</v>
      </c>
      <c r="AF51" s="67">
        <v>20.000001007462775</v>
      </c>
      <c r="AG51" s="210">
        <v>0</v>
      </c>
      <c r="AH51" s="67">
        <v>0</v>
      </c>
      <c r="AI51" s="66">
        <v>0</v>
      </c>
      <c r="AJ51" s="66">
        <v>0</v>
      </c>
      <c r="AK51" s="66">
        <v>0</v>
      </c>
      <c r="AL51" s="66">
        <v>0</v>
      </c>
      <c r="AM51" s="66">
        <v>0</v>
      </c>
      <c r="AN51" s="66">
        <v>0</v>
      </c>
      <c r="AO51" s="66">
        <v>0</v>
      </c>
      <c r="AP51" s="66">
        <v>0</v>
      </c>
      <c r="AQ51" s="66">
        <v>0</v>
      </c>
      <c r="AR51" s="66">
        <v>0</v>
      </c>
      <c r="AS51" s="66">
        <v>0</v>
      </c>
      <c r="AT51" s="67" t="s">
        <v>1094</v>
      </c>
      <c r="AU51" s="67" t="s">
        <v>1094</v>
      </c>
      <c r="AV51" s="67">
        <v>0</v>
      </c>
      <c r="AW51" s="210">
        <v>0</v>
      </c>
      <c r="AX51" s="67">
        <v>0</v>
      </c>
    </row>
    <row r="52" spans="1:50" s="126" customFormat="1" ht="15.75" x14ac:dyDescent="0.25">
      <c r="A52" s="136">
        <v>41</v>
      </c>
      <c r="B52" s="189" t="s">
        <v>319</v>
      </c>
      <c r="C52" s="66">
        <v>0</v>
      </c>
      <c r="D52" s="66">
        <v>0</v>
      </c>
      <c r="E52" s="66">
        <v>0</v>
      </c>
      <c r="F52" s="66">
        <v>0</v>
      </c>
      <c r="G52" s="66">
        <v>0</v>
      </c>
      <c r="H52" s="66">
        <v>0</v>
      </c>
      <c r="I52" s="66">
        <v>0</v>
      </c>
      <c r="J52" s="66">
        <v>0</v>
      </c>
      <c r="K52" s="66">
        <v>0</v>
      </c>
      <c r="L52" s="66">
        <v>0</v>
      </c>
      <c r="M52" s="66">
        <v>0</v>
      </c>
      <c r="N52" s="67" t="s">
        <v>1094</v>
      </c>
      <c r="O52" s="67" t="s">
        <v>1094</v>
      </c>
      <c r="P52" s="67">
        <v>0</v>
      </c>
      <c r="Q52" s="66">
        <v>0</v>
      </c>
      <c r="R52" s="67">
        <v>0</v>
      </c>
      <c r="S52" s="66">
        <v>0</v>
      </c>
      <c r="T52" s="66">
        <v>0</v>
      </c>
      <c r="U52" s="66">
        <v>0</v>
      </c>
      <c r="V52" s="66">
        <v>0</v>
      </c>
      <c r="W52" s="66">
        <v>0</v>
      </c>
      <c r="X52" s="66">
        <v>0</v>
      </c>
      <c r="Y52" s="66">
        <v>0</v>
      </c>
      <c r="Z52" s="66">
        <v>0</v>
      </c>
      <c r="AA52" s="66">
        <v>0</v>
      </c>
      <c r="AB52" s="66">
        <v>0</v>
      </c>
      <c r="AC52" s="66">
        <v>0</v>
      </c>
      <c r="AD52" s="67" t="s">
        <v>1094</v>
      </c>
      <c r="AE52" s="67" t="s">
        <v>1094</v>
      </c>
      <c r="AF52" s="67">
        <v>0</v>
      </c>
      <c r="AG52" s="210">
        <v>0</v>
      </c>
      <c r="AH52" s="67">
        <v>0</v>
      </c>
      <c r="AI52" s="66">
        <v>0</v>
      </c>
      <c r="AJ52" s="66">
        <v>0</v>
      </c>
      <c r="AK52" s="66">
        <v>0</v>
      </c>
      <c r="AL52" s="66">
        <v>0</v>
      </c>
      <c r="AM52" s="66">
        <v>0</v>
      </c>
      <c r="AN52" s="66">
        <v>0</v>
      </c>
      <c r="AO52" s="66">
        <v>0</v>
      </c>
      <c r="AP52" s="66">
        <v>0</v>
      </c>
      <c r="AQ52" s="66">
        <v>0</v>
      </c>
      <c r="AR52" s="66">
        <v>0</v>
      </c>
      <c r="AS52" s="66">
        <v>0</v>
      </c>
      <c r="AT52" s="67" t="s">
        <v>1094</v>
      </c>
      <c r="AU52" s="67" t="s">
        <v>1094</v>
      </c>
      <c r="AV52" s="67">
        <v>0</v>
      </c>
      <c r="AW52" s="210">
        <v>0</v>
      </c>
      <c r="AX52" s="67">
        <v>0</v>
      </c>
    </row>
    <row r="53" spans="1:50" ht="15.75" x14ac:dyDescent="0.25">
      <c r="A53" s="70">
        <v>42</v>
      </c>
      <c r="B53" s="193" t="s">
        <v>109</v>
      </c>
      <c r="C53" s="61">
        <v>2736.69</v>
      </c>
      <c r="D53" s="61">
        <v>0</v>
      </c>
      <c r="E53" s="61">
        <v>3601.5464528399998</v>
      </c>
      <c r="F53" s="61">
        <v>2736.69</v>
      </c>
      <c r="G53" s="61">
        <v>864.85645283999997</v>
      </c>
      <c r="H53" s="61">
        <v>2667.04821335</v>
      </c>
      <c r="I53" s="61">
        <v>0</v>
      </c>
      <c r="J53" s="61">
        <v>3502.4583542999999</v>
      </c>
      <c r="K53" s="61">
        <v>2666.75440385</v>
      </c>
      <c r="L53" s="61">
        <v>0</v>
      </c>
      <c r="M53" s="61">
        <v>835.70395044999998</v>
      </c>
      <c r="N53" s="61">
        <v>97.444518884126438</v>
      </c>
      <c r="O53" s="61">
        <v>96.629209125483257</v>
      </c>
      <c r="P53" s="61">
        <v>23.860496426003145</v>
      </c>
      <c r="Q53" s="61">
        <v>0</v>
      </c>
      <c r="R53" s="61">
        <v>0.29380949999999828</v>
      </c>
      <c r="S53" s="61">
        <v>2736.69</v>
      </c>
      <c r="T53" s="61">
        <v>0</v>
      </c>
      <c r="U53" s="61">
        <v>3601.5464528399998</v>
      </c>
      <c r="V53" s="61">
        <v>2736.69</v>
      </c>
      <c r="W53" s="61">
        <v>864.85645283999997</v>
      </c>
      <c r="X53" s="61">
        <v>2667.04821335</v>
      </c>
      <c r="Y53" s="61">
        <v>0</v>
      </c>
      <c r="Z53" s="61">
        <v>3502.4583542999999</v>
      </c>
      <c r="AA53" s="61">
        <v>2666.75440385</v>
      </c>
      <c r="AB53" s="61">
        <v>0</v>
      </c>
      <c r="AC53" s="61">
        <v>835.70395044999998</v>
      </c>
      <c r="AD53" s="61">
        <v>97.444518884126438</v>
      </c>
      <c r="AE53" s="61">
        <v>96.629209125483257</v>
      </c>
      <c r="AF53" s="61">
        <v>23.860496426003145</v>
      </c>
      <c r="AG53" s="61">
        <v>0</v>
      </c>
      <c r="AH53" s="61">
        <v>0.29380949999999828</v>
      </c>
      <c r="AI53" s="61">
        <v>0</v>
      </c>
      <c r="AJ53" s="61">
        <v>0</v>
      </c>
      <c r="AK53" s="61">
        <v>0</v>
      </c>
      <c r="AL53" s="61">
        <v>0</v>
      </c>
      <c r="AM53" s="61">
        <v>0</v>
      </c>
      <c r="AN53" s="61">
        <v>0</v>
      </c>
      <c r="AO53" s="61">
        <v>0</v>
      </c>
      <c r="AP53" s="61">
        <v>0</v>
      </c>
      <c r="AQ53" s="61">
        <v>0</v>
      </c>
      <c r="AR53" s="61">
        <v>0</v>
      </c>
      <c r="AS53" s="61">
        <v>0</v>
      </c>
      <c r="AT53" s="61" t="s">
        <v>1094</v>
      </c>
      <c r="AU53" s="61" t="s">
        <v>1094</v>
      </c>
      <c r="AV53" s="61">
        <v>0</v>
      </c>
      <c r="AW53" s="61">
        <v>0</v>
      </c>
      <c r="AX53" s="61">
        <v>0</v>
      </c>
    </row>
    <row r="54" spans="1:50" ht="15.75" x14ac:dyDescent="0.25">
      <c r="A54" s="72">
        <v>43</v>
      </c>
      <c r="B54" s="192" t="s">
        <v>111</v>
      </c>
      <c r="C54" s="66">
        <v>46.606299999999997</v>
      </c>
      <c r="D54" s="66">
        <v>0</v>
      </c>
      <c r="E54" s="66">
        <v>52.196550569999999</v>
      </c>
      <c r="F54" s="66">
        <v>46.606299999999997</v>
      </c>
      <c r="G54" s="66">
        <v>5.5902505700000003</v>
      </c>
      <c r="H54" s="66">
        <v>46.606299999999997</v>
      </c>
      <c r="I54" s="66">
        <v>0</v>
      </c>
      <c r="J54" s="66">
        <v>52.196550560000006</v>
      </c>
      <c r="K54" s="66">
        <v>46.606299999999997</v>
      </c>
      <c r="L54" s="66">
        <v>0</v>
      </c>
      <c r="M54" s="66">
        <v>5.5902505599999994</v>
      </c>
      <c r="N54" s="67">
        <v>100</v>
      </c>
      <c r="O54" s="67">
        <v>99.999999821117129</v>
      </c>
      <c r="P54" s="67">
        <v>10.709999990466802</v>
      </c>
      <c r="Q54" s="66">
        <v>0</v>
      </c>
      <c r="R54" s="67">
        <v>0</v>
      </c>
      <c r="S54" s="66">
        <v>46.606299999999997</v>
      </c>
      <c r="T54" s="66">
        <v>0</v>
      </c>
      <c r="U54" s="66">
        <v>52.196550569999999</v>
      </c>
      <c r="V54" s="66">
        <v>46.606299999999997</v>
      </c>
      <c r="W54" s="66">
        <v>5.5902505700000003</v>
      </c>
      <c r="X54" s="66">
        <v>46.606299999999997</v>
      </c>
      <c r="Y54" s="66">
        <v>0</v>
      </c>
      <c r="Z54" s="66">
        <v>52.196550560000006</v>
      </c>
      <c r="AA54" s="66">
        <v>46.606299999999997</v>
      </c>
      <c r="AB54" s="66">
        <v>0</v>
      </c>
      <c r="AC54" s="66">
        <v>5.5902505599999994</v>
      </c>
      <c r="AD54" s="67">
        <v>100</v>
      </c>
      <c r="AE54" s="67">
        <v>99.999999821117129</v>
      </c>
      <c r="AF54" s="67">
        <v>10.709999990466802</v>
      </c>
      <c r="AG54" s="210">
        <v>0</v>
      </c>
      <c r="AH54" s="67">
        <v>0</v>
      </c>
      <c r="AI54" s="66">
        <v>0</v>
      </c>
      <c r="AJ54" s="66">
        <v>0</v>
      </c>
      <c r="AK54" s="66">
        <v>0</v>
      </c>
      <c r="AL54" s="66">
        <v>0</v>
      </c>
      <c r="AM54" s="66">
        <v>0</v>
      </c>
      <c r="AN54" s="66">
        <v>0</v>
      </c>
      <c r="AO54" s="66">
        <v>0</v>
      </c>
      <c r="AP54" s="66">
        <v>0</v>
      </c>
      <c r="AQ54" s="66">
        <v>0</v>
      </c>
      <c r="AR54" s="66">
        <v>0</v>
      </c>
      <c r="AS54" s="66">
        <v>0</v>
      </c>
      <c r="AT54" s="67" t="s">
        <v>1094</v>
      </c>
      <c r="AU54" s="67" t="s">
        <v>1094</v>
      </c>
      <c r="AV54" s="67">
        <v>0</v>
      </c>
      <c r="AW54" s="210">
        <v>0</v>
      </c>
      <c r="AX54" s="67">
        <v>0</v>
      </c>
    </row>
    <row r="55" spans="1:50" ht="15.75" x14ac:dyDescent="0.25">
      <c r="A55" s="72">
        <v>44</v>
      </c>
      <c r="B55" s="192" t="s">
        <v>113</v>
      </c>
      <c r="C55" s="66">
        <v>0.6</v>
      </c>
      <c r="D55" s="66">
        <v>0</v>
      </c>
      <c r="E55" s="66">
        <v>0.63157894999999997</v>
      </c>
      <c r="F55" s="66">
        <v>0.6</v>
      </c>
      <c r="G55" s="66">
        <v>3.1578950000000001E-2</v>
      </c>
      <c r="H55" s="66">
        <v>0.6</v>
      </c>
      <c r="I55" s="66">
        <v>0</v>
      </c>
      <c r="J55" s="66">
        <v>0.63157894999999997</v>
      </c>
      <c r="K55" s="66">
        <v>0.6</v>
      </c>
      <c r="L55" s="66">
        <v>0</v>
      </c>
      <c r="M55" s="66">
        <v>3.1578950000000001E-2</v>
      </c>
      <c r="N55" s="67">
        <v>100</v>
      </c>
      <c r="O55" s="67">
        <v>100</v>
      </c>
      <c r="P55" s="67">
        <v>5.0000003958333323</v>
      </c>
      <c r="Q55" s="66">
        <v>0</v>
      </c>
      <c r="R55" s="67">
        <v>0</v>
      </c>
      <c r="S55" s="66">
        <v>0.6</v>
      </c>
      <c r="T55" s="66">
        <v>0</v>
      </c>
      <c r="U55" s="66">
        <v>0.63157894999999997</v>
      </c>
      <c r="V55" s="66">
        <v>0.6</v>
      </c>
      <c r="W55" s="66">
        <v>3.1578950000000001E-2</v>
      </c>
      <c r="X55" s="66">
        <v>0.6</v>
      </c>
      <c r="Y55" s="66">
        <v>0</v>
      </c>
      <c r="Z55" s="66">
        <v>0.63157894999999997</v>
      </c>
      <c r="AA55" s="66">
        <v>0.6</v>
      </c>
      <c r="AB55" s="66">
        <v>0</v>
      </c>
      <c r="AC55" s="66">
        <v>3.1578950000000001E-2</v>
      </c>
      <c r="AD55" s="67">
        <v>100</v>
      </c>
      <c r="AE55" s="67">
        <v>100</v>
      </c>
      <c r="AF55" s="67">
        <v>5.0000003958333323</v>
      </c>
      <c r="AG55" s="210">
        <v>0</v>
      </c>
      <c r="AH55" s="67">
        <v>0</v>
      </c>
      <c r="AI55" s="66">
        <v>0</v>
      </c>
      <c r="AJ55" s="66">
        <v>0</v>
      </c>
      <c r="AK55" s="66">
        <v>0</v>
      </c>
      <c r="AL55" s="66">
        <v>0</v>
      </c>
      <c r="AM55" s="66">
        <v>0</v>
      </c>
      <c r="AN55" s="66">
        <v>0</v>
      </c>
      <c r="AO55" s="66">
        <v>0</v>
      </c>
      <c r="AP55" s="66">
        <v>0</v>
      </c>
      <c r="AQ55" s="66">
        <v>0</v>
      </c>
      <c r="AR55" s="66">
        <v>0</v>
      </c>
      <c r="AS55" s="66">
        <v>0</v>
      </c>
      <c r="AT55" s="67" t="s">
        <v>1094</v>
      </c>
      <c r="AU55" s="67" t="s">
        <v>1094</v>
      </c>
      <c r="AV55" s="67">
        <v>0</v>
      </c>
      <c r="AW55" s="210">
        <v>0</v>
      </c>
      <c r="AX55" s="67">
        <v>0</v>
      </c>
    </row>
    <row r="56" spans="1:50" ht="31.5" x14ac:dyDescent="0.25">
      <c r="A56" s="72">
        <v>45</v>
      </c>
      <c r="B56" s="192" t="s">
        <v>115</v>
      </c>
      <c r="C56" s="66">
        <v>184.34559999999999</v>
      </c>
      <c r="D56" s="66">
        <v>0</v>
      </c>
      <c r="E56" s="66">
        <v>237.79849999999999</v>
      </c>
      <c r="F56" s="66">
        <v>184.34559999999999</v>
      </c>
      <c r="G56" s="66">
        <v>53.4529</v>
      </c>
      <c r="H56" s="66">
        <v>156.93403613999999</v>
      </c>
      <c r="I56" s="66">
        <v>0</v>
      </c>
      <c r="J56" s="66">
        <v>198.68747612000001</v>
      </c>
      <c r="K56" s="66">
        <v>156.93403613999999</v>
      </c>
      <c r="L56" s="66">
        <v>0</v>
      </c>
      <c r="M56" s="66">
        <v>41.753439979999996</v>
      </c>
      <c r="N56" s="67">
        <v>85.130340046087355</v>
      </c>
      <c r="O56" s="67">
        <v>78.112581319254886</v>
      </c>
      <c r="P56" s="67">
        <v>21.014631015184086</v>
      </c>
      <c r="Q56" s="66">
        <v>0</v>
      </c>
      <c r="R56" s="67">
        <v>0</v>
      </c>
      <c r="S56" s="66">
        <v>184.34559999999999</v>
      </c>
      <c r="T56" s="66">
        <v>0</v>
      </c>
      <c r="U56" s="66">
        <v>237.79849999999999</v>
      </c>
      <c r="V56" s="66">
        <v>184.34559999999999</v>
      </c>
      <c r="W56" s="66">
        <v>53.4529</v>
      </c>
      <c r="X56" s="66">
        <v>156.93403613999999</v>
      </c>
      <c r="Y56" s="66">
        <v>0</v>
      </c>
      <c r="Z56" s="66">
        <v>198.68747612000001</v>
      </c>
      <c r="AA56" s="66">
        <v>156.93403613999999</v>
      </c>
      <c r="AB56" s="66">
        <v>0</v>
      </c>
      <c r="AC56" s="66">
        <v>41.753439979999996</v>
      </c>
      <c r="AD56" s="67">
        <v>85.130340046087355</v>
      </c>
      <c r="AE56" s="67">
        <v>78.112581319254886</v>
      </c>
      <c r="AF56" s="67">
        <v>21.014631015184086</v>
      </c>
      <c r="AG56" s="210">
        <v>0</v>
      </c>
      <c r="AH56" s="67">
        <v>0</v>
      </c>
      <c r="AI56" s="66">
        <v>0</v>
      </c>
      <c r="AJ56" s="66">
        <v>0</v>
      </c>
      <c r="AK56" s="66">
        <v>0</v>
      </c>
      <c r="AL56" s="66">
        <v>0</v>
      </c>
      <c r="AM56" s="66">
        <v>0</v>
      </c>
      <c r="AN56" s="66">
        <v>0</v>
      </c>
      <c r="AO56" s="66">
        <v>0</v>
      </c>
      <c r="AP56" s="66">
        <v>0</v>
      </c>
      <c r="AQ56" s="66">
        <v>0</v>
      </c>
      <c r="AR56" s="66">
        <v>0</v>
      </c>
      <c r="AS56" s="66">
        <v>0</v>
      </c>
      <c r="AT56" s="67" t="s">
        <v>1094</v>
      </c>
      <c r="AU56" s="67" t="s">
        <v>1094</v>
      </c>
      <c r="AV56" s="67">
        <v>0</v>
      </c>
      <c r="AW56" s="210">
        <v>0</v>
      </c>
      <c r="AX56" s="67">
        <v>0</v>
      </c>
    </row>
    <row r="57" spans="1:50" ht="31.5" x14ac:dyDescent="0.25">
      <c r="A57" s="72">
        <v>46</v>
      </c>
      <c r="B57" s="192" t="s">
        <v>117</v>
      </c>
      <c r="C57" s="66">
        <v>9.8538999999999994</v>
      </c>
      <c r="D57" s="66">
        <v>0</v>
      </c>
      <c r="E57" s="66">
        <v>10.37252632</v>
      </c>
      <c r="F57" s="66">
        <v>9.8538999999999994</v>
      </c>
      <c r="G57" s="66">
        <v>0.51862631999999997</v>
      </c>
      <c r="H57" s="66">
        <v>9.8538999999999994</v>
      </c>
      <c r="I57" s="66">
        <v>0</v>
      </c>
      <c r="J57" s="66">
        <v>10.37252632</v>
      </c>
      <c r="K57" s="66">
        <v>9.8538999999999994</v>
      </c>
      <c r="L57" s="66">
        <v>0</v>
      </c>
      <c r="M57" s="66">
        <v>0.51862631999999997</v>
      </c>
      <c r="N57" s="67">
        <v>100</v>
      </c>
      <c r="O57" s="67">
        <v>100</v>
      </c>
      <c r="P57" s="67">
        <v>5.0000000385634111</v>
      </c>
      <c r="Q57" s="66">
        <v>0</v>
      </c>
      <c r="R57" s="67">
        <v>0</v>
      </c>
      <c r="S57" s="66">
        <v>9.8538999999999994</v>
      </c>
      <c r="T57" s="66">
        <v>0</v>
      </c>
      <c r="U57" s="66">
        <v>10.37252632</v>
      </c>
      <c r="V57" s="66">
        <v>9.8538999999999994</v>
      </c>
      <c r="W57" s="66">
        <v>0.51862631999999997</v>
      </c>
      <c r="X57" s="66">
        <v>9.8538999999999994</v>
      </c>
      <c r="Y57" s="66">
        <v>0</v>
      </c>
      <c r="Z57" s="66">
        <v>10.37252632</v>
      </c>
      <c r="AA57" s="66">
        <v>9.8538999999999994</v>
      </c>
      <c r="AB57" s="66">
        <v>0</v>
      </c>
      <c r="AC57" s="66">
        <v>0.51862631999999997</v>
      </c>
      <c r="AD57" s="67">
        <v>100</v>
      </c>
      <c r="AE57" s="67">
        <v>100</v>
      </c>
      <c r="AF57" s="67">
        <v>5.0000000385634111</v>
      </c>
      <c r="AG57" s="210">
        <v>0</v>
      </c>
      <c r="AH57" s="67">
        <v>0</v>
      </c>
      <c r="AI57" s="66">
        <v>0</v>
      </c>
      <c r="AJ57" s="66">
        <v>0</v>
      </c>
      <c r="AK57" s="66">
        <v>0</v>
      </c>
      <c r="AL57" s="66">
        <v>0</v>
      </c>
      <c r="AM57" s="66">
        <v>0</v>
      </c>
      <c r="AN57" s="66">
        <v>0</v>
      </c>
      <c r="AO57" s="66">
        <v>0</v>
      </c>
      <c r="AP57" s="66">
        <v>0</v>
      </c>
      <c r="AQ57" s="66">
        <v>0</v>
      </c>
      <c r="AR57" s="66">
        <v>0</v>
      </c>
      <c r="AS57" s="66">
        <v>0</v>
      </c>
      <c r="AT57" s="67" t="s">
        <v>1094</v>
      </c>
      <c r="AU57" s="67" t="s">
        <v>1094</v>
      </c>
      <c r="AV57" s="67">
        <v>0</v>
      </c>
      <c r="AW57" s="210">
        <v>0</v>
      </c>
      <c r="AX57" s="67">
        <v>0</v>
      </c>
    </row>
    <row r="58" spans="1:50" ht="31.5" x14ac:dyDescent="0.25">
      <c r="A58" s="72">
        <v>47</v>
      </c>
      <c r="B58" s="192" t="s">
        <v>119</v>
      </c>
      <c r="C58" s="66">
        <v>18.719799999999999</v>
      </c>
      <c r="D58" s="66">
        <v>0</v>
      </c>
      <c r="E58" s="66">
        <v>30.542120000000001</v>
      </c>
      <c r="F58" s="66">
        <v>18.719799999999999</v>
      </c>
      <c r="G58" s="66">
        <v>11.822319999999999</v>
      </c>
      <c r="H58" s="66">
        <v>17.55385837</v>
      </c>
      <c r="I58" s="66">
        <v>0</v>
      </c>
      <c r="J58" s="66">
        <v>28.16128058</v>
      </c>
      <c r="K58" s="66">
        <v>17.260048870000002</v>
      </c>
      <c r="L58" s="66">
        <v>0</v>
      </c>
      <c r="M58" s="66">
        <v>10.901231710000001</v>
      </c>
      <c r="N58" s="67">
        <v>92.202100823726767</v>
      </c>
      <c r="O58" s="67">
        <v>92.208904089890993</v>
      </c>
      <c r="P58" s="67">
        <v>38.709999991058652</v>
      </c>
      <c r="Q58" s="66">
        <v>0</v>
      </c>
      <c r="R58" s="67">
        <v>0.29380949999999828</v>
      </c>
      <c r="S58" s="66">
        <v>18.719799999999999</v>
      </c>
      <c r="T58" s="66">
        <v>0</v>
      </c>
      <c r="U58" s="66">
        <v>30.542120000000001</v>
      </c>
      <c r="V58" s="66">
        <v>18.719799999999999</v>
      </c>
      <c r="W58" s="66">
        <v>11.822319999999999</v>
      </c>
      <c r="X58" s="66">
        <v>17.55385837</v>
      </c>
      <c r="Y58" s="66">
        <v>0</v>
      </c>
      <c r="Z58" s="66">
        <v>28.16128058</v>
      </c>
      <c r="AA58" s="66">
        <v>17.260048870000002</v>
      </c>
      <c r="AB58" s="66">
        <v>0</v>
      </c>
      <c r="AC58" s="66">
        <v>10.901231710000001</v>
      </c>
      <c r="AD58" s="67">
        <v>92.202100823726767</v>
      </c>
      <c r="AE58" s="67">
        <v>92.208904089890993</v>
      </c>
      <c r="AF58" s="67">
        <v>38.709999991058652</v>
      </c>
      <c r="AG58" s="210">
        <v>0</v>
      </c>
      <c r="AH58" s="67">
        <v>0.29380949999999828</v>
      </c>
      <c r="AI58" s="66">
        <v>0</v>
      </c>
      <c r="AJ58" s="66">
        <v>0</v>
      </c>
      <c r="AK58" s="66">
        <v>0</v>
      </c>
      <c r="AL58" s="66">
        <v>0</v>
      </c>
      <c r="AM58" s="66">
        <v>0</v>
      </c>
      <c r="AN58" s="66">
        <v>0</v>
      </c>
      <c r="AO58" s="66">
        <v>0</v>
      </c>
      <c r="AP58" s="66">
        <v>0</v>
      </c>
      <c r="AQ58" s="66">
        <v>0</v>
      </c>
      <c r="AR58" s="66">
        <v>0</v>
      </c>
      <c r="AS58" s="66">
        <v>0</v>
      </c>
      <c r="AT58" s="67" t="s">
        <v>1094</v>
      </c>
      <c r="AU58" s="67" t="s">
        <v>1094</v>
      </c>
      <c r="AV58" s="67">
        <v>0</v>
      </c>
      <c r="AW58" s="210">
        <v>0</v>
      </c>
      <c r="AX58" s="67">
        <v>0</v>
      </c>
    </row>
    <row r="59" spans="1:50" ht="15.75" x14ac:dyDescent="0.25">
      <c r="A59" s="11">
        <v>48</v>
      </c>
      <c r="B59" s="192" t="s">
        <v>122</v>
      </c>
      <c r="C59" s="66">
        <v>687.76980000000003</v>
      </c>
      <c r="D59" s="66">
        <v>0</v>
      </c>
      <c r="E59" s="66">
        <v>723.96821999999997</v>
      </c>
      <c r="F59" s="66">
        <v>687.76980000000003</v>
      </c>
      <c r="G59" s="66">
        <v>36.198419999999999</v>
      </c>
      <c r="H59" s="66">
        <v>687.76980000000003</v>
      </c>
      <c r="I59" s="66">
        <v>0</v>
      </c>
      <c r="J59" s="66">
        <v>723.96821052999996</v>
      </c>
      <c r="K59" s="66">
        <v>687.76980000000003</v>
      </c>
      <c r="L59" s="66">
        <v>0</v>
      </c>
      <c r="M59" s="66">
        <v>36.198410530000004</v>
      </c>
      <c r="N59" s="67">
        <v>100</v>
      </c>
      <c r="O59" s="67">
        <v>99.999973838637175</v>
      </c>
      <c r="P59" s="67">
        <v>5.0000000004834479</v>
      </c>
      <c r="Q59" s="66">
        <v>0</v>
      </c>
      <c r="R59" s="67">
        <v>0</v>
      </c>
      <c r="S59" s="66">
        <v>687.76980000000003</v>
      </c>
      <c r="T59" s="66">
        <v>0</v>
      </c>
      <c r="U59" s="66">
        <v>723.96821999999997</v>
      </c>
      <c r="V59" s="66">
        <v>687.76980000000003</v>
      </c>
      <c r="W59" s="66">
        <v>36.198419999999999</v>
      </c>
      <c r="X59" s="66">
        <v>687.76980000000003</v>
      </c>
      <c r="Y59" s="66">
        <v>0</v>
      </c>
      <c r="Z59" s="66">
        <v>723.96821052999996</v>
      </c>
      <c r="AA59" s="66">
        <v>687.76980000000003</v>
      </c>
      <c r="AB59" s="66">
        <v>0</v>
      </c>
      <c r="AC59" s="66">
        <v>36.198410530000004</v>
      </c>
      <c r="AD59" s="67">
        <v>100</v>
      </c>
      <c r="AE59" s="67">
        <v>99.999973838637175</v>
      </c>
      <c r="AF59" s="67">
        <v>5.0000000004834479</v>
      </c>
      <c r="AG59" s="210">
        <v>0</v>
      </c>
      <c r="AH59" s="67">
        <v>0</v>
      </c>
      <c r="AI59" s="66">
        <v>0</v>
      </c>
      <c r="AJ59" s="66">
        <v>0</v>
      </c>
      <c r="AK59" s="66">
        <v>0</v>
      </c>
      <c r="AL59" s="66">
        <v>0</v>
      </c>
      <c r="AM59" s="66">
        <v>0</v>
      </c>
      <c r="AN59" s="66">
        <v>0</v>
      </c>
      <c r="AO59" s="66">
        <v>0</v>
      </c>
      <c r="AP59" s="66">
        <v>0</v>
      </c>
      <c r="AQ59" s="66">
        <v>0</v>
      </c>
      <c r="AR59" s="66">
        <v>0</v>
      </c>
      <c r="AS59" s="66">
        <v>0</v>
      </c>
      <c r="AT59" s="67" t="s">
        <v>1094</v>
      </c>
      <c r="AU59" s="67" t="s">
        <v>1094</v>
      </c>
      <c r="AV59" s="67">
        <v>0</v>
      </c>
      <c r="AW59" s="210">
        <v>0</v>
      </c>
      <c r="AX59" s="67">
        <v>0</v>
      </c>
    </row>
    <row r="60" spans="1:50" ht="15.75" x14ac:dyDescent="0.25">
      <c r="A60" s="74">
        <v>49</v>
      </c>
      <c r="B60" s="192" t="s">
        <v>125</v>
      </c>
      <c r="C60" s="66">
        <v>1788.7945999999999</v>
      </c>
      <c r="D60" s="66">
        <v>0</v>
      </c>
      <c r="E60" s="66">
        <v>2546.0369569999998</v>
      </c>
      <c r="F60" s="66">
        <v>1788.7945999999999</v>
      </c>
      <c r="G60" s="66">
        <v>757.24235699999997</v>
      </c>
      <c r="H60" s="66">
        <v>1747.7303188399999</v>
      </c>
      <c r="I60" s="66">
        <v>0</v>
      </c>
      <c r="J60" s="66">
        <v>2488.4407312399999</v>
      </c>
      <c r="K60" s="66">
        <v>1747.7303188399999</v>
      </c>
      <c r="L60" s="66">
        <v>0</v>
      </c>
      <c r="M60" s="66">
        <v>740.7104124</v>
      </c>
      <c r="N60" s="67">
        <v>97.704360178636492</v>
      </c>
      <c r="O60" s="67">
        <v>97.816822520930373</v>
      </c>
      <c r="P60" s="67">
        <v>29.766045986190758</v>
      </c>
      <c r="Q60" s="66">
        <v>0</v>
      </c>
      <c r="R60" s="67">
        <v>0</v>
      </c>
      <c r="S60" s="66">
        <v>1788.7945999999999</v>
      </c>
      <c r="T60" s="66">
        <v>0</v>
      </c>
      <c r="U60" s="66">
        <v>2546.0369569999998</v>
      </c>
      <c r="V60" s="66">
        <v>1788.7945999999999</v>
      </c>
      <c r="W60" s="66">
        <v>757.24235699999997</v>
      </c>
      <c r="X60" s="66">
        <v>1747.7303188399999</v>
      </c>
      <c r="Y60" s="66">
        <v>0</v>
      </c>
      <c r="Z60" s="66">
        <v>2488.4407312399999</v>
      </c>
      <c r="AA60" s="66">
        <v>1747.7303188399999</v>
      </c>
      <c r="AB60" s="66">
        <v>0</v>
      </c>
      <c r="AC60" s="66">
        <v>740.7104124</v>
      </c>
      <c r="AD60" s="67">
        <v>97.704360178636492</v>
      </c>
      <c r="AE60" s="67">
        <v>97.816822520930373</v>
      </c>
      <c r="AF60" s="67">
        <v>29.766045986190758</v>
      </c>
      <c r="AG60" s="210">
        <v>0</v>
      </c>
      <c r="AH60" s="67">
        <v>0</v>
      </c>
      <c r="AI60" s="66">
        <v>0</v>
      </c>
      <c r="AJ60" s="66">
        <v>0</v>
      </c>
      <c r="AK60" s="66">
        <v>0</v>
      </c>
      <c r="AL60" s="66">
        <v>0</v>
      </c>
      <c r="AM60" s="66">
        <v>0</v>
      </c>
      <c r="AN60" s="66">
        <v>0</v>
      </c>
      <c r="AO60" s="66">
        <v>0</v>
      </c>
      <c r="AP60" s="66">
        <v>0</v>
      </c>
      <c r="AQ60" s="66">
        <v>0</v>
      </c>
      <c r="AR60" s="66">
        <v>0</v>
      </c>
      <c r="AS60" s="66">
        <v>0</v>
      </c>
      <c r="AT60" s="67" t="s">
        <v>1094</v>
      </c>
      <c r="AU60" s="67" t="s">
        <v>1094</v>
      </c>
      <c r="AV60" s="67">
        <v>0</v>
      </c>
      <c r="AW60" s="210">
        <v>0</v>
      </c>
      <c r="AX60" s="67">
        <v>0</v>
      </c>
    </row>
    <row r="61" spans="1:50" ht="15.75" x14ac:dyDescent="0.25">
      <c r="A61" s="57">
        <v>50</v>
      </c>
      <c r="B61" s="190" t="s">
        <v>128</v>
      </c>
      <c r="C61" s="61">
        <v>10519.098499999998</v>
      </c>
      <c r="D61" s="61">
        <v>0</v>
      </c>
      <c r="E61" s="61">
        <v>11417.533158149996</v>
      </c>
      <c r="F61" s="61">
        <v>10519.098499999998</v>
      </c>
      <c r="G61" s="61">
        <v>898.43465815000013</v>
      </c>
      <c r="H61" s="61">
        <v>10454.698265999999</v>
      </c>
      <c r="I61" s="61">
        <v>308.85602502</v>
      </c>
      <c r="J61" s="61">
        <v>11302.639216939999</v>
      </c>
      <c r="K61" s="61">
        <v>10414.106363809999</v>
      </c>
      <c r="L61" s="61">
        <v>0</v>
      </c>
      <c r="M61" s="61">
        <v>888.53285313000015</v>
      </c>
      <c r="N61" s="61">
        <v>99.001890359806026</v>
      </c>
      <c r="O61" s="61">
        <v>98.897882563837285</v>
      </c>
      <c r="P61" s="61">
        <v>7.8612865196855815</v>
      </c>
      <c r="Q61" s="61">
        <v>308.85602502</v>
      </c>
      <c r="R61" s="61">
        <v>40.591902189999928</v>
      </c>
      <c r="S61" s="61">
        <v>10308.952600000001</v>
      </c>
      <c r="T61" s="61">
        <v>0</v>
      </c>
      <c r="U61" s="61">
        <v>11196.326947539997</v>
      </c>
      <c r="V61" s="61">
        <v>10308.952600000001</v>
      </c>
      <c r="W61" s="61">
        <v>887.37434754000003</v>
      </c>
      <c r="X61" s="61">
        <v>10244.552366</v>
      </c>
      <c r="Y61" s="61">
        <v>308.85602502</v>
      </c>
      <c r="Z61" s="61">
        <v>11124.161322099999</v>
      </c>
      <c r="AA61" s="61">
        <v>10244.552363790001</v>
      </c>
      <c r="AB61" s="61">
        <v>0</v>
      </c>
      <c r="AC61" s="61">
        <v>879.60895831000005</v>
      </c>
      <c r="AD61" s="61">
        <v>99.375297969553174</v>
      </c>
      <c r="AE61" s="61">
        <v>99.124902669146636</v>
      </c>
      <c r="AF61" s="61">
        <v>7.9071934759028562</v>
      </c>
      <c r="AG61" s="61">
        <v>308.85602502</v>
      </c>
      <c r="AH61" s="61">
        <v>2.2100000478531001E-6</v>
      </c>
      <c r="AI61" s="61">
        <v>210.14590000000001</v>
      </c>
      <c r="AJ61" s="61">
        <v>0</v>
      </c>
      <c r="AK61" s="61">
        <v>221.20621060999997</v>
      </c>
      <c r="AL61" s="61">
        <v>210.14590000000001</v>
      </c>
      <c r="AM61" s="61">
        <v>11.06031061</v>
      </c>
      <c r="AN61" s="61">
        <v>210.14590000000001</v>
      </c>
      <c r="AO61" s="61">
        <v>0</v>
      </c>
      <c r="AP61" s="61">
        <v>178.47789483999998</v>
      </c>
      <c r="AQ61" s="61">
        <v>169.55400001999996</v>
      </c>
      <c r="AR61" s="61">
        <v>0</v>
      </c>
      <c r="AS61" s="61">
        <v>8.9238948199999992</v>
      </c>
      <c r="AT61" s="61">
        <v>80.683943878990718</v>
      </c>
      <c r="AU61" s="61">
        <v>80.683944010863542</v>
      </c>
      <c r="AV61" s="61">
        <v>5.000000043702892</v>
      </c>
      <c r="AW61" s="61">
        <v>0</v>
      </c>
      <c r="AX61" s="61">
        <v>40.591899980000008</v>
      </c>
    </row>
    <row r="62" spans="1:50" ht="15.75" x14ac:dyDescent="0.25">
      <c r="A62" s="11">
        <v>51</v>
      </c>
      <c r="B62" s="189" t="s">
        <v>131</v>
      </c>
      <c r="C62" s="66">
        <v>1334.4050999999999</v>
      </c>
      <c r="D62" s="66">
        <v>0</v>
      </c>
      <c r="E62" s="66">
        <v>1670.0772352499998</v>
      </c>
      <c r="F62" s="66">
        <v>1334.4050999999999</v>
      </c>
      <c r="G62" s="66">
        <v>335.67213525</v>
      </c>
      <c r="H62" s="66">
        <v>1334.4050999999999</v>
      </c>
      <c r="I62" s="66">
        <v>0</v>
      </c>
      <c r="J62" s="66">
        <v>1670.0772352499998</v>
      </c>
      <c r="K62" s="66">
        <v>1334.4050999999999</v>
      </c>
      <c r="L62" s="66">
        <v>0</v>
      </c>
      <c r="M62" s="66">
        <v>335.67213525</v>
      </c>
      <c r="N62" s="67">
        <v>100</v>
      </c>
      <c r="O62" s="67">
        <v>100</v>
      </c>
      <c r="P62" s="67">
        <v>20.099198298439894</v>
      </c>
      <c r="Q62" s="66">
        <v>0</v>
      </c>
      <c r="R62" s="67">
        <v>0</v>
      </c>
      <c r="S62" s="66">
        <v>1334.4050999999999</v>
      </c>
      <c r="T62" s="66">
        <v>0</v>
      </c>
      <c r="U62" s="66">
        <v>1670.0772352499998</v>
      </c>
      <c r="V62" s="66">
        <v>1334.4050999999999</v>
      </c>
      <c r="W62" s="66">
        <v>335.67213525</v>
      </c>
      <c r="X62" s="66">
        <v>1334.4050999999999</v>
      </c>
      <c r="Y62" s="66">
        <v>0</v>
      </c>
      <c r="Z62" s="66">
        <v>1670.0772352499998</v>
      </c>
      <c r="AA62" s="66">
        <v>1334.4050999999999</v>
      </c>
      <c r="AB62" s="66">
        <v>0</v>
      </c>
      <c r="AC62" s="66">
        <v>335.67213525</v>
      </c>
      <c r="AD62" s="67">
        <v>100</v>
      </c>
      <c r="AE62" s="67">
        <v>100</v>
      </c>
      <c r="AF62" s="67">
        <v>20.099198298439894</v>
      </c>
      <c r="AG62" s="210">
        <v>0</v>
      </c>
      <c r="AH62" s="67">
        <v>0</v>
      </c>
      <c r="AI62" s="66">
        <v>0</v>
      </c>
      <c r="AJ62" s="66">
        <v>0</v>
      </c>
      <c r="AK62" s="66">
        <v>0</v>
      </c>
      <c r="AL62" s="66">
        <v>0</v>
      </c>
      <c r="AM62" s="66">
        <v>0</v>
      </c>
      <c r="AN62" s="66">
        <v>0</v>
      </c>
      <c r="AO62" s="66">
        <v>0</v>
      </c>
      <c r="AP62" s="66">
        <v>0</v>
      </c>
      <c r="AQ62" s="66">
        <v>0</v>
      </c>
      <c r="AR62" s="66">
        <v>0</v>
      </c>
      <c r="AS62" s="66">
        <v>0</v>
      </c>
      <c r="AT62" s="67" t="s">
        <v>1094</v>
      </c>
      <c r="AU62" s="67" t="s">
        <v>1094</v>
      </c>
      <c r="AV62" s="67">
        <v>0</v>
      </c>
      <c r="AW62" s="210">
        <v>0</v>
      </c>
      <c r="AX62" s="67">
        <v>0</v>
      </c>
    </row>
    <row r="63" spans="1:50" ht="15.75" x14ac:dyDescent="0.25">
      <c r="A63" s="11">
        <v>52</v>
      </c>
      <c r="B63" s="189" t="s">
        <v>134</v>
      </c>
      <c r="C63" s="66">
        <v>1203.8612000000001</v>
      </c>
      <c r="D63" s="66">
        <v>0</v>
      </c>
      <c r="E63" s="66">
        <v>1267.22231573</v>
      </c>
      <c r="F63" s="66">
        <v>1203.8612000000001</v>
      </c>
      <c r="G63" s="66">
        <v>63.361115730000002</v>
      </c>
      <c r="H63" s="66">
        <v>1203.8612000000001</v>
      </c>
      <c r="I63" s="66">
        <v>308.85602502</v>
      </c>
      <c r="J63" s="66">
        <v>1224.4939999600001</v>
      </c>
      <c r="K63" s="66">
        <v>1163.2693000200002</v>
      </c>
      <c r="L63" s="66">
        <v>0</v>
      </c>
      <c r="M63" s="66">
        <v>61.224699940000001</v>
      </c>
      <c r="N63" s="67">
        <v>96.628191025676387</v>
      </c>
      <c r="O63" s="67">
        <v>96.628191020019457</v>
      </c>
      <c r="P63" s="67">
        <v>4.9999999952633489</v>
      </c>
      <c r="Q63" s="66">
        <v>308.85602502</v>
      </c>
      <c r="R63" s="67">
        <v>40.591899979999937</v>
      </c>
      <c r="S63" s="66">
        <v>1085.3693000000001</v>
      </c>
      <c r="T63" s="66">
        <v>0</v>
      </c>
      <c r="U63" s="66">
        <v>1142.4939999600001</v>
      </c>
      <c r="V63" s="66">
        <v>1085.3693000000001</v>
      </c>
      <c r="W63" s="66">
        <v>57.124699960000001</v>
      </c>
      <c r="X63" s="66">
        <v>1085.3693000000001</v>
      </c>
      <c r="Y63" s="66">
        <v>308.85602502</v>
      </c>
      <c r="Z63" s="66">
        <v>1142.4939999600001</v>
      </c>
      <c r="AA63" s="66">
        <v>1085.3693000000001</v>
      </c>
      <c r="AB63" s="66">
        <v>0</v>
      </c>
      <c r="AC63" s="66">
        <v>57.124699960000001</v>
      </c>
      <c r="AD63" s="67">
        <v>100</v>
      </c>
      <c r="AE63" s="67">
        <v>100</v>
      </c>
      <c r="AF63" s="67">
        <v>4.9999999966739423</v>
      </c>
      <c r="AG63" s="210">
        <v>308.85602502</v>
      </c>
      <c r="AH63" s="67">
        <v>5.6843418860808015E-14</v>
      </c>
      <c r="AI63" s="66">
        <v>118.4919</v>
      </c>
      <c r="AJ63" s="66">
        <v>0</v>
      </c>
      <c r="AK63" s="66">
        <v>124.72831576999999</v>
      </c>
      <c r="AL63" s="66">
        <v>118.4919</v>
      </c>
      <c r="AM63" s="66">
        <v>6.2364157699999998</v>
      </c>
      <c r="AN63" s="66">
        <v>118.4919</v>
      </c>
      <c r="AO63" s="66">
        <v>0</v>
      </c>
      <c r="AP63" s="66">
        <v>82</v>
      </c>
      <c r="AQ63" s="66">
        <v>77.900000019999993</v>
      </c>
      <c r="AR63" s="66">
        <v>0</v>
      </c>
      <c r="AS63" s="66">
        <v>4.0999999799999998</v>
      </c>
      <c r="AT63" s="67">
        <v>65.742890459179065</v>
      </c>
      <c r="AU63" s="67">
        <v>65.742890326890432</v>
      </c>
      <c r="AV63" s="67">
        <v>4.9999999756097555</v>
      </c>
      <c r="AW63" s="210">
        <v>0</v>
      </c>
      <c r="AX63" s="67">
        <v>40.591899980000008</v>
      </c>
    </row>
    <row r="64" spans="1:50" ht="15.75" x14ac:dyDescent="0.25">
      <c r="A64" s="11">
        <v>53</v>
      </c>
      <c r="B64" s="189" t="s">
        <v>137</v>
      </c>
      <c r="C64" s="66">
        <v>748.15279999999996</v>
      </c>
      <c r="D64" s="66">
        <v>0</v>
      </c>
      <c r="E64" s="66">
        <v>831.280888</v>
      </c>
      <c r="F64" s="66">
        <v>748.15279999999996</v>
      </c>
      <c r="G64" s="66">
        <v>83.128088000000005</v>
      </c>
      <c r="H64" s="66">
        <v>748.15279999999996</v>
      </c>
      <c r="I64" s="66">
        <v>0</v>
      </c>
      <c r="J64" s="66">
        <v>831.280888</v>
      </c>
      <c r="K64" s="66">
        <v>748.15279999999996</v>
      </c>
      <c r="L64" s="66">
        <v>0</v>
      </c>
      <c r="M64" s="66">
        <v>83.128088000000005</v>
      </c>
      <c r="N64" s="67">
        <v>100</v>
      </c>
      <c r="O64" s="67">
        <v>100</v>
      </c>
      <c r="P64" s="67">
        <v>9.9999999037629745</v>
      </c>
      <c r="Q64" s="66">
        <v>0</v>
      </c>
      <c r="R64" s="67">
        <v>0</v>
      </c>
      <c r="S64" s="66">
        <v>748.15279999999996</v>
      </c>
      <c r="T64" s="66">
        <v>0</v>
      </c>
      <c r="U64" s="66">
        <v>831.280888</v>
      </c>
      <c r="V64" s="66">
        <v>748.15279999999996</v>
      </c>
      <c r="W64" s="66">
        <v>83.128088000000005</v>
      </c>
      <c r="X64" s="66">
        <v>748.15279999999996</v>
      </c>
      <c r="Y64" s="66">
        <v>0</v>
      </c>
      <c r="Z64" s="66">
        <v>831.280888</v>
      </c>
      <c r="AA64" s="66">
        <v>748.15279999999996</v>
      </c>
      <c r="AB64" s="66">
        <v>0</v>
      </c>
      <c r="AC64" s="66">
        <v>83.128088000000005</v>
      </c>
      <c r="AD64" s="67">
        <v>100</v>
      </c>
      <c r="AE64" s="67">
        <v>100</v>
      </c>
      <c r="AF64" s="67">
        <v>9.9999999037629745</v>
      </c>
      <c r="AG64" s="210">
        <v>0</v>
      </c>
      <c r="AH64" s="67">
        <v>0</v>
      </c>
      <c r="AI64" s="66">
        <v>0</v>
      </c>
      <c r="AJ64" s="66">
        <v>0</v>
      </c>
      <c r="AK64" s="66">
        <v>0</v>
      </c>
      <c r="AL64" s="66">
        <v>0</v>
      </c>
      <c r="AM64" s="66">
        <v>0</v>
      </c>
      <c r="AN64" s="66">
        <v>0</v>
      </c>
      <c r="AO64" s="66">
        <v>0</v>
      </c>
      <c r="AP64" s="66">
        <v>0</v>
      </c>
      <c r="AQ64" s="66">
        <v>0</v>
      </c>
      <c r="AR64" s="66">
        <v>0</v>
      </c>
      <c r="AS64" s="66">
        <v>0</v>
      </c>
      <c r="AT64" s="67" t="s">
        <v>1094</v>
      </c>
      <c r="AU64" s="67" t="s">
        <v>1094</v>
      </c>
      <c r="AV64" s="67">
        <v>0</v>
      </c>
      <c r="AW64" s="210">
        <v>0</v>
      </c>
      <c r="AX64" s="67">
        <v>0</v>
      </c>
    </row>
    <row r="65" spans="1:50" ht="15.75" x14ac:dyDescent="0.25">
      <c r="A65" s="11">
        <v>54</v>
      </c>
      <c r="B65" s="189" t="s">
        <v>140</v>
      </c>
      <c r="C65" s="66">
        <v>4006.0488</v>
      </c>
      <c r="D65" s="66">
        <v>0</v>
      </c>
      <c r="E65" s="66">
        <v>4216.9352435399996</v>
      </c>
      <c r="F65" s="66">
        <v>4006.0488</v>
      </c>
      <c r="G65" s="66">
        <v>210.88644353999999</v>
      </c>
      <c r="H65" s="66">
        <v>4006.0488</v>
      </c>
      <c r="I65" s="66">
        <v>0</v>
      </c>
      <c r="J65" s="66">
        <v>4216.9352435399996</v>
      </c>
      <c r="K65" s="66">
        <v>4006.0488</v>
      </c>
      <c r="L65" s="66">
        <v>0</v>
      </c>
      <c r="M65" s="66">
        <v>210.88644353999999</v>
      </c>
      <c r="N65" s="67">
        <v>100</v>
      </c>
      <c r="O65" s="67">
        <v>100</v>
      </c>
      <c r="P65" s="67">
        <v>5.0009410000559242</v>
      </c>
      <c r="Q65" s="66">
        <v>0</v>
      </c>
      <c r="R65" s="67">
        <v>0</v>
      </c>
      <c r="S65" s="66">
        <v>4006.0488</v>
      </c>
      <c r="T65" s="66">
        <v>0</v>
      </c>
      <c r="U65" s="66">
        <v>4216.9352435399996</v>
      </c>
      <c r="V65" s="66">
        <v>4006.0488</v>
      </c>
      <c r="W65" s="66">
        <v>210.88644353999999</v>
      </c>
      <c r="X65" s="66">
        <v>4006.0488</v>
      </c>
      <c r="Y65" s="66">
        <v>0</v>
      </c>
      <c r="Z65" s="66">
        <v>4216.9352435399996</v>
      </c>
      <c r="AA65" s="66">
        <v>4006.0488</v>
      </c>
      <c r="AB65" s="66">
        <v>0</v>
      </c>
      <c r="AC65" s="66">
        <v>210.88644353999999</v>
      </c>
      <c r="AD65" s="67">
        <v>100</v>
      </c>
      <c r="AE65" s="67">
        <v>100</v>
      </c>
      <c r="AF65" s="67">
        <v>5.0009410000559242</v>
      </c>
      <c r="AG65" s="210">
        <v>0</v>
      </c>
      <c r="AH65" s="67">
        <v>0</v>
      </c>
      <c r="AI65" s="66">
        <v>0</v>
      </c>
      <c r="AJ65" s="66">
        <v>0</v>
      </c>
      <c r="AK65" s="66">
        <v>0</v>
      </c>
      <c r="AL65" s="66">
        <v>0</v>
      </c>
      <c r="AM65" s="66">
        <v>0</v>
      </c>
      <c r="AN65" s="66">
        <v>0</v>
      </c>
      <c r="AO65" s="66">
        <v>0</v>
      </c>
      <c r="AP65" s="66">
        <v>0</v>
      </c>
      <c r="AQ65" s="66">
        <v>0</v>
      </c>
      <c r="AR65" s="66">
        <v>0</v>
      </c>
      <c r="AS65" s="66">
        <v>0</v>
      </c>
      <c r="AT65" s="67" t="s">
        <v>1094</v>
      </c>
      <c r="AU65" s="67" t="s">
        <v>1094</v>
      </c>
      <c r="AV65" s="67">
        <v>0</v>
      </c>
      <c r="AW65" s="210">
        <v>0</v>
      </c>
      <c r="AX65" s="67">
        <v>0</v>
      </c>
    </row>
    <row r="66" spans="1:50" ht="15.75" x14ac:dyDescent="0.25">
      <c r="A66" s="11">
        <v>55</v>
      </c>
      <c r="B66" s="189" t="s">
        <v>143</v>
      </c>
      <c r="C66" s="66">
        <v>60.764699999999998</v>
      </c>
      <c r="D66" s="66">
        <v>0</v>
      </c>
      <c r="E66" s="66">
        <v>75.955875000000006</v>
      </c>
      <c r="F66" s="66">
        <v>60.764699999999998</v>
      </c>
      <c r="G66" s="66">
        <v>15.191174999999999</v>
      </c>
      <c r="H66" s="66">
        <v>53.874105</v>
      </c>
      <c r="I66" s="66">
        <v>0</v>
      </c>
      <c r="J66" s="66">
        <v>67.342631249999997</v>
      </c>
      <c r="K66" s="66">
        <v>53.874105</v>
      </c>
      <c r="L66" s="66">
        <v>0</v>
      </c>
      <c r="M66" s="66">
        <v>13.46852625</v>
      </c>
      <c r="N66" s="67">
        <v>88.660200741548962</v>
      </c>
      <c r="O66" s="67">
        <v>88.660200741548962</v>
      </c>
      <c r="P66" s="67">
        <v>20</v>
      </c>
      <c r="Q66" s="66">
        <v>0</v>
      </c>
      <c r="R66" s="67">
        <v>0</v>
      </c>
      <c r="S66" s="66">
        <v>60.764699999999998</v>
      </c>
      <c r="T66" s="66">
        <v>0</v>
      </c>
      <c r="U66" s="66">
        <v>75.955875000000006</v>
      </c>
      <c r="V66" s="66">
        <v>60.764699999999998</v>
      </c>
      <c r="W66" s="66">
        <v>15.191174999999999</v>
      </c>
      <c r="X66" s="66">
        <v>53.874105</v>
      </c>
      <c r="Y66" s="66">
        <v>0</v>
      </c>
      <c r="Z66" s="66">
        <v>67.342631249999997</v>
      </c>
      <c r="AA66" s="66">
        <v>53.874105</v>
      </c>
      <c r="AB66" s="66">
        <v>0</v>
      </c>
      <c r="AC66" s="66">
        <v>13.46852625</v>
      </c>
      <c r="AD66" s="67">
        <v>88.660200741548962</v>
      </c>
      <c r="AE66" s="67">
        <v>88.660200741548962</v>
      </c>
      <c r="AF66" s="67">
        <v>20</v>
      </c>
      <c r="AG66" s="210">
        <v>0</v>
      </c>
      <c r="AH66" s="67">
        <v>0</v>
      </c>
      <c r="AI66" s="66">
        <v>0</v>
      </c>
      <c r="AJ66" s="66">
        <v>0</v>
      </c>
      <c r="AK66" s="66">
        <v>0</v>
      </c>
      <c r="AL66" s="66">
        <v>0</v>
      </c>
      <c r="AM66" s="66">
        <v>0</v>
      </c>
      <c r="AN66" s="66">
        <v>0</v>
      </c>
      <c r="AO66" s="66">
        <v>0</v>
      </c>
      <c r="AP66" s="66">
        <v>0</v>
      </c>
      <c r="AQ66" s="66">
        <v>0</v>
      </c>
      <c r="AR66" s="66">
        <v>0</v>
      </c>
      <c r="AS66" s="66">
        <v>0</v>
      </c>
      <c r="AT66" s="67" t="s">
        <v>1094</v>
      </c>
      <c r="AU66" s="67" t="s">
        <v>1094</v>
      </c>
      <c r="AV66" s="67">
        <v>0</v>
      </c>
      <c r="AW66" s="210">
        <v>0</v>
      </c>
      <c r="AX66" s="67">
        <v>0</v>
      </c>
    </row>
    <row r="67" spans="1:50" ht="15.75" x14ac:dyDescent="0.25">
      <c r="A67" s="11">
        <v>56</v>
      </c>
      <c r="B67" s="189" t="s">
        <v>146</v>
      </c>
      <c r="C67" s="66">
        <v>487.19450000000001</v>
      </c>
      <c r="D67" s="66">
        <v>0</v>
      </c>
      <c r="E67" s="66">
        <v>512.83631579999997</v>
      </c>
      <c r="F67" s="66">
        <v>487.19450000000001</v>
      </c>
      <c r="G67" s="66">
        <v>25.641815800000003</v>
      </c>
      <c r="H67" s="66">
        <v>487.19449991000005</v>
      </c>
      <c r="I67" s="66">
        <v>0</v>
      </c>
      <c r="J67" s="66">
        <v>512.83631571000001</v>
      </c>
      <c r="K67" s="66">
        <v>487.19449991000005</v>
      </c>
      <c r="L67" s="66">
        <v>0</v>
      </c>
      <c r="M67" s="66">
        <v>25.641815800000003</v>
      </c>
      <c r="N67" s="67">
        <v>99.999999981526898</v>
      </c>
      <c r="O67" s="67">
        <v>100</v>
      </c>
      <c r="P67" s="67">
        <v>5.0000000028274139</v>
      </c>
      <c r="Q67" s="66">
        <v>0</v>
      </c>
      <c r="R67" s="67">
        <v>0</v>
      </c>
      <c r="S67" s="66">
        <v>426.09449999999998</v>
      </c>
      <c r="T67" s="66">
        <v>0</v>
      </c>
      <c r="U67" s="66">
        <v>448.52052631999999</v>
      </c>
      <c r="V67" s="66">
        <v>426.09449999999998</v>
      </c>
      <c r="W67" s="66">
        <v>22.426026320000002</v>
      </c>
      <c r="X67" s="66">
        <v>426.09449991000002</v>
      </c>
      <c r="Y67" s="66">
        <v>0</v>
      </c>
      <c r="Z67" s="66">
        <v>448.52052623000003</v>
      </c>
      <c r="AA67" s="66">
        <v>426.09449991000002</v>
      </c>
      <c r="AB67" s="66">
        <v>0</v>
      </c>
      <c r="AC67" s="66">
        <v>22.426026320000002</v>
      </c>
      <c r="AD67" s="67">
        <v>99.999999978877938</v>
      </c>
      <c r="AE67" s="67">
        <v>100</v>
      </c>
      <c r="AF67" s="67">
        <v>5.0000000018951196</v>
      </c>
      <c r="AG67" s="210">
        <v>0</v>
      </c>
      <c r="AH67" s="67">
        <v>0</v>
      </c>
      <c r="AI67" s="66">
        <v>61.1</v>
      </c>
      <c r="AJ67" s="66">
        <v>0</v>
      </c>
      <c r="AK67" s="66">
        <v>64.315789479999992</v>
      </c>
      <c r="AL67" s="66">
        <v>61.1</v>
      </c>
      <c r="AM67" s="66">
        <v>3.2157894800000002</v>
      </c>
      <c r="AN67" s="66">
        <v>61.1</v>
      </c>
      <c r="AO67" s="66">
        <v>0</v>
      </c>
      <c r="AP67" s="66">
        <v>64.315789479999992</v>
      </c>
      <c r="AQ67" s="66">
        <v>61.1</v>
      </c>
      <c r="AR67" s="66">
        <v>0</v>
      </c>
      <c r="AS67" s="66">
        <v>3.2157894800000002</v>
      </c>
      <c r="AT67" s="67">
        <v>100</v>
      </c>
      <c r="AU67" s="67">
        <v>100</v>
      </c>
      <c r="AV67" s="67">
        <v>5.0000000093289696</v>
      </c>
      <c r="AW67" s="210">
        <v>0</v>
      </c>
      <c r="AX67" s="67">
        <v>0</v>
      </c>
    </row>
    <row r="68" spans="1:50" ht="15.75" x14ac:dyDescent="0.25">
      <c r="A68" s="11">
        <v>57</v>
      </c>
      <c r="B68" s="189" t="s">
        <v>149</v>
      </c>
      <c r="C68" s="66">
        <v>162.63319999999999</v>
      </c>
      <c r="D68" s="66">
        <v>0</v>
      </c>
      <c r="E68" s="66">
        <v>171.19284210000001</v>
      </c>
      <c r="F68" s="66">
        <v>162.63319999999999</v>
      </c>
      <c r="G68" s="66">
        <v>8.5596420999999996</v>
      </c>
      <c r="H68" s="66">
        <v>112.25116265000001</v>
      </c>
      <c r="I68" s="66">
        <v>0</v>
      </c>
      <c r="J68" s="66">
        <v>118.15911840999999</v>
      </c>
      <c r="K68" s="66">
        <v>112.25116265000001</v>
      </c>
      <c r="L68" s="66">
        <v>0</v>
      </c>
      <c r="M68" s="66">
        <v>5.9079557600000001</v>
      </c>
      <c r="N68" s="67">
        <v>69.021062519829911</v>
      </c>
      <c r="O68" s="67">
        <v>69.021060588502877</v>
      </c>
      <c r="P68" s="67">
        <v>4.9999998641662176</v>
      </c>
      <c r="Q68" s="66">
        <v>0</v>
      </c>
      <c r="R68" s="67">
        <v>0</v>
      </c>
      <c r="S68" s="66">
        <v>162.63319999999999</v>
      </c>
      <c r="T68" s="66">
        <v>0</v>
      </c>
      <c r="U68" s="66">
        <v>171.19284210000001</v>
      </c>
      <c r="V68" s="66">
        <v>162.63319999999999</v>
      </c>
      <c r="W68" s="66">
        <v>8.5596420999999996</v>
      </c>
      <c r="X68" s="66">
        <v>112.25116265000001</v>
      </c>
      <c r="Y68" s="66">
        <v>0</v>
      </c>
      <c r="Z68" s="66">
        <v>118.15911840999999</v>
      </c>
      <c r="AA68" s="66">
        <v>112.25116265000001</v>
      </c>
      <c r="AB68" s="66">
        <v>0</v>
      </c>
      <c r="AC68" s="66">
        <v>5.9079557600000001</v>
      </c>
      <c r="AD68" s="67">
        <v>69.021062519829911</v>
      </c>
      <c r="AE68" s="67">
        <v>69.021060588502877</v>
      </c>
      <c r="AF68" s="67">
        <v>4.9999998641662176</v>
      </c>
      <c r="AG68" s="210">
        <v>0</v>
      </c>
      <c r="AH68" s="67">
        <v>0</v>
      </c>
      <c r="AI68" s="66">
        <v>0</v>
      </c>
      <c r="AJ68" s="66">
        <v>0</v>
      </c>
      <c r="AK68" s="66">
        <v>0</v>
      </c>
      <c r="AL68" s="66">
        <v>0</v>
      </c>
      <c r="AM68" s="66">
        <v>0</v>
      </c>
      <c r="AN68" s="66">
        <v>0</v>
      </c>
      <c r="AO68" s="66">
        <v>0</v>
      </c>
      <c r="AP68" s="66">
        <v>0</v>
      </c>
      <c r="AQ68" s="66">
        <v>0</v>
      </c>
      <c r="AR68" s="66">
        <v>0</v>
      </c>
      <c r="AS68" s="66">
        <v>0</v>
      </c>
      <c r="AT68" s="67" t="s">
        <v>1094</v>
      </c>
      <c r="AU68" s="67" t="s">
        <v>1094</v>
      </c>
      <c r="AV68" s="67">
        <v>0</v>
      </c>
      <c r="AW68" s="210">
        <v>0</v>
      </c>
      <c r="AX68" s="67">
        <v>0</v>
      </c>
    </row>
    <row r="69" spans="1:50" ht="15.75" x14ac:dyDescent="0.25">
      <c r="A69" s="11">
        <v>58</v>
      </c>
      <c r="B69" s="189" t="s">
        <v>152</v>
      </c>
      <c r="C69" s="66">
        <v>397.90930000000003</v>
      </c>
      <c r="D69" s="66">
        <v>0</v>
      </c>
      <c r="E69" s="66">
        <v>418.85189473000003</v>
      </c>
      <c r="F69" s="66">
        <v>397.90930000000003</v>
      </c>
      <c r="G69" s="66">
        <v>20.942594730000003</v>
      </c>
      <c r="H69" s="66">
        <v>397.90929996</v>
      </c>
      <c r="I69" s="66">
        <v>0</v>
      </c>
      <c r="J69" s="66">
        <v>418.85189236000002</v>
      </c>
      <c r="K69" s="66">
        <v>397.90929775000001</v>
      </c>
      <c r="L69" s="66">
        <v>0</v>
      </c>
      <c r="M69" s="66">
        <v>20.94259461</v>
      </c>
      <c r="N69" s="67">
        <v>99.999999434544492</v>
      </c>
      <c r="O69" s="67">
        <v>99.999999427005079</v>
      </c>
      <c r="P69" s="67">
        <v>4.9999999980900167</v>
      </c>
      <c r="Q69" s="66">
        <v>0</v>
      </c>
      <c r="R69" s="67">
        <v>2.2099999910096813E-6</v>
      </c>
      <c r="S69" s="66">
        <v>375.81900000000002</v>
      </c>
      <c r="T69" s="66">
        <v>0</v>
      </c>
      <c r="U69" s="66">
        <v>395.59894737000002</v>
      </c>
      <c r="V69" s="66">
        <v>375.81900000000002</v>
      </c>
      <c r="W69" s="66">
        <v>19.779947370000002</v>
      </c>
      <c r="X69" s="66">
        <v>375.81899995999999</v>
      </c>
      <c r="Y69" s="66">
        <v>0</v>
      </c>
      <c r="Z69" s="66">
        <v>395.59894500000001</v>
      </c>
      <c r="AA69" s="66">
        <v>375.81899774999999</v>
      </c>
      <c r="AB69" s="66">
        <v>0</v>
      </c>
      <c r="AC69" s="66">
        <v>19.779947249999999</v>
      </c>
      <c r="AD69" s="67">
        <v>99.999999401307534</v>
      </c>
      <c r="AE69" s="67">
        <v>99.99999939332497</v>
      </c>
      <c r="AF69" s="67">
        <v>5</v>
      </c>
      <c r="AG69" s="210">
        <v>0</v>
      </c>
      <c r="AH69" s="67">
        <v>2.2099999910096813E-6</v>
      </c>
      <c r="AI69" s="66">
        <v>22.090299999999999</v>
      </c>
      <c r="AJ69" s="66">
        <v>0</v>
      </c>
      <c r="AK69" s="66">
        <v>23.25294736</v>
      </c>
      <c r="AL69" s="66">
        <v>22.090299999999999</v>
      </c>
      <c r="AM69" s="66">
        <v>1.16264736</v>
      </c>
      <c r="AN69" s="66">
        <v>22.090299999999999</v>
      </c>
      <c r="AO69" s="66">
        <v>0</v>
      </c>
      <c r="AP69" s="66">
        <v>23.25294736</v>
      </c>
      <c r="AQ69" s="66">
        <v>22.090299999999999</v>
      </c>
      <c r="AR69" s="66">
        <v>0</v>
      </c>
      <c r="AS69" s="66">
        <v>1.16264736</v>
      </c>
      <c r="AT69" s="67">
        <v>100</v>
      </c>
      <c r="AU69" s="67">
        <v>100</v>
      </c>
      <c r="AV69" s="67">
        <v>4.9999999655957588</v>
      </c>
      <c r="AW69" s="210">
        <v>0</v>
      </c>
      <c r="AX69" s="67">
        <v>0</v>
      </c>
    </row>
    <row r="70" spans="1:50" ht="15.75" x14ac:dyDescent="0.25">
      <c r="A70" s="11">
        <v>59</v>
      </c>
      <c r="B70" s="189" t="s">
        <v>155</v>
      </c>
      <c r="C70" s="66">
        <v>378.77449999999999</v>
      </c>
      <c r="D70" s="66">
        <v>0</v>
      </c>
      <c r="E70" s="66">
        <v>398.71</v>
      </c>
      <c r="F70" s="66">
        <v>378.77449999999999</v>
      </c>
      <c r="G70" s="66">
        <v>19.935499999999998</v>
      </c>
      <c r="H70" s="66">
        <v>378.77449999999999</v>
      </c>
      <c r="I70" s="66">
        <v>0</v>
      </c>
      <c r="J70" s="66">
        <v>398.71</v>
      </c>
      <c r="K70" s="66">
        <v>378.77449999999999</v>
      </c>
      <c r="L70" s="66">
        <v>0</v>
      </c>
      <c r="M70" s="66">
        <v>19.935499999999998</v>
      </c>
      <c r="N70" s="67">
        <v>100</v>
      </c>
      <c r="O70" s="67">
        <v>100</v>
      </c>
      <c r="P70" s="67">
        <v>5</v>
      </c>
      <c r="Q70" s="66">
        <v>0</v>
      </c>
      <c r="R70" s="67">
        <v>0</v>
      </c>
      <c r="S70" s="66">
        <v>370.31079999999997</v>
      </c>
      <c r="T70" s="66">
        <v>0</v>
      </c>
      <c r="U70" s="66">
        <v>389.80084199999999</v>
      </c>
      <c r="V70" s="66">
        <v>370.31079999999997</v>
      </c>
      <c r="W70" s="66">
        <v>19.490041999999999</v>
      </c>
      <c r="X70" s="66">
        <v>370.31079999999997</v>
      </c>
      <c r="Y70" s="66">
        <v>0</v>
      </c>
      <c r="Z70" s="66">
        <v>389.80084199999999</v>
      </c>
      <c r="AA70" s="66">
        <v>370.31079999999997</v>
      </c>
      <c r="AB70" s="66">
        <v>0</v>
      </c>
      <c r="AC70" s="66">
        <v>19.490041999999999</v>
      </c>
      <c r="AD70" s="67">
        <v>100</v>
      </c>
      <c r="AE70" s="67">
        <v>100</v>
      </c>
      <c r="AF70" s="67">
        <v>4.9999999743458732</v>
      </c>
      <c r="AG70" s="210">
        <v>0</v>
      </c>
      <c r="AH70" s="67">
        <v>0</v>
      </c>
      <c r="AI70" s="66">
        <v>8.4636999999999993</v>
      </c>
      <c r="AJ70" s="66">
        <v>0</v>
      </c>
      <c r="AK70" s="66">
        <v>8.9091579999999997</v>
      </c>
      <c r="AL70" s="66">
        <v>8.4636999999999993</v>
      </c>
      <c r="AM70" s="66">
        <v>0.44545800000000002</v>
      </c>
      <c r="AN70" s="66">
        <v>8.4636999999999993</v>
      </c>
      <c r="AO70" s="66">
        <v>0</v>
      </c>
      <c r="AP70" s="66">
        <v>8.9091579999999997</v>
      </c>
      <c r="AQ70" s="66">
        <v>8.4636999999999993</v>
      </c>
      <c r="AR70" s="66">
        <v>0</v>
      </c>
      <c r="AS70" s="66">
        <v>0.44545800000000002</v>
      </c>
      <c r="AT70" s="67">
        <v>100</v>
      </c>
      <c r="AU70" s="67">
        <v>100</v>
      </c>
      <c r="AV70" s="67">
        <v>5.0000011224405272</v>
      </c>
      <c r="AW70" s="210">
        <v>0</v>
      </c>
      <c r="AX70" s="67">
        <v>0</v>
      </c>
    </row>
    <row r="71" spans="1:50" ht="15.75" x14ac:dyDescent="0.25">
      <c r="A71" s="11">
        <v>60</v>
      </c>
      <c r="B71" s="189" t="s">
        <v>158</v>
      </c>
      <c r="C71" s="66">
        <v>372.0147</v>
      </c>
      <c r="D71" s="66">
        <v>0</v>
      </c>
      <c r="E71" s="66">
        <v>391.59449999999998</v>
      </c>
      <c r="F71" s="66">
        <v>372.0147</v>
      </c>
      <c r="G71" s="66">
        <v>19.579799999999999</v>
      </c>
      <c r="H71" s="66">
        <v>372.0147</v>
      </c>
      <c r="I71" s="66">
        <v>0</v>
      </c>
      <c r="J71" s="66">
        <v>391.59449999999998</v>
      </c>
      <c r="K71" s="66">
        <v>372.0147</v>
      </c>
      <c r="L71" s="66">
        <v>0</v>
      </c>
      <c r="M71" s="66">
        <v>19.579799999999999</v>
      </c>
      <c r="N71" s="67">
        <v>100</v>
      </c>
      <c r="O71" s="67">
        <v>100</v>
      </c>
      <c r="P71" s="67">
        <v>5.0000191524651134</v>
      </c>
      <c r="Q71" s="66">
        <v>0</v>
      </c>
      <c r="R71" s="67">
        <v>0</v>
      </c>
      <c r="S71" s="66">
        <v>372.0147</v>
      </c>
      <c r="T71" s="66">
        <v>0</v>
      </c>
      <c r="U71" s="66">
        <v>391.59449999999998</v>
      </c>
      <c r="V71" s="66">
        <v>372.0147</v>
      </c>
      <c r="W71" s="66">
        <v>19.579799999999999</v>
      </c>
      <c r="X71" s="66">
        <v>372.0147</v>
      </c>
      <c r="Y71" s="66">
        <v>0</v>
      </c>
      <c r="Z71" s="66">
        <v>391.59449999999998</v>
      </c>
      <c r="AA71" s="66">
        <v>372.0147</v>
      </c>
      <c r="AB71" s="66">
        <v>0</v>
      </c>
      <c r="AC71" s="66">
        <v>19.579799999999999</v>
      </c>
      <c r="AD71" s="67">
        <v>100</v>
      </c>
      <c r="AE71" s="67">
        <v>100</v>
      </c>
      <c r="AF71" s="67">
        <v>5.0000191524651134</v>
      </c>
      <c r="AG71" s="210">
        <v>0</v>
      </c>
      <c r="AH71" s="67">
        <v>0</v>
      </c>
      <c r="AI71" s="66">
        <v>0</v>
      </c>
      <c r="AJ71" s="66">
        <v>0</v>
      </c>
      <c r="AK71" s="66">
        <v>0</v>
      </c>
      <c r="AL71" s="66">
        <v>0</v>
      </c>
      <c r="AM71" s="66">
        <v>0</v>
      </c>
      <c r="AN71" s="66">
        <v>0</v>
      </c>
      <c r="AO71" s="66">
        <v>0</v>
      </c>
      <c r="AP71" s="66">
        <v>0</v>
      </c>
      <c r="AQ71" s="66">
        <v>0</v>
      </c>
      <c r="AR71" s="66">
        <v>0</v>
      </c>
      <c r="AS71" s="66">
        <v>0</v>
      </c>
      <c r="AT71" s="67" t="s">
        <v>1094</v>
      </c>
      <c r="AU71" s="67" t="s">
        <v>1094</v>
      </c>
      <c r="AV71" s="67">
        <v>0</v>
      </c>
      <c r="AW71" s="210">
        <v>0</v>
      </c>
      <c r="AX71" s="67">
        <v>0</v>
      </c>
    </row>
    <row r="72" spans="1:50" ht="15.75" x14ac:dyDescent="0.25">
      <c r="A72" s="11">
        <v>61</v>
      </c>
      <c r="B72" s="189" t="s">
        <v>161</v>
      </c>
      <c r="C72" s="66">
        <v>882.26020000000005</v>
      </c>
      <c r="D72" s="66">
        <v>0</v>
      </c>
      <c r="E72" s="66">
        <v>928.69494799999995</v>
      </c>
      <c r="F72" s="66">
        <v>882.26020000000005</v>
      </c>
      <c r="G72" s="66">
        <v>46.434747999999999</v>
      </c>
      <c r="H72" s="66">
        <v>882.26020000000005</v>
      </c>
      <c r="I72" s="66">
        <v>0</v>
      </c>
      <c r="J72" s="66">
        <v>928.69494739999993</v>
      </c>
      <c r="K72" s="66">
        <v>882.26020000000005</v>
      </c>
      <c r="L72" s="66">
        <v>0</v>
      </c>
      <c r="M72" s="66">
        <v>46.434747399999999</v>
      </c>
      <c r="N72" s="67">
        <v>100</v>
      </c>
      <c r="O72" s="67">
        <v>99.999998707864208</v>
      </c>
      <c r="P72" s="67">
        <v>5.0000000032303396</v>
      </c>
      <c r="Q72" s="66">
        <v>0</v>
      </c>
      <c r="R72" s="67">
        <v>0</v>
      </c>
      <c r="S72" s="66">
        <v>882.26020000000005</v>
      </c>
      <c r="T72" s="66">
        <v>0</v>
      </c>
      <c r="U72" s="66">
        <v>928.69494799999995</v>
      </c>
      <c r="V72" s="66">
        <v>882.26020000000005</v>
      </c>
      <c r="W72" s="66">
        <v>46.434747999999999</v>
      </c>
      <c r="X72" s="66">
        <v>882.26020000000005</v>
      </c>
      <c r="Y72" s="66">
        <v>0</v>
      </c>
      <c r="Z72" s="66">
        <v>928.69494739999993</v>
      </c>
      <c r="AA72" s="66">
        <v>882.26020000000005</v>
      </c>
      <c r="AB72" s="66">
        <v>0</v>
      </c>
      <c r="AC72" s="66">
        <v>46.434747399999999</v>
      </c>
      <c r="AD72" s="67">
        <v>100</v>
      </c>
      <c r="AE72" s="67">
        <v>99.999998707864208</v>
      </c>
      <c r="AF72" s="67">
        <v>5.0000000032303396</v>
      </c>
      <c r="AG72" s="210">
        <v>0</v>
      </c>
      <c r="AH72" s="67">
        <v>0</v>
      </c>
      <c r="AI72" s="66">
        <v>0</v>
      </c>
      <c r="AJ72" s="66">
        <v>0</v>
      </c>
      <c r="AK72" s="66">
        <v>0</v>
      </c>
      <c r="AL72" s="66">
        <v>0</v>
      </c>
      <c r="AM72" s="66">
        <v>0</v>
      </c>
      <c r="AN72" s="66">
        <v>0</v>
      </c>
      <c r="AO72" s="66">
        <v>0</v>
      </c>
      <c r="AP72" s="66">
        <v>0</v>
      </c>
      <c r="AQ72" s="66">
        <v>0</v>
      </c>
      <c r="AR72" s="66">
        <v>0</v>
      </c>
      <c r="AS72" s="66">
        <v>0</v>
      </c>
      <c r="AT72" s="67" t="s">
        <v>1094</v>
      </c>
      <c r="AU72" s="67" t="s">
        <v>1094</v>
      </c>
      <c r="AV72" s="67">
        <v>0</v>
      </c>
      <c r="AW72" s="210">
        <v>0</v>
      </c>
      <c r="AX72" s="67">
        <v>0</v>
      </c>
    </row>
    <row r="73" spans="1:50" ht="15.75" x14ac:dyDescent="0.25">
      <c r="A73" s="11">
        <v>62</v>
      </c>
      <c r="B73" s="189" t="s">
        <v>164</v>
      </c>
      <c r="C73" s="66">
        <v>131.5</v>
      </c>
      <c r="D73" s="66">
        <v>0</v>
      </c>
      <c r="E73" s="66">
        <v>138.4211</v>
      </c>
      <c r="F73" s="66">
        <v>131.5</v>
      </c>
      <c r="G73" s="66">
        <v>6.9211</v>
      </c>
      <c r="H73" s="66">
        <v>131.4984364</v>
      </c>
      <c r="I73" s="66">
        <v>0</v>
      </c>
      <c r="J73" s="66">
        <v>138.41940672999999</v>
      </c>
      <c r="K73" s="66">
        <v>131.4984364</v>
      </c>
      <c r="L73" s="66">
        <v>0</v>
      </c>
      <c r="M73" s="66">
        <v>6.9209703300000003</v>
      </c>
      <c r="N73" s="67">
        <v>99.998810950570345</v>
      </c>
      <c r="O73" s="67">
        <v>99.998126453887394</v>
      </c>
      <c r="P73" s="67">
        <v>4.9999999953041279</v>
      </c>
      <c r="Q73" s="66">
        <v>0</v>
      </c>
      <c r="R73" s="67">
        <v>0</v>
      </c>
      <c r="S73" s="66">
        <v>131.5</v>
      </c>
      <c r="T73" s="66">
        <v>0</v>
      </c>
      <c r="U73" s="66">
        <v>138.4211</v>
      </c>
      <c r="V73" s="66">
        <v>131.5</v>
      </c>
      <c r="W73" s="66">
        <v>6.9211</v>
      </c>
      <c r="X73" s="66">
        <v>131.4984364</v>
      </c>
      <c r="Y73" s="66">
        <v>0</v>
      </c>
      <c r="Z73" s="66">
        <v>138.41940672999999</v>
      </c>
      <c r="AA73" s="66">
        <v>131.4984364</v>
      </c>
      <c r="AB73" s="66">
        <v>0</v>
      </c>
      <c r="AC73" s="66">
        <v>6.9209703300000003</v>
      </c>
      <c r="AD73" s="67">
        <v>99.998810950570345</v>
      </c>
      <c r="AE73" s="67">
        <v>99.998126453887394</v>
      </c>
      <c r="AF73" s="67">
        <v>4.9999999953041279</v>
      </c>
      <c r="AG73" s="210">
        <v>0</v>
      </c>
      <c r="AH73" s="67">
        <v>0</v>
      </c>
      <c r="AI73" s="66">
        <v>0</v>
      </c>
      <c r="AJ73" s="66">
        <v>0</v>
      </c>
      <c r="AK73" s="66">
        <v>0</v>
      </c>
      <c r="AL73" s="66">
        <v>0</v>
      </c>
      <c r="AM73" s="66">
        <v>0</v>
      </c>
      <c r="AN73" s="66">
        <v>0</v>
      </c>
      <c r="AO73" s="66">
        <v>0</v>
      </c>
      <c r="AP73" s="66">
        <v>0</v>
      </c>
      <c r="AQ73" s="66">
        <v>0</v>
      </c>
      <c r="AR73" s="66">
        <v>0</v>
      </c>
      <c r="AS73" s="66">
        <v>0</v>
      </c>
      <c r="AT73" s="67" t="s">
        <v>1094</v>
      </c>
      <c r="AU73" s="67" t="s">
        <v>1094</v>
      </c>
      <c r="AV73" s="67">
        <v>0</v>
      </c>
      <c r="AW73" s="210">
        <v>0</v>
      </c>
      <c r="AX73" s="67">
        <v>0</v>
      </c>
    </row>
    <row r="74" spans="1:50" ht="15.75" x14ac:dyDescent="0.25">
      <c r="A74" s="11">
        <v>63</v>
      </c>
      <c r="B74" s="189" t="s">
        <v>167</v>
      </c>
      <c r="C74" s="66">
        <v>297.92869999999999</v>
      </c>
      <c r="D74" s="66">
        <v>0</v>
      </c>
      <c r="E74" s="66">
        <v>313.60919999999999</v>
      </c>
      <c r="F74" s="66">
        <v>297.92869999999999</v>
      </c>
      <c r="G74" s="66">
        <v>15.6805</v>
      </c>
      <c r="H74" s="66">
        <v>297.92869999999999</v>
      </c>
      <c r="I74" s="66">
        <v>0</v>
      </c>
      <c r="J74" s="66">
        <v>313.60919999999999</v>
      </c>
      <c r="K74" s="66">
        <v>297.92869999999999</v>
      </c>
      <c r="L74" s="66">
        <v>0</v>
      </c>
      <c r="M74" s="66">
        <v>15.6805</v>
      </c>
      <c r="N74" s="67">
        <v>100</v>
      </c>
      <c r="O74" s="67">
        <v>100</v>
      </c>
      <c r="P74" s="67">
        <v>5.0000127547278588</v>
      </c>
      <c r="Q74" s="66">
        <v>0</v>
      </c>
      <c r="R74" s="67">
        <v>0</v>
      </c>
      <c r="S74" s="66">
        <v>297.92869999999999</v>
      </c>
      <c r="T74" s="66">
        <v>0</v>
      </c>
      <c r="U74" s="66">
        <v>313.60919999999999</v>
      </c>
      <c r="V74" s="66">
        <v>297.92869999999999</v>
      </c>
      <c r="W74" s="66">
        <v>15.6805</v>
      </c>
      <c r="X74" s="66">
        <v>297.92869999999999</v>
      </c>
      <c r="Y74" s="66">
        <v>0</v>
      </c>
      <c r="Z74" s="66">
        <v>313.60919999999999</v>
      </c>
      <c r="AA74" s="66">
        <v>297.92869999999999</v>
      </c>
      <c r="AB74" s="66">
        <v>0</v>
      </c>
      <c r="AC74" s="66">
        <v>15.6805</v>
      </c>
      <c r="AD74" s="67">
        <v>100</v>
      </c>
      <c r="AE74" s="67">
        <v>100</v>
      </c>
      <c r="AF74" s="67">
        <v>5.0000127547278588</v>
      </c>
      <c r="AG74" s="210">
        <v>0</v>
      </c>
      <c r="AH74" s="67">
        <v>0</v>
      </c>
      <c r="AI74" s="66">
        <v>0</v>
      </c>
      <c r="AJ74" s="66">
        <v>0</v>
      </c>
      <c r="AK74" s="66">
        <v>0</v>
      </c>
      <c r="AL74" s="66">
        <v>0</v>
      </c>
      <c r="AM74" s="66">
        <v>0</v>
      </c>
      <c r="AN74" s="66">
        <v>0</v>
      </c>
      <c r="AO74" s="66">
        <v>0</v>
      </c>
      <c r="AP74" s="66">
        <v>0</v>
      </c>
      <c r="AQ74" s="66">
        <v>0</v>
      </c>
      <c r="AR74" s="66">
        <v>0</v>
      </c>
      <c r="AS74" s="66">
        <v>0</v>
      </c>
      <c r="AT74" s="67" t="s">
        <v>1094</v>
      </c>
      <c r="AU74" s="67" t="s">
        <v>1094</v>
      </c>
      <c r="AV74" s="67">
        <v>0</v>
      </c>
      <c r="AW74" s="210">
        <v>0</v>
      </c>
      <c r="AX74" s="67">
        <v>0</v>
      </c>
    </row>
    <row r="75" spans="1:50" ht="15.75" x14ac:dyDescent="0.25">
      <c r="A75" s="74">
        <v>64</v>
      </c>
      <c r="B75" s="189" t="s">
        <v>170</v>
      </c>
      <c r="C75" s="66">
        <v>55.650799999999997</v>
      </c>
      <c r="D75" s="66">
        <v>0</v>
      </c>
      <c r="E75" s="66">
        <v>82.150800000000004</v>
      </c>
      <c r="F75" s="66">
        <v>55.650799999999997</v>
      </c>
      <c r="G75" s="66">
        <v>26.5</v>
      </c>
      <c r="H75" s="66">
        <v>48.524762079999995</v>
      </c>
      <c r="I75" s="66">
        <v>0</v>
      </c>
      <c r="J75" s="66">
        <v>71.633838330000003</v>
      </c>
      <c r="K75" s="66">
        <v>48.524762079999995</v>
      </c>
      <c r="L75" s="66">
        <v>0</v>
      </c>
      <c r="M75" s="66">
        <v>23.109076250000001</v>
      </c>
      <c r="N75" s="67">
        <v>87.195084491148364</v>
      </c>
      <c r="O75" s="67">
        <v>87.204061320754718</v>
      </c>
      <c r="P75" s="67">
        <v>32.260000006619777</v>
      </c>
      <c r="Q75" s="66">
        <v>0</v>
      </c>
      <c r="R75" s="67">
        <v>0</v>
      </c>
      <c r="S75" s="66">
        <v>55.650799999999997</v>
      </c>
      <c r="T75" s="66">
        <v>0</v>
      </c>
      <c r="U75" s="66">
        <v>82.150800000000004</v>
      </c>
      <c r="V75" s="66">
        <v>55.650799999999997</v>
      </c>
      <c r="W75" s="66">
        <v>26.5</v>
      </c>
      <c r="X75" s="66">
        <v>48.524762079999995</v>
      </c>
      <c r="Y75" s="66">
        <v>0</v>
      </c>
      <c r="Z75" s="66">
        <v>71.633838330000003</v>
      </c>
      <c r="AA75" s="66">
        <v>48.524762079999995</v>
      </c>
      <c r="AB75" s="66">
        <v>0</v>
      </c>
      <c r="AC75" s="66">
        <v>23.109076250000001</v>
      </c>
      <c r="AD75" s="67">
        <v>87.195084491148364</v>
      </c>
      <c r="AE75" s="67">
        <v>87.204061320754718</v>
      </c>
      <c r="AF75" s="67">
        <v>32.260000006619777</v>
      </c>
      <c r="AG75" s="210">
        <v>0</v>
      </c>
      <c r="AH75" s="67">
        <v>0</v>
      </c>
      <c r="AI75" s="66">
        <v>0</v>
      </c>
      <c r="AJ75" s="66">
        <v>0</v>
      </c>
      <c r="AK75" s="66">
        <v>0</v>
      </c>
      <c r="AL75" s="66">
        <v>0</v>
      </c>
      <c r="AM75" s="66">
        <v>0</v>
      </c>
      <c r="AN75" s="66">
        <v>0</v>
      </c>
      <c r="AO75" s="66">
        <v>0</v>
      </c>
      <c r="AP75" s="66">
        <v>0</v>
      </c>
      <c r="AQ75" s="66">
        <v>0</v>
      </c>
      <c r="AR75" s="66">
        <v>0</v>
      </c>
      <c r="AS75" s="66">
        <v>0</v>
      </c>
      <c r="AT75" s="67" t="s">
        <v>1094</v>
      </c>
      <c r="AU75" s="67" t="s">
        <v>1094</v>
      </c>
      <c r="AV75" s="67">
        <v>0</v>
      </c>
      <c r="AW75" s="210">
        <v>0</v>
      </c>
      <c r="AX75" s="67">
        <v>0</v>
      </c>
    </row>
    <row r="76" spans="1:50" ht="15.75" x14ac:dyDescent="0.25">
      <c r="A76" s="57">
        <v>65</v>
      </c>
      <c r="B76" s="190" t="s">
        <v>173</v>
      </c>
      <c r="C76" s="61">
        <v>2507.4589999999998</v>
      </c>
      <c r="D76" s="61">
        <v>0</v>
      </c>
      <c r="E76" s="61">
        <v>3096.4541037899999</v>
      </c>
      <c r="F76" s="61">
        <v>2507.4589999999998</v>
      </c>
      <c r="G76" s="61">
        <v>588.99510379000003</v>
      </c>
      <c r="H76" s="61">
        <v>2410.2188736899998</v>
      </c>
      <c r="I76" s="61">
        <v>0</v>
      </c>
      <c r="J76" s="61">
        <v>2968.3407114900001</v>
      </c>
      <c r="K76" s="61">
        <v>2410.2188694500001</v>
      </c>
      <c r="L76" s="61">
        <v>0</v>
      </c>
      <c r="M76" s="61">
        <v>558.12184204000005</v>
      </c>
      <c r="N76" s="61">
        <v>96.121965282383499</v>
      </c>
      <c r="O76" s="61">
        <v>94.758316062164155</v>
      </c>
      <c r="P76" s="61">
        <v>18.802485842666051</v>
      </c>
      <c r="Q76" s="61">
        <v>0</v>
      </c>
      <c r="R76" s="61">
        <v>4.239999952915241E-6</v>
      </c>
      <c r="S76" s="61">
        <v>2507.4589999999998</v>
      </c>
      <c r="T76" s="61">
        <v>0</v>
      </c>
      <c r="U76" s="61">
        <v>3096.4541037899999</v>
      </c>
      <c r="V76" s="61">
        <v>2507.4589999999998</v>
      </c>
      <c r="W76" s="61">
        <v>588.99510379000003</v>
      </c>
      <c r="X76" s="61">
        <v>2410.2188736899998</v>
      </c>
      <c r="Y76" s="61">
        <v>0</v>
      </c>
      <c r="Z76" s="61">
        <v>2968.3407114900001</v>
      </c>
      <c r="AA76" s="61">
        <v>2410.2188694500001</v>
      </c>
      <c r="AB76" s="61">
        <v>0</v>
      </c>
      <c r="AC76" s="61">
        <v>558.12184204000005</v>
      </c>
      <c r="AD76" s="61">
        <v>96.121965282383499</v>
      </c>
      <c r="AE76" s="61">
        <v>94.758316062164155</v>
      </c>
      <c r="AF76" s="61">
        <v>18.802485842666051</v>
      </c>
      <c r="AG76" s="61">
        <v>0</v>
      </c>
      <c r="AH76" s="61">
        <v>4.239999952915241E-6</v>
      </c>
      <c r="AI76" s="61">
        <v>0</v>
      </c>
      <c r="AJ76" s="61">
        <v>0</v>
      </c>
      <c r="AK76" s="61">
        <v>0</v>
      </c>
      <c r="AL76" s="61">
        <v>0</v>
      </c>
      <c r="AM76" s="61">
        <v>0</v>
      </c>
      <c r="AN76" s="61">
        <v>0</v>
      </c>
      <c r="AO76" s="61">
        <v>0</v>
      </c>
      <c r="AP76" s="61">
        <v>0</v>
      </c>
      <c r="AQ76" s="61">
        <v>0</v>
      </c>
      <c r="AR76" s="61">
        <v>0</v>
      </c>
      <c r="AS76" s="61">
        <v>0</v>
      </c>
      <c r="AT76" s="61" t="s">
        <v>1094</v>
      </c>
      <c r="AU76" s="61" t="s">
        <v>1094</v>
      </c>
      <c r="AV76" s="61">
        <v>0</v>
      </c>
      <c r="AW76" s="61">
        <v>0</v>
      </c>
      <c r="AX76" s="61">
        <v>0</v>
      </c>
    </row>
    <row r="77" spans="1:50" ht="15.75" x14ac:dyDescent="0.25">
      <c r="A77" s="11">
        <v>66</v>
      </c>
      <c r="B77" s="189" t="s">
        <v>176</v>
      </c>
      <c r="C77" s="66">
        <v>52</v>
      </c>
      <c r="D77" s="66">
        <v>0</v>
      </c>
      <c r="E77" s="66">
        <v>68.106445489999999</v>
      </c>
      <c r="F77" s="66">
        <v>52</v>
      </c>
      <c r="G77" s="66">
        <v>16.106445489999999</v>
      </c>
      <c r="H77" s="66">
        <v>52</v>
      </c>
      <c r="I77" s="66">
        <v>0</v>
      </c>
      <c r="J77" s="66">
        <v>68.106445489999999</v>
      </c>
      <c r="K77" s="66">
        <v>52</v>
      </c>
      <c r="L77" s="66">
        <v>0</v>
      </c>
      <c r="M77" s="66">
        <v>16.106445489999999</v>
      </c>
      <c r="N77" s="67">
        <v>100</v>
      </c>
      <c r="O77" s="67">
        <v>100</v>
      </c>
      <c r="P77" s="67">
        <v>23.64892980997649</v>
      </c>
      <c r="Q77" s="66">
        <v>0</v>
      </c>
      <c r="R77" s="67">
        <v>0</v>
      </c>
      <c r="S77" s="66">
        <v>52</v>
      </c>
      <c r="T77" s="66">
        <v>0</v>
      </c>
      <c r="U77" s="66">
        <v>68.106445489999999</v>
      </c>
      <c r="V77" s="66">
        <v>52</v>
      </c>
      <c r="W77" s="66">
        <v>16.106445489999999</v>
      </c>
      <c r="X77" s="66">
        <v>52</v>
      </c>
      <c r="Y77" s="66">
        <v>0</v>
      </c>
      <c r="Z77" s="66">
        <v>68.106445489999999</v>
      </c>
      <c r="AA77" s="66">
        <v>52</v>
      </c>
      <c r="AB77" s="66">
        <v>0</v>
      </c>
      <c r="AC77" s="66">
        <v>16.106445489999999</v>
      </c>
      <c r="AD77" s="67">
        <v>100</v>
      </c>
      <c r="AE77" s="67">
        <v>100</v>
      </c>
      <c r="AF77" s="67">
        <v>23.64892980997649</v>
      </c>
      <c r="AG77" s="210">
        <v>0</v>
      </c>
      <c r="AH77" s="67">
        <v>0</v>
      </c>
      <c r="AI77" s="66">
        <v>0</v>
      </c>
      <c r="AJ77" s="66">
        <v>0</v>
      </c>
      <c r="AK77" s="66">
        <v>0</v>
      </c>
      <c r="AL77" s="66">
        <v>0</v>
      </c>
      <c r="AM77" s="66">
        <v>0</v>
      </c>
      <c r="AN77" s="66">
        <v>0</v>
      </c>
      <c r="AO77" s="66">
        <v>0</v>
      </c>
      <c r="AP77" s="66">
        <v>0</v>
      </c>
      <c r="AQ77" s="66">
        <v>0</v>
      </c>
      <c r="AR77" s="66">
        <v>0</v>
      </c>
      <c r="AS77" s="66">
        <v>0</v>
      </c>
      <c r="AT77" s="67" t="s">
        <v>1094</v>
      </c>
      <c r="AU77" s="67" t="s">
        <v>1094</v>
      </c>
      <c r="AV77" s="67">
        <v>0</v>
      </c>
      <c r="AW77" s="210">
        <v>0</v>
      </c>
      <c r="AX77" s="67">
        <v>0</v>
      </c>
    </row>
    <row r="78" spans="1:50" ht="15.75" x14ac:dyDescent="0.25">
      <c r="A78" s="11">
        <v>67</v>
      </c>
      <c r="B78" s="189" t="s">
        <v>179</v>
      </c>
      <c r="C78" s="66">
        <v>273.42860000000002</v>
      </c>
      <c r="D78" s="66">
        <v>0</v>
      </c>
      <c r="E78" s="66">
        <v>344.53809699999999</v>
      </c>
      <c r="F78" s="66">
        <v>273.42860000000002</v>
      </c>
      <c r="G78" s="66">
        <v>71.109497000000005</v>
      </c>
      <c r="H78" s="66">
        <v>264.21973474999999</v>
      </c>
      <c r="I78" s="66">
        <v>0</v>
      </c>
      <c r="J78" s="66">
        <v>333.0741347</v>
      </c>
      <c r="K78" s="66">
        <v>264.21973474999999</v>
      </c>
      <c r="L78" s="66">
        <v>0</v>
      </c>
      <c r="M78" s="66">
        <v>68.854399950000001</v>
      </c>
      <c r="N78" s="67">
        <v>96.632076801768349</v>
      </c>
      <c r="O78" s="67">
        <v>96.828697789832489</v>
      </c>
      <c r="P78" s="67">
        <v>20.672394754404205</v>
      </c>
      <c r="Q78" s="66">
        <v>0</v>
      </c>
      <c r="R78" s="67">
        <v>0</v>
      </c>
      <c r="S78" s="66">
        <v>273.42860000000002</v>
      </c>
      <c r="T78" s="66">
        <v>0</v>
      </c>
      <c r="U78" s="66">
        <v>344.53809699999999</v>
      </c>
      <c r="V78" s="66">
        <v>273.42860000000002</v>
      </c>
      <c r="W78" s="66">
        <v>71.109497000000005</v>
      </c>
      <c r="X78" s="66">
        <v>264.21973474999999</v>
      </c>
      <c r="Y78" s="66">
        <v>0</v>
      </c>
      <c r="Z78" s="66">
        <v>333.0741347</v>
      </c>
      <c r="AA78" s="66">
        <v>264.21973474999999</v>
      </c>
      <c r="AB78" s="66">
        <v>0</v>
      </c>
      <c r="AC78" s="66">
        <v>68.854399950000001</v>
      </c>
      <c r="AD78" s="67">
        <v>96.632076801768349</v>
      </c>
      <c r="AE78" s="67">
        <v>96.828697789832489</v>
      </c>
      <c r="AF78" s="67">
        <v>20.672394754404205</v>
      </c>
      <c r="AG78" s="210">
        <v>0</v>
      </c>
      <c r="AH78" s="67">
        <v>0</v>
      </c>
      <c r="AI78" s="66">
        <v>0</v>
      </c>
      <c r="AJ78" s="66">
        <v>0</v>
      </c>
      <c r="AK78" s="66">
        <v>0</v>
      </c>
      <c r="AL78" s="66">
        <v>0</v>
      </c>
      <c r="AM78" s="66">
        <v>0</v>
      </c>
      <c r="AN78" s="66">
        <v>0</v>
      </c>
      <c r="AO78" s="66">
        <v>0</v>
      </c>
      <c r="AP78" s="66">
        <v>0</v>
      </c>
      <c r="AQ78" s="66">
        <v>0</v>
      </c>
      <c r="AR78" s="66">
        <v>0</v>
      </c>
      <c r="AS78" s="66">
        <v>0</v>
      </c>
      <c r="AT78" s="67" t="s">
        <v>1094</v>
      </c>
      <c r="AU78" s="67" t="s">
        <v>1094</v>
      </c>
      <c r="AV78" s="67">
        <v>0</v>
      </c>
      <c r="AW78" s="210">
        <v>0</v>
      </c>
      <c r="AX78" s="67">
        <v>0</v>
      </c>
    </row>
    <row r="79" spans="1:50" ht="15.75" x14ac:dyDescent="0.25">
      <c r="A79" s="11">
        <v>68</v>
      </c>
      <c r="B79" s="189" t="s">
        <v>182</v>
      </c>
      <c r="C79" s="66">
        <v>845.00160000000005</v>
      </c>
      <c r="D79" s="66">
        <v>0</v>
      </c>
      <c r="E79" s="66">
        <v>1143.446336</v>
      </c>
      <c r="F79" s="66">
        <v>845.00160000000005</v>
      </c>
      <c r="G79" s="66">
        <v>298.44473599999998</v>
      </c>
      <c r="H79" s="66">
        <v>756.97033894000003</v>
      </c>
      <c r="I79" s="66">
        <v>0</v>
      </c>
      <c r="J79" s="66">
        <v>1026.796906</v>
      </c>
      <c r="K79" s="66">
        <v>756.97033470000008</v>
      </c>
      <c r="L79" s="66">
        <v>0</v>
      </c>
      <c r="M79" s="66">
        <v>269.82657130000001</v>
      </c>
      <c r="N79" s="67">
        <v>89.582118507231229</v>
      </c>
      <c r="O79" s="67">
        <v>90.410899825688347</v>
      </c>
      <c r="P79" s="67">
        <v>26.278475297626191</v>
      </c>
      <c r="Q79" s="66">
        <v>0</v>
      </c>
      <c r="R79" s="67">
        <v>4.239999952915241E-6</v>
      </c>
      <c r="S79" s="66">
        <v>845.00160000000005</v>
      </c>
      <c r="T79" s="66">
        <v>0</v>
      </c>
      <c r="U79" s="66">
        <v>1143.446336</v>
      </c>
      <c r="V79" s="66">
        <v>845.00160000000005</v>
      </c>
      <c r="W79" s="66">
        <v>298.44473599999998</v>
      </c>
      <c r="X79" s="66">
        <v>756.97033894000003</v>
      </c>
      <c r="Y79" s="66">
        <v>0</v>
      </c>
      <c r="Z79" s="66">
        <v>1026.796906</v>
      </c>
      <c r="AA79" s="66">
        <v>756.97033470000008</v>
      </c>
      <c r="AB79" s="66">
        <v>0</v>
      </c>
      <c r="AC79" s="66">
        <v>269.82657130000001</v>
      </c>
      <c r="AD79" s="67">
        <v>89.582118507231229</v>
      </c>
      <c r="AE79" s="67">
        <v>90.410899825688347</v>
      </c>
      <c r="AF79" s="67">
        <v>26.278475297626191</v>
      </c>
      <c r="AG79" s="210">
        <v>0</v>
      </c>
      <c r="AH79" s="67">
        <v>4.239999952915241E-6</v>
      </c>
      <c r="AI79" s="66">
        <v>0</v>
      </c>
      <c r="AJ79" s="66">
        <v>0</v>
      </c>
      <c r="AK79" s="66">
        <v>0</v>
      </c>
      <c r="AL79" s="66">
        <v>0</v>
      </c>
      <c r="AM79" s="66">
        <v>0</v>
      </c>
      <c r="AN79" s="66">
        <v>0</v>
      </c>
      <c r="AO79" s="66">
        <v>0</v>
      </c>
      <c r="AP79" s="66">
        <v>0</v>
      </c>
      <c r="AQ79" s="66">
        <v>0</v>
      </c>
      <c r="AR79" s="66">
        <v>0</v>
      </c>
      <c r="AS79" s="66">
        <v>0</v>
      </c>
      <c r="AT79" s="67" t="s">
        <v>1094</v>
      </c>
      <c r="AU79" s="67" t="s">
        <v>1094</v>
      </c>
      <c r="AV79" s="67">
        <v>0</v>
      </c>
      <c r="AW79" s="210">
        <v>0</v>
      </c>
      <c r="AX79" s="67">
        <v>0</v>
      </c>
    </row>
    <row r="80" spans="1:50" ht="31.5" x14ac:dyDescent="0.25">
      <c r="A80" s="11">
        <v>69</v>
      </c>
      <c r="B80" s="194" t="s">
        <v>300</v>
      </c>
      <c r="C80" s="66">
        <v>7.5023999999999997</v>
      </c>
      <c r="D80" s="66">
        <v>0</v>
      </c>
      <c r="E80" s="66">
        <v>10.836825300000001</v>
      </c>
      <c r="F80" s="66">
        <v>7.5023999999999997</v>
      </c>
      <c r="G80" s="66">
        <v>3.3344252999999999</v>
      </c>
      <c r="H80" s="66">
        <v>7.5023999999999997</v>
      </c>
      <c r="I80" s="66">
        <v>0</v>
      </c>
      <c r="J80" s="66">
        <v>10.836825300000001</v>
      </c>
      <c r="K80" s="66">
        <v>7.5023999999999997</v>
      </c>
      <c r="L80" s="66">
        <v>0</v>
      </c>
      <c r="M80" s="66">
        <v>3.3344252999999999</v>
      </c>
      <c r="N80" s="67">
        <v>100</v>
      </c>
      <c r="O80" s="67">
        <v>100</v>
      </c>
      <c r="P80" s="67">
        <v>30.769392397605593</v>
      </c>
      <c r="Q80" s="66">
        <v>0</v>
      </c>
      <c r="R80" s="67">
        <v>0</v>
      </c>
      <c r="S80" s="66">
        <v>7.5023999999999997</v>
      </c>
      <c r="T80" s="66">
        <v>0</v>
      </c>
      <c r="U80" s="66">
        <v>10.836825300000001</v>
      </c>
      <c r="V80" s="66">
        <v>7.5023999999999997</v>
      </c>
      <c r="W80" s="66">
        <v>3.3344252999999999</v>
      </c>
      <c r="X80" s="66">
        <v>7.5023999999999997</v>
      </c>
      <c r="Y80" s="66">
        <v>0</v>
      </c>
      <c r="Z80" s="66">
        <v>10.836825300000001</v>
      </c>
      <c r="AA80" s="66">
        <v>7.5023999999999997</v>
      </c>
      <c r="AB80" s="66">
        <v>0</v>
      </c>
      <c r="AC80" s="66">
        <v>3.3344252999999999</v>
      </c>
      <c r="AD80" s="67">
        <v>100</v>
      </c>
      <c r="AE80" s="67">
        <v>100</v>
      </c>
      <c r="AF80" s="67">
        <v>30.769392397605593</v>
      </c>
      <c r="AG80" s="210">
        <v>0</v>
      </c>
      <c r="AH80" s="67">
        <v>0</v>
      </c>
      <c r="AI80" s="66">
        <v>0</v>
      </c>
      <c r="AJ80" s="66">
        <v>0</v>
      </c>
      <c r="AK80" s="66">
        <v>0</v>
      </c>
      <c r="AL80" s="66">
        <v>0</v>
      </c>
      <c r="AM80" s="66">
        <v>0</v>
      </c>
      <c r="AN80" s="66">
        <v>0</v>
      </c>
      <c r="AO80" s="66">
        <v>0</v>
      </c>
      <c r="AP80" s="66">
        <v>0</v>
      </c>
      <c r="AQ80" s="66">
        <v>0</v>
      </c>
      <c r="AR80" s="66">
        <v>0</v>
      </c>
      <c r="AS80" s="66">
        <v>0</v>
      </c>
      <c r="AT80" s="67" t="s">
        <v>1094</v>
      </c>
      <c r="AU80" s="67" t="s">
        <v>1094</v>
      </c>
      <c r="AV80" s="67">
        <v>0</v>
      </c>
      <c r="AW80" s="210">
        <v>0</v>
      </c>
      <c r="AX80" s="67">
        <v>0</v>
      </c>
    </row>
    <row r="81" spans="1:50" ht="31.5" x14ac:dyDescent="0.25">
      <c r="A81" s="11">
        <v>70</v>
      </c>
      <c r="B81" s="194" t="s">
        <v>301</v>
      </c>
      <c r="C81" s="66">
        <v>0</v>
      </c>
      <c r="D81" s="66">
        <v>0</v>
      </c>
      <c r="E81" s="66">
        <v>0</v>
      </c>
      <c r="F81" s="66">
        <v>0</v>
      </c>
      <c r="G81" s="66">
        <v>0</v>
      </c>
      <c r="H81" s="66">
        <v>0</v>
      </c>
      <c r="I81" s="66">
        <v>0</v>
      </c>
      <c r="J81" s="66">
        <v>0</v>
      </c>
      <c r="K81" s="66">
        <v>0</v>
      </c>
      <c r="L81" s="66">
        <v>0</v>
      </c>
      <c r="M81" s="66">
        <v>0</v>
      </c>
      <c r="N81" s="67" t="s">
        <v>1094</v>
      </c>
      <c r="O81" s="67" t="s">
        <v>1094</v>
      </c>
      <c r="P81" s="67">
        <v>0</v>
      </c>
      <c r="Q81" s="66">
        <v>0</v>
      </c>
      <c r="R81" s="67">
        <v>0</v>
      </c>
      <c r="S81" s="66">
        <v>0</v>
      </c>
      <c r="T81" s="66">
        <v>0</v>
      </c>
      <c r="U81" s="66">
        <v>0</v>
      </c>
      <c r="V81" s="66">
        <v>0</v>
      </c>
      <c r="W81" s="66">
        <v>0</v>
      </c>
      <c r="X81" s="66">
        <v>0</v>
      </c>
      <c r="Y81" s="66">
        <v>0</v>
      </c>
      <c r="Z81" s="66">
        <v>0</v>
      </c>
      <c r="AA81" s="66">
        <v>0</v>
      </c>
      <c r="AB81" s="66">
        <v>0</v>
      </c>
      <c r="AC81" s="66">
        <v>0</v>
      </c>
      <c r="AD81" s="67" t="s">
        <v>1094</v>
      </c>
      <c r="AE81" s="67" t="s">
        <v>1094</v>
      </c>
      <c r="AF81" s="67">
        <v>0</v>
      </c>
      <c r="AG81" s="210">
        <v>0</v>
      </c>
      <c r="AH81" s="67">
        <v>0</v>
      </c>
      <c r="AI81" s="66">
        <v>0</v>
      </c>
      <c r="AJ81" s="66">
        <v>0</v>
      </c>
      <c r="AK81" s="66">
        <v>0</v>
      </c>
      <c r="AL81" s="66">
        <v>0</v>
      </c>
      <c r="AM81" s="66">
        <v>0</v>
      </c>
      <c r="AN81" s="66">
        <v>0</v>
      </c>
      <c r="AO81" s="66">
        <v>0</v>
      </c>
      <c r="AP81" s="66">
        <v>0</v>
      </c>
      <c r="AQ81" s="66">
        <v>0</v>
      </c>
      <c r="AR81" s="66">
        <v>0</v>
      </c>
      <c r="AS81" s="66">
        <v>0</v>
      </c>
      <c r="AT81" s="67" t="s">
        <v>1094</v>
      </c>
      <c r="AU81" s="67" t="s">
        <v>1094</v>
      </c>
      <c r="AV81" s="67">
        <v>0</v>
      </c>
      <c r="AW81" s="210">
        <v>0</v>
      </c>
      <c r="AX81" s="67">
        <v>0</v>
      </c>
    </row>
    <row r="82" spans="1:50" ht="15.75" x14ac:dyDescent="0.25">
      <c r="A82" s="74">
        <v>71</v>
      </c>
      <c r="B82" s="189" t="s">
        <v>189</v>
      </c>
      <c r="C82" s="66">
        <v>1329.5264</v>
      </c>
      <c r="D82" s="66">
        <v>0</v>
      </c>
      <c r="E82" s="66">
        <v>1529.5264</v>
      </c>
      <c r="F82" s="66">
        <v>1329.5264</v>
      </c>
      <c r="G82" s="66">
        <v>200</v>
      </c>
      <c r="H82" s="66">
        <v>1329.5264</v>
      </c>
      <c r="I82" s="66">
        <v>0</v>
      </c>
      <c r="J82" s="66">
        <v>1529.5264</v>
      </c>
      <c r="K82" s="66">
        <v>1329.5264</v>
      </c>
      <c r="L82" s="66">
        <v>0</v>
      </c>
      <c r="M82" s="66">
        <v>200</v>
      </c>
      <c r="N82" s="67">
        <v>100</v>
      </c>
      <c r="O82" s="67">
        <v>100</v>
      </c>
      <c r="P82" s="67">
        <v>13.075942984704286</v>
      </c>
      <c r="Q82" s="66">
        <v>0</v>
      </c>
      <c r="R82" s="67">
        <v>0</v>
      </c>
      <c r="S82" s="66">
        <v>1329.5264</v>
      </c>
      <c r="T82" s="66">
        <v>0</v>
      </c>
      <c r="U82" s="66">
        <v>1529.5264</v>
      </c>
      <c r="V82" s="66">
        <v>1329.5264</v>
      </c>
      <c r="W82" s="66">
        <v>200</v>
      </c>
      <c r="X82" s="66">
        <v>1329.5264</v>
      </c>
      <c r="Y82" s="66">
        <v>0</v>
      </c>
      <c r="Z82" s="66">
        <v>1529.5264</v>
      </c>
      <c r="AA82" s="66">
        <v>1329.5264</v>
      </c>
      <c r="AB82" s="66">
        <v>0</v>
      </c>
      <c r="AC82" s="66">
        <v>200</v>
      </c>
      <c r="AD82" s="67">
        <v>100</v>
      </c>
      <c r="AE82" s="67">
        <v>100</v>
      </c>
      <c r="AF82" s="67">
        <v>13.075942984704286</v>
      </c>
      <c r="AG82" s="210">
        <v>0</v>
      </c>
      <c r="AH82" s="67">
        <v>0</v>
      </c>
      <c r="AI82" s="66">
        <v>0</v>
      </c>
      <c r="AJ82" s="66">
        <v>0</v>
      </c>
      <c r="AK82" s="66">
        <v>0</v>
      </c>
      <c r="AL82" s="66">
        <v>0</v>
      </c>
      <c r="AM82" s="66">
        <v>0</v>
      </c>
      <c r="AN82" s="66">
        <v>0</v>
      </c>
      <c r="AO82" s="66">
        <v>0</v>
      </c>
      <c r="AP82" s="66">
        <v>0</v>
      </c>
      <c r="AQ82" s="66">
        <v>0</v>
      </c>
      <c r="AR82" s="66">
        <v>0</v>
      </c>
      <c r="AS82" s="66">
        <v>0</v>
      </c>
      <c r="AT82" s="67" t="s">
        <v>1094</v>
      </c>
      <c r="AU82" s="67" t="s">
        <v>1094</v>
      </c>
      <c r="AV82" s="67">
        <v>0</v>
      </c>
      <c r="AW82" s="210">
        <v>0</v>
      </c>
      <c r="AX82" s="67">
        <v>0</v>
      </c>
    </row>
    <row r="83" spans="1:50" ht="15.75" x14ac:dyDescent="0.25">
      <c r="A83" s="57">
        <v>72</v>
      </c>
      <c r="B83" s="190" t="s">
        <v>192</v>
      </c>
      <c r="C83" s="61">
        <v>2752.9616000000001</v>
      </c>
      <c r="D83" s="61">
        <v>0</v>
      </c>
      <c r="E83" s="61">
        <v>3084.9504983400002</v>
      </c>
      <c r="F83" s="61">
        <v>2752.9616000000001</v>
      </c>
      <c r="G83" s="61">
        <v>331.98889833999999</v>
      </c>
      <c r="H83" s="61">
        <v>2747.1029609399998</v>
      </c>
      <c r="I83" s="61">
        <v>5.9223105800000004</v>
      </c>
      <c r="J83" s="61">
        <v>3076.8730976800002</v>
      </c>
      <c r="K83" s="61">
        <v>2747.0910613600004</v>
      </c>
      <c r="L83" s="61">
        <v>0</v>
      </c>
      <c r="M83" s="61">
        <v>329.78203631999992</v>
      </c>
      <c r="N83" s="61">
        <v>99.786755520309484</v>
      </c>
      <c r="O83" s="61">
        <v>99.335260296041596</v>
      </c>
      <c r="P83" s="61">
        <v>10.71809027706276</v>
      </c>
      <c r="Q83" s="61">
        <v>5.9223105800000004</v>
      </c>
      <c r="R83" s="61">
        <v>1.1899579999849585E-2</v>
      </c>
      <c r="S83" s="61">
        <v>2317.9139999999998</v>
      </c>
      <c r="T83" s="61">
        <v>0</v>
      </c>
      <c r="U83" s="61">
        <v>2627.0056557600001</v>
      </c>
      <c r="V83" s="61">
        <v>2317.9139999999998</v>
      </c>
      <c r="W83" s="61">
        <v>309.09165575999998</v>
      </c>
      <c r="X83" s="61">
        <v>2312.0553609399999</v>
      </c>
      <c r="Y83" s="61">
        <v>5.9223105800000004</v>
      </c>
      <c r="Z83" s="61">
        <v>2618.9282551000001</v>
      </c>
      <c r="AA83" s="61">
        <v>2312.04346136</v>
      </c>
      <c r="AB83" s="61">
        <v>0</v>
      </c>
      <c r="AC83" s="61">
        <v>306.88479374000002</v>
      </c>
      <c r="AD83" s="61">
        <v>99.746731818350469</v>
      </c>
      <c r="AE83" s="61">
        <v>99.286016953588188</v>
      </c>
      <c r="AF83" s="61">
        <v>11.717953446887458</v>
      </c>
      <c r="AG83" s="61">
        <v>5.9223105800000004</v>
      </c>
      <c r="AH83" s="61">
        <v>1.1899579999963272E-2</v>
      </c>
      <c r="AI83" s="61">
        <v>435.04759999999999</v>
      </c>
      <c r="AJ83" s="61">
        <v>0</v>
      </c>
      <c r="AK83" s="61">
        <v>457.94484258</v>
      </c>
      <c r="AL83" s="61">
        <v>435.04759999999999</v>
      </c>
      <c r="AM83" s="61">
        <v>22.897242579999997</v>
      </c>
      <c r="AN83" s="61">
        <v>435.04759999999999</v>
      </c>
      <c r="AO83" s="61">
        <v>0</v>
      </c>
      <c r="AP83" s="61">
        <v>457.94484258</v>
      </c>
      <c r="AQ83" s="61">
        <v>435.04759999999999</v>
      </c>
      <c r="AR83" s="61">
        <v>0</v>
      </c>
      <c r="AS83" s="61">
        <v>22.897242579999997</v>
      </c>
      <c r="AT83" s="61">
        <v>100</v>
      </c>
      <c r="AU83" s="61">
        <v>100</v>
      </c>
      <c r="AV83" s="61">
        <v>5.0000000984834756</v>
      </c>
      <c r="AW83" s="61">
        <v>0</v>
      </c>
      <c r="AX83" s="61">
        <v>0</v>
      </c>
    </row>
    <row r="84" spans="1:50" ht="15.75" x14ac:dyDescent="0.25">
      <c r="A84" s="11">
        <v>73</v>
      </c>
      <c r="B84" s="189" t="s">
        <v>195</v>
      </c>
      <c r="C84" s="66">
        <v>3.1223000000000001</v>
      </c>
      <c r="D84" s="66">
        <v>0</v>
      </c>
      <c r="E84" s="66">
        <v>3.7017625399999998</v>
      </c>
      <c r="F84" s="66">
        <v>3.1223000000000001</v>
      </c>
      <c r="G84" s="66">
        <v>0.57946254000000008</v>
      </c>
      <c r="H84" s="66">
        <v>3.1223000000000001</v>
      </c>
      <c r="I84" s="66">
        <v>0</v>
      </c>
      <c r="J84" s="66">
        <v>3.7017625399999998</v>
      </c>
      <c r="K84" s="66">
        <v>3.1223000000000001</v>
      </c>
      <c r="L84" s="66">
        <v>0</v>
      </c>
      <c r="M84" s="66">
        <v>0.57946254000000008</v>
      </c>
      <c r="N84" s="67">
        <v>100</v>
      </c>
      <c r="O84" s="67">
        <v>100</v>
      </c>
      <c r="P84" s="67">
        <v>15.653692902732763</v>
      </c>
      <c r="Q84" s="66">
        <v>0</v>
      </c>
      <c r="R84" s="67">
        <v>0</v>
      </c>
      <c r="S84" s="66">
        <v>3.1223000000000001</v>
      </c>
      <c r="T84" s="66">
        <v>0</v>
      </c>
      <c r="U84" s="66">
        <v>3.7017625399999998</v>
      </c>
      <c r="V84" s="66">
        <v>3.1223000000000001</v>
      </c>
      <c r="W84" s="66">
        <v>0.57946254000000008</v>
      </c>
      <c r="X84" s="66">
        <v>3.1223000000000001</v>
      </c>
      <c r="Y84" s="66">
        <v>0</v>
      </c>
      <c r="Z84" s="66">
        <v>3.7017625399999998</v>
      </c>
      <c r="AA84" s="66">
        <v>3.1223000000000001</v>
      </c>
      <c r="AB84" s="66">
        <v>0</v>
      </c>
      <c r="AC84" s="66">
        <v>0.57946254000000008</v>
      </c>
      <c r="AD84" s="67">
        <v>100</v>
      </c>
      <c r="AE84" s="67">
        <v>100</v>
      </c>
      <c r="AF84" s="67">
        <v>15.653692902732763</v>
      </c>
      <c r="AG84" s="210">
        <v>0</v>
      </c>
      <c r="AH84" s="67">
        <v>0</v>
      </c>
      <c r="AI84" s="66">
        <v>0</v>
      </c>
      <c r="AJ84" s="66">
        <v>0</v>
      </c>
      <c r="AK84" s="66">
        <v>0</v>
      </c>
      <c r="AL84" s="66">
        <v>0</v>
      </c>
      <c r="AM84" s="66">
        <v>0</v>
      </c>
      <c r="AN84" s="66">
        <v>0</v>
      </c>
      <c r="AO84" s="66">
        <v>0</v>
      </c>
      <c r="AP84" s="66">
        <v>0</v>
      </c>
      <c r="AQ84" s="66">
        <v>0</v>
      </c>
      <c r="AR84" s="66">
        <v>0</v>
      </c>
      <c r="AS84" s="66">
        <v>0</v>
      </c>
      <c r="AT84" s="67" t="s">
        <v>1094</v>
      </c>
      <c r="AU84" s="67" t="s">
        <v>1094</v>
      </c>
      <c r="AV84" s="67">
        <v>0</v>
      </c>
      <c r="AW84" s="210">
        <v>0</v>
      </c>
      <c r="AX84" s="67">
        <v>0</v>
      </c>
    </row>
    <row r="85" spans="1:50" ht="15.75" x14ac:dyDescent="0.25">
      <c r="A85" s="11">
        <v>74</v>
      </c>
      <c r="B85" s="189" t="s">
        <v>198</v>
      </c>
      <c r="C85" s="66">
        <v>99.016400000000004</v>
      </c>
      <c r="D85" s="66">
        <v>0</v>
      </c>
      <c r="E85" s="66">
        <v>147.15597600000001</v>
      </c>
      <c r="F85" s="66">
        <v>99.016400000000004</v>
      </c>
      <c r="G85" s="66">
        <v>48.139575999999998</v>
      </c>
      <c r="H85" s="66">
        <v>99.016400000000004</v>
      </c>
      <c r="I85" s="66">
        <v>0</v>
      </c>
      <c r="J85" s="66">
        <v>147.15597600000001</v>
      </c>
      <c r="K85" s="66">
        <v>99.016400000000004</v>
      </c>
      <c r="L85" s="66">
        <v>0</v>
      </c>
      <c r="M85" s="66">
        <v>48.139575999999998</v>
      </c>
      <c r="N85" s="67">
        <v>100</v>
      </c>
      <c r="O85" s="67">
        <v>100</v>
      </c>
      <c r="P85" s="67">
        <v>32.713300070124227</v>
      </c>
      <c r="Q85" s="66">
        <v>0</v>
      </c>
      <c r="R85" s="67">
        <v>0</v>
      </c>
      <c r="S85" s="66">
        <v>99.016400000000004</v>
      </c>
      <c r="T85" s="66">
        <v>0</v>
      </c>
      <c r="U85" s="66">
        <v>147.15597600000001</v>
      </c>
      <c r="V85" s="66">
        <v>99.016400000000004</v>
      </c>
      <c r="W85" s="66">
        <v>48.139575999999998</v>
      </c>
      <c r="X85" s="66">
        <v>99.016400000000004</v>
      </c>
      <c r="Y85" s="66">
        <v>0</v>
      </c>
      <c r="Z85" s="66">
        <v>147.15597600000001</v>
      </c>
      <c r="AA85" s="66">
        <v>99.016400000000004</v>
      </c>
      <c r="AB85" s="66">
        <v>0</v>
      </c>
      <c r="AC85" s="66">
        <v>48.139575999999998</v>
      </c>
      <c r="AD85" s="67">
        <v>100</v>
      </c>
      <c r="AE85" s="67">
        <v>100</v>
      </c>
      <c r="AF85" s="67">
        <v>32.713300070124227</v>
      </c>
      <c r="AG85" s="210">
        <v>0</v>
      </c>
      <c r="AH85" s="67">
        <v>0</v>
      </c>
      <c r="AI85" s="66">
        <v>0</v>
      </c>
      <c r="AJ85" s="66">
        <v>0</v>
      </c>
      <c r="AK85" s="66">
        <v>0</v>
      </c>
      <c r="AL85" s="66">
        <v>0</v>
      </c>
      <c r="AM85" s="66">
        <v>0</v>
      </c>
      <c r="AN85" s="66">
        <v>0</v>
      </c>
      <c r="AO85" s="66">
        <v>0</v>
      </c>
      <c r="AP85" s="66">
        <v>0</v>
      </c>
      <c r="AQ85" s="66">
        <v>0</v>
      </c>
      <c r="AR85" s="66">
        <v>0</v>
      </c>
      <c r="AS85" s="66">
        <v>0</v>
      </c>
      <c r="AT85" s="67" t="s">
        <v>1094</v>
      </c>
      <c r="AU85" s="67" t="s">
        <v>1094</v>
      </c>
      <c r="AV85" s="67">
        <v>0</v>
      </c>
      <c r="AW85" s="210">
        <v>0</v>
      </c>
      <c r="AX85" s="67">
        <v>0</v>
      </c>
    </row>
    <row r="86" spans="1:50" ht="15.75" x14ac:dyDescent="0.25">
      <c r="A86" s="11">
        <v>75</v>
      </c>
      <c r="B86" s="189" t="s">
        <v>201</v>
      </c>
      <c r="C86" s="66">
        <v>0.19409999999999999</v>
      </c>
      <c r="D86" s="66">
        <v>0</v>
      </c>
      <c r="E86" s="66">
        <v>0.2427</v>
      </c>
      <c r="F86" s="66">
        <v>0.19409999999999999</v>
      </c>
      <c r="G86" s="66">
        <v>4.8599999999999997E-2</v>
      </c>
      <c r="H86" s="66">
        <v>0.19409999999999999</v>
      </c>
      <c r="I86" s="66">
        <v>0</v>
      </c>
      <c r="J86" s="66">
        <v>0.2427</v>
      </c>
      <c r="K86" s="66">
        <v>0.19409999999999999</v>
      </c>
      <c r="L86" s="66">
        <v>0</v>
      </c>
      <c r="M86" s="66">
        <v>4.8599999999999997E-2</v>
      </c>
      <c r="N86" s="67">
        <v>100</v>
      </c>
      <c r="O86" s="67">
        <v>100</v>
      </c>
      <c r="P86" s="67">
        <v>20.024721878862792</v>
      </c>
      <c r="Q86" s="66">
        <v>0</v>
      </c>
      <c r="R86" s="67">
        <v>0</v>
      </c>
      <c r="S86" s="66">
        <v>0.19409999999999999</v>
      </c>
      <c r="T86" s="66">
        <v>0</v>
      </c>
      <c r="U86" s="66">
        <v>0.2427</v>
      </c>
      <c r="V86" s="66">
        <v>0.19409999999999999</v>
      </c>
      <c r="W86" s="66">
        <v>4.8599999999999997E-2</v>
      </c>
      <c r="X86" s="66">
        <v>0.19409999999999999</v>
      </c>
      <c r="Y86" s="66">
        <v>0</v>
      </c>
      <c r="Z86" s="66">
        <v>0.2427</v>
      </c>
      <c r="AA86" s="66">
        <v>0.19409999999999999</v>
      </c>
      <c r="AB86" s="66">
        <v>0</v>
      </c>
      <c r="AC86" s="66">
        <v>4.8599999999999997E-2</v>
      </c>
      <c r="AD86" s="67">
        <v>100</v>
      </c>
      <c r="AE86" s="67">
        <v>100</v>
      </c>
      <c r="AF86" s="67">
        <v>20.024721878862792</v>
      </c>
      <c r="AG86" s="210">
        <v>0</v>
      </c>
      <c r="AH86" s="67">
        <v>0</v>
      </c>
      <c r="AI86" s="66">
        <v>0</v>
      </c>
      <c r="AJ86" s="66">
        <v>0</v>
      </c>
      <c r="AK86" s="66">
        <v>0</v>
      </c>
      <c r="AL86" s="66">
        <v>0</v>
      </c>
      <c r="AM86" s="66">
        <v>0</v>
      </c>
      <c r="AN86" s="66">
        <v>0</v>
      </c>
      <c r="AO86" s="66">
        <v>0</v>
      </c>
      <c r="AP86" s="66">
        <v>0</v>
      </c>
      <c r="AQ86" s="66">
        <v>0</v>
      </c>
      <c r="AR86" s="66">
        <v>0</v>
      </c>
      <c r="AS86" s="66">
        <v>0</v>
      </c>
      <c r="AT86" s="67" t="s">
        <v>1094</v>
      </c>
      <c r="AU86" s="67" t="s">
        <v>1094</v>
      </c>
      <c r="AV86" s="67">
        <v>0</v>
      </c>
      <c r="AW86" s="210">
        <v>0</v>
      </c>
      <c r="AX86" s="67">
        <v>0</v>
      </c>
    </row>
    <row r="87" spans="1:50" ht="15.75" x14ac:dyDescent="0.25">
      <c r="A87" s="11">
        <v>76</v>
      </c>
      <c r="B87" s="189" t="s">
        <v>204</v>
      </c>
      <c r="C87" s="66">
        <v>30.819600000000001</v>
      </c>
      <c r="D87" s="66">
        <v>0</v>
      </c>
      <c r="E87" s="66">
        <v>38.319600000000001</v>
      </c>
      <c r="F87" s="66">
        <v>30.819600000000001</v>
      </c>
      <c r="G87" s="66">
        <v>7.5</v>
      </c>
      <c r="H87" s="66">
        <v>24.978867280000003</v>
      </c>
      <c r="I87" s="66">
        <v>0</v>
      </c>
      <c r="J87" s="66">
        <v>30.292644879999997</v>
      </c>
      <c r="K87" s="66">
        <v>24.978867280000003</v>
      </c>
      <c r="L87" s="66">
        <v>0</v>
      </c>
      <c r="M87" s="66">
        <v>5.3137775999999999</v>
      </c>
      <c r="N87" s="67">
        <v>81.048642032992007</v>
      </c>
      <c r="O87" s="67">
        <v>70.850368000000003</v>
      </c>
      <c r="P87" s="67">
        <v>17.541477877054888</v>
      </c>
      <c r="Q87" s="66">
        <v>0</v>
      </c>
      <c r="R87" s="67">
        <v>0</v>
      </c>
      <c r="S87" s="66">
        <v>30.819600000000001</v>
      </c>
      <c r="T87" s="66">
        <v>0</v>
      </c>
      <c r="U87" s="66">
        <v>38.319600000000001</v>
      </c>
      <c r="V87" s="66">
        <v>30.819600000000001</v>
      </c>
      <c r="W87" s="66">
        <v>7.5</v>
      </c>
      <c r="X87" s="66">
        <v>24.978867280000003</v>
      </c>
      <c r="Y87" s="66">
        <v>0</v>
      </c>
      <c r="Z87" s="66">
        <v>30.292644879999997</v>
      </c>
      <c r="AA87" s="66">
        <v>24.978867280000003</v>
      </c>
      <c r="AB87" s="66">
        <v>0</v>
      </c>
      <c r="AC87" s="66">
        <v>5.3137775999999999</v>
      </c>
      <c r="AD87" s="67">
        <v>81.048642032992007</v>
      </c>
      <c r="AE87" s="67">
        <v>70.850368000000003</v>
      </c>
      <c r="AF87" s="67">
        <v>17.541477877054888</v>
      </c>
      <c r="AG87" s="210">
        <v>0</v>
      </c>
      <c r="AH87" s="67">
        <v>0</v>
      </c>
      <c r="AI87" s="66">
        <v>0</v>
      </c>
      <c r="AJ87" s="66">
        <v>0</v>
      </c>
      <c r="AK87" s="66">
        <v>0</v>
      </c>
      <c r="AL87" s="66">
        <v>0</v>
      </c>
      <c r="AM87" s="66">
        <v>0</v>
      </c>
      <c r="AN87" s="66">
        <v>0</v>
      </c>
      <c r="AO87" s="66">
        <v>0</v>
      </c>
      <c r="AP87" s="66">
        <v>0</v>
      </c>
      <c r="AQ87" s="66">
        <v>0</v>
      </c>
      <c r="AR87" s="66">
        <v>0</v>
      </c>
      <c r="AS87" s="66">
        <v>0</v>
      </c>
      <c r="AT87" s="67" t="s">
        <v>1094</v>
      </c>
      <c r="AU87" s="67" t="s">
        <v>1094</v>
      </c>
      <c r="AV87" s="67">
        <v>0</v>
      </c>
      <c r="AW87" s="210">
        <v>0</v>
      </c>
      <c r="AX87" s="67">
        <v>0</v>
      </c>
    </row>
    <row r="88" spans="1:50" ht="15.75" x14ac:dyDescent="0.25">
      <c r="A88" s="11">
        <v>77</v>
      </c>
      <c r="B88" s="189" t="s">
        <v>207</v>
      </c>
      <c r="C88" s="66">
        <v>265</v>
      </c>
      <c r="D88" s="66">
        <v>0</v>
      </c>
      <c r="E88" s="66">
        <v>278.94736842999998</v>
      </c>
      <c r="F88" s="66">
        <v>265</v>
      </c>
      <c r="G88" s="66">
        <v>13.947368429999999</v>
      </c>
      <c r="H88" s="66">
        <v>265</v>
      </c>
      <c r="I88" s="66">
        <v>0</v>
      </c>
      <c r="J88" s="66">
        <v>278.94736842999998</v>
      </c>
      <c r="K88" s="66">
        <v>265</v>
      </c>
      <c r="L88" s="66">
        <v>0</v>
      </c>
      <c r="M88" s="66">
        <v>13.947368429999999</v>
      </c>
      <c r="N88" s="67">
        <v>100</v>
      </c>
      <c r="O88" s="67">
        <v>100</v>
      </c>
      <c r="P88" s="67">
        <v>5.0000000030471696</v>
      </c>
      <c r="Q88" s="66">
        <v>0</v>
      </c>
      <c r="R88" s="67">
        <v>0</v>
      </c>
      <c r="S88" s="66">
        <v>265</v>
      </c>
      <c r="T88" s="66">
        <v>0</v>
      </c>
      <c r="U88" s="66">
        <v>278.94736842999998</v>
      </c>
      <c r="V88" s="66">
        <v>265</v>
      </c>
      <c r="W88" s="66">
        <v>13.947368429999999</v>
      </c>
      <c r="X88" s="66">
        <v>265</v>
      </c>
      <c r="Y88" s="66">
        <v>0</v>
      </c>
      <c r="Z88" s="66">
        <v>278.94736842999998</v>
      </c>
      <c r="AA88" s="66">
        <v>265</v>
      </c>
      <c r="AB88" s="66">
        <v>0</v>
      </c>
      <c r="AC88" s="66">
        <v>13.947368429999999</v>
      </c>
      <c r="AD88" s="67">
        <v>100</v>
      </c>
      <c r="AE88" s="67">
        <v>100</v>
      </c>
      <c r="AF88" s="67">
        <v>5.0000000030471696</v>
      </c>
      <c r="AG88" s="210">
        <v>0</v>
      </c>
      <c r="AH88" s="67">
        <v>0</v>
      </c>
      <c r="AI88" s="66">
        <v>0</v>
      </c>
      <c r="AJ88" s="66">
        <v>0</v>
      </c>
      <c r="AK88" s="66">
        <v>0</v>
      </c>
      <c r="AL88" s="66">
        <v>0</v>
      </c>
      <c r="AM88" s="66">
        <v>0</v>
      </c>
      <c r="AN88" s="66">
        <v>0</v>
      </c>
      <c r="AO88" s="66">
        <v>0</v>
      </c>
      <c r="AP88" s="66">
        <v>0</v>
      </c>
      <c r="AQ88" s="66">
        <v>0</v>
      </c>
      <c r="AR88" s="66">
        <v>0</v>
      </c>
      <c r="AS88" s="66">
        <v>0</v>
      </c>
      <c r="AT88" s="67" t="s">
        <v>1094</v>
      </c>
      <c r="AU88" s="67" t="s">
        <v>1094</v>
      </c>
      <c r="AV88" s="67">
        <v>0</v>
      </c>
      <c r="AW88" s="210">
        <v>0</v>
      </c>
      <c r="AX88" s="67">
        <v>0</v>
      </c>
    </row>
    <row r="89" spans="1:50" ht="15.75" x14ac:dyDescent="0.25">
      <c r="A89" s="11">
        <v>78</v>
      </c>
      <c r="B89" s="189" t="s">
        <v>210</v>
      </c>
      <c r="C89" s="66">
        <v>7.5885999999999996</v>
      </c>
      <c r="D89" s="66">
        <v>0</v>
      </c>
      <c r="E89" s="66">
        <v>10.3927</v>
      </c>
      <c r="F89" s="66">
        <v>7.5885999999999996</v>
      </c>
      <c r="G89" s="66">
        <v>2.8041</v>
      </c>
      <c r="H89" s="66">
        <v>7.5885999999999996</v>
      </c>
      <c r="I89" s="66">
        <v>0</v>
      </c>
      <c r="J89" s="66">
        <v>10.3927</v>
      </c>
      <c r="K89" s="66">
        <v>7.5885999999999996</v>
      </c>
      <c r="L89" s="66">
        <v>0</v>
      </c>
      <c r="M89" s="66">
        <v>2.8041</v>
      </c>
      <c r="N89" s="67">
        <v>100</v>
      </c>
      <c r="O89" s="67">
        <v>100</v>
      </c>
      <c r="P89" s="67">
        <v>26.981438894608718</v>
      </c>
      <c r="Q89" s="66">
        <v>0</v>
      </c>
      <c r="R89" s="67">
        <v>0</v>
      </c>
      <c r="S89" s="66">
        <v>7.5885999999999996</v>
      </c>
      <c r="T89" s="66">
        <v>0</v>
      </c>
      <c r="U89" s="66">
        <v>10.3927</v>
      </c>
      <c r="V89" s="66">
        <v>7.5885999999999996</v>
      </c>
      <c r="W89" s="66">
        <v>2.8041</v>
      </c>
      <c r="X89" s="66">
        <v>7.5885999999999996</v>
      </c>
      <c r="Y89" s="66">
        <v>0</v>
      </c>
      <c r="Z89" s="66">
        <v>10.3927</v>
      </c>
      <c r="AA89" s="66">
        <v>7.5885999999999996</v>
      </c>
      <c r="AB89" s="66">
        <v>0</v>
      </c>
      <c r="AC89" s="66">
        <v>2.8041</v>
      </c>
      <c r="AD89" s="67">
        <v>100</v>
      </c>
      <c r="AE89" s="67">
        <v>100</v>
      </c>
      <c r="AF89" s="67">
        <v>26.981438894608718</v>
      </c>
      <c r="AG89" s="210">
        <v>0</v>
      </c>
      <c r="AH89" s="67">
        <v>0</v>
      </c>
      <c r="AI89" s="66">
        <v>0</v>
      </c>
      <c r="AJ89" s="66">
        <v>0</v>
      </c>
      <c r="AK89" s="66">
        <v>0</v>
      </c>
      <c r="AL89" s="66">
        <v>0</v>
      </c>
      <c r="AM89" s="66">
        <v>0</v>
      </c>
      <c r="AN89" s="66">
        <v>0</v>
      </c>
      <c r="AO89" s="66">
        <v>0</v>
      </c>
      <c r="AP89" s="66">
        <v>0</v>
      </c>
      <c r="AQ89" s="66">
        <v>0</v>
      </c>
      <c r="AR89" s="66">
        <v>0</v>
      </c>
      <c r="AS89" s="66">
        <v>0</v>
      </c>
      <c r="AT89" s="67" t="s">
        <v>1094</v>
      </c>
      <c r="AU89" s="67" t="s">
        <v>1094</v>
      </c>
      <c r="AV89" s="67">
        <v>0</v>
      </c>
      <c r="AW89" s="210">
        <v>0</v>
      </c>
      <c r="AX89" s="67">
        <v>0</v>
      </c>
    </row>
    <row r="90" spans="1:50" ht="15.75" x14ac:dyDescent="0.25">
      <c r="A90" s="11">
        <v>79</v>
      </c>
      <c r="B90" s="189" t="s">
        <v>213</v>
      </c>
      <c r="C90" s="66">
        <v>322.48590000000002</v>
      </c>
      <c r="D90" s="66">
        <v>0</v>
      </c>
      <c r="E90" s="66">
        <v>362.48590000000002</v>
      </c>
      <c r="F90" s="66">
        <v>322.48590000000002</v>
      </c>
      <c r="G90" s="66">
        <v>40</v>
      </c>
      <c r="H90" s="66">
        <v>322.46809576999999</v>
      </c>
      <c r="I90" s="66">
        <v>0</v>
      </c>
      <c r="J90" s="66">
        <v>362.44808317000002</v>
      </c>
      <c r="K90" s="66">
        <v>322.46809576999999</v>
      </c>
      <c r="L90" s="66">
        <v>0</v>
      </c>
      <c r="M90" s="66">
        <v>39.979987399999999</v>
      </c>
      <c r="N90" s="67">
        <v>99.994479067146798</v>
      </c>
      <c r="O90" s="67">
        <v>99.949968499999997</v>
      </c>
      <c r="P90" s="67">
        <v>11.030541822798957</v>
      </c>
      <c r="Q90" s="66">
        <v>0</v>
      </c>
      <c r="R90" s="67">
        <v>0</v>
      </c>
      <c r="S90" s="66">
        <v>322.48590000000002</v>
      </c>
      <c r="T90" s="66">
        <v>0</v>
      </c>
      <c r="U90" s="66">
        <v>362.48590000000002</v>
      </c>
      <c r="V90" s="66">
        <v>322.48590000000002</v>
      </c>
      <c r="W90" s="66">
        <v>40</v>
      </c>
      <c r="X90" s="66">
        <v>322.46809576999999</v>
      </c>
      <c r="Y90" s="66">
        <v>0</v>
      </c>
      <c r="Z90" s="66">
        <v>362.44808317000002</v>
      </c>
      <c r="AA90" s="66">
        <v>322.46809576999999</v>
      </c>
      <c r="AB90" s="66">
        <v>0</v>
      </c>
      <c r="AC90" s="66">
        <v>39.979987399999999</v>
      </c>
      <c r="AD90" s="67">
        <v>99.994479067146798</v>
      </c>
      <c r="AE90" s="67">
        <v>99.949968499999997</v>
      </c>
      <c r="AF90" s="67">
        <v>11.030541822798957</v>
      </c>
      <c r="AG90" s="210">
        <v>0</v>
      </c>
      <c r="AH90" s="67">
        <v>0</v>
      </c>
      <c r="AI90" s="66">
        <v>0</v>
      </c>
      <c r="AJ90" s="66">
        <v>0</v>
      </c>
      <c r="AK90" s="66">
        <v>0</v>
      </c>
      <c r="AL90" s="66">
        <v>0</v>
      </c>
      <c r="AM90" s="66">
        <v>0</v>
      </c>
      <c r="AN90" s="66">
        <v>0</v>
      </c>
      <c r="AO90" s="66">
        <v>0</v>
      </c>
      <c r="AP90" s="66">
        <v>0</v>
      </c>
      <c r="AQ90" s="66">
        <v>0</v>
      </c>
      <c r="AR90" s="66">
        <v>0</v>
      </c>
      <c r="AS90" s="66">
        <v>0</v>
      </c>
      <c r="AT90" s="67" t="s">
        <v>1094</v>
      </c>
      <c r="AU90" s="67" t="s">
        <v>1094</v>
      </c>
      <c r="AV90" s="67">
        <v>0</v>
      </c>
      <c r="AW90" s="210">
        <v>0</v>
      </c>
      <c r="AX90" s="67">
        <v>0</v>
      </c>
    </row>
    <row r="91" spans="1:50" ht="15.75" x14ac:dyDescent="0.25">
      <c r="A91" s="11">
        <v>80</v>
      </c>
      <c r="B91" s="189" t="s">
        <v>216</v>
      </c>
      <c r="C91" s="66">
        <v>108.36750000000001</v>
      </c>
      <c r="D91" s="66">
        <v>0</v>
      </c>
      <c r="E91" s="66">
        <v>128.36750000000001</v>
      </c>
      <c r="F91" s="66">
        <v>108.36750000000001</v>
      </c>
      <c r="G91" s="66">
        <v>20</v>
      </c>
      <c r="H91" s="66">
        <v>108.36750000000001</v>
      </c>
      <c r="I91" s="66">
        <v>0</v>
      </c>
      <c r="J91" s="66">
        <v>128.36750000000001</v>
      </c>
      <c r="K91" s="66">
        <v>108.36750000000001</v>
      </c>
      <c r="L91" s="66">
        <v>0</v>
      </c>
      <c r="M91" s="66">
        <v>20</v>
      </c>
      <c r="N91" s="67">
        <v>100</v>
      </c>
      <c r="O91" s="67">
        <v>100</v>
      </c>
      <c r="P91" s="67">
        <v>15.580267591095875</v>
      </c>
      <c r="Q91" s="66">
        <v>0</v>
      </c>
      <c r="R91" s="67">
        <v>0</v>
      </c>
      <c r="S91" s="66">
        <v>108.36750000000001</v>
      </c>
      <c r="T91" s="66">
        <v>0</v>
      </c>
      <c r="U91" s="66">
        <v>128.36750000000001</v>
      </c>
      <c r="V91" s="66">
        <v>108.36750000000001</v>
      </c>
      <c r="W91" s="66">
        <v>20</v>
      </c>
      <c r="X91" s="66">
        <v>108.36750000000001</v>
      </c>
      <c r="Y91" s="66">
        <v>0</v>
      </c>
      <c r="Z91" s="66">
        <v>128.36750000000001</v>
      </c>
      <c r="AA91" s="66">
        <v>108.36750000000001</v>
      </c>
      <c r="AB91" s="66">
        <v>0</v>
      </c>
      <c r="AC91" s="66">
        <v>20</v>
      </c>
      <c r="AD91" s="67">
        <v>100</v>
      </c>
      <c r="AE91" s="67">
        <v>100</v>
      </c>
      <c r="AF91" s="67">
        <v>15.580267591095875</v>
      </c>
      <c r="AG91" s="210">
        <v>0</v>
      </c>
      <c r="AH91" s="67">
        <v>0</v>
      </c>
      <c r="AI91" s="66">
        <v>0</v>
      </c>
      <c r="AJ91" s="66">
        <v>0</v>
      </c>
      <c r="AK91" s="66">
        <v>0</v>
      </c>
      <c r="AL91" s="66">
        <v>0</v>
      </c>
      <c r="AM91" s="66">
        <v>0</v>
      </c>
      <c r="AN91" s="66">
        <v>0</v>
      </c>
      <c r="AO91" s="66">
        <v>0</v>
      </c>
      <c r="AP91" s="66">
        <v>0</v>
      </c>
      <c r="AQ91" s="66">
        <v>0</v>
      </c>
      <c r="AR91" s="66">
        <v>0</v>
      </c>
      <c r="AS91" s="66">
        <v>0</v>
      </c>
      <c r="AT91" s="67" t="s">
        <v>1094</v>
      </c>
      <c r="AU91" s="67" t="s">
        <v>1094</v>
      </c>
      <c r="AV91" s="67">
        <v>0</v>
      </c>
      <c r="AW91" s="210">
        <v>0</v>
      </c>
      <c r="AX91" s="67">
        <v>0</v>
      </c>
    </row>
    <row r="92" spans="1:50" ht="15.75" x14ac:dyDescent="0.25">
      <c r="A92" s="11">
        <v>81</v>
      </c>
      <c r="B92" s="189" t="s">
        <v>219</v>
      </c>
      <c r="C92" s="66">
        <v>147.85130000000001</v>
      </c>
      <c r="D92" s="66">
        <v>0</v>
      </c>
      <c r="E92" s="66">
        <v>155.63294736999998</v>
      </c>
      <c r="F92" s="66">
        <v>147.85130000000001</v>
      </c>
      <c r="G92" s="66">
        <v>7.78164737</v>
      </c>
      <c r="H92" s="66">
        <v>147.85119789000001</v>
      </c>
      <c r="I92" s="66">
        <v>0</v>
      </c>
      <c r="J92" s="66">
        <v>155.63284526000001</v>
      </c>
      <c r="K92" s="66">
        <v>147.85119789000001</v>
      </c>
      <c r="L92" s="66">
        <v>0</v>
      </c>
      <c r="M92" s="66">
        <v>7.78164737</v>
      </c>
      <c r="N92" s="67">
        <v>99.999930937367481</v>
      </c>
      <c r="O92" s="67">
        <v>100</v>
      </c>
      <c r="P92" s="67">
        <v>5.0000032814410043</v>
      </c>
      <c r="Q92" s="66">
        <v>0</v>
      </c>
      <c r="R92" s="67">
        <v>0</v>
      </c>
      <c r="S92" s="66">
        <v>133.26820000000001</v>
      </c>
      <c r="T92" s="66">
        <v>0</v>
      </c>
      <c r="U92" s="66">
        <v>140.28231578999998</v>
      </c>
      <c r="V92" s="66">
        <v>133.26820000000001</v>
      </c>
      <c r="W92" s="66">
        <v>7.01411579</v>
      </c>
      <c r="X92" s="66">
        <v>133.26809789000001</v>
      </c>
      <c r="Y92" s="66">
        <v>0</v>
      </c>
      <c r="Z92" s="66">
        <v>140.28221368000001</v>
      </c>
      <c r="AA92" s="66">
        <v>133.26809789000001</v>
      </c>
      <c r="AB92" s="66">
        <v>0</v>
      </c>
      <c r="AC92" s="66">
        <v>7.01411579</v>
      </c>
      <c r="AD92" s="67">
        <v>99.999923380071166</v>
      </c>
      <c r="AE92" s="67">
        <v>100</v>
      </c>
      <c r="AF92" s="67">
        <v>5.0000036398056924</v>
      </c>
      <c r="AG92" s="210">
        <v>0</v>
      </c>
      <c r="AH92" s="67">
        <v>0</v>
      </c>
      <c r="AI92" s="66">
        <v>14.5831</v>
      </c>
      <c r="AJ92" s="66">
        <v>0</v>
      </c>
      <c r="AK92" s="66">
        <v>15.35063158</v>
      </c>
      <c r="AL92" s="66">
        <v>14.5831</v>
      </c>
      <c r="AM92" s="66">
        <v>0.76753157999999999</v>
      </c>
      <c r="AN92" s="66">
        <v>14.5831</v>
      </c>
      <c r="AO92" s="66">
        <v>0</v>
      </c>
      <c r="AP92" s="66">
        <v>15.35063158</v>
      </c>
      <c r="AQ92" s="66">
        <v>14.5831</v>
      </c>
      <c r="AR92" s="66">
        <v>0</v>
      </c>
      <c r="AS92" s="66">
        <v>0.76753157999999999</v>
      </c>
      <c r="AT92" s="67">
        <v>100</v>
      </c>
      <c r="AU92" s="67">
        <v>100</v>
      </c>
      <c r="AV92" s="67">
        <v>5.0000000065143899</v>
      </c>
      <c r="AW92" s="210">
        <v>0</v>
      </c>
      <c r="AX92" s="67">
        <v>0</v>
      </c>
    </row>
    <row r="93" spans="1:50" ht="15.75" x14ac:dyDescent="0.25">
      <c r="A93" s="11">
        <v>82</v>
      </c>
      <c r="B93" s="189" t="s">
        <v>222</v>
      </c>
      <c r="C93" s="66">
        <v>405.62970000000001</v>
      </c>
      <c r="D93" s="66">
        <v>0</v>
      </c>
      <c r="E93" s="66">
        <v>525.08699000000001</v>
      </c>
      <c r="F93" s="66">
        <v>405.62970000000001</v>
      </c>
      <c r="G93" s="66">
        <v>119.45729</v>
      </c>
      <c r="H93" s="66">
        <v>405.62970000000001</v>
      </c>
      <c r="I93" s="66">
        <v>0</v>
      </c>
      <c r="J93" s="66">
        <v>525.08699000000001</v>
      </c>
      <c r="K93" s="66">
        <v>405.62970000000001</v>
      </c>
      <c r="L93" s="66">
        <v>0</v>
      </c>
      <c r="M93" s="66">
        <v>119.45729</v>
      </c>
      <c r="N93" s="67">
        <v>100</v>
      </c>
      <c r="O93" s="67">
        <v>100</v>
      </c>
      <c r="P93" s="67">
        <v>22.749999957149956</v>
      </c>
      <c r="Q93" s="66">
        <v>0</v>
      </c>
      <c r="R93" s="67">
        <v>0</v>
      </c>
      <c r="S93" s="66">
        <v>405.62970000000001</v>
      </c>
      <c r="T93" s="66">
        <v>0</v>
      </c>
      <c r="U93" s="66">
        <v>525.08699000000001</v>
      </c>
      <c r="V93" s="66">
        <v>405.62970000000001</v>
      </c>
      <c r="W93" s="66">
        <v>119.45729</v>
      </c>
      <c r="X93" s="66">
        <v>405.62970000000001</v>
      </c>
      <c r="Y93" s="66">
        <v>0</v>
      </c>
      <c r="Z93" s="66">
        <v>525.08699000000001</v>
      </c>
      <c r="AA93" s="66">
        <v>405.62970000000001</v>
      </c>
      <c r="AB93" s="66">
        <v>0</v>
      </c>
      <c r="AC93" s="66">
        <v>119.45729</v>
      </c>
      <c r="AD93" s="67">
        <v>100</v>
      </c>
      <c r="AE93" s="67">
        <v>100</v>
      </c>
      <c r="AF93" s="67">
        <v>22.749999957149956</v>
      </c>
      <c r="AG93" s="210">
        <v>0</v>
      </c>
      <c r="AH93" s="67">
        <v>0</v>
      </c>
      <c r="AI93" s="66">
        <v>0</v>
      </c>
      <c r="AJ93" s="66">
        <v>0</v>
      </c>
      <c r="AK93" s="66">
        <v>0</v>
      </c>
      <c r="AL93" s="66">
        <v>0</v>
      </c>
      <c r="AM93" s="66">
        <v>0</v>
      </c>
      <c r="AN93" s="66">
        <v>0</v>
      </c>
      <c r="AO93" s="66">
        <v>0</v>
      </c>
      <c r="AP93" s="66">
        <v>0</v>
      </c>
      <c r="AQ93" s="66">
        <v>0</v>
      </c>
      <c r="AR93" s="66">
        <v>0</v>
      </c>
      <c r="AS93" s="66">
        <v>0</v>
      </c>
      <c r="AT93" s="67" t="s">
        <v>1094</v>
      </c>
      <c r="AU93" s="67" t="s">
        <v>1094</v>
      </c>
      <c r="AV93" s="67">
        <v>0</v>
      </c>
      <c r="AW93" s="210">
        <v>0</v>
      </c>
      <c r="AX93" s="67">
        <v>0</v>
      </c>
    </row>
    <row r="94" spans="1:50" ht="15.75" x14ac:dyDescent="0.25">
      <c r="A94" s="11">
        <v>83</v>
      </c>
      <c r="B94" s="189" t="s">
        <v>225</v>
      </c>
      <c r="C94" s="66">
        <v>1091.386</v>
      </c>
      <c r="D94" s="66">
        <v>0</v>
      </c>
      <c r="E94" s="66">
        <v>1148.8273690000001</v>
      </c>
      <c r="F94" s="66">
        <v>1091.386</v>
      </c>
      <c r="G94" s="66">
        <v>57.441368999999995</v>
      </c>
      <c r="H94" s="66">
        <v>1091.386</v>
      </c>
      <c r="I94" s="66">
        <v>0</v>
      </c>
      <c r="J94" s="66">
        <v>1148.8148428099998</v>
      </c>
      <c r="K94" s="66">
        <v>1091.3741004200001</v>
      </c>
      <c r="L94" s="66">
        <v>0</v>
      </c>
      <c r="M94" s="66">
        <v>57.440742389999997</v>
      </c>
      <c r="N94" s="67">
        <v>99.998909681817452</v>
      </c>
      <c r="O94" s="67">
        <v>99.998909131152502</v>
      </c>
      <c r="P94" s="67">
        <v>5.0000000217180345</v>
      </c>
      <c r="Q94" s="66">
        <v>0</v>
      </c>
      <c r="R94" s="67">
        <v>1.1899579999862908E-2</v>
      </c>
      <c r="S94" s="66">
        <v>725.14589999999998</v>
      </c>
      <c r="T94" s="66">
        <v>0</v>
      </c>
      <c r="U94" s="66">
        <v>763.31147399999998</v>
      </c>
      <c r="V94" s="66">
        <v>725.14589999999998</v>
      </c>
      <c r="W94" s="66">
        <v>38.165573999999999</v>
      </c>
      <c r="X94" s="66">
        <v>725.14589999999998</v>
      </c>
      <c r="Y94" s="66">
        <v>0</v>
      </c>
      <c r="Z94" s="66">
        <v>763.29894780999996</v>
      </c>
      <c r="AA94" s="66">
        <v>725.13400042000001</v>
      </c>
      <c r="AB94" s="66">
        <v>0</v>
      </c>
      <c r="AC94" s="66">
        <v>38.164947390000002</v>
      </c>
      <c r="AD94" s="67">
        <v>99.998359008856013</v>
      </c>
      <c r="AE94" s="67">
        <v>99.998358180070881</v>
      </c>
      <c r="AF94" s="67">
        <v>4.9999999999344951</v>
      </c>
      <c r="AG94" s="210">
        <v>0</v>
      </c>
      <c r="AH94" s="67">
        <v>1.1899579999976595E-2</v>
      </c>
      <c r="AI94" s="66">
        <v>366.24009999999998</v>
      </c>
      <c r="AJ94" s="66">
        <v>0</v>
      </c>
      <c r="AK94" s="66">
        <v>385.515895</v>
      </c>
      <c r="AL94" s="66">
        <v>366.24009999999998</v>
      </c>
      <c r="AM94" s="66">
        <v>19.275794999999999</v>
      </c>
      <c r="AN94" s="66">
        <v>366.24009999999998</v>
      </c>
      <c r="AO94" s="66">
        <v>0</v>
      </c>
      <c r="AP94" s="66">
        <v>385.515895</v>
      </c>
      <c r="AQ94" s="66">
        <v>366.24009999999998</v>
      </c>
      <c r="AR94" s="66">
        <v>0</v>
      </c>
      <c r="AS94" s="66">
        <v>19.275794999999999</v>
      </c>
      <c r="AT94" s="67">
        <v>100</v>
      </c>
      <c r="AU94" s="67">
        <v>100</v>
      </c>
      <c r="AV94" s="67">
        <v>5.0000000648481686</v>
      </c>
      <c r="AW94" s="210">
        <v>0</v>
      </c>
      <c r="AX94" s="67">
        <v>0</v>
      </c>
    </row>
    <row r="95" spans="1:50" ht="15.75" x14ac:dyDescent="0.25">
      <c r="A95" s="74">
        <v>84</v>
      </c>
      <c r="B95" s="189" t="s">
        <v>228</v>
      </c>
      <c r="C95" s="66">
        <v>271.50020000000001</v>
      </c>
      <c r="D95" s="66">
        <v>0</v>
      </c>
      <c r="E95" s="66">
        <v>285.78968499999996</v>
      </c>
      <c r="F95" s="66">
        <v>271.50020000000001</v>
      </c>
      <c r="G95" s="66">
        <v>14.289484999999999</v>
      </c>
      <c r="H95" s="66">
        <v>271.50020000000001</v>
      </c>
      <c r="I95" s="66">
        <v>5.9223105800000004</v>
      </c>
      <c r="J95" s="66">
        <v>285.78968458999998</v>
      </c>
      <c r="K95" s="66">
        <v>271.50020000000001</v>
      </c>
      <c r="L95" s="66">
        <v>0</v>
      </c>
      <c r="M95" s="66">
        <v>14.289484589999999</v>
      </c>
      <c r="N95" s="67">
        <v>100</v>
      </c>
      <c r="O95" s="67">
        <v>99.999997130757336</v>
      </c>
      <c r="P95" s="67">
        <v>5.0000001261417122</v>
      </c>
      <c r="Q95" s="66">
        <v>5.9223105800000004</v>
      </c>
      <c r="R95" s="67">
        <v>-1.3322676295501878E-14</v>
      </c>
      <c r="S95" s="66">
        <v>217.2758</v>
      </c>
      <c r="T95" s="66">
        <v>0</v>
      </c>
      <c r="U95" s="66">
        <v>228.71136899999999</v>
      </c>
      <c r="V95" s="66">
        <v>217.2758</v>
      </c>
      <c r="W95" s="66">
        <v>11.435568999999999</v>
      </c>
      <c r="X95" s="66">
        <v>217.2758</v>
      </c>
      <c r="Y95" s="66">
        <v>5.9223105800000004</v>
      </c>
      <c r="Z95" s="66">
        <v>228.71136859000001</v>
      </c>
      <c r="AA95" s="66">
        <v>217.2758</v>
      </c>
      <c r="AB95" s="66">
        <v>0</v>
      </c>
      <c r="AC95" s="66">
        <v>11.435568589999999</v>
      </c>
      <c r="AD95" s="67">
        <v>100</v>
      </c>
      <c r="AE95" s="67">
        <v>99.999996414695232</v>
      </c>
      <c r="AF95" s="67">
        <v>5.0000000701757852</v>
      </c>
      <c r="AG95" s="210">
        <v>5.9223105800000004</v>
      </c>
      <c r="AH95" s="67">
        <v>-1.3322676295501878E-14</v>
      </c>
      <c r="AI95" s="66">
        <v>54.224400000000003</v>
      </c>
      <c r="AJ95" s="66">
        <v>0</v>
      </c>
      <c r="AK95" s="66">
        <v>57.078316000000001</v>
      </c>
      <c r="AL95" s="66">
        <v>54.224400000000003</v>
      </c>
      <c r="AM95" s="66">
        <v>2.8539159999999999</v>
      </c>
      <c r="AN95" s="66">
        <v>54.224400000000003</v>
      </c>
      <c r="AO95" s="66">
        <v>0</v>
      </c>
      <c r="AP95" s="66">
        <v>57.078316000000001</v>
      </c>
      <c r="AQ95" s="66">
        <v>54.224400000000003</v>
      </c>
      <c r="AR95" s="66">
        <v>0</v>
      </c>
      <c r="AS95" s="66">
        <v>2.8539159999999999</v>
      </c>
      <c r="AT95" s="67">
        <v>100</v>
      </c>
      <c r="AU95" s="67">
        <v>100</v>
      </c>
      <c r="AV95" s="67">
        <v>5.0000003503957613</v>
      </c>
      <c r="AW95" s="210">
        <v>0</v>
      </c>
      <c r="AX95" s="67">
        <v>0</v>
      </c>
    </row>
    <row r="96" spans="1:50" ht="15.75" x14ac:dyDescent="0.25">
      <c r="A96" s="57">
        <v>85</v>
      </c>
      <c r="B96" s="190" t="s">
        <v>231</v>
      </c>
      <c r="C96" s="61">
        <v>980.67550000000006</v>
      </c>
      <c r="D96" s="61">
        <v>0</v>
      </c>
      <c r="E96" s="61">
        <v>1420.6158170700003</v>
      </c>
      <c r="F96" s="61">
        <v>980.67550000000006</v>
      </c>
      <c r="G96" s="61">
        <v>439.94031706999999</v>
      </c>
      <c r="H96" s="61">
        <v>969.69244015999993</v>
      </c>
      <c r="I96" s="61">
        <v>0</v>
      </c>
      <c r="J96" s="61">
        <v>1405.0644287699997</v>
      </c>
      <c r="K96" s="61">
        <v>969.69244009999989</v>
      </c>
      <c r="L96" s="61">
        <v>0</v>
      </c>
      <c r="M96" s="61">
        <v>435.37198867000001</v>
      </c>
      <c r="N96" s="61">
        <v>98.880051566496746</v>
      </c>
      <c r="O96" s="61">
        <v>98.961602694105181</v>
      </c>
      <c r="P96" s="61">
        <v>30.985909240555383</v>
      </c>
      <c r="Q96" s="61">
        <v>0</v>
      </c>
      <c r="R96" s="61">
        <v>6.000003338613169E-8</v>
      </c>
      <c r="S96" s="61">
        <v>980.67550000000006</v>
      </c>
      <c r="T96" s="61">
        <v>0</v>
      </c>
      <c r="U96" s="61">
        <v>1420.6158170700003</v>
      </c>
      <c r="V96" s="61">
        <v>980.67550000000006</v>
      </c>
      <c r="W96" s="61">
        <v>439.94031706999999</v>
      </c>
      <c r="X96" s="61">
        <v>969.69244015999993</v>
      </c>
      <c r="Y96" s="61">
        <v>0</v>
      </c>
      <c r="Z96" s="61">
        <v>1405.0644287699997</v>
      </c>
      <c r="AA96" s="61">
        <v>969.69244009999989</v>
      </c>
      <c r="AB96" s="61">
        <v>0</v>
      </c>
      <c r="AC96" s="61">
        <v>435.37198867000001</v>
      </c>
      <c r="AD96" s="61">
        <v>98.880051566496746</v>
      </c>
      <c r="AE96" s="61">
        <v>98.961602694105181</v>
      </c>
      <c r="AF96" s="61">
        <v>30.985909240555383</v>
      </c>
      <c r="AG96" s="61">
        <v>0</v>
      </c>
      <c r="AH96" s="61">
        <v>6.000003338613169E-8</v>
      </c>
      <c r="AI96" s="61">
        <v>0</v>
      </c>
      <c r="AJ96" s="61">
        <v>0</v>
      </c>
      <c r="AK96" s="61">
        <v>0</v>
      </c>
      <c r="AL96" s="61">
        <v>0</v>
      </c>
      <c r="AM96" s="61">
        <v>0</v>
      </c>
      <c r="AN96" s="61">
        <v>0</v>
      </c>
      <c r="AO96" s="61">
        <v>0</v>
      </c>
      <c r="AP96" s="61">
        <v>0</v>
      </c>
      <c r="AQ96" s="61">
        <v>0</v>
      </c>
      <c r="AR96" s="61">
        <v>0</v>
      </c>
      <c r="AS96" s="61">
        <v>0</v>
      </c>
      <c r="AT96" s="61" t="s">
        <v>1094</v>
      </c>
      <c r="AU96" s="61" t="s">
        <v>1094</v>
      </c>
      <c r="AV96" s="61">
        <v>0</v>
      </c>
      <c r="AW96" s="61">
        <v>0</v>
      </c>
      <c r="AX96" s="61">
        <v>0</v>
      </c>
    </row>
    <row r="97" spans="1:50" ht="15.75" x14ac:dyDescent="0.25">
      <c r="A97" s="11">
        <v>86</v>
      </c>
      <c r="B97" s="189" t="s">
        <v>234</v>
      </c>
      <c r="C97" s="66">
        <v>17.7925</v>
      </c>
      <c r="D97" s="66">
        <v>0</v>
      </c>
      <c r="E97" s="66">
        <v>22.14376</v>
      </c>
      <c r="F97" s="66">
        <v>17.7925</v>
      </c>
      <c r="G97" s="66">
        <v>4.3512599999999999</v>
      </c>
      <c r="H97" s="66">
        <v>17.7925</v>
      </c>
      <c r="I97" s="66">
        <v>0</v>
      </c>
      <c r="J97" s="66">
        <v>22.14376</v>
      </c>
      <c r="K97" s="66">
        <v>17.7925</v>
      </c>
      <c r="L97" s="66">
        <v>0</v>
      </c>
      <c r="M97" s="66">
        <v>4.3512599999999999</v>
      </c>
      <c r="N97" s="67">
        <v>100</v>
      </c>
      <c r="O97" s="67">
        <v>100</v>
      </c>
      <c r="P97" s="67">
        <v>19.650050397945062</v>
      </c>
      <c r="Q97" s="66">
        <v>0</v>
      </c>
      <c r="R97" s="67">
        <v>0</v>
      </c>
      <c r="S97" s="66">
        <v>17.7925</v>
      </c>
      <c r="T97" s="66">
        <v>0</v>
      </c>
      <c r="U97" s="66">
        <v>22.14376</v>
      </c>
      <c r="V97" s="66">
        <v>17.7925</v>
      </c>
      <c r="W97" s="66">
        <v>4.3512599999999999</v>
      </c>
      <c r="X97" s="66">
        <v>17.7925</v>
      </c>
      <c r="Y97" s="66">
        <v>0</v>
      </c>
      <c r="Z97" s="66">
        <v>22.14376</v>
      </c>
      <c r="AA97" s="66">
        <v>17.7925</v>
      </c>
      <c r="AB97" s="66">
        <v>0</v>
      </c>
      <c r="AC97" s="66">
        <v>4.3512599999999999</v>
      </c>
      <c r="AD97" s="67">
        <v>100</v>
      </c>
      <c r="AE97" s="67">
        <v>100</v>
      </c>
      <c r="AF97" s="67">
        <v>19.650050397945062</v>
      </c>
      <c r="AG97" s="210">
        <v>0</v>
      </c>
      <c r="AH97" s="67">
        <v>0</v>
      </c>
      <c r="AI97" s="66">
        <v>0</v>
      </c>
      <c r="AJ97" s="66">
        <v>0</v>
      </c>
      <c r="AK97" s="66">
        <v>0</v>
      </c>
      <c r="AL97" s="66">
        <v>0</v>
      </c>
      <c r="AM97" s="66">
        <v>0</v>
      </c>
      <c r="AN97" s="66">
        <v>0</v>
      </c>
      <c r="AO97" s="66">
        <v>0</v>
      </c>
      <c r="AP97" s="66">
        <v>0</v>
      </c>
      <c r="AQ97" s="66">
        <v>0</v>
      </c>
      <c r="AR97" s="66">
        <v>0</v>
      </c>
      <c r="AS97" s="66">
        <v>0</v>
      </c>
      <c r="AT97" s="67" t="s">
        <v>1094</v>
      </c>
      <c r="AU97" s="67" t="s">
        <v>1094</v>
      </c>
      <c r="AV97" s="67">
        <v>0</v>
      </c>
      <c r="AW97" s="210">
        <v>0</v>
      </c>
      <c r="AX97" s="67">
        <v>0</v>
      </c>
    </row>
    <row r="98" spans="1:50" ht="15.75" x14ac:dyDescent="0.25">
      <c r="A98" s="11">
        <v>87</v>
      </c>
      <c r="B98" s="189" t="s">
        <v>237</v>
      </c>
      <c r="C98" s="66">
        <v>30.6754</v>
      </c>
      <c r="D98" s="66">
        <v>0</v>
      </c>
      <c r="E98" s="66">
        <v>32.973664409999998</v>
      </c>
      <c r="F98" s="66">
        <v>30.6754</v>
      </c>
      <c r="G98" s="66">
        <v>2.2982644100000003</v>
      </c>
      <c r="H98" s="66">
        <v>29.085571000000002</v>
      </c>
      <c r="I98" s="66">
        <v>0</v>
      </c>
      <c r="J98" s="66">
        <v>31.264722110000001</v>
      </c>
      <c r="K98" s="66">
        <v>29.08557098</v>
      </c>
      <c r="L98" s="66">
        <v>0</v>
      </c>
      <c r="M98" s="66">
        <v>2.1791511299999997</v>
      </c>
      <c r="N98" s="67">
        <v>94.817250891593915</v>
      </c>
      <c r="O98" s="67">
        <v>94.817250814060998</v>
      </c>
      <c r="P98" s="67">
        <v>6.9699999965872061</v>
      </c>
      <c r="Q98" s="66">
        <v>0</v>
      </c>
      <c r="R98" s="67">
        <v>2.000000165480742E-8</v>
      </c>
      <c r="S98" s="66">
        <v>30.6754</v>
      </c>
      <c r="T98" s="66">
        <v>0</v>
      </c>
      <c r="U98" s="66">
        <v>32.973664409999998</v>
      </c>
      <c r="V98" s="66">
        <v>30.6754</v>
      </c>
      <c r="W98" s="66">
        <v>2.2982644100000003</v>
      </c>
      <c r="X98" s="66">
        <v>29.085571000000002</v>
      </c>
      <c r="Y98" s="66">
        <v>0</v>
      </c>
      <c r="Z98" s="66">
        <v>31.264722110000001</v>
      </c>
      <c r="AA98" s="66">
        <v>29.08557098</v>
      </c>
      <c r="AB98" s="66">
        <v>0</v>
      </c>
      <c r="AC98" s="66">
        <v>2.1791511299999997</v>
      </c>
      <c r="AD98" s="67">
        <v>94.817250891593915</v>
      </c>
      <c r="AE98" s="67">
        <v>94.817250814060998</v>
      </c>
      <c r="AF98" s="67">
        <v>6.9699999965872061</v>
      </c>
      <c r="AG98" s="210">
        <v>0</v>
      </c>
      <c r="AH98" s="67">
        <v>2.000000165480742E-8</v>
      </c>
      <c r="AI98" s="66">
        <v>0</v>
      </c>
      <c r="AJ98" s="66">
        <v>0</v>
      </c>
      <c r="AK98" s="66">
        <v>0</v>
      </c>
      <c r="AL98" s="66">
        <v>0</v>
      </c>
      <c r="AM98" s="66">
        <v>0</v>
      </c>
      <c r="AN98" s="66">
        <v>0</v>
      </c>
      <c r="AO98" s="66">
        <v>0</v>
      </c>
      <c r="AP98" s="66">
        <v>0</v>
      </c>
      <c r="AQ98" s="66">
        <v>0</v>
      </c>
      <c r="AR98" s="66">
        <v>0</v>
      </c>
      <c r="AS98" s="66">
        <v>0</v>
      </c>
      <c r="AT98" s="67" t="s">
        <v>1094</v>
      </c>
      <c r="AU98" s="67" t="s">
        <v>1094</v>
      </c>
      <c r="AV98" s="67">
        <v>0</v>
      </c>
      <c r="AW98" s="210">
        <v>0</v>
      </c>
      <c r="AX98" s="67">
        <v>0</v>
      </c>
    </row>
    <row r="99" spans="1:50" ht="15.75" x14ac:dyDescent="0.25">
      <c r="A99" s="11">
        <v>88</v>
      </c>
      <c r="B99" s="189" t="s">
        <v>240</v>
      </c>
      <c r="C99" s="66">
        <v>640.81730000000005</v>
      </c>
      <c r="D99" s="66">
        <v>0</v>
      </c>
      <c r="E99" s="66">
        <v>944.43339134000007</v>
      </c>
      <c r="F99" s="66">
        <v>640.81730000000005</v>
      </c>
      <c r="G99" s="66">
        <v>303.61609133999997</v>
      </c>
      <c r="H99" s="66">
        <v>640.74797966999995</v>
      </c>
      <c r="I99" s="66">
        <v>0</v>
      </c>
      <c r="J99" s="66">
        <v>944.33684697000001</v>
      </c>
      <c r="K99" s="66">
        <v>640.74797966999995</v>
      </c>
      <c r="L99" s="66">
        <v>0</v>
      </c>
      <c r="M99" s="66">
        <v>303.5888673</v>
      </c>
      <c r="N99" s="67">
        <v>99.989182512706805</v>
      </c>
      <c r="O99" s="67">
        <v>99.991033400146932</v>
      </c>
      <c r="P99" s="67">
        <v>32.148366154947304</v>
      </c>
      <c r="Q99" s="66">
        <v>0</v>
      </c>
      <c r="R99" s="67">
        <v>0</v>
      </c>
      <c r="S99" s="66">
        <v>640.81730000000005</v>
      </c>
      <c r="T99" s="66">
        <v>0</v>
      </c>
      <c r="U99" s="66">
        <v>944.43339134000007</v>
      </c>
      <c r="V99" s="66">
        <v>640.81730000000005</v>
      </c>
      <c r="W99" s="66">
        <v>303.61609133999997</v>
      </c>
      <c r="X99" s="66">
        <v>640.74797966999995</v>
      </c>
      <c r="Y99" s="66">
        <v>0</v>
      </c>
      <c r="Z99" s="66">
        <v>944.33684697000001</v>
      </c>
      <c r="AA99" s="66">
        <v>640.74797966999995</v>
      </c>
      <c r="AB99" s="66">
        <v>0</v>
      </c>
      <c r="AC99" s="66">
        <v>303.5888673</v>
      </c>
      <c r="AD99" s="67">
        <v>99.989182512706805</v>
      </c>
      <c r="AE99" s="67">
        <v>99.991033400146932</v>
      </c>
      <c r="AF99" s="67">
        <v>32.148366154947304</v>
      </c>
      <c r="AG99" s="210">
        <v>0</v>
      </c>
      <c r="AH99" s="67">
        <v>0</v>
      </c>
      <c r="AI99" s="66">
        <v>0</v>
      </c>
      <c r="AJ99" s="66">
        <v>0</v>
      </c>
      <c r="AK99" s="66">
        <v>0</v>
      </c>
      <c r="AL99" s="66">
        <v>0</v>
      </c>
      <c r="AM99" s="66">
        <v>0</v>
      </c>
      <c r="AN99" s="66">
        <v>0</v>
      </c>
      <c r="AO99" s="66">
        <v>0</v>
      </c>
      <c r="AP99" s="66">
        <v>0</v>
      </c>
      <c r="AQ99" s="66">
        <v>0</v>
      </c>
      <c r="AR99" s="66">
        <v>0</v>
      </c>
      <c r="AS99" s="66">
        <v>0</v>
      </c>
      <c r="AT99" s="67" t="s">
        <v>1094</v>
      </c>
      <c r="AU99" s="67" t="s">
        <v>1094</v>
      </c>
      <c r="AV99" s="67">
        <v>0</v>
      </c>
      <c r="AW99" s="210">
        <v>0</v>
      </c>
      <c r="AX99" s="67">
        <v>0</v>
      </c>
    </row>
    <row r="100" spans="1:50" ht="15.75" x14ac:dyDescent="0.25">
      <c r="A100" s="11">
        <v>89</v>
      </c>
      <c r="B100" s="189" t="s">
        <v>243</v>
      </c>
      <c r="C100" s="66">
        <v>14.0093</v>
      </c>
      <c r="D100" s="66">
        <v>0</v>
      </c>
      <c r="E100" s="66">
        <v>14.746628320000001</v>
      </c>
      <c r="F100" s="66">
        <v>14.0093</v>
      </c>
      <c r="G100" s="66">
        <v>0.73732831999999993</v>
      </c>
      <c r="H100" s="66">
        <v>13.767888340000001</v>
      </c>
      <c r="I100" s="66">
        <v>0</v>
      </c>
      <c r="J100" s="66">
        <v>14.49251084</v>
      </c>
      <c r="K100" s="66">
        <v>13.767888340000001</v>
      </c>
      <c r="L100" s="66">
        <v>0</v>
      </c>
      <c r="M100" s="66">
        <v>0.72462249999999995</v>
      </c>
      <c r="N100" s="67">
        <v>98.276775713276194</v>
      </c>
      <c r="O100" s="67">
        <v>98.276775805925922</v>
      </c>
      <c r="P100" s="67">
        <v>4.9999790098483716</v>
      </c>
      <c r="Q100" s="66">
        <v>0</v>
      </c>
      <c r="R100" s="67">
        <v>0</v>
      </c>
      <c r="S100" s="66">
        <v>14.0093</v>
      </c>
      <c r="T100" s="66">
        <v>0</v>
      </c>
      <c r="U100" s="66">
        <v>14.746628320000001</v>
      </c>
      <c r="V100" s="66">
        <v>14.0093</v>
      </c>
      <c r="W100" s="66">
        <v>0.73732831999999993</v>
      </c>
      <c r="X100" s="66">
        <v>13.767888340000001</v>
      </c>
      <c r="Y100" s="66">
        <v>0</v>
      </c>
      <c r="Z100" s="66">
        <v>14.49251084</v>
      </c>
      <c r="AA100" s="66">
        <v>13.767888340000001</v>
      </c>
      <c r="AB100" s="66">
        <v>0</v>
      </c>
      <c r="AC100" s="66">
        <v>0.72462249999999995</v>
      </c>
      <c r="AD100" s="67">
        <v>98.276775713276194</v>
      </c>
      <c r="AE100" s="67">
        <v>98.276775805925922</v>
      </c>
      <c r="AF100" s="67">
        <v>4.9999790098483716</v>
      </c>
      <c r="AG100" s="210">
        <v>0</v>
      </c>
      <c r="AH100" s="67">
        <v>0</v>
      </c>
      <c r="AI100" s="66">
        <v>0</v>
      </c>
      <c r="AJ100" s="66">
        <v>0</v>
      </c>
      <c r="AK100" s="66">
        <v>0</v>
      </c>
      <c r="AL100" s="66">
        <v>0</v>
      </c>
      <c r="AM100" s="66">
        <v>0</v>
      </c>
      <c r="AN100" s="66">
        <v>0</v>
      </c>
      <c r="AO100" s="66">
        <v>0</v>
      </c>
      <c r="AP100" s="66">
        <v>0</v>
      </c>
      <c r="AQ100" s="66">
        <v>0</v>
      </c>
      <c r="AR100" s="66">
        <v>0</v>
      </c>
      <c r="AS100" s="66">
        <v>0</v>
      </c>
      <c r="AT100" s="67" t="s">
        <v>1094</v>
      </c>
      <c r="AU100" s="67" t="s">
        <v>1094</v>
      </c>
      <c r="AV100" s="67">
        <v>0</v>
      </c>
      <c r="AW100" s="210">
        <v>0</v>
      </c>
      <c r="AX100" s="67">
        <v>0</v>
      </c>
    </row>
    <row r="101" spans="1:50" ht="15.75" x14ac:dyDescent="0.25">
      <c r="A101" s="11">
        <v>90</v>
      </c>
      <c r="B101" s="189" t="s">
        <v>246</v>
      </c>
      <c r="C101" s="66">
        <v>262.20690000000002</v>
      </c>
      <c r="D101" s="66">
        <v>0</v>
      </c>
      <c r="E101" s="66">
        <v>384.92647299999999</v>
      </c>
      <c r="F101" s="66">
        <v>262.20690000000002</v>
      </c>
      <c r="G101" s="66">
        <v>122.719573</v>
      </c>
      <c r="H101" s="66">
        <v>254.23539121000002</v>
      </c>
      <c r="I101" s="66">
        <v>0</v>
      </c>
      <c r="J101" s="66">
        <v>372.97170599999998</v>
      </c>
      <c r="K101" s="66">
        <v>254.23539116999999</v>
      </c>
      <c r="L101" s="66">
        <v>0</v>
      </c>
      <c r="M101" s="66">
        <v>118.73631483</v>
      </c>
      <c r="N101" s="67">
        <v>96.959840175830607</v>
      </c>
      <c r="O101" s="67">
        <v>96.754178593825458</v>
      </c>
      <c r="P101" s="67">
        <v>31.835207046509851</v>
      </c>
      <c r="Q101" s="66">
        <v>0</v>
      </c>
      <c r="R101" s="67">
        <v>4.000003173132427E-8</v>
      </c>
      <c r="S101" s="66">
        <v>262.20690000000002</v>
      </c>
      <c r="T101" s="66">
        <v>0</v>
      </c>
      <c r="U101" s="66">
        <v>384.92647299999999</v>
      </c>
      <c r="V101" s="66">
        <v>262.20690000000002</v>
      </c>
      <c r="W101" s="66">
        <v>122.719573</v>
      </c>
      <c r="X101" s="66">
        <v>254.23539121000002</v>
      </c>
      <c r="Y101" s="66">
        <v>0</v>
      </c>
      <c r="Z101" s="66">
        <v>372.97170599999998</v>
      </c>
      <c r="AA101" s="66">
        <v>254.23539116999999</v>
      </c>
      <c r="AB101" s="66">
        <v>0</v>
      </c>
      <c r="AC101" s="66">
        <v>118.73631483</v>
      </c>
      <c r="AD101" s="67">
        <v>96.959840175830607</v>
      </c>
      <c r="AE101" s="67">
        <v>96.754178593825458</v>
      </c>
      <c r="AF101" s="67">
        <v>31.835207046509851</v>
      </c>
      <c r="AG101" s="210">
        <v>0</v>
      </c>
      <c r="AH101" s="67">
        <v>4.000003173132427E-8</v>
      </c>
      <c r="AI101" s="66">
        <v>0</v>
      </c>
      <c r="AJ101" s="66">
        <v>0</v>
      </c>
      <c r="AK101" s="66">
        <v>0</v>
      </c>
      <c r="AL101" s="66">
        <v>0</v>
      </c>
      <c r="AM101" s="66">
        <v>0</v>
      </c>
      <c r="AN101" s="66">
        <v>0</v>
      </c>
      <c r="AO101" s="66">
        <v>0</v>
      </c>
      <c r="AP101" s="66">
        <v>0</v>
      </c>
      <c r="AQ101" s="66">
        <v>0</v>
      </c>
      <c r="AR101" s="66">
        <v>0</v>
      </c>
      <c r="AS101" s="66">
        <v>0</v>
      </c>
      <c r="AT101" s="67" t="s">
        <v>1094</v>
      </c>
      <c r="AU101" s="67" t="s">
        <v>1094</v>
      </c>
      <c r="AV101" s="67">
        <v>0</v>
      </c>
      <c r="AW101" s="210">
        <v>0</v>
      </c>
      <c r="AX101" s="67">
        <v>0</v>
      </c>
    </row>
    <row r="102" spans="1:50" ht="15.75" x14ac:dyDescent="0.25">
      <c r="A102" s="11">
        <v>91</v>
      </c>
      <c r="B102" s="189" t="s">
        <v>249</v>
      </c>
      <c r="C102" s="66">
        <v>1.9661</v>
      </c>
      <c r="D102" s="66">
        <v>0</v>
      </c>
      <c r="E102" s="66">
        <v>2.7858000000000001</v>
      </c>
      <c r="F102" s="66">
        <v>1.9661</v>
      </c>
      <c r="G102" s="66">
        <v>0.81969999999999998</v>
      </c>
      <c r="H102" s="66">
        <v>1.9410813899999999</v>
      </c>
      <c r="I102" s="66">
        <v>0</v>
      </c>
      <c r="J102" s="66">
        <v>2.7503507200000001</v>
      </c>
      <c r="K102" s="66">
        <v>1.9410813899999999</v>
      </c>
      <c r="L102" s="66">
        <v>0</v>
      </c>
      <c r="M102" s="66">
        <v>0.80926933000000001</v>
      </c>
      <c r="N102" s="67">
        <v>98.727500635776408</v>
      </c>
      <c r="O102" s="67">
        <v>98.727501524948153</v>
      </c>
      <c r="P102" s="67">
        <v>29.424223031453966</v>
      </c>
      <c r="Q102" s="66">
        <v>0</v>
      </c>
      <c r="R102" s="67">
        <v>0</v>
      </c>
      <c r="S102" s="66">
        <v>1.9661</v>
      </c>
      <c r="T102" s="66">
        <v>0</v>
      </c>
      <c r="U102" s="66">
        <v>2.7858000000000001</v>
      </c>
      <c r="V102" s="66">
        <v>1.9661</v>
      </c>
      <c r="W102" s="66">
        <v>0.81969999999999998</v>
      </c>
      <c r="X102" s="66">
        <v>1.9410813899999999</v>
      </c>
      <c r="Y102" s="66">
        <v>0</v>
      </c>
      <c r="Z102" s="66">
        <v>2.7503507200000001</v>
      </c>
      <c r="AA102" s="66">
        <v>1.9410813899999999</v>
      </c>
      <c r="AB102" s="66">
        <v>0</v>
      </c>
      <c r="AC102" s="66">
        <v>0.80926933000000001</v>
      </c>
      <c r="AD102" s="67">
        <v>98.727500635776408</v>
      </c>
      <c r="AE102" s="67">
        <v>98.727501524948153</v>
      </c>
      <c r="AF102" s="67">
        <v>29.424223031453966</v>
      </c>
      <c r="AG102" s="210">
        <v>0</v>
      </c>
      <c r="AH102" s="67">
        <v>0</v>
      </c>
      <c r="AI102" s="66">
        <v>0</v>
      </c>
      <c r="AJ102" s="66">
        <v>0</v>
      </c>
      <c r="AK102" s="66">
        <v>0</v>
      </c>
      <c r="AL102" s="66">
        <v>0</v>
      </c>
      <c r="AM102" s="66">
        <v>0</v>
      </c>
      <c r="AN102" s="66">
        <v>0</v>
      </c>
      <c r="AO102" s="66">
        <v>0</v>
      </c>
      <c r="AP102" s="66">
        <v>0</v>
      </c>
      <c r="AQ102" s="66">
        <v>0</v>
      </c>
      <c r="AR102" s="66">
        <v>0</v>
      </c>
      <c r="AS102" s="66">
        <v>0</v>
      </c>
      <c r="AT102" s="67" t="s">
        <v>1094</v>
      </c>
      <c r="AU102" s="67" t="s">
        <v>1094</v>
      </c>
      <c r="AV102" s="67">
        <v>0</v>
      </c>
      <c r="AW102" s="210">
        <v>0</v>
      </c>
      <c r="AX102" s="67">
        <v>0</v>
      </c>
    </row>
    <row r="103" spans="1:50" ht="15.75" x14ac:dyDescent="0.25">
      <c r="A103" s="11">
        <v>92</v>
      </c>
      <c r="B103" s="189" t="s">
        <v>252</v>
      </c>
      <c r="C103" s="66">
        <v>5.3718000000000004</v>
      </c>
      <c r="D103" s="66">
        <v>0</v>
      </c>
      <c r="E103" s="66">
        <v>6.8592000000000004</v>
      </c>
      <c r="F103" s="66">
        <v>5.3718000000000004</v>
      </c>
      <c r="G103" s="66">
        <v>1.4874000000000001</v>
      </c>
      <c r="H103" s="66">
        <v>4.8688265099999999</v>
      </c>
      <c r="I103" s="66">
        <v>0</v>
      </c>
      <c r="J103" s="66">
        <v>6.2321292000000001</v>
      </c>
      <c r="K103" s="66">
        <v>4.8688265099999999</v>
      </c>
      <c r="L103" s="66">
        <v>0</v>
      </c>
      <c r="M103" s="66">
        <v>1.36330269</v>
      </c>
      <c r="N103" s="67">
        <v>90.636779291857465</v>
      </c>
      <c r="O103" s="67">
        <v>91.656762807583704</v>
      </c>
      <c r="P103" s="67">
        <v>21.875391960744331</v>
      </c>
      <c r="Q103" s="66">
        <v>0</v>
      </c>
      <c r="R103" s="67">
        <v>0</v>
      </c>
      <c r="S103" s="66">
        <v>5.3718000000000004</v>
      </c>
      <c r="T103" s="66">
        <v>0</v>
      </c>
      <c r="U103" s="66">
        <v>6.8592000000000004</v>
      </c>
      <c r="V103" s="66">
        <v>5.3718000000000004</v>
      </c>
      <c r="W103" s="66">
        <v>1.4874000000000001</v>
      </c>
      <c r="X103" s="66">
        <v>4.8688265099999999</v>
      </c>
      <c r="Y103" s="66">
        <v>0</v>
      </c>
      <c r="Z103" s="66">
        <v>6.2321292000000001</v>
      </c>
      <c r="AA103" s="66">
        <v>4.8688265099999999</v>
      </c>
      <c r="AB103" s="66">
        <v>0</v>
      </c>
      <c r="AC103" s="66">
        <v>1.36330269</v>
      </c>
      <c r="AD103" s="67">
        <v>90.636779291857465</v>
      </c>
      <c r="AE103" s="67">
        <v>91.656762807583704</v>
      </c>
      <c r="AF103" s="67">
        <v>21.875391960744331</v>
      </c>
      <c r="AG103" s="210">
        <v>0</v>
      </c>
      <c r="AH103" s="67">
        <v>0</v>
      </c>
      <c r="AI103" s="66">
        <v>0</v>
      </c>
      <c r="AJ103" s="66">
        <v>0</v>
      </c>
      <c r="AK103" s="66">
        <v>0</v>
      </c>
      <c r="AL103" s="66">
        <v>0</v>
      </c>
      <c r="AM103" s="66">
        <v>0</v>
      </c>
      <c r="AN103" s="66">
        <v>0</v>
      </c>
      <c r="AO103" s="66">
        <v>0</v>
      </c>
      <c r="AP103" s="66">
        <v>0</v>
      </c>
      <c r="AQ103" s="66">
        <v>0</v>
      </c>
      <c r="AR103" s="66">
        <v>0</v>
      </c>
      <c r="AS103" s="66">
        <v>0</v>
      </c>
      <c r="AT103" s="67" t="s">
        <v>1094</v>
      </c>
      <c r="AU103" s="67" t="s">
        <v>1094</v>
      </c>
      <c r="AV103" s="67">
        <v>0</v>
      </c>
      <c r="AW103" s="210">
        <v>0</v>
      </c>
      <c r="AX103" s="67">
        <v>0</v>
      </c>
    </row>
    <row r="104" spans="1:50" ht="15.75" x14ac:dyDescent="0.25">
      <c r="A104" s="11">
        <v>93</v>
      </c>
      <c r="B104" s="189" t="s">
        <v>254</v>
      </c>
      <c r="C104" s="66">
        <v>7.8361999999999998</v>
      </c>
      <c r="D104" s="66">
        <v>0</v>
      </c>
      <c r="E104" s="66">
        <v>11.7469</v>
      </c>
      <c r="F104" s="66">
        <v>7.8361999999999998</v>
      </c>
      <c r="G104" s="66">
        <v>3.9106999999999998</v>
      </c>
      <c r="H104" s="66">
        <v>7.2532020399999997</v>
      </c>
      <c r="I104" s="66">
        <v>0</v>
      </c>
      <c r="J104" s="66">
        <v>10.87240293</v>
      </c>
      <c r="K104" s="66">
        <v>7.2532020399999997</v>
      </c>
      <c r="L104" s="66">
        <v>0</v>
      </c>
      <c r="M104" s="66">
        <v>3.6192008900000001</v>
      </c>
      <c r="N104" s="67">
        <v>92.56019550292234</v>
      </c>
      <c r="O104" s="67">
        <v>92.546114250645672</v>
      </c>
      <c r="P104" s="67">
        <v>33.287957715525913</v>
      </c>
      <c r="Q104" s="66">
        <v>0</v>
      </c>
      <c r="R104" s="67">
        <v>0</v>
      </c>
      <c r="S104" s="66">
        <v>7.8361999999999998</v>
      </c>
      <c r="T104" s="66">
        <v>0</v>
      </c>
      <c r="U104" s="66">
        <v>11.7469</v>
      </c>
      <c r="V104" s="66">
        <v>7.8361999999999998</v>
      </c>
      <c r="W104" s="66">
        <v>3.9106999999999998</v>
      </c>
      <c r="X104" s="66">
        <v>7.2532020399999997</v>
      </c>
      <c r="Y104" s="66">
        <v>0</v>
      </c>
      <c r="Z104" s="66">
        <v>10.87240293</v>
      </c>
      <c r="AA104" s="66">
        <v>7.2532020399999997</v>
      </c>
      <c r="AB104" s="66">
        <v>0</v>
      </c>
      <c r="AC104" s="66">
        <v>3.6192008900000001</v>
      </c>
      <c r="AD104" s="67">
        <v>92.56019550292234</v>
      </c>
      <c r="AE104" s="67">
        <v>92.546114250645672</v>
      </c>
      <c r="AF104" s="67">
        <v>33.287957715525913</v>
      </c>
      <c r="AG104" s="210">
        <v>0</v>
      </c>
      <c r="AH104" s="67">
        <v>0</v>
      </c>
      <c r="AI104" s="66">
        <v>0</v>
      </c>
      <c r="AJ104" s="66">
        <v>0</v>
      </c>
      <c r="AK104" s="66">
        <v>0</v>
      </c>
      <c r="AL104" s="66">
        <v>0</v>
      </c>
      <c r="AM104" s="66">
        <v>0</v>
      </c>
      <c r="AN104" s="66">
        <v>0</v>
      </c>
      <c r="AO104" s="66">
        <v>0</v>
      </c>
      <c r="AP104" s="66">
        <v>0</v>
      </c>
      <c r="AQ104" s="66">
        <v>0</v>
      </c>
      <c r="AR104" s="66">
        <v>0</v>
      </c>
      <c r="AS104" s="66">
        <v>0</v>
      </c>
      <c r="AT104" s="67" t="s">
        <v>1094</v>
      </c>
      <c r="AU104" s="67" t="s">
        <v>1094</v>
      </c>
      <c r="AV104" s="67">
        <v>0</v>
      </c>
      <c r="AW104" s="210">
        <v>0</v>
      </c>
      <c r="AX104" s="67">
        <v>0</v>
      </c>
    </row>
    <row r="105" spans="1:50" ht="15.75" x14ac:dyDescent="0.25">
      <c r="A105" s="9">
        <v>94</v>
      </c>
      <c r="B105" s="189" t="s">
        <v>256</v>
      </c>
      <c r="C105" s="66">
        <v>0</v>
      </c>
      <c r="D105" s="66">
        <v>0</v>
      </c>
      <c r="E105" s="66">
        <v>0</v>
      </c>
      <c r="F105" s="66">
        <v>0</v>
      </c>
      <c r="G105" s="66">
        <v>0</v>
      </c>
      <c r="H105" s="66">
        <v>0</v>
      </c>
      <c r="I105" s="66">
        <v>0</v>
      </c>
      <c r="J105" s="66">
        <v>0</v>
      </c>
      <c r="K105" s="66">
        <v>0</v>
      </c>
      <c r="L105" s="66">
        <v>0</v>
      </c>
      <c r="M105" s="66">
        <v>0</v>
      </c>
      <c r="N105" s="67" t="s">
        <v>1094</v>
      </c>
      <c r="O105" s="67" t="s">
        <v>1094</v>
      </c>
      <c r="P105" s="67">
        <v>0</v>
      </c>
      <c r="Q105" s="66">
        <v>0</v>
      </c>
      <c r="R105" s="67">
        <v>0</v>
      </c>
      <c r="S105" s="66">
        <v>0</v>
      </c>
      <c r="T105" s="66">
        <v>0</v>
      </c>
      <c r="U105" s="66">
        <v>0</v>
      </c>
      <c r="V105" s="66">
        <v>0</v>
      </c>
      <c r="W105" s="66">
        <v>0</v>
      </c>
      <c r="X105" s="66">
        <v>0</v>
      </c>
      <c r="Y105" s="66">
        <v>0</v>
      </c>
      <c r="Z105" s="66">
        <v>0</v>
      </c>
      <c r="AA105" s="66">
        <v>0</v>
      </c>
      <c r="AB105" s="66">
        <v>0</v>
      </c>
      <c r="AC105" s="66">
        <v>0</v>
      </c>
      <c r="AD105" s="67" t="s">
        <v>1094</v>
      </c>
      <c r="AE105" s="67" t="s">
        <v>1094</v>
      </c>
      <c r="AF105" s="67">
        <v>0</v>
      </c>
      <c r="AG105" s="210">
        <v>0</v>
      </c>
      <c r="AH105" s="67">
        <v>0</v>
      </c>
      <c r="AI105" s="66">
        <v>0</v>
      </c>
      <c r="AJ105" s="66">
        <v>0</v>
      </c>
      <c r="AK105" s="66">
        <v>0</v>
      </c>
      <c r="AL105" s="66">
        <v>0</v>
      </c>
      <c r="AM105" s="66">
        <v>0</v>
      </c>
      <c r="AN105" s="66">
        <v>0</v>
      </c>
      <c r="AO105" s="66">
        <v>0</v>
      </c>
      <c r="AP105" s="66">
        <v>0</v>
      </c>
      <c r="AQ105" s="66">
        <v>0</v>
      </c>
      <c r="AR105" s="66">
        <v>0</v>
      </c>
      <c r="AS105" s="66">
        <v>0</v>
      </c>
      <c r="AT105" s="67" t="s">
        <v>1094</v>
      </c>
      <c r="AU105" s="67" t="s">
        <v>1094</v>
      </c>
      <c r="AV105" s="67">
        <v>0</v>
      </c>
      <c r="AW105" s="210">
        <v>0</v>
      </c>
      <c r="AX105" s="67">
        <v>0</v>
      </c>
    </row>
  </sheetData>
  <mergeCells count="47">
    <mergeCell ref="AI7:AX8"/>
    <mergeCell ref="AI9:AI11"/>
    <mergeCell ref="AJ9:AJ11"/>
    <mergeCell ref="AK9:AM9"/>
    <mergeCell ref="AN9:AN11"/>
    <mergeCell ref="AO9:AO11"/>
    <mergeCell ref="AP9:AS9"/>
    <mergeCell ref="AT9:AU10"/>
    <mergeCell ref="AV9:AV11"/>
    <mergeCell ref="AW9:AW11"/>
    <mergeCell ref="AX9:AX11"/>
    <mergeCell ref="AK10:AK11"/>
    <mergeCell ref="AL10:AM10"/>
    <mergeCell ref="AP10:AP11"/>
    <mergeCell ref="AQ10:AS10"/>
    <mergeCell ref="S7:AH8"/>
    <mergeCell ref="S9:S11"/>
    <mergeCell ref="T9:T11"/>
    <mergeCell ref="AF9:AF11"/>
    <mergeCell ref="AG9:AG11"/>
    <mergeCell ref="AH9:AH11"/>
    <mergeCell ref="U10:U11"/>
    <mergeCell ref="V10:W10"/>
    <mergeCell ref="Z10:Z11"/>
    <mergeCell ref="AA10:AC10"/>
    <mergeCell ref="U9:W9"/>
    <mergeCell ref="X9:X11"/>
    <mergeCell ref="Y9:Y11"/>
    <mergeCell ref="Z9:AC9"/>
    <mergeCell ref="AD9:AE10"/>
    <mergeCell ref="A7:A11"/>
    <mergeCell ref="B7:B11"/>
    <mergeCell ref="C9:C11"/>
    <mergeCell ref="C7:R8"/>
    <mergeCell ref="N9:O10"/>
    <mergeCell ref="P9:P11"/>
    <mergeCell ref="Q9:Q11"/>
    <mergeCell ref="R9:R11"/>
    <mergeCell ref="E10:E11"/>
    <mergeCell ref="F10:G10"/>
    <mergeCell ref="J10:J11"/>
    <mergeCell ref="K10:M10"/>
    <mergeCell ref="D9:D11"/>
    <mergeCell ref="E9:G9"/>
    <mergeCell ref="H9:H11"/>
    <mergeCell ref="I9:I11"/>
    <mergeCell ref="J9:M9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AX105"/>
  <sheetViews>
    <sheetView view="pageBreakPreview" zoomScale="60" zoomScaleNormal="70" workbookViewId="0">
      <pane xSplit="2" ySplit="12" topLeftCell="AI13" activePane="bottomRight" state="frozen"/>
      <selection activeCell="F34" sqref="F34"/>
      <selection pane="topRight" activeCell="F34" sqref="F34"/>
      <selection pane="bottomLeft" activeCell="F34" sqref="F34"/>
      <selection pane="bottomRight" activeCell="AJ9" sqref="AJ9:AJ11"/>
    </sheetView>
  </sheetViews>
  <sheetFormatPr defaultRowHeight="15" outlineLevelCol="1" x14ac:dyDescent="0.25"/>
  <cols>
    <col min="1" max="1" width="5" customWidth="1"/>
    <col min="2" max="2" width="28.5703125" customWidth="1"/>
    <col min="3" max="4" width="18.7109375" style="126" customWidth="1"/>
    <col min="5" max="6" width="18.7109375" style="126" customWidth="1" outlineLevel="1"/>
    <col min="7" max="15" width="18.7109375" style="126" customWidth="1"/>
    <col min="16" max="18" width="18.7109375" style="126" customWidth="1" outlineLevel="1"/>
    <col min="19" max="20" width="18.7109375" style="126" customWidth="1"/>
    <col min="21" max="22" width="18.7109375" style="126" customWidth="1" outlineLevel="1"/>
    <col min="23" max="31" width="18.7109375" style="126" customWidth="1"/>
    <col min="32" max="34" width="18.7109375" style="126" customWidth="1" outlineLevel="1"/>
    <col min="35" max="36" width="18.7109375" style="126" customWidth="1"/>
    <col min="37" max="38" width="18.7109375" style="126" customWidth="1" outlineLevel="1"/>
    <col min="39" max="47" width="18.7109375" style="126" customWidth="1"/>
    <col min="48" max="50" width="18.7109375" style="126" customWidth="1" outlineLevel="1"/>
  </cols>
  <sheetData>
    <row r="1" spans="1:50" s="126" customFormat="1" ht="15.75" customHeight="1" x14ac:dyDescent="0.25">
      <c r="B1" s="127"/>
    </row>
    <row r="2" spans="1:50" s="126" customFormat="1" ht="15.75" customHeight="1" x14ac:dyDescent="0.3">
      <c r="C2" s="216"/>
      <c r="D2" s="217"/>
      <c r="E2" s="217"/>
      <c r="F2" s="217"/>
      <c r="G2" s="217"/>
      <c r="H2" s="217"/>
      <c r="I2" s="217"/>
      <c r="J2" s="217"/>
      <c r="K2" s="217"/>
      <c r="L2" s="217"/>
      <c r="T2" s="217"/>
      <c r="U2" s="217"/>
      <c r="V2" s="217"/>
      <c r="W2" s="217"/>
      <c r="X2" s="217"/>
      <c r="Y2" s="217"/>
      <c r="Z2" s="217"/>
      <c r="AA2" s="217"/>
      <c r="AB2" s="217"/>
      <c r="AJ2" s="217"/>
      <c r="AK2" s="217"/>
      <c r="AL2" s="217"/>
      <c r="AM2" s="217"/>
      <c r="AN2" s="217"/>
      <c r="AO2" s="217"/>
      <c r="AP2" s="217"/>
      <c r="AQ2" s="217"/>
      <c r="AR2" s="217"/>
    </row>
    <row r="3" spans="1:50" s="126" customFormat="1" ht="15.75" customHeight="1" x14ac:dyDescent="0.3">
      <c r="A3" s="128"/>
      <c r="B3" s="128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38"/>
      <c r="N3" s="38"/>
      <c r="O3" s="38"/>
      <c r="P3" s="3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38"/>
      <c r="AD3" s="38"/>
      <c r="AE3" s="38"/>
      <c r="AF3" s="38"/>
      <c r="AS3" s="38"/>
      <c r="AT3" s="38"/>
      <c r="AU3" s="38"/>
      <c r="AV3" s="38"/>
    </row>
    <row r="4" spans="1:50" s="126" customFormat="1" ht="15.75" customHeight="1" x14ac:dyDescent="0.3">
      <c r="A4" s="128"/>
      <c r="B4" s="128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38"/>
      <c r="N4" s="38"/>
      <c r="O4" s="38"/>
      <c r="P4" s="38"/>
      <c r="T4" s="40"/>
      <c r="U4" s="40"/>
      <c r="V4" s="40"/>
      <c r="W4" s="40"/>
      <c r="X4" s="40"/>
      <c r="Y4" s="40"/>
      <c r="Z4" s="40"/>
      <c r="AA4" s="40"/>
      <c r="AB4" s="40"/>
      <c r="AC4" s="38"/>
      <c r="AD4" s="38"/>
      <c r="AE4" s="38"/>
      <c r="AF4" s="38"/>
      <c r="AJ4" s="40"/>
      <c r="AK4" s="40"/>
      <c r="AL4" s="40"/>
      <c r="AM4" s="40"/>
      <c r="AN4" s="40"/>
      <c r="AO4" s="40"/>
      <c r="AP4" s="40"/>
      <c r="AQ4" s="40"/>
      <c r="AR4" s="40"/>
      <c r="AS4" s="38"/>
      <c r="AT4" s="38"/>
      <c r="AU4" s="38"/>
      <c r="AV4" s="38"/>
    </row>
    <row r="5" spans="1:50" s="126" customFormat="1" ht="15.75" customHeight="1" x14ac:dyDescent="0.3">
      <c r="A5" s="128"/>
      <c r="B5" s="128"/>
      <c r="D5" s="215"/>
      <c r="E5" s="215"/>
      <c r="F5" s="214"/>
      <c r="G5" s="42"/>
      <c r="H5" s="43"/>
      <c r="I5" s="43"/>
      <c r="T5" s="215"/>
      <c r="U5" s="215"/>
      <c r="V5" s="214"/>
      <c r="W5" s="42"/>
      <c r="X5" s="43"/>
      <c r="Y5" s="43"/>
      <c r="AJ5" s="215"/>
      <c r="AK5" s="215"/>
      <c r="AL5" s="214"/>
      <c r="AM5" s="42"/>
      <c r="AN5" s="43"/>
      <c r="AO5" s="43"/>
    </row>
    <row r="6" spans="1:50" ht="15.75" x14ac:dyDescent="0.25">
      <c r="B6" s="44" t="s">
        <v>1093</v>
      </c>
      <c r="C6" s="76"/>
      <c r="Q6" s="76"/>
      <c r="R6" s="76"/>
      <c r="S6" s="76"/>
      <c r="AG6" s="76"/>
      <c r="AH6" s="76"/>
      <c r="AI6" s="76"/>
      <c r="AW6" s="76"/>
      <c r="AX6" s="76"/>
    </row>
    <row r="7" spans="1:50" ht="15" customHeight="1" x14ac:dyDescent="0.25">
      <c r="A7" s="275" t="s">
        <v>284</v>
      </c>
      <c r="B7" s="275" t="s">
        <v>285</v>
      </c>
      <c r="C7" s="282" t="s">
        <v>996</v>
      </c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  <c r="S7" s="282" t="s">
        <v>1019</v>
      </c>
      <c r="T7" s="283"/>
      <c r="U7" s="283"/>
      <c r="V7" s="283"/>
      <c r="W7" s="283"/>
      <c r="X7" s="283"/>
      <c r="Y7" s="283"/>
      <c r="Z7" s="283"/>
      <c r="AA7" s="283"/>
      <c r="AB7" s="283"/>
      <c r="AC7" s="283"/>
      <c r="AD7" s="283"/>
      <c r="AE7" s="283"/>
      <c r="AF7" s="283"/>
      <c r="AG7" s="283"/>
      <c r="AH7" s="283"/>
      <c r="AI7" s="282" t="s">
        <v>1002</v>
      </c>
      <c r="AJ7" s="283"/>
      <c r="AK7" s="283"/>
      <c r="AL7" s="283"/>
      <c r="AM7" s="283"/>
      <c r="AN7" s="283"/>
      <c r="AO7" s="283"/>
      <c r="AP7" s="283"/>
      <c r="AQ7" s="283"/>
      <c r="AR7" s="283"/>
      <c r="AS7" s="283"/>
      <c r="AT7" s="283"/>
      <c r="AU7" s="283"/>
      <c r="AV7" s="283"/>
      <c r="AW7" s="283"/>
      <c r="AX7" s="283"/>
    </row>
    <row r="8" spans="1:50" ht="15.75" customHeight="1" thickBot="1" x14ac:dyDescent="0.3">
      <c r="A8" s="275"/>
      <c r="B8" s="275"/>
      <c r="C8" s="284"/>
      <c r="D8" s="279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79"/>
      <c r="S8" s="284"/>
      <c r="T8" s="279"/>
      <c r="U8" s="279"/>
      <c r="V8" s="279"/>
      <c r="W8" s="279"/>
      <c r="X8" s="279"/>
      <c r="Y8" s="279"/>
      <c r="Z8" s="279"/>
      <c r="AA8" s="279"/>
      <c r="AB8" s="279"/>
      <c r="AC8" s="279"/>
      <c r="AD8" s="279"/>
      <c r="AE8" s="279"/>
      <c r="AF8" s="279"/>
      <c r="AG8" s="279"/>
      <c r="AH8" s="279"/>
      <c r="AI8" s="284"/>
      <c r="AJ8" s="279"/>
      <c r="AK8" s="279"/>
      <c r="AL8" s="279"/>
      <c r="AM8" s="279"/>
      <c r="AN8" s="279"/>
      <c r="AO8" s="279"/>
      <c r="AP8" s="279"/>
      <c r="AQ8" s="279"/>
      <c r="AR8" s="279"/>
      <c r="AS8" s="279"/>
      <c r="AT8" s="279"/>
      <c r="AU8" s="279"/>
      <c r="AV8" s="279"/>
      <c r="AW8" s="279"/>
      <c r="AX8" s="279"/>
    </row>
    <row r="9" spans="1:50" ht="15" customHeight="1" x14ac:dyDescent="0.25">
      <c r="A9" s="275"/>
      <c r="B9" s="275"/>
      <c r="C9" s="253" t="s">
        <v>315</v>
      </c>
      <c r="D9" s="268" t="s">
        <v>325</v>
      </c>
      <c r="E9" s="268" t="s">
        <v>287</v>
      </c>
      <c r="F9" s="268"/>
      <c r="G9" s="268"/>
      <c r="H9" s="268" t="s">
        <v>312</v>
      </c>
      <c r="I9" s="268" t="s">
        <v>262</v>
      </c>
      <c r="J9" s="268" t="s">
        <v>288</v>
      </c>
      <c r="K9" s="268"/>
      <c r="L9" s="268"/>
      <c r="M9" s="268"/>
      <c r="N9" s="281" t="s">
        <v>289</v>
      </c>
      <c r="O9" s="281"/>
      <c r="P9" s="268" t="s">
        <v>290</v>
      </c>
      <c r="Q9" s="268" t="s">
        <v>266</v>
      </c>
      <c r="R9" s="268" t="s">
        <v>291</v>
      </c>
      <c r="S9" s="253" t="s">
        <v>315</v>
      </c>
      <c r="T9" s="254" t="s">
        <v>325</v>
      </c>
      <c r="U9" s="254" t="s">
        <v>287</v>
      </c>
      <c r="V9" s="254"/>
      <c r="W9" s="254"/>
      <c r="X9" s="254" t="s">
        <v>312</v>
      </c>
      <c r="Y9" s="254" t="s">
        <v>262</v>
      </c>
      <c r="Z9" s="254" t="s">
        <v>288</v>
      </c>
      <c r="AA9" s="254"/>
      <c r="AB9" s="254"/>
      <c r="AC9" s="254"/>
      <c r="AD9" s="269" t="s">
        <v>289</v>
      </c>
      <c r="AE9" s="269"/>
      <c r="AF9" s="254" t="s">
        <v>290</v>
      </c>
      <c r="AG9" s="254" t="s">
        <v>266</v>
      </c>
      <c r="AH9" s="254" t="s">
        <v>291</v>
      </c>
      <c r="AI9" s="253" t="s">
        <v>315</v>
      </c>
      <c r="AJ9" s="254" t="s">
        <v>1096</v>
      </c>
      <c r="AK9" s="254" t="s">
        <v>287</v>
      </c>
      <c r="AL9" s="254"/>
      <c r="AM9" s="254"/>
      <c r="AN9" s="254" t="s">
        <v>312</v>
      </c>
      <c r="AO9" s="254" t="s">
        <v>262</v>
      </c>
      <c r="AP9" s="254" t="s">
        <v>288</v>
      </c>
      <c r="AQ9" s="254"/>
      <c r="AR9" s="254"/>
      <c r="AS9" s="254"/>
      <c r="AT9" s="269" t="s">
        <v>289</v>
      </c>
      <c r="AU9" s="269"/>
      <c r="AV9" s="254" t="s">
        <v>290</v>
      </c>
      <c r="AW9" s="254" t="s">
        <v>266</v>
      </c>
      <c r="AX9" s="254" t="s">
        <v>291</v>
      </c>
    </row>
    <row r="10" spans="1:50" ht="15" customHeight="1" x14ac:dyDescent="0.25">
      <c r="A10" s="275"/>
      <c r="B10" s="275"/>
      <c r="C10" s="220"/>
      <c r="D10" s="224"/>
      <c r="E10" s="224" t="s">
        <v>292</v>
      </c>
      <c r="F10" s="224" t="s">
        <v>293</v>
      </c>
      <c r="G10" s="224"/>
      <c r="H10" s="224"/>
      <c r="I10" s="224"/>
      <c r="J10" s="224" t="s">
        <v>292</v>
      </c>
      <c r="K10" s="224" t="s">
        <v>294</v>
      </c>
      <c r="L10" s="224"/>
      <c r="M10" s="224"/>
      <c r="N10" s="270"/>
      <c r="O10" s="270"/>
      <c r="P10" s="224"/>
      <c r="Q10" s="224"/>
      <c r="R10" s="224"/>
      <c r="S10" s="220"/>
      <c r="T10" s="224"/>
      <c r="U10" s="224" t="s">
        <v>292</v>
      </c>
      <c r="V10" s="224" t="s">
        <v>293</v>
      </c>
      <c r="W10" s="224"/>
      <c r="X10" s="224"/>
      <c r="Y10" s="224"/>
      <c r="Z10" s="224" t="s">
        <v>292</v>
      </c>
      <c r="AA10" s="224" t="s">
        <v>294</v>
      </c>
      <c r="AB10" s="224"/>
      <c r="AC10" s="224"/>
      <c r="AD10" s="270"/>
      <c r="AE10" s="270"/>
      <c r="AF10" s="224"/>
      <c r="AG10" s="224"/>
      <c r="AH10" s="224"/>
      <c r="AI10" s="220"/>
      <c r="AJ10" s="224"/>
      <c r="AK10" s="224" t="s">
        <v>292</v>
      </c>
      <c r="AL10" s="224" t="s">
        <v>293</v>
      </c>
      <c r="AM10" s="224"/>
      <c r="AN10" s="224"/>
      <c r="AO10" s="224"/>
      <c r="AP10" s="224" t="s">
        <v>292</v>
      </c>
      <c r="AQ10" s="224" t="s">
        <v>294</v>
      </c>
      <c r="AR10" s="224"/>
      <c r="AS10" s="224"/>
      <c r="AT10" s="270"/>
      <c r="AU10" s="270"/>
      <c r="AV10" s="224"/>
      <c r="AW10" s="224"/>
      <c r="AX10" s="224"/>
    </row>
    <row r="11" spans="1:50" ht="105" x14ac:dyDescent="0.25">
      <c r="A11" s="275"/>
      <c r="B11" s="275"/>
      <c r="C11" s="254"/>
      <c r="D11" s="224"/>
      <c r="E11" s="224"/>
      <c r="F11" s="205" t="s">
        <v>259</v>
      </c>
      <c r="G11" s="205" t="s">
        <v>260</v>
      </c>
      <c r="H11" s="224"/>
      <c r="I11" s="224"/>
      <c r="J11" s="224"/>
      <c r="K11" s="205" t="s">
        <v>264</v>
      </c>
      <c r="L11" s="205" t="s">
        <v>303</v>
      </c>
      <c r="M11" s="205" t="s">
        <v>260</v>
      </c>
      <c r="N11" s="205" t="s">
        <v>965</v>
      </c>
      <c r="O11" s="205" t="s">
        <v>295</v>
      </c>
      <c r="P11" s="224"/>
      <c r="Q11" s="224"/>
      <c r="R11" s="224"/>
      <c r="S11" s="254"/>
      <c r="T11" s="224"/>
      <c r="U11" s="224"/>
      <c r="V11" s="205" t="s">
        <v>259</v>
      </c>
      <c r="W11" s="205" t="s">
        <v>260</v>
      </c>
      <c r="X11" s="224"/>
      <c r="Y11" s="224"/>
      <c r="Z11" s="224"/>
      <c r="AA11" s="205" t="s">
        <v>264</v>
      </c>
      <c r="AB11" s="205" t="s">
        <v>303</v>
      </c>
      <c r="AC11" s="205" t="s">
        <v>260</v>
      </c>
      <c r="AD11" s="205" t="s">
        <v>965</v>
      </c>
      <c r="AE11" s="205" t="s">
        <v>295</v>
      </c>
      <c r="AF11" s="224"/>
      <c r="AG11" s="224"/>
      <c r="AH11" s="224"/>
      <c r="AI11" s="254"/>
      <c r="AJ11" s="224"/>
      <c r="AK11" s="224"/>
      <c r="AL11" s="205" t="s">
        <v>259</v>
      </c>
      <c r="AM11" s="205" t="s">
        <v>260</v>
      </c>
      <c r="AN11" s="224"/>
      <c r="AO11" s="224"/>
      <c r="AP11" s="224"/>
      <c r="AQ11" s="205" t="s">
        <v>264</v>
      </c>
      <c r="AR11" s="205" t="s">
        <v>303</v>
      </c>
      <c r="AS11" s="205" t="s">
        <v>260</v>
      </c>
      <c r="AT11" s="205" t="s">
        <v>965</v>
      </c>
      <c r="AU11" s="205" t="s">
        <v>295</v>
      </c>
      <c r="AV11" s="224"/>
      <c r="AW11" s="224"/>
      <c r="AX11" s="224"/>
    </row>
    <row r="12" spans="1:50" ht="31.5" x14ac:dyDescent="0.25">
      <c r="A12" s="50" t="s">
        <v>2</v>
      </c>
      <c r="B12" s="195" t="s">
        <v>3</v>
      </c>
      <c r="C12" s="53">
        <v>15506.329199999998</v>
      </c>
      <c r="D12" s="53">
        <v>0</v>
      </c>
      <c r="E12" s="53">
        <v>16536.711620889997</v>
      </c>
      <c r="F12" s="53">
        <v>15506.329199999998</v>
      </c>
      <c r="G12" s="53">
        <v>1030.3824208900003</v>
      </c>
      <c r="H12" s="53">
        <v>15447.88812852</v>
      </c>
      <c r="I12" s="53">
        <v>0</v>
      </c>
      <c r="J12" s="53">
        <v>16460.534070239999</v>
      </c>
      <c r="K12" s="53">
        <v>15436.795522869998</v>
      </c>
      <c r="L12" s="53">
        <v>0</v>
      </c>
      <c r="M12" s="53">
        <v>1023.73854737</v>
      </c>
      <c r="N12" s="53">
        <v>99.551578737732456</v>
      </c>
      <c r="O12" s="53">
        <v>99.355203137660126</v>
      </c>
      <c r="P12" s="53">
        <v>6.2193519542046891</v>
      </c>
      <c r="Q12" s="53">
        <v>0</v>
      </c>
      <c r="R12" s="53">
        <v>11.092605649999923</v>
      </c>
      <c r="S12" s="53">
        <v>15225.943599999997</v>
      </c>
      <c r="T12" s="53">
        <v>0</v>
      </c>
      <c r="U12" s="53">
        <v>16198.5128714</v>
      </c>
      <c r="V12" s="53">
        <v>15225.943599999997</v>
      </c>
      <c r="W12" s="53">
        <v>972.56927140000005</v>
      </c>
      <c r="X12" s="53">
        <v>15167.502528519999</v>
      </c>
      <c r="Y12" s="53">
        <v>0</v>
      </c>
      <c r="Z12" s="53">
        <v>16133.997699989999</v>
      </c>
      <c r="AA12" s="53">
        <v>15167.489162729997</v>
      </c>
      <c r="AB12" s="53">
        <v>0</v>
      </c>
      <c r="AC12" s="53">
        <v>966.50853725999991</v>
      </c>
      <c r="AD12" s="53">
        <v>99.616086603197445</v>
      </c>
      <c r="AE12" s="53">
        <v>99.37683265159346</v>
      </c>
      <c r="AF12" s="53">
        <v>5.9905087085800135</v>
      </c>
      <c r="AG12" s="53">
        <v>0</v>
      </c>
      <c r="AH12" s="53">
        <v>1.3365789999907562E-2</v>
      </c>
      <c r="AI12" s="53">
        <v>280.38559999999995</v>
      </c>
      <c r="AJ12" s="53">
        <v>0</v>
      </c>
      <c r="AK12" s="53">
        <v>338.19874948999995</v>
      </c>
      <c r="AL12" s="53">
        <v>280.38559999999995</v>
      </c>
      <c r="AM12" s="53">
        <v>57.813149490000001</v>
      </c>
      <c r="AN12" s="53">
        <v>280.38559999999995</v>
      </c>
      <c r="AO12" s="53">
        <v>0</v>
      </c>
      <c r="AP12" s="53">
        <v>326.53637024999995</v>
      </c>
      <c r="AQ12" s="53">
        <v>269.30636013999998</v>
      </c>
      <c r="AR12" s="53">
        <v>0</v>
      </c>
      <c r="AS12" s="53">
        <v>57.230010110000002</v>
      </c>
      <c r="AT12" s="53">
        <v>96.048570304609086</v>
      </c>
      <c r="AU12" s="53">
        <v>98.991337809574162</v>
      </c>
      <c r="AV12" s="53">
        <v>17.526381537892412</v>
      </c>
      <c r="AW12" s="53">
        <v>0</v>
      </c>
      <c r="AX12" s="53">
        <v>11.079239859999998</v>
      </c>
    </row>
    <row r="13" spans="1:50" ht="15.75" x14ac:dyDescent="0.25">
      <c r="A13" s="57" t="s">
        <v>6</v>
      </c>
      <c r="B13" s="190" t="s">
        <v>7</v>
      </c>
      <c r="C13" s="61">
        <v>6528.9457999999995</v>
      </c>
      <c r="D13" s="61">
        <v>0</v>
      </c>
      <c r="E13" s="61">
        <v>6946.646819739999</v>
      </c>
      <c r="F13" s="61">
        <v>6528.9457999999995</v>
      </c>
      <c r="G13" s="61">
        <v>417.70101974000011</v>
      </c>
      <c r="H13" s="61">
        <v>6528.9225989299994</v>
      </c>
      <c r="I13" s="61">
        <v>0</v>
      </c>
      <c r="J13" s="61">
        <v>6946.6218700599993</v>
      </c>
      <c r="K13" s="61">
        <v>6528.9225989099996</v>
      </c>
      <c r="L13" s="61">
        <v>0</v>
      </c>
      <c r="M13" s="61">
        <v>417.69927114999996</v>
      </c>
      <c r="N13" s="61">
        <v>99.999644642631281</v>
      </c>
      <c r="O13" s="61">
        <v>99.999581377608024</v>
      </c>
      <c r="P13" s="61">
        <v>6.0129841376610331</v>
      </c>
      <c r="Q13" s="61">
        <v>0</v>
      </c>
      <c r="R13" s="61">
        <v>1.9999999878450581E-8</v>
      </c>
      <c r="S13" s="61">
        <v>6498.5317999999988</v>
      </c>
      <c r="T13" s="61">
        <v>0</v>
      </c>
      <c r="U13" s="61">
        <v>6914.5671797399991</v>
      </c>
      <c r="V13" s="61">
        <v>6498.5317999999988</v>
      </c>
      <c r="W13" s="61">
        <v>416.03537974000005</v>
      </c>
      <c r="X13" s="61">
        <v>6498.5085989299996</v>
      </c>
      <c r="Y13" s="61">
        <v>0</v>
      </c>
      <c r="Z13" s="61">
        <v>6914.5422300599994</v>
      </c>
      <c r="AA13" s="61">
        <v>6498.5085989099998</v>
      </c>
      <c r="AB13" s="61">
        <v>0</v>
      </c>
      <c r="AC13" s="61">
        <v>416.03363115000002</v>
      </c>
      <c r="AD13" s="61">
        <v>99.999642979511165</v>
      </c>
      <c r="AE13" s="61">
        <v>99.999579701610685</v>
      </c>
      <c r="AF13" s="61">
        <v>6.0167921072396133</v>
      </c>
      <c r="AG13" s="61">
        <v>0</v>
      </c>
      <c r="AH13" s="61">
        <v>1.9999999878450581E-8</v>
      </c>
      <c r="AI13" s="61">
        <v>30.413999999999998</v>
      </c>
      <c r="AJ13" s="61">
        <v>0</v>
      </c>
      <c r="AK13" s="61">
        <v>32.079639999999998</v>
      </c>
      <c r="AL13" s="61">
        <v>30.413999999999998</v>
      </c>
      <c r="AM13" s="61">
        <v>1.66564</v>
      </c>
      <c r="AN13" s="61">
        <v>30.413999999999998</v>
      </c>
      <c r="AO13" s="61">
        <v>0</v>
      </c>
      <c r="AP13" s="61">
        <v>32.079639999999998</v>
      </c>
      <c r="AQ13" s="61">
        <v>30.413999999999998</v>
      </c>
      <c r="AR13" s="61">
        <v>0</v>
      </c>
      <c r="AS13" s="61">
        <v>1.66564</v>
      </c>
      <c r="AT13" s="61">
        <v>100</v>
      </c>
      <c r="AU13" s="61">
        <v>100</v>
      </c>
      <c r="AV13" s="61">
        <v>5.1922029050201317</v>
      </c>
      <c r="AW13" s="61">
        <v>0</v>
      </c>
      <c r="AX13" s="61">
        <v>0</v>
      </c>
    </row>
    <row r="14" spans="1:50" ht="15.75" x14ac:dyDescent="0.25">
      <c r="A14" s="11" t="s">
        <v>9</v>
      </c>
      <c r="B14" s="189" t="s">
        <v>10</v>
      </c>
      <c r="C14" s="66">
        <v>164.62</v>
      </c>
      <c r="D14" s="66">
        <v>0</v>
      </c>
      <c r="E14" s="66">
        <v>173.284212</v>
      </c>
      <c r="F14" s="66">
        <v>164.62</v>
      </c>
      <c r="G14" s="66">
        <v>8.6642119999999991</v>
      </c>
      <c r="H14" s="66">
        <v>164.62</v>
      </c>
      <c r="I14" s="66">
        <v>0</v>
      </c>
      <c r="J14" s="66">
        <v>173.284212</v>
      </c>
      <c r="K14" s="66">
        <v>164.62</v>
      </c>
      <c r="L14" s="66">
        <v>0</v>
      </c>
      <c r="M14" s="66">
        <v>8.6642119999999991</v>
      </c>
      <c r="N14" s="67">
        <v>100</v>
      </c>
      <c r="O14" s="67">
        <v>100</v>
      </c>
      <c r="P14" s="67">
        <v>5.0000008079212659</v>
      </c>
      <c r="Q14" s="66">
        <v>0</v>
      </c>
      <c r="R14" s="67">
        <v>0</v>
      </c>
      <c r="S14" s="66">
        <v>164.62</v>
      </c>
      <c r="T14" s="66">
        <v>0</v>
      </c>
      <c r="U14" s="66">
        <v>173.284212</v>
      </c>
      <c r="V14" s="66">
        <v>164.62</v>
      </c>
      <c r="W14" s="66">
        <v>8.6642119999999991</v>
      </c>
      <c r="X14" s="66">
        <v>164.62</v>
      </c>
      <c r="Y14" s="66">
        <v>0</v>
      </c>
      <c r="Z14" s="66">
        <v>173.284212</v>
      </c>
      <c r="AA14" s="66">
        <v>164.62</v>
      </c>
      <c r="AB14" s="66">
        <v>0</v>
      </c>
      <c r="AC14" s="66">
        <v>8.6642119999999991</v>
      </c>
      <c r="AD14" s="67">
        <v>100</v>
      </c>
      <c r="AE14" s="67">
        <v>100</v>
      </c>
      <c r="AF14" s="67">
        <v>5.0000008079212659</v>
      </c>
      <c r="AG14" s="210">
        <v>0</v>
      </c>
      <c r="AH14" s="67">
        <v>0</v>
      </c>
      <c r="AI14" s="66">
        <v>0</v>
      </c>
      <c r="AJ14" s="66">
        <v>0</v>
      </c>
      <c r="AK14" s="66">
        <v>0</v>
      </c>
      <c r="AL14" s="66">
        <v>0</v>
      </c>
      <c r="AM14" s="66">
        <v>0</v>
      </c>
      <c r="AN14" s="66">
        <v>0</v>
      </c>
      <c r="AO14" s="66">
        <v>0</v>
      </c>
      <c r="AP14" s="66">
        <v>0</v>
      </c>
      <c r="AQ14" s="66">
        <v>0</v>
      </c>
      <c r="AR14" s="66">
        <v>0</v>
      </c>
      <c r="AS14" s="66">
        <v>0</v>
      </c>
      <c r="AT14" s="67" t="s">
        <v>1094</v>
      </c>
      <c r="AU14" s="67" t="s">
        <v>1094</v>
      </c>
      <c r="AV14" s="67">
        <v>0</v>
      </c>
      <c r="AW14" s="210">
        <v>0</v>
      </c>
      <c r="AX14" s="67">
        <v>0</v>
      </c>
    </row>
    <row r="15" spans="1:50" ht="15.75" x14ac:dyDescent="0.25">
      <c r="A15" s="11" t="s">
        <v>12</v>
      </c>
      <c r="B15" s="189" t="s">
        <v>13</v>
      </c>
      <c r="C15" s="66">
        <v>101.04</v>
      </c>
      <c r="D15" s="66">
        <v>0</v>
      </c>
      <c r="E15" s="66">
        <v>106.3579</v>
      </c>
      <c r="F15" s="66">
        <v>101.04</v>
      </c>
      <c r="G15" s="66">
        <v>5.3178999999999998</v>
      </c>
      <c r="H15" s="66">
        <v>101.03994253</v>
      </c>
      <c r="I15" s="66">
        <v>0</v>
      </c>
      <c r="J15" s="66">
        <v>106.35783423999999</v>
      </c>
      <c r="K15" s="66">
        <v>101.03994253</v>
      </c>
      <c r="L15" s="66">
        <v>0</v>
      </c>
      <c r="M15" s="66">
        <v>5.3178917099999996</v>
      </c>
      <c r="N15" s="67">
        <v>99.999943121536035</v>
      </c>
      <c r="O15" s="67">
        <v>99.999844111397351</v>
      </c>
      <c r="P15" s="67">
        <v>4.9999999981195558</v>
      </c>
      <c r="Q15" s="66">
        <v>0</v>
      </c>
      <c r="R15" s="67">
        <v>0</v>
      </c>
      <c r="S15" s="66">
        <v>101.04</v>
      </c>
      <c r="T15" s="66">
        <v>0</v>
      </c>
      <c r="U15" s="66">
        <v>106.3579</v>
      </c>
      <c r="V15" s="66">
        <v>101.04</v>
      </c>
      <c r="W15" s="66">
        <v>5.3178999999999998</v>
      </c>
      <c r="X15" s="66">
        <v>101.03994253</v>
      </c>
      <c r="Y15" s="66">
        <v>0</v>
      </c>
      <c r="Z15" s="66">
        <v>106.35783423999999</v>
      </c>
      <c r="AA15" s="66">
        <v>101.03994253</v>
      </c>
      <c r="AB15" s="66">
        <v>0</v>
      </c>
      <c r="AC15" s="66">
        <v>5.3178917099999996</v>
      </c>
      <c r="AD15" s="67">
        <v>99.999943121536035</v>
      </c>
      <c r="AE15" s="67">
        <v>99.999844111397351</v>
      </c>
      <c r="AF15" s="67">
        <v>4.9999999981195558</v>
      </c>
      <c r="AG15" s="210">
        <v>0</v>
      </c>
      <c r="AH15" s="67">
        <v>0</v>
      </c>
      <c r="AI15" s="66">
        <v>0</v>
      </c>
      <c r="AJ15" s="66">
        <v>0</v>
      </c>
      <c r="AK15" s="66">
        <v>0</v>
      </c>
      <c r="AL15" s="66">
        <v>0</v>
      </c>
      <c r="AM15" s="66">
        <v>0</v>
      </c>
      <c r="AN15" s="66">
        <v>0</v>
      </c>
      <c r="AO15" s="66">
        <v>0</v>
      </c>
      <c r="AP15" s="66">
        <v>0</v>
      </c>
      <c r="AQ15" s="66">
        <v>0</v>
      </c>
      <c r="AR15" s="66">
        <v>0</v>
      </c>
      <c r="AS15" s="66">
        <v>0</v>
      </c>
      <c r="AT15" s="67" t="s">
        <v>1094</v>
      </c>
      <c r="AU15" s="67" t="s">
        <v>1094</v>
      </c>
      <c r="AV15" s="67">
        <v>0</v>
      </c>
      <c r="AW15" s="210">
        <v>0</v>
      </c>
      <c r="AX15" s="67">
        <v>0</v>
      </c>
    </row>
    <row r="16" spans="1:50" ht="15.75" x14ac:dyDescent="0.25">
      <c r="A16" s="11" t="s">
        <v>15</v>
      </c>
      <c r="B16" s="189" t="s">
        <v>16</v>
      </c>
      <c r="C16" s="66">
        <v>4.3460000000000001</v>
      </c>
      <c r="D16" s="66">
        <v>0</v>
      </c>
      <c r="E16" s="66">
        <v>5.4325000000000001</v>
      </c>
      <c r="F16" s="66">
        <v>4.3460000000000001</v>
      </c>
      <c r="G16" s="66">
        <v>1.0865</v>
      </c>
      <c r="H16" s="66">
        <v>4.3460000000000001</v>
      </c>
      <c r="I16" s="66">
        <v>0</v>
      </c>
      <c r="J16" s="66">
        <v>5.4325000000000001</v>
      </c>
      <c r="K16" s="66">
        <v>4.3460000000000001</v>
      </c>
      <c r="L16" s="66">
        <v>0</v>
      </c>
      <c r="M16" s="66">
        <v>1.0865</v>
      </c>
      <c r="N16" s="67">
        <v>100</v>
      </c>
      <c r="O16" s="67">
        <v>100</v>
      </c>
      <c r="P16" s="67">
        <v>20</v>
      </c>
      <c r="Q16" s="66">
        <v>0</v>
      </c>
      <c r="R16" s="67">
        <v>0</v>
      </c>
      <c r="S16" s="66">
        <v>4.3460000000000001</v>
      </c>
      <c r="T16" s="66">
        <v>0</v>
      </c>
      <c r="U16" s="66">
        <v>5.4325000000000001</v>
      </c>
      <c r="V16" s="66">
        <v>4.3460000000000001</v>
      </c>
      <c r="W16" s="66">
        <v>1.0865</v>
      </c>
      <c r="X16" s="66">
        <v>4.3460000000000001</v>
      </c>
      <c r="Y16" s="66">
        <v>0</v>
      </c>
      <c r="Z16" s="66">
        <v>5.4325000000000001</v>
      </c>
      <c r="AA16" s="66">
        <v>4.3460000000000001</v>
      </c>
      <c r="AB16" s="66">
        <v>0</v>
      </c>
      <c r="AC16" s="66">
        <v>1.0865</v>
      </c>
      <c r="AD16" s="67">
        <v>100</v>
      </c>
      <c r="AE16" s="67">
        <v>100</v>
      </c>
      <c r="AF16" s="67">
        <v>20</v>
      </c>
      <c r="AG16" s="210">
        <v>0</v>
      </c>
      <c r="AH16" s="67">
        <v>0</v>
      </c>
      <c r="AI16" s="66">
        <v>0</v>
      </c>
      <c r="AJ16" s="66">
        <v>0</v>
      </c>
      <c r="AK16" s="66">
        <v>0</v>
      </c>
      <c r="AL16" s="66">
        <v>0</v>
      </c>
      <c r="AM16" s="66">
        <v>0</v>
      </c>
      <c r="AN16" s="66">
        <v>0</v>
      </c>
      <c r="AO16" s="66">
        <v>0</v>
      </c>
      <c r="AP16" s="66">
        <v>0</v>
      </c>
      <c r="AQ16" s="66">
        <v>0</v>
      </c>
      <c r="AR16" s="66">
        <v>0</v>
      </c>
      <c r="AS16" s="66">
        <v>0</v>
      </c>
      <c r="AT16" s="67" t="s">
        <v>1094</v>
      </c>
      <c r="AU16" s="67" t="s">
        <v>1094</v>
      </c>
      <c r="AV16" s="67">
        <v>0</v>
      </c>
      <c r="AW16" s="210">
        <v>0</v>
      </c>
      <c r="AX16" s="67">
        <v>0</v>
      </c>
    </row>
    <row r="17" spans="1:50" ht="15.75" x14ac:dyDescent="0.25">
      <c r="A17" s="11" t="s">
        <v>18</v>
      </c>
      <c r="B17" s="189" t="s">
        <v>19</v>
      </c>
      <c r="C17" s="66">
        <v>1134.7646</v>
      </c>
      <c r="D17" s="66">
        <v>0</v>
      </c>
      <c r="E17" s="66">
        <v>1194.9926</v>
      </c>
      <c r="F17" s="66">
        <v>1134.7646</v>
      </c>
      <c r="G17" s="66">
        <v>60.228000000000002</v>
      </c>
      <c r="H17" s="66">
        <v>1134.76443995</v>
      </c>
      <c r="I17" s="66">
        <v>0</v>
      </c>
      <c r="J17" s="66">
        <v>1194.9920387</v>
      </c>
      <c r="K17" s="66">
        <v>1134.76443995</v>
      </c>
      <c r="L17" s="66">
        <v>0</v>
      </c>
      <c r="M17" s="66">
        <v>60.227598749999999</v>
      </c>
      <c r="N17" s="67">
        <v>99.999985895753184</v>
      </c>
      <c r="O17" s="67">
        <v>99.999333781629801</v>
      </c>
      <c r="P17" s="67">
        <v>5.0399999999598322</v>
      </c>
      <c r="Q17" s="66">
        <v>0</v>
      </c>
      <c r="R17" s="67">
        <v>0</v>
      </c>
      <c r="S17" s="66">
        <v>1134.7646</v>
      </c>
      <c r="T17" s="66">
        <v>0</v>
      </c>
      <c r="U17" s="66">
        <v>1194.9926</v>
      </c>
      <c r="V17" s="66">
        <v>1134.7646</v>
      </c>
      <c r="W17" s="66">
        <v>60.228000000000002</v>
      </c>
      <c r="X17" s="66">
        <v>1134.76443995</v>
      </c>
      <c r="Y17" s="66">
        <v>0</v>
      </c>
      <c r="Z17" s="66">
        <v>1194.9920387</v>
      </c>
      <c r="AA17" s="66">
        <v>1134.76443995</v>
      </c>
      <c r="AB17" s="66">
        <v>0</v>
      </c>
      <c r="AC17" s="66">
        <v>60.227598749999999</v>
      </c>
      <c r="AD17" s="67">
        <v>99.999985895753184</v>
      </c>
      <c r="AE17" s="67">
        <v>99.999333781629801</v>
      </c>
      <c r="AF17" s="67">
        <v>5.0399999999598322</v>
      </c>
      <c r="AG17" s="210">
        <v>0</v>
      </c>
      <c r="AH17" s="67">
        <v>0</v>
      </c>
      <c r="AI17" s="66">
        <v>0</v>
      </c>
      <c r="AJ17" s="66">
        <v>0</v>
      </c>
      <c r="AK17" s="66">
        <v>0</v>
      </c>
      <c r="AL17" s="66">
        <v>0</v>
      </c>
      <c r="AM17" s="66">
        <v>0</v>
      </c>
      <c r="AN17" s="66">
        <v>0</v>
      </c>
      <c r="AO17" s="66">
        <v>0</v>
      </c>
      <c r="AP17" s="66">
        <v>0</v>
      </c>
      <c r="AQ17" s="66">
        <v>0</v>
      </c>
      <c r="AR17" s="66">
        <v>0</v>
      </c>
      <c r="AS17" s="66">
        <v>0</v>
      </c>
      <c r="AT17" s="67" t="s">
        <v>1094</v>
      </c>
      <c r="AU17" s="67" t="s">
        <v>1094</v>
      </c>
      <c r="AV17" s="67">
        <v>0</v>
      </c>
      <c r="AW17" s="210">
        <v>0</v>
      </c>
      <c r="AX17" s="67">
        <v>0</v>
      </c>
    </row>
    <row r="18" spans="1:50" ht="15.75" x14ac:dyDescent="0.25">
      <c r="A18" s="11" t="s">
        <v>21</v>
      </c>
      <c r="B18" s="189" t="s">
        <v>22</v>
      </c>
      <c r="C18" s="66">
        <v>48.188899999999997</v>
      </c>
      <c r="D18" s="66">
        <v>0</v>
      </c>
      <c r="E18" s="66">
        <v>50.726851000000003</v>
      </c>
      <c r="F18" s="66">
        <v>48.188899999999997</v>
      </c>
      <c r="G18" s="66">
        <v>2.5379510000000001</v>
      </c>
      <c r="H18" s="66">
        <v>48.188899999999997</v>
      </c>
      <c r="I18" s="66">
        <v>0</v>
      </c>
      <c r="J18" s="66">
        <v>50.726851000000003</v>
      </c>
      <c r="K18" s="66">
        <v>48.188899999999997</v>
      </c>
      <c r="L18" s="66">
        <v>0</v>
      </c>
      <c r="M18" s="66">
        <v>2.5379510000000001</v>
      </c>
      <c r="N18" s="67">
        <v>100</v>
      </c>
      <c r="O18" s="67">
        <v>100</v>
      </c>
      <c r="P18" s="67">
        <v>5.0031708059307682</v>
      </c>
      <c r="Q18" s="66">
        <v>0</v>
      </c>
      <c r="R18" s="67">
        <v>0</v>
      </c>
      <c r="S18" s="66">
        <v>48.188899999999997</v>
      </c>
      <c r="T18" s="66">
        <v>0</v>
      </c>
      <c r="U18" s="66">
        <v>50.726851000000003</v>
      </c>
      <c r="V18" s="66">
        <v>48.188899999999997</v>
      </c>
      <c r="W18" s="66">
        <v>2.5379510000000001</v>
      </c>
      <c r="X18" s="66">
        <v>48.188899999999997</v>
      </c>
      <c r="Y18" s="66">
        <v>0</v>
      </c>
      <c r="Z18" s="66">
        <v>50.726851000000003</v>
      </c>
      <c r="AA18" s="66">
        <v>48.188899999999997</v>
      </c>
      <c r="AB18" s="66">
        <v>0</v>
      </c>
      <c r="AC18" s="66">
        <v>2.5379510000000001</v>
      </c>
      <c r="AD18" s="67">
        <v>100</v>
      </c>
      <c r="AE18" s="67">
        <v>100</v>
      </c>
      <c r="AF18" s="67">
        <v>5.0031708059307682</v>
      </c>
      <c r="AG18" s="210">
        <v>0</v>
      </c>
      <c r="AH18" s="67">
        <v>0</v>
      </c>
      <c r="AI18" s="66">
        <v>0</v>
      </c>
      <c r="AJ18" s="66">
        <v>0</v>
      </c>
      <c r="AK18" s="66">
        <v>0</v>
      </c>
      <c r="AL18" s="66">
        <v>0</v>
      </c>
      <c r="AM18" s="66">
        <v>0</v>
      </c>
      <c r="AN18" s="66">
        <v>0</v>
      </c>
      <c r="AO18" s="66">
        <v>0</v>
      </c>
      <c r="AP18" s="66">
        <v>0</v>
      </c>
      <c r="AQ18" s="66">
        <v>0</v>
      </c>
      <c r="AR18" s="66">
        <v>0</v>
      </c>
      <c r="AS18" s="66">
        <v>0</v>
      </c>
      <c r="AT18" s="67" t="s">
        <v>1094</v>
      </c>
      <c r="AU18" s="67" t="s">
        <v>1094</v>
      </c>
      <c r="AV18" s="67">
        <v>0</v>
      </c>
      <c r="AW18" s="210">
        <v>0</v>
      </c>
      <c r="AX18" s="67">
        <v>0</v>
      </c>
    </row>
    <row r="19" spans="1:50" ht="15.75" x14ac:dyDescent="0.25">
      <c r="A19" s="11" t="s">
        <v>24</v>
      </c>
      <c r="B19" s="189" t="s">
        <v>25</v>
      </c>
      <c r="C19" s="66">
        <v>1311.5304000000001</v>
      </c>
      <c r="D19" s="66">
        <v>0</v>
      </c>
      <c r="E19" s="66">
        <v>1380.5583160000001</v>
      </c>
      <c r="F19" s="66">
        <v>1311.5304000000001</v>
      </c>
      <c r="G19" s="66">
        <v>69.027916000000005</v>
      </c>
      <c r="H19" s="66">
        <v>1311.5303863900001</v>
      </c>
      <c r="I19" s="66">
        <v>0</v>
      </c>
      <c r="J19" s="66">
        <v>1380.5583023900001</v>
      </c>
      <c r="K19" s="66">
        <v>1311.5303863900001</v>
      </c>
      <c r="L19" s="66">
        <v>0</v>
      </c>
      <c r="M19" s="66">
        <v>69.027916000000005</v>
      </c>
      <c r="N19" s="67">
        <v>99.999998962281012</v>
      </c>
      <c r="O19" s="67">
        <v>100</v>
      </c>
      <c r="P19" s="67">
        <v>5.0000000637785451</v>
      </c>
      <c r="Q19" s="66">
        <v>0</v>
      </c>
      <c r="R19" s="67">
        <v>0</v>
      </c>
      <c r="S19" s="66">
        <v>1311.5304000000001</v>
      </c>
      <c r="T19" s="66">
        <v>0</v>
      </c>
      <c r="U19" s="66">
        <v>1380.5583160000001</v>
      </c>
      <c r="V19" s="66">
        <v>1311.5304000000001</v>
      </c>
      <c r="W19" s="66">
        <v>69.027916000000005</v>
      </c>
      <c r="X19" s="66">
        <v>1311.5303863900001</v>
      </c>
      <c r="Y19" s="66">
        <v>0</v>
      </c>
      <c r="Z19" s="66">
        <v>1380.5583023900001</v>
      </c>
      <c r="AA19" s="66">
        <v>1311.5303863900001</v>
      </c>
      <c r="AB19" s="66">
        <v>0</v>
      </c>
      <c r="AC19" s="66">
        <v>69.027916000000005</v>
      </c>
      <c r="AD19" s="67">
        <v>99.999998962281012</v>
      </c>
      <c r="AE19" s="67">
        <v>100</v>
      </c>
      <c r="AF19" s="67">
        <v>5.0000000637785451</v>
      </c>
      <c r="AG19" s="210">
        <v>0</v>
      </c>
      <c r="AH19" s="67">
        <v>0</v>
      </c>
      <c r="AI19" s="66">
        <v>0</v>
      </c>
      <c r="AJ19" s="66">
        <v>0</v>
      </c>
      <c r="AK19" s="66">
        <v>0</v>
      </c>
      <c r="AL19" s="66">
        <v>0</v>
      </c>
      <c r="AM19" s="66">
        <v>0</v>
      </c>
      <c r="AN19" s="66">
        <v>0</v>
      </c>
      <c r="AO19" s="66">
        <v>0</v>
      </c>
      <c r="AP19" s="66">
        <v>0</v>
      </c>
      <c r="AQ19" s="66">
        <v>0</v>
      </c>
      <c r="AR19" s="66">
        <v>0</v>
      </c>
      <c r="AS19" s="66">
        <v>0</v>
      </c>
      <c r="AT19" s="67" t="s">
        <v>1094</v>
      </c>
      <c r="AU19" s="67" t="s">
        <v>1094</v>
      </c>
      <c r="AV19" s="67">
        <v>0</v>
      </c>
      <c r="AW19" s="210">
        <v>0</v>
      </c>
      <c r="AX19" s="67">
        <v>0</v>
      </c>
    </row>
    <row r="20" spans="1:50" ht="15.75" x14ac:dyDescent="0.25">
      <c r="A20" s="11" t="s">
        <v>27</v>
      </c>
      <c r="B20" s="189" t="s">
        <v>28</v>
      </c>
      <c r="C20" s="66">
        <v>3.6968999999999999</v>
      </c>
      <c r="D20" s="66">
        <v>0</v>
      </c>
      <c r="E20" s="66">
        <v>3.8915000000000002</v>
      </c>
      <c r="F20" s="66">
        <v>3.6968999999999999</v>
      </c>
      <c r="G20" s="66">
        <v>0.1946</v>
      </c>
      <c r="H20" s="66">
        <v>3.6968999999999999</v>
      </c>
      <c r="I20" s="66">
        <v>0</v>
      </c>
      <c r="J20" s="66">
        <v>3.8914999799999999</v>
      </c>
      <c r="K20" s="66">
        <v>3.69689998</v>
      </c>
      <c r="L20" s="66">
        <v>0</v>
      </c>
      <c r="M20" s="66">
        <v>0.1946</v>
      </c>
      <c r="N20" s="67">
        <v>99.99999945900619</v>
      </c>
      <c r="O20" s="67">
        <v>100</v>
      </c>
      <c r="P20" s="67">
        <v>5.0006424515001546</v>
      </c>
      <c r="Q20" s="66">
        <v>0</v>
      </c>
      <c r="R20" s="67">
        <v>1.9999999878450581E-8</v>
      </c>
      <c r="S20" s="66">
        <v>3.6968999999999999</v>
      </c>
      <c r="T20" s="66">
        <v>0</v>
      </c>
      <c r="U20" s="66">
        <v>3.8915000000000002</v>
      </c>
      <c r="V20" s="66">
        <v>3.6968999999999999</v>
      </c>
      <c r="W20" s="66">
        <v>0.1946</v>
      </c>
      <c r="X20" s="66">
        <v>3.6968999999999999</v>
      </c>
      <c r="Y20" s="66">
        <v>0</v>
      </c>
      <c r="Z20" s="66">
        <v>3.8914999799999999</v>
      </c>
      <c r="AA20" s="66">
        <v>3.69689998</v>
      </c>
      <c r="AB20" s="66">
        <v>0</v>
      </c>
      <c r="AC20" s="66">
        <v>0.1946</v>
      </c>
      <c r="AD20" s="67">
        <v>99.99999945900619</v>
      </c>
      <c r="AE20" s="67">
        <v>100</v>
      </c>
      <c r="AF20" s="67">
        <v>5.0006424515001546</v>
      </c>
      <c r="AG20" s="210">
        <v>0</v>
      </c>
      <c r="AH20" s="67">
        <v>1.9999999878450581E-8</v>
      </c>
      <c r="AI20" s="66">
        <v>0</v>
      </c>
      <c r="AJ20" s="66">
        <v>0</v>
      </c>
      <c r="AK20" s="66">
        <v>0</v>
      </c>
      <c r="AL20" s="66">
        <v>0</v>
      </c>
      <c r="AM20" s="66">
        <v>0</v>
      </c>
      <c r="AN20" s="66">
        <v>0</v>
      </c>
      <c r="AO20" s="66">
        <v>0</v>
      </c>
      <c r="AP20" s="66">
        <v>0</v>
      </c>
      <c r="AQ20" s="66">
        <v>0</v>
      </c>
      <c r="AR20" s="66">
        <v>0</v>
      </c>
      <c r="AS20" s="66">
        <v>0</v>
      </c>
      <c r="AT20" s="67" t="s">
        <v>1094</v>
      </c>
      <c r="AU20" s="67" t="s">
        <v>1094</v>
      </c>
      <c r="AV20" s="67">
        <v>0</v>
      </c>
      <c r="AW20" s="210">
        <v>0</v>
      </c>
      <c r="AX20" s="67">
        <v>0</v>
      </c>
    </row>
    <row r="21" spans="1:50" ht="15.75" x14ac:dyDescent="0.25">
      <c r="A21" s="11" t="s">
        <v>30</v>
      </c>
      <c r="B21" s="189" t="s">
        <v>31</v>
      </c>
      <c r="C21" s="66">
        <v>1063.7624000000001</v>
      </c>
      <c r="D21" s="66">
        <v>0</v>
      </c>
      <c r="E21" s="66">
        <v>1169.890339</v>
      </c>
      <c r="F21" s="66">
        <v>1063.7624000000001</v>
      </c>
      <c r="G21" s="66">
        <v>106.127939</v>
      </c>
      <c r="H21" s="66">
        <v>1063.7624000000001</v>
      </c>
      <c r="I21" s="66">
        <v>0</v>
      </c>
      <c r="J21" s="66">
        <v>1169.890339</v>
      </c>
      <c r="K21" s="66">
        <v>1063.7624000000001</v>
      </c>
      <c r="L21" s="66">
        <v>0</v>
      </c>
      <c r="M21" s="66">
        <v>106.127939</v>
      </c>
      <c r="N21" s="67">
        <v>100</v>
      </c>
      <c r="O21" s="67">
        <v>100</v>
      </c>
      <c r="P21" s="67">
        <v>9.0716142754641549</v>
      </c>
      <c r="Q21" s="66">
        <v>0</v>
      </c>
      <c r="R21" s="67">
        <v>0</v>
      </c>
      <c r="S21" s="66">
        <v>1063.7624000000001</v>
      </c>
      <c r="T21" s="66">
        <v>0</v>
      </c>
      <c r="U21" s="66">
        <v>1169.890339</v>
      </c>
      <c r="V21" s="66">
        <v>1063.7624000000001</v>
      </c>
      <c r="W21" s="66">
        <v>106.127939</v>
      </c>
      <c r="X21" s="66">
        <v>1063.7624000000001</v>
      </c>
      <c r="Y21" s="66">
        <v>0</v>
      </c>
      <c r="Z21" s="66">
        <v>1169.890339</v>
      </c>
      <c r="AA21" s="66">
        <v>1063.7624000000001</v>
      </c>
      <c r="AB21" s="66">
        <v>0</v>
      </c>
      <c r="AC21" s="66">
        <v>106.127939</v>
      </c>
      <c r="AD21" s="67">
        <v>100</v>
      </c>
      <c r="AE21" s="67">
        <v>100</v>
      </c>
      <c r="AF21" s="67">
        <v>9.0716142754641549</v>
      </c>
      <c r="AG21" s="210">
        <v>0</v>
      </c>
      <c r="AH21" s="67">
        <v>0</v>
      </c>
      <c r="AI21" s="66">
        <v>0</v>
      </c>
      <c r="AJ21" s="66">
        <v>0</v>
      </c>
      <c r="AK21" s="66">
        <v>0</v>
      </c>
      <c r="AL21" s="66">
        <v>0</v>
      </c>
      <c r="AM21" s="66">
        <v>0</v>
      </c>
      <c r="AN21" s="66">
        <v>0</v>
      </c>
      <c r="AO21" s="66">
        <v>0</v>
      </c>
      <c r="AP21" s="66">
        <v>0</v>
      </c>
      <c r="AQ21" s="66">
        <v>0</v>
      </c>
      <c r="AR21" s="66">
        <v>0</v>
      </c>
      <c r="AS21" s="66">
        <v>0</v>
      </c>
      <c r="AT21" s="67" t="s">
        <v>1094</v>
      </c>
      <c r="AU21" s="67" t="s">
        <v>1094</v>
      </c>
      <c r="AV21" s="67">
        <v>0</v>
      </c>
      <c r="AW21" s="210">
        <v>0</v>
      </c>
      <c r="AX21" s="67">
        <v>0</v>
      </c>
    </row>
    <row r="22" spans="1:50" ht="15.75" x14ac:dyDescent="0.25">
      <c r="A22" s="11" t="s">
        <v>33</v>
      </c>
      <c r="B22" s="189" t="s">
        <v>34</v>
      </c>
      <c r="C22" s="66">
        <v>933.97979999999995</v>
      </c>
      <c r="D22" s="66">
        <v>0</v>
      </c>
      <c r="E22" s="66">
        <v>983.13675799999999</v>
      </c>
      <c r="F22" s="66">
        <v>933.97979999999995</v>
      </c>
      <c r="G22" s="66">
        <v>49.156958000000003</v>
      </c>
      <c r="H22" s="66">
        <v>933.97979999999995</v>
      </c>
      <c r="I22" s="66">
        <v>0</v>
      </c>
      <c r="J22" s="66">
        <v>983.13663158000008</v>
      </c>
      <c r="K22" s="66">
        <v>933.97979999999995</v>
      </c>
      <c r="L22" s="66">
        <v>0</v>
      </c>
      <c r="M22" s="66">
        <v>49.156831579999995</v>
      </c>
      <c r="N22" s="67">
        <v>100</v>
      </c>
      <c r="O22" s="67">
        <v>99.999742823793099</v>
      </c>
      <c r="P22" s="67">
        <v>5.0000000001017142</v>
      </c>
      <c r="Q22" s="66">
        <v>0</v>
      </c>
      <c r="R22" s="67">
        <v>0</v>
      </c>
      <c r="S22" s="66">
        <v>933.97979999999995</v>
      </c>
      <c r="T22" s="66">
        <v>0</v>
      </c>
      <c r="U22" s="66">
        <v>983.13675799999999</v>
      </c>
      <c r="V22" s="66">
        <v>933.97979999999995</v>
      </c>
      <c r="W22" s="66">
        <v>49.156958000000003</v>
      </c>
      <c r="X22" s="66">
        <v>933.97979999999995</v>
      </c>
      <c r="Y22" s="66">
        <v>0</v>
      </c>
      <c r="Z22" s="66">
        <v>983.13663158000008</v>
      </c>
      <c r="AA22" s="66">
        <v>933.97979999999995</v>
      </c>
      <c r="AB22" s="66">
        <v>0</v>
      </c>
      <c r="AC22" s="66">
        <v>49.156831579999995</v>
      </c>
      <c r="AD22" s="67">
        <v>100</v>
      </c>
      <c r="AE22" s="67">
        <v>99.999742823793099</v>
      </c>
      <c r="AF22" s="67">
        <v>5.0000000001017142</v>
      </c>
      <c r="AG22" s="210">
        <v>0</v>
      </c>
      <c r="AH22" s="67">
        <v>0</v>
      </c>
      <c r="AI22" s="66">
        <v>0</v>
      </c>
      <c r="AJ22" s="66">
        <v>0</v>
      </c>
      <c r="AK22" s="66">
        <v>0</v>
      </c>
      <c r="AL22" s="66">
        <v>0</v>
      </c>
      <c r="AM22" s="66">
        <v>0</v>
      </c>
      <c r="AN22" s="66">
        <v>0</v>
      </c>
      <c r="AO22" s="66">
        <v>0</v>
      </c>
      <c r="AP22" s="66">
        <v>0</v>
      </c>
      <c r="AQ22" s="66">
        <v>0</v>
      </c>
      <c r="AR22" s="66">
        <v>0</v>
      </c>
      <c r="AS22" s="66">
        <v>0</v>
      </c>
      <c r="AT22" s="67" t="s">
        <v>1094</v>
      </c>
      <c r="AU22" s="67" t="s">
        <v>1094</v>
      </c>
      <c r="AV22" s="67">
        <v>0</v>
      </c>
      <c r="AW22" s="210">
        <v>0</v>
      </c>
      <c r="AX22" s="67">
        <v>0</v>
      </c>
    </row>
    <row r="23" spans="1:50" ht="15.75" x14ac:dyDescent="0.25">
      <c r="A23" s="11" t="s">
        <v>36</v>
      </c>
      <c r="B23" s="189" t="s">
        <v>37</v>
      </c>
      <c r="C23" s="66">
        <v>561.79250000000002</v>
      </c>
      <c r="D23" s="66">
        <v>0</v>
      </c>
      <c r="E23" s="66">
        <v>591.36152874000004</v>
      </c>
      <c r="F23" s="66">
        <v>561.79250000000002</v>
      </c>
      <c r="G23" s="66">
        <v>29.56902874</v>
      </c>
      <c r="H23" s="66">
        <v>561.79238926999994</v>
      </c>
      <c r="I23" s="66">
        <v>0</v>
      </c>
      <c r="J23" s="66">
        <v>591.36141273999999</v>
      </c>
      <c r="K23" s="66">
        <v>561.79238926999994</v>
      </c>
      <c r="L23" s="66">
        <v>0</v>
      </c>
      <c r="M23" s="66">
        <v>29.569023470000001</v>
      </c>
      <c r="N23" s="67">
        <v>99.999980289875694</v>
      </c>
      <c r="O23" s="67">
        <v>99.999982177297582</v>
      </c>
      <c r="P23" s="67">
        <v>5.0001611253253042</v>
      </c>
      <c r="Q23" s="66">
        <v>0</v>
      </c>
      <c r="R23" s="67">
        <v>0</v>
      </c>
      <c r="S23" s="66">
        <v>558.42650000000003</v>
      </c>
      <c r="T23" s="66">
        <v>0</v>
      </c>
      <c r="U23" s="66">
        <v>587.81752874000006</v>
      </c>
      <c r="V23" s="66">
        <v>558.42650000000003</v>
      </c>
      <c r="W23" s="66">
        <v>29.391028739999999</v>
      </c>
      <c r="X23" s="66">
        <v>558.42638926999996</v>
      </c>
      <c r="Y23" s="66">
        <v>0</v>
      </c>
      <c r="Z23" s="66">
        <v>587.81741274000001</v>
      </c>
      <c r="AA23" s="66">
        <v>558.42638926999996</v>
      </c>
      <c r="AB23" s="66">
        <v>0</v>
      </c>
      <c r="AC23" s="66">
        <v>29.39102347</v>
      </c>
      <c r="AD23" s="67">
        <v>99.99998017106995</v>
      </c>
      <c r="AE23" s="67">
        <v>99.999982069358495</v>
      </c>
      <c r="AF23" s="67">
        <v>5.000026000080414</v>
      </c>
      <c r="AG23" s="210">
        <v>0</v>
      </c>
      <c r="AH23" s="67">
        <v>0</v>
      </c>
      <c r="AI23" s="66">
        <v>3.3660000000000001</v>
      </c>
      <c r="AJ23" s="66">
        <v>0</v>
      </c>
      <c r="AK23" s="66">
        <v>3.544</v>
      </c>
      <c r="AL23" s="66">
        <v>3.3660000000000001</v>
      </c>
      <c r="AM23" s="66">
        <v>0.17799999999999999</v>
      </c>
      <c r="AN23" s="66">
        <v>3.3660000000000001</v>
      </c>
      <c r="AO23" s="66">
        <v>0</v>
      </c>
      <c r="AP23" s="66">
        <v>3.544</v>
      </c>
      <c r="AQ23" s="66">
        <v>3.3660000000000001</v>
      </c>
      <c r="AR23" s="66">
        <v>0</v>
      </c>
      <c r="AS23" s="66">
        <v>0.17799999999999999</v>
      </c>
      <c r="AT23" s="67">
        <v>100</v>
      </c>
      <c r="AU23" s="67">
        <v>100</v>
      </c>
      <c r="AV23" s="67">
        <v>5.0225733634311505</v>
      </c>
      <c r="AW23" s="210">
        <v>0</v>
      </c>
      <c r="AX23" s="67">
        <v>0</v>
      </c>
    </row>
    <row r="24" spans="1:50" ht="15.75" x14ac:dyDescent="0.25">
      <c r="A24" s="11" t="s">
        <v>39</v>
      </c>
      <c r="B24" s="189" t="s">
        <v>297</v>
      </c>
      <c r="C24" s="66">
        <v>0</v>
      </c>
      <c r="D24" s="66">
        <v>0</v>
      </c>
      <c r="E24" s="66">
        <v>0</v>
      </c>
      <c r="F24" s="66">
        <v>0</v>
      </c>
      <c r="G24" s="66">
        <v>0</v>
      </c>
      <c r="H24" s="66">
        <v>0</v>
      </c>
      <c r="I24" s="66">
        <v>0</v>
      </c>
      <c r="J24" s="66">
        <v>0</v>
      </c>
      <c r="K24" s="66">
        <v>0</v>
      </c>
      <c r="L24" s="66">
        <v>0</v>
      </c>
      <c r="M24" s="66">
        <v>0</v>
      </c>
      <c r="N24" s="67" t="s">
        <v>1094</v>
      </c>
      <c r="O24" s="67" t="s">
        <v>1094</v>
      </c>
      <c r="P24" s="67">
        <v>0</v>
      </c>
      <c r="Q24" s="66">
        <v>0</v>
      </c>
      <c r="R24" s="67">
        <v>0</v>
      </c>
      <c r="S24" s="66">
        <v>0</v>
      </c>
      <c r="T24" s="66">
        <v>0</v>
      </c>
      <c r="U24" s="66">
        <v>0</v>
      </c>
      <c r="V24" s="66">
        <v>0</v>
      </c>
      <c r="W24" s="66">
        <v>0</v>
      </c>
      <c r="X24" s="66">
        <v>0</v>
      </c>
      <c r="Y24" s="66">
        <v>0</v>
      </c>
      <c r="Z24" s="66">
        <v>0</v>
      </c>
      <c r="AA24" s="66">
        <v>0</v>
      </c>
      <c r="AB24" s="66">
        <v>0</v>
      </c>
      <c r="AC24" s="66">
        <v>0</v>
      </c>
      <c r="AD24" s="67" t="s">
        <v>1094</v>
      </c>
      <c r="AE24" s="67" t="s">
        <v>1094</v>
      </c>
      <c r="AF24" s="67">
        <v>0</v>
      </c>
      <c r="AG24" s="210">
        <v>0</v>
      </c>
      <c r="AH24" s="67">
        <v>0</v>
      </c>
      <c r="AI24" s="66">
        <v>0</v>
      </c>
      <c r="AJ24" s="66">
        <v>0</v>
      </c>
      <c r="AK24" s="66">
        <v>0</v>
      </c>
      <c r="AL24" s="66">
        <v>0</v>
      </c>
      <c r="AM24" s="66">
        <v>0</v>
      </c>
      <c r="AN24" s="66">
        <v>0</v>
      </c>
      <c r="AO24" s="66">
        <v>0</v>
      </c>
      <c r="AP24" s="66">
        <v>0</v>
      </c>
      <c r="AQ24" s="66">
        <v>0</v>
      </c>
      <c r="AR24" s="66">
        <v>0</v>
      </c>
      <c r="AS24" s="66">
        <v>0</v>
      </c>
      <c r="AT24" s="67" t="s">
        <v>1094</v>
      </c>
      <c r="AU24" s="67" t="s">
        <v>1094</v>
      </c>
      <c r="AV24" s="67">
        <v>0</v>
      </c>
      <c r="AW24" s="210">
        <v>0</v>
      </c>
      <c r="AX24" s="67">
        <v>0</v>
      </c>
    </row>
    <row r="25" spans="1:50" ht="15.75" x14ac:dyDescent="0.25">
      <c r="A25" s="11" t="s">
        <v>41</v>
      </c>
      <c r="B25" s="189" t="s">
        <v>42</v>
      </c>
      <c r="C25" s="66">
        <v>0</v>
      </c>
      <c r="D25" s="66">
        <v>0</v>
      </c>
      <c r="E25" s="66">
        <v>0</v>
      </c>
      <c r="F25" s="66">
        <v>0</v>
      </c>
      <c r="G25" s="66">
        <v>0</v>
      </c>
      <c r="H25" s="66">
        <v>0</v>
      </c>
      <c r="I25" s="66">
        <v>0</v>
      </c>
      <c r="J25" s="66">
        <v>0</v>
      </c>
      <c r="K25" s="66">
        <v>0</v>
      </c>
      <c r="L25" s="66">
        <v>0</v>
      </c>
      <c r="M25" s="66">
        <v>0</v>
      </c>
      <c r="N25" s="67" t="s">
        <v>1094</v>
      </c>
      <c r="O25" s="67" t="s">
        <v>1094</v>
      </c>
      <c r="P25" s="67">
        <v>0</v>
      </c>
      <c r="Q25" s="66">
        <v>0</v>
      </c>
      <c r="R25" s="67">
        <v>0</v>
      </c>
      <c r="S25" s="66">
        <v>0</v>
      </c>
      <c r="T25" s="66">
        <v>0</v>
      </c>
      <c r="U25" s="66">
        <v>0</v>
      </c>
      <c r="V25" s="66">
        <v>0</v>
      </c>
      <c r="W25" s="66">
        <v>0</v>
      </c>
      <c r="X25" s="66">
        <v>0</v>
      </c>
      <c r="Y25" s="66">
        <v>0</v>
      </c>
      <c r="Z25" s="66">
        <v>0</v>
      </c>
      <c r="AA25" s="66">
        <v>0</v>
      </c>
      <c r="AB25" s="66">
        <v>0</v>
      </c>
      <c r="AC25" s="66">
        <v>0</v>
      </c>
      <c r="AD25" s="67" t="s">
        <v>1094</v>
      </c>
      <c r="AE25" s="67" t="s">
        <v>1094</v>
      </c>
      <c r="AF25" s="67">
        <v>0</v>
      </c>
      <c r="AG25" s="210">
        <v>0</v>
      </c>
      <c r="AH25" s="67">
        <v>0</v>
      </c>
      <c r="AI25" s="66">
        <v>0</v>
      </c>
      <c r="AJ25" s="66">
        <v>0</v>
      </c>
      <c r="AK25" s="66">
        <v>0</v>
      </c>
      <c r="AL25" s="66">
        <v>0</v>
      </c>
      <c r="AM25" s="66">
        <v>0</v>
      </c>
      <c r="AN25" s="66">
        <v>0</v>
      </c>
      <c r="AO25" s="66">
        <v>0</v>
      </c>
      <c r="AP25" s="66">
        <v>0</v>
      </c>
      <c r="AQ25" s="66">
        <v>0</v>
      </c>
      <c r="AR25" s="66">
        <v>0</v>
      </c>
      <c r="AS25" s="66">
        <v>0</v>
      </c>
      <c r="AT25" s="67" t="s">
        <v>1094</v>
      </c>
      <c r="AU25" s="67" t="s">
        <v>1094</v>
      </c>
      <c r="AV25" s="67">
        <v>0</v>
      </c>
      <c r="AW25" s="210">
        <v>0</v>
      </c>
      <c r="AX25" s="67">
        <v>0</v>
      </c>
    </row>
    <row r="26" spans="1:50" ht="15.75" x14ac:dyDescent="0.25">
      <c r="A26" s="11" t="s">
        <v>44</v>
      </c>
      <c r="B26" s="189" t="s">
        <v>45</v>
      </c>
      <c r="C26" s="66">
        <v>64.5</v>
      </c>
      <c r="D26" s="66">
        <v>0</v>
      </c>
      <c r="E26" s="66">
        <v>68.047499999999999</v>
      </c>
      <c r="F26" s="66">
        <v>64.5</v>
      </c>
      <c r="G26" s="66">
        <v>3.5474999999999999</v>
      </c>
      <c r="H26" s="66">
        <v>64.5</v>
      </c>
      <c r="I26" s="66">
        <v>0</v>
      </c>
      <c r="J26" s="66">
        <v>68.047499999999999</v>
      </c>
      <c r="K26" s="66">
        <v>64.5</v>
      </c>
      <c r="L26" s="66">
        <v>0</v>
      </c>
      <c r="M26" s="66">
        <v>3.5474999999999999</v>
      </c>
      <c r="N26" s="67">
        <v>100</v>
      </c>
      <c r="O26" s="67">
        <v>100</v>
      </c>
      <c r="P26" s="67">
        <v>5.2132701421800949</v>
      </c>
      <c r="Q26" s="66">
        <v>0</v>
      </c>
      <c r="R26" s="67">
        <v>0</v>
      </c>
      <c r="S26" s="66">
        <v>64.5</v>
      </c>
      <c r="T26" s="66">
        <v>0</v>
      </c>
      <c r="U26" s="66">
        <v>68.047499999999999</v>
      </c>
      <c r="V26" s="66">
        <v>64.5</v>
      </c>
      <c r="W26" s="66">
        <v>3.5474999999999999</v>
      </c>
      <c r="X26" s="66">
        <v>64.5</v>
      </c>
      <c r="Y26" s="66">
        <v>0</v>
      </c>
      <c r="Z26" s="66">
        <v>68.047499999999999</v>
      </c>
      <c r="AA26" s="66">
        <v>64.5</v>
      </c>
      <c r="AB26" s="66">
        <v>0</v>
      </c>
      <c r="AC26" s="66">
        <v>3.5474999999999999</v>
      </c>
      <c r="AD26" s="67">
        <v>100</v>
      </c>
      <c r="AE26" s="67">
        <v>100</v>
      </c>
      <c r="AF26" s="67">
        <v>5.2132701421800949</v>
      </c>
      <c r="AG26" s="210">
        <v>0</v>
      </c>
      <c r="AH26" s="67">
        <v>0</v>
      </c>
      <c r="AI26" s="66">
        <v>0</v>
      </c>
      <c r="AJ26" s="66">
        <v>0</v>
      </c>
      <c r="AK26" s="66">
        <v>0</v>
      </c>
      <c r="AL26" s="66">
        <v>0</v>
      </c>
      <c r="AM26" s="66">
        <v>0</v>
      </c>
      <c r="AN26" s="66">
        <v>0</v>
      </c>
      <c r="AO26" s="66">
        <v>0</v>
      </c>
      <c r="AP26" s="66">
        <v>0</v>
      </c>
      <c r="AQ26" s="66">
        <v>0</v>
      </c>
      <c r="AR26" s="66">
        <v>0</v>
      </c>
      <c r="AS26" s="66">
        <v>0</v>
      </c>
      <c r="AT26" s="67" t="s">
        <v>1094</v>
      </c>
      <c r="AU26" s="67" t="s">
        <v>1094</v>
      </c>
      <c r="AV26" s="67">
        <v>0</v>
      </c>
      <c r="AW26" s="210">
        <v>0</v>
      </c>
      <c r="AX26" s="67">
        <v>0</v>
      </c>
    </row>
    <row r="27" spans="1:50" ht="15.75" x14ac:dyDescent="0.25">
      <c r="A27" s="11" t="s">
        <v>47</v>
      </c>
      <c r="B27" s="189" t="s">
        <v>48</v>
      </c>
      <c r="C27" s="66">
        <v>0</v>
      </c>
      <c r="D27" s="66">
        <v>0</v>
      </c>
      <c r="E27" s="66">
        <v>0</v>
      </c>
      <c r="F27" s="66">
        <v>0</v>
      </c>
      <c r="G27" s="66">
        <v>0</v>
      </c>
      <c r="H27" s="66">
        <v>0</v>
      </c>
      <c r="I27" s="66">
        <v>0</v>
      </c>
      <c r="J27" s="66">
        <v>0</v>
      </c>
      <c r="K27" s="66">
        <v>0</v>
      </c>
      <c r="L27" s="66">
        <v>0</v>
      </c>
      <c r="M27" s="66">
        <v>0</v>
      </c>
      <c r="N27" s="67" t="s">
        <v>1094</v>
      </c>
      <c r="O27" s="67" t="s">
        <v>1094</v>
      </c>
      <c r="P27" s="67">
        <v>0</v>
      </c>
      <c r="Q27" s="66">
        <v>0</v>
      </c>
      <c r="R27" s="67">
        <v>0</v>
      </c>
      <c r="S27" s="66">
        <v>0</v>
      </c>
      <c r="T27" s="66">
        <v>0</v>
      </c>
      <c r="U27" s="66">
        <v>0</v>
      </c>
      <c r="V27" s="66">
        <v>0</v>
      </c>
      <c r="W27" s="66">
        <v>0</v>
      </c>
      <c r="X27" s="66">
        <v>0</v>
      </c>
      <c r="Y27" s="66">
        <v>0</v>
      </c>
      <c r="Z27" s="66">
        <v>0</v>
      </c>
      <c r="AA27" s="66">
        <v>0</v>
      </c>
      <c r="AB27" s="66">
        <v>0</v>
      </c>
      <c r="AC27" s="66">
        <v>0</v>
      </c>
      <c r="AD27" s="67" t="s">
        <v>1094</v>
      </c>
      <c r="AE27" s="67" t="s">
        <v>1094</v>
      </c>
      <c r="AF27" s="67">
        <v>0</v>
      </c>
      <c r="AG27" s="210">
        <v>0</v>
      </c>
      <c r="AH27" s="67">
        <v>0</v>
      </c>
      <c r="AI27" s="66">
        <v>0</v>
      </c>
      <c r="AJ27" s="66">
        <v>0</v>
      </c>
      <c r="AK27" s="66">
        <v>0</v>
      </c>
      <c r="AL27" s="66">
        <v>0</v>
      </c>
      <c r="AM27" s="66">
        <v>0</v>
      </c>
      <c r="AN27" s="66">
        <v>0</v>
      </c>
      <c r="AO27" s="66">
        <v>0</v>
      </c>
      <c r="AP27" s="66">
        <v>0</v>
      </c>
      <c r="AQ27" s="66">
        <v>0</v>
      </c>
      <c r="AR27" s="66">
        <v>0</v>
      </c>
      <c r="AS27" s="66">
        <v>0</v>
      </c>
      <c r="AT27" s="67" t="s">
        <v>1094</v>
      </c>
      <c r="AU27" s="67" t="s">
        <v>1094</v>
      </c>
      <c r="AV27" s="67">
        <v>0</v>
      </c>
      <c r="AW27" s="210">
        <v>0</v>
      </c>
      <c r="AX27" s="67">
        <v>0</v>
      </c>
    </row>
    <row r="28" spans="1:50" ht="15.75" x14ac:dyDescent="0.25">
      <c r="A28" s="11" t="s">
        <v>50</v>
      </c>
      <c r="B28" s="189" t="s">
        <v>51</v>
      </c>
      <c r="C28" s="66">
        <v>27.047999999999998</v>
      </c>
      <c r="D28" s="66">
        <v>0</v>
      </c>
      <c r="E28" s="66">
        <v>28.535640000000001</v>
      </c>
      <c r="F28" s="66">
        <v>27.047999999999998</v>
      </c>
      <c r="G28" s="66">
        <v>1.4876400000000001</v>
      </c>
      <c r="H28" s="66">
        <v>27.047999999999998</v>
      </c>
      <c r="I28" s="66">
        <v>0</v>
      </c>
      <c r="J28" s="66">
        <v>28.535640000000001</v>
      </c>
      <c r="K28" s="66">
        <v>27.047999999999998</v>
      </c>
      <c r="L28" s="66">
        <v>0</v>
      </c>
      <c r="M28" s="66">
        <v>1.4876400000000001</v>
      </c>
      <c r="N28" s="67">
        <v>100</v>
      </c>
      <c r="O28" s="67">
        <v>100</v>
      </c>
      <c r="P28" s="67">
        <v>5.2132701421800949</v>
      </c>
      <c r="Q28" s="66">
        <v>0</v>
      </c>
      <c r="R28" s="67">
        <v>0</v>
      </c>
      <c r="S28" s="66">
        <v>0</v>
      </c>
      <c r="T28" s="66">
        <v>0</v>
      </c>
      <c r="U28" s="66">
        <v>0</v>
      </c>
      <c r="V28" s="66">
        <v>0</v>
      </c>
      <c r="W28" s="66">
        <v>0</v>
      </c>
      <c r="X28" s="66">
        <v>0</v>
      </c>
      <c r="Y28" s="66">
        <v>0</v>
      </c>
      <c r="Z28" s="66">
        <v>0</v>
      </c>
      <c r="AA28" s="66">
        <v>0</v>
      </c>
      <c r="AB28" s="66">
        <v>0</v>
      </c>
      <c r="AC28" s="66">
        <v>0</v>
      </c>
      <c r="AD28" s="67" t="s">
        <v>1094</v>
      </c>
      <c r="AE28" s="67" t="s">
        <v>1094</v>
      </c>
      <c r="AF28" s="67">
        <v>0</v>
      </c>
      <c r="AG28" s="210">
        <v>0</v>
      </c>
      <c r="AH28" s="67">
        <v>0</v>
      </c>
      <c r="AI28" s="66">
        <v>27.047999999999998</v>
      </c>
      <c r="AJ28" s="66">
        <v>0</v>
      </c>
      <c r="AK28" s="66">
        <v>28.535640000000001</v>
      </c>
      <c r="AL28" s="66">
        <v>27.047999999999998</v>
      </c>
      <c r="AM28" s="66">
        <v>1.4876400000000001</v>
      </c>
      <c r="AN28" s="66">
        <v>27.047999999999998</v>
      </c>
      <c r="AO28" s="66">
        <v>0</v>
      </c>
      <c r="AP28" s="66">
        <v>28.535640000000001</v>
      </c>
      <c r="AQ28" s="66">
        <v>27.047999999999998</v>
      </c>
      <c r="AR28" s="66">
        <v>0</v>
      </c>
      <c r="AS28" s="66">
        <v>1.4876400000000001</v>
      </c>
      <c r="AT28" s="67">
        <v>100</v>
      </c>
      <c r="AU28" s="67">
        <v>100</v>
      </c>
      <c r="AV28" s="67">
        <v>5.2132701421800949</v>
      </c>
      <c r="AW28" s="210">
        <v>0</v>
      </c>
      <c r="AX28" s="67">
        <v>0</v>
      </c>
    </row>
    <row r="29" spans="1:50" ht="15.75" x14ac:dyDescent="0.25">
      <c r="A29" s="11" t="s">
        <v>53</v>
      </c>
      <c r="B29" s="189" t="s">
        <v>54</v>
      </c>
      <c r="C29" s="66">
        <v>997.32799999999997</v>
      </c>
      <c r="D29" s="66">
        <v>0</v>
      </c>
      <c r="E29" s="66">
        <v>1049.9957999999999</v>
      </c>
      <c r="F29" s="66">
        <v>997.32799999999997</v>
      </c>
      <c r="G29" s="66">
        <v>52.6678</v>
      </c>
      <c r="H29" s="66">
        <v>997.30514079</v>
      </c>
      <c r="I29" s="66">
        <v>0</v>
      </c>
      <c r="J29" s="66">
        <v>1049.9717334299999</v>
      </c>
      <c r="K29" s="66">
        <v>997.30514079</v>
      </c>
      <c r="L29" s="66">
        <v>0</v>
      </c>
      <c r="M29" s="66">
        <v>52.666592639999998</v>
      </c>
      <c r="N29" s="67">
        <v>99.997707954654828</v>
      </c>
      <c r="O29" s="67">
        <v>99.997707593634061</v>
      </c>
      <c r="P29" s="67">
        <v>5.0160009991841559</v>
      </c>
      <c r="Q29" s="66">
        <v>0</v>
      </c>
      <c r="R29" s="67">
        <v>0</v>
      </c>
      <c r="S29" s="66">
        <v>997.32799999999997</v>
      </c>
      <c r="T29" s="66">
        <v>0</v>
      </c>
      <c r="U29" s="66">
        <v>1049.9957999999999</v>
      </c>
      <c r="V29" s="66">
        <v>997.32799999999997</v>
      </c>
      <c r="W29" s="66">
        <v>52.6678</v>
      </c>
      <c r="X29" s="66">
        <v>997.30514079</v>
      </c>
      <c r="Y29" s="66">
        <v>0</v>
      </c>
      <c r="Z29" s="66">
        <v>1049.9717334299999</v>
      </c>
      <c r="AA29" s="66">
        <v>997.30514079</v>
      </c>
      <c r="AB29" s="66">
        <v>0</v>
      </c>
      <c r="AC29" s="66">
        <v>52.666592639999998</v>
      </c>
      <c r="AD29" s="67">
        <v>99.997707954654828</v>
      </c>
      <c r="AE29" s="67">
        <v>99.997707593634061</v>
      </c>
      <c r="AF29" s="67">
        <v>5.0160009991841559</v>
      </c>
      <c r="AG29" s="210">
        <v>0</v>
      </c>
      <c r="AH29" s="67">
        <v>0</v>
      </c>
      <c r="AI29" s="66">
        <v>0</v>
      </c>
      <c r="AJ29" s="66">
        <v>0</v>
      </c>
      <c r="AK29" s="66">
        <v>0</v>
      </c>
      <c r="AL29" s="66">
        <v>0</v>
      </c>
      <c r="AM29" s="66">
        <v>0</v>
      </c>
      <c r="AN29" s="66">
        <v>0</v>
      </c>
      <c r="AO29" s="66">
        <v>0</v>
      </c>
      <c r="AP29" s="66">
        <v>0</v>
      </c>
      <c r="AQ29" s="66">
        <v>0</v>
      </c>
      <c r="AR29" s="66">
        <v>0</v>
      </c>
      <c r="AS29" s="66">
        <v>0</v>
      </c>
      <c r="AT29" s="67" t="s">
        <v>1094</v>
      </c>
      <c r="AU29" s="67" t="s">
        <v>1094</v>
      </c>
      <c r="AV29" s="67">
        <v>0</v>
      </c>
      <c r="AW29" s="210">
        <v>0</v>
      </c>
      <c r="AX29" s="67">
        <v>0</v>
      </c>
    </row>
    <row r="30" spans="1:50" ht="15.75" x14ac:dyDescent="0.25">
      <c r="A30" s="11" t="s">
        <v>56</v>
      </c>
      <c r="B30" s="189" t="s">
        <v>57</v>
      </c>
      <c r="C30" s="66">
        <v>0</v>
      </c>
      <c r="D30" s="66">
        <v>0</v>
      </c>
      <c r="E30" s="66">
        <v>0</v>
      </c>
      <c r="F30" s="66">
        <v>0</v>
      </c>
      <c r="G30" s="66">
        <v>0</v>
      </c>
      <c r="H30" s="66">
        <v>0</v>
      </c>
      <c r="I30" s="66">
        <v>0</v>
      </c>
      <c r="J30" s="66">
        <v>0</v>
      </c>
      <c r="K30" s="66">
        <v>0</v>
      </c>
      <c r="L30" s="66">
        <v>0</v>
      </c>
      <c r="M30" s="66">
        <v>0</v>
      </c>
      <c r="N30" s="67" t="s">
        <v>1094</v>
      </c>
      <c r="O30" s="67" t="s">
        <v>1094</v>
      </c>
      <c r="P30" s="67">
        <v>0</v>
      </c>
      <c r="Q30" s="66">
        <v>0</v>
      </c>
      <c r="R30" s="67">
        <v>0</v>
      </c>
      <c r="S30" s="66">
        <v>0</v>
      </c>
      <c r="T30" s="66">
        <v>0</v>
      </c>
      <c r="U30" s="66">
        <v>0</v>
      </c>
      <c r="V30" s="66">
        <v>0</v>
      </c>
      <c r="W30" s="66">
        <v>0</v>
      </c>
      <c r="X30" s="66">
        <v>0</v>
      </c>
      <c r="Y30" s="66">
        <v>0</v>
      </c>
      <c r="Z30" s="66">
        <v>0</v>
      </c>
      <c r="AA30" s="66">
        <v>0</v>
      </c>
      <c r="AB30" s="66">
        <v>0</v>
      </c>
      <c r="AC30" s="66">
        <v>0</v>
      </c>
      <c r="AD30" s="67" t="s">
        <v>1094</v>
      </c>
      <c r="AE30" s="67" t="s">
        <v>1094</v>
      </c>
      <c r="AF30" s="67">
        <v>0</v>
      </c>
      <c r="AG30" s="210">
        <v>0</v>
      </c>
      <c r="AH30" s="67">
        <v>0</v>
      </c>
      <c r="AI30" s="66">
        <v>0</v>
      </c>
      <c r="AJ30" s="66">
        <v>0</v>
      </c>
      <c r="AK30" s="66">
        <v>0</v>
      </c>
      <c r="AL30" s="66">
        <v>0</v>
      </c>
      <c r="AM30" s="66">
        <v>0</v>
      </c>
      <c r="AN30" s="66">
        <v>0</v>
      </c>
      <c r="AO30" s="66">
        <v>0</v>
      </c>
      <c r="AP30" s="66">
        <v>0</v>
      </c>
      <c r="AQ30" s="66">
        <v>0</v>
      </c>
      <c r="AR30" s="66">
        <v>0</v>
      </c>
      <c r="AS30" s="66">
        <v>0</v>
      </c>
      <c r="AT30" s="67" t="s">
        <v>1094</v>
      </c>
      <c r="AU30" s="67" t="s">
        <v>1094</v>
      </c>
      <c r="AV30" s="67">
        <v>0</v>
      </c>
      <c r="AW30" s="210">
        <v>0</v>
      </c>
      <c r="AX30" s="67">
        <v>0</v>
      </c>
    </row>
    <row r="31" spans="1:50" ht="15.75" x14ac:dyDescent="0.25">
      <c r="A31" s="11" t="s">
        <v>59</v>
      </c>
      <c r="B31" s="189" t="s">
        <v>60</v>
      </c>
      <c r="C31" s="66">
        <v>112.34829999999999</v>
      </c>
      <c r="D31" s="66">
        <v>0</v>
      </c>
      <c r="E31" s="66">
        <v>140.43537499999999</v>
      </c>
      <c r="F31" s="66">
        <v>112.34829999999999</v>
      </c>
      <c r="G31" s="66">
        <v>28.087074999999999</v>
      </c>
      <c r="H31" s="66">
        <v>112.34829999999999</v>
      </c>
      <c r="I31" s="66">
        <v>0</v>
      </c>
      <c r="J31" s="66">
        <v>140.43537499999999</v>
      </c>
      <c r="K31" s="66">
        <v>112.34829999999999</v>
      </c>
      <c r="L31" s="66">
        <v>0</v>
      </c>
      <c r="M31" s="66">
        <v>28.087074999999999</v>
      </c>
      <c r="N31" s="67">
        <v>100</v>
      </c>
      <c r="O31" s="67">
        <v>100</v>
      </c>
      <c r="P31" s="67">
        <v>20</v>
      </c>
      <c r="Q31" s="66">
        <v>0</v>
      </c>
      <c r="R31" s="67">
        <v>0</v>
      </c>
      <c r="S31" s="66">
        <v>112.34829999999999</v>
      </c>
      <c r="T31" s="66">
        <v>0</v>
      </c>
      <c r="U31" s="66">
        <v>140.43537499999999</v>
      </c>
      <c r="V31" s="66">
        <v>112.34829999999999</v>
      </c>
      <c r="W31" s="66">
        <v>28.087074999999999</v>
      </c>
      <c r="X31" s="66">
        <v>112.34829999999999</v>
      </c>
      <c r="Y31" s="66">
        <v>0</v>
      </c>
      <c r="Z31" s="66">
        <v>140.43537499999999</v>
      </c>
      <c r="AA31" s="66">
        <v>112.34829999999999</v>
      </c>
      <c r="AB31" s="66">
        <v>0</v>
      </c>
      <c r="AC31" s="66">
        <v>28.087074999999999</v>
      </c>
      <c r="AD31" s="67">
        <v>100</v>
      </c>
      <c r="AE31" s="67">
        <v>100</v>
      </c>
      <c r="AF31" s="67">
        <v>20</v>
      </c>
      <c r="AG31" s="210">
        <v>0</v>
      </c>
      <c r="AH31" s="67">
        <v>0</v>
      </c>
      <c r="AI31" s="66">
        <v>0</v>
      </c>
      <c r="AJ31" s="66">
        <v>0</v>
      </c>
      <c r="AK31" s="66">
        <v>0</v>
      </c>
      <c r="AL31" s="66">
        <v>0</v>
      </c>
      <c r="AM31" s="66">
        <v>0</v>
      </c>
      <c r="AN31" s="66">
        <v>0</v>
      </c>
      <c r="AO31" s="66">
        <v>0</v>
      </c>
      <c r="AP31" s="66">
        <v>0</v>
      </c>
      <c r="AQ31" s="66">
        <v>0</v>
      </c>
      <c r="AR31" s="66">
        <v>0</v>
      </c>
      <c r="AS31" s="66">
        <v>0</v>
      </c>
      <c r="AT31" s="67" t="s">
        <v>1094</v>
      </c>
      <c r="AU31" s="67" t="s">
        <v>1094</v>
      </c>
      <c r="AV31" s="67">
        <v>0</v>
      </c>
      <c r="AW31" s="210">
        <v>0</v>
      </c>
      <c r="AX31" s="67">
        <v>0</v>
      </c>
    </row>
    <row r="32" spans="1:50" ht="15.75" x14ac:dyDescent="0.25">
      <c r="A32" s="57" t="s">
        <v>62</v>
      </c>
      <c r="B32" s="190" t="s">
        <v>63</v>
      </c>
      <c r="C32" s="61">
        <v>517.45260000000007</v>
      </c>
      <c r="D32" s="61">
        <v>0</v>
      </c>
      <c r="E32" s="61">
        <v>594.94879880000008</v>
      </c>
      <c r="F32" s="61">
        <v>517.45260000000007</v>
      </c>
      <c r="G32" s="61">
        <v>77.496198799999988</v>
      </c>
      <c r="H32" s="61">
        <v>517.45091193000007</v>
      </c>
      <c r="I32" s="61">
        <v>0</v>
      </c>
      <c r="J32" s="61">
        <v>594.94696483999996</v>
      </c>
      <c r="K32" s="61">
        <v>517.45086192999997</v>
      </c>
      <c r="L32" s="61">
        <v>0</v>
      </c>
      <c r="M32" s="61">
        <v>77.496102909999991</v>
      </c>
      <c r="N32" s="61">
        <v>99.999664110297232</v>
      </c>
      <c r="O32" s="61">
        <v>99.99987626489883</v>
      </c>
      <c r="P32" s="61">
        <v>13.02571615452163</v>
      </c>
      <c r="Q32" s="61">
        <v>0</v>
      </c>
      <c r="R32" s="61">
        <v>5.0000000001659828E-5</v>
      </c>
      <c r="S32" s="61">
        <v>408.82</v>
      </c>
      <c r="T32" s="61">
        <v>0</v>
      </c>
      <c r="U32" s="61">
        <v>460.32796341</v>
      </c>
      <c r="V32" s="61">
        <v>408.82</v>
      </c>
      <c r="W32" s="61">
        <v>51.507963410000002</v>
      </c>
      <c r="X32" s="61">
        <v>408.81831192999999</v>
      </c>
      <c r="Y32" s="61">
        <v>0</v>
      </c>
      <c r="Z32" s="61">
        <v>460.32618221000001</v>
      </c>
      <c r="AA32" s="61">
        <v>408.81831192999999</v>
      </c>
      <c r="AB32" s="61">
        <v>0</v>
      </c>
      <c r="AC32" s="61">
        <v>51.507870279999999</v>
      </c>
      <c r="AD32" s="61">
        <v>99.999587087226644</v>
      </c>
      <c r="AE32" s="61">
        <v>99.999819193006601</v>
      </c>
      <c r="AF32" s="61">
        <v>11.18942877259634</v>
      </c>
      <c r="AG32" s="61">
        <v>0</v>
      </c>
      <c r="AH32" s="61">
        <v>0</v>
      </c>
      <c r="AI32" s="61">
        <v>108.6326</v>
      </c>
      <c r="AJ32" s="61">
        <v>0</v>
      </c>
      <c r="AK32" s="61">
        <v>134.62083539</v>
      </c>
      <c r="AL32" s="61">
        <v>108.6326</v>
      </c>
      <c r="AM32" s="61">
        <v>25.98823539</v>
      </c>
      <c r="AN32" s="61">
        <v>108.6326</v>
      </c>
      <c r="AO32" s="61">
        <v>0</v>
      </c>
      <c r="AP32" s="61">
        <v>134.62078263000001</v>
      </c>
      <c r="AQ32" s="61">
        <v>108.63255000000001</v>
      </c>
      <c r="AR32" s="61">
        <v>0</v>
      </c>
      <c r="AS32" s="61">
        <v>25.988232629999999</v>
      </c>
      <c r="AT32" s="61">
        <v>99.999953973300848</v>
      </c>
      <c r="AU32" s="61">
        <v>99.999989379809904</v>
      </c>
      <c r="AV32" s="61">
        <v>19.304770127081824</v>
      </c>
      <c r="AW32" s="61">
        <v>0</v>
      </c>
      <c r="AX32" s="61">
        <v>5.0000000001659828E-5</v>
      </c>
    </row>
    <row r="33" spans="1:50" ht="15.75" x14ac:dyDescent="0.25">
      <c r="A33" s="11" t="s">
        <v>65</v>
      </c>
      <c r="B33" s="189" t="s">
        <v>66</v>
      </c>
      <c r="C33" s="66">
        <v>0</v>
      </c>
      <c r="D33" s="66">
        <v>0</v>
      </c>
      <c r="E33" s="66">
        <v>0</v>
      </c>
      <c r="F33" s="66">
        <v>0</v>
      </c>
      <c r="G33" s="66">
        <v>0</v>
      </c>
      <c r="H33" s="66">
        <v>0</v>
      </c>
      <c r="I33" s="66">
        <v>0</v>
      </c>
      <c r="J33" s="66">
        <v>0</v>
      </c>
      <c r="K33" s="66">
        <v>0</v>
      </c>
      <c r="L33" s="66">
        <v>0</v>
      </c>
      <c r="M33" s="66">
        <v>0</v>
      </c>
      <c r="N33" s="67" t="s">
        <v>1094</v>
      </c>
      <c r="O33" s="67" t="s">
        <v>1094</v>
      </c>
      <c r="P33" s="67">
        <v>0</v>
      </c>
      <c r="Q33" s="66">
        <v>0</v>
      </c>
      <c r="R33" s="67">
        <v>0</v>
      </c>
      <c r="S33" s="66">
        <v>0</v>
      </c>
      <c r="T33" s="66">
        <v>0</v>
      </c>
      <c r="U33" s="66">
        <v>0</v>
      </c>
      <c r="V33" s="66">
        <v>0</v>
      </c>
      <c r="W33" s="66">
        <v>0</v>
      </c>
      <c r="X33" s="66">
        <v>0</v>
      </c>
      <c r="Y33" s="66">
        <v>0</v>
      </c>
      <c r="Z33" s="66">
        <v>0</v>
      </c>
      <c r="AA33" s="66">
        <v>0</v>
      </c>
      <c r="AB33" s="66">
        <v>0</v>
      </c>
      <c r="AC33" s="66">
        <v>0</v>
      </c>
      <c r="AD33" s="67" t="s">
        <v>1094</v>
      </c>
      <c r="AE33" s="67" t="s">
        <v>1094</v>
      </c>
      <c r="AF33" s="67">
        <v>0</v>
      </c>
      <c r="AG33" s="210">
        <v>0</v>
      </c>
      <c r="AH33" s="67">
        <v>0</v>
      </c>
      <c r="AI33" s="66">
        <v>0</v>
      </c>
      <c r="AJ33" s="66">
        <v>0</v>
      </c>
      <c r="AK33" s="66">
        <v>0</v>
      </c>
      <c r="AL33" s="66">
        <v>0</v>
      </c>
      <c r="AM33" s="66">
        <v>0</v>
      </c>
      <c r="AN33" s="66">
        <v>0</v>
      </c>
      <c r="AO33" s="66">
        <v>0</v>
      </c>
      <c r="AP33" s="66">
        <v>0</v>
      </c>
      <c r="AQ33" s="66">
        <v>0</v>
      </c>
      <c r="AR33" s="66">
        <v>0</v>
      </c>
      <c r="AS33" s="66">
        <v>0</v>
      </c>
      <c r="AT33" s="67" t="s">
        <v>1094</v>
      </c>
      <c r="AU33" s="67" t="s">
        <v>1094</v>
      </c>
      <c r="AV33" s="67">
        <v>0</v>
      </c>
      <c r="AW33" s="210">
        <v>0</v>
      </c>
      <c r="AX33" s="67">
        <v>0</v>
      </c>
    </row>
    <row r="34" spans="1:50" ht="15.75" x14ac:dyDescent="0.25">
      <c r="A34" s="11" t="s">
        <v>68</v>
      </c>
      <c r="B34" s="189" t="s">
        <v>69</v>
      </c>
      <c r="C34" s="66">
        <v>54.219099999999997</v>
      </c>
      <c r="D34" s="66">
        <v>0</v>
      </c>
      <c r="E34" s="66">
        <v>77.283060000000006</v>
      </c>
      <c r="F34" s="66">
        <v>54.219099999999997</v>
      </c>
      <c r="G34" s="66">
        <v>23.063960000000002</v>
      </c>
      <c r="H34" s="66">
        <v>54.219099999999997</v>
      </c>
      <c r="I34" s="66">
        <v>0</v>
      </c>
      <c r="J34" s="66">
        <v>77.283060000000006</v>
      </c>
      <c r="K34" s="66">
        <v>54.219099999999997</v>
      </c>
      <c r="L34" s="66">
        <v>0</v>
      </c>
      <c r="M34" s="66">
        <v>23.063960000000002</v>
      </c>
      <c r="N34" s="67">
        <v>100</v>
      </c>
      <c r="O34" s="67">
        <v>100</v>
      </c>
      <c r="P34" s="67">
        <v>29.843487046190976</v>
      </c>
      <c r="Q34" s="66">
        <v>0</v>
      </c>
      <c r="R34" s="67">
        <v>0</v>
      </c>
      <c r="S34" s="66">
        <v>0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0</v>
      </c>
      <c r="Z34" s="66">
        <v>0</v>
      </c>
      <c r="AA34" s="66">
        <v>0</v>
      </c>
      <c r="AB34" s="66">
        <v>0</v>
      </c>
      <c r="AC34" s="66">
        <v>0</v>
      </c>
      <c r="AD34" s="67" t="s">
        <v>1094</v>
      </c>
      <c r="AE34" s="67" t="s">
        <v>1094</v>
      </c>
      <c r="AF34" s="67">
        <v>0</v>
      </c>
      <c r="AG34" s="210">
        <v>0</v>
      </c>
      <c r="AH34" s="67">
        <v>0</v>
      </c>
      <c r="AI34" s="66">
        <v>54.219099999999997</v>
      </c>
      <c r="AJ34" s="66">
        <v>0</v>
      </c>
      <c r="AK34" s="66">
        <v>77.283060000000006</v>
      </c>
      <c r="AL34" s="66">
        <v>54.219099999999997</v>
      </c>
      <c r="AM34" s="66">
        <v>23.063960000000002</v>
      </c>
      <c r="AN34" s="66">
        <v>54.219099999999997</v>
      </c>
      <c r="AO34" s="66">
        <v>0</v>
      </c>
      <c r="AP34" s="66">
        <v>77.283060000000006</v>
      </c>
      <c r="AQ34" s="66">
        <v>54.219099999999997</v>
      </c>
      <c r="AR34" s="66">
        <v>0</v>
      </c>
      <c r="AS34" s="66">
        <v>23.063960000000002</v>
      </c>
      <c r="AT34" s="67">
        <v>100</v>
      </c>
      <c r="AU34" s="67">
        <v>100</v>
      </c>
      <c r="AV34" s="67">
        <v>29.843487046190976</v>
      </c>
      <c r="AW34" s="210">
        <v>0</v>
      </c>
      <c r="AX34" s="67">
        <v>0</v>
      </c>
    </row>
    <row r="35" spans="1:50" ht="15.75" x14ac:dyDescent="0.25">
      <c r="A35" s="11" t="s">
        <v>71</v>
      </c>
      <c r="B35" s="189" t="s">
        <v>72</v>
      </c>
      <c r="C35" s="66">
        <v>84.199799999999996</v>
      </c>
      <c r="D35" s="66">
        <v>0</v>
      </c>
      <c r="E35" s="66">
        <v>88.849264219999995</v>
      </c>
      <c r="F35" s="66">
        <v>84.199799999999996</v>
      </c>
      <c r="G35" s="66">
        <v>4.6494642200000005</v>
      </c>
      <c r="H35" s="66">
        <v>84.198141030000002</v>
      </c>
      <c r="I35" s="66">
        <v>0</v>
      </c>
      <c r="J35" s="66">
        <v>88.847460890000008</v>
      </c>
      <c r="K35" s="66">
        <v>84.198091030000001</v>
      </c>
      <c r="L35" s="66">
        <v>0</v>
      </c>
      <c r="M35" s="66">
        <v>4.6493698600000002</v>
      </c>
      <c r="N35" s="67">
        <v>99.997970339597003</v>
      </c>
      <c r="O35" s="67">
        <v>99.997970518848291</v>
      </c>
      <c r="P35" s="67">
        <v>5.2329800012588743</v>
      </c>
      <c r="Q35" s="66">
        <v>0</v>
      </c>
      <c r="R35" s="67">
        <v>5.0000000001659828E-5</v>
      </c>
      <c r="S35" s="66">
        <v>60.857199999999999</v>
      </c>
      <c r="T35" s="66">
        <v>0</v>
      </c>
      <c r="U35" s="66">
        <v>64.217699359999997</v>
      </c>
      <c r="V35" s="66">
        <v>60.857199999999999</v>
      </c>
      <c r="W35" s="66">
        <v>3.3604993599999999</v>
      </c>
      <c r="X35" s="66">
        <v>60.855541029999998</v>
      </c>
      <c r="Y35" s="66">
        <v>0</v>
      </c>
      <c r="Z35" s="66">
        <v>64.215948789999999</v>
      </c>
      <c r="AA35" s="66">
        <v>60.855541029999998</v>
      </c>
      <c r="AB35" s="66">
        <v>0</v>
      </c>
      <c r="AC35" s="66">
        <v>3.3604077599999997</v>
      </c>
      <c r="AD35" s="67">
        <v>99.997273995517375</v>
      </c>
      <c r="AE35" s="67">
        <v>99.997274214627424</v>
      </c>
      <c r="AF35" s="67">
        <v>5.2329800046858415</v>
      </c>
      <c r="AG35" s="210">
        <v>0</v>
      </c>
      <c r="AH35" s="67">
        <v>0</v>
      </c>
      <c r="AI35" s="66">
        <v>23.342600000000001</v>
      </c>
      <c r="AJ35" s="66">
        <v>0</v>
      </c>
      <c r="AK35" s="66">
        <v>24.631564860000001</v>
      </c>
      <c r="AL35" s="66">
        <v>23.342600000000001</v>
      </c>
      <c r="AM35" s="66">
        <v>1.2889648600000001</v>
      </c>
      <c r="AN35" s="66">
        <v>23.342600000000001</v>
      </c>
      <c r="AO35" s="66">
        <v>0</v>
      </c>
      <c r="AP35" s="66">
        <v>24.631512100000002</v>
      </c>
      <c r="AQ35" s="66">
        <v>23.342549999999999</v>
      </c>
      <c r="AR35" s="66">
        <v>0</v>
      </c>
      <c r="AS35" s="66">
        <v>1.2889621</v>
      </c>
      <c r="AT35" s="67">
        <v>99.999785799353972</v>
      </c>
      <c r="AU35" s="67">
        <v>99.999785874690176</v>
      </c>
      <c r="AV35" s="67">
        <v>5.2329799923245472</v>
      </c>
      <c r="AW35" s="210">
        <v>0</v>
      </c>
      <c r="AX35" s="67">
        <v>5.0000000001659828E-5</v>
      </c>
    </row>
    <row r="36" spans="1:50" ht="15.75" x14ac:dyDescent="0.25">
      <c r="A36" s="11" t="s">
        <v>74</v>
      </c>
      <c r="B36" s="189" t="s">
        <v>298</v>
      </c>
      <c r="C36" s="66">
        <v>0</v>
      </c>
      <c r="D36" s="66">
        <v>0</v>
      </c>
      <c r="E36" s="66">
        <v>0</v>
      </c>
      <c r="F36" s="66">
        <v>0</v>
      </c>
      <c r="G36" s="66">
        <v>0</v>
      </c>
      <c r="H36" s="66">
        <v>0</v>
      </c>
      <c r="I36" s="66">
        <v>0</v>
      </c>
      <c r="J36" s="66">
        <v>0</v>
      </c>
      <c r="K36" s="66">
        <v>0</v>
      </c>
      <c r="L36" s="66">
        <v>0</v>
      </c>
      <c r="M36" s="66">
        <v>0</v>
      </c>
      <c r="N36" s="67" t="s">
        <v>1094</v>
      </c>
      <c r="O36" s="67" t="s">
        <v>1094</v>
      </c>
      <c r="P36" s="67">
        <v>0</v>
      </c>
      <c r="Q36" s="66">
        <v>0</v>
      </c>
      <c r="R36" s="67">
        <v>0</v>
      </c>
      <c r="S36" s="66">
        <v>0</v>
      </c>
      <c r="T36" s="66">
        <v>0</v>
      </c>
      <c r="U36" s="66">
        <v>0</v>
      </c>
      <c r="V36" s="66">
        <v>0</v>
      </c>
      <c r="W36" s="66">
        <v>0</v>
      </c>
      <c r="X36" s="66">
        <v>0</v>
      </c>
      <c r="Y36" s="66">
        <v>0</v>
      </c>
      <c r="Z36" s="66">
        <v>0</v>
      </c>
      <c r="AA36" s="66">
        <v>0</v>
      </c>
      <c r="AB36" s="66">
        <v>0</v>
      </c>
      <c r="AC36" s="66">
        <v>0</v>
      </c>
      <c r="AD36" s="67" t="s">
        <v>1094</v>
      </c>
      <c r="AE36" s="67" t="s">
        <v>1094</v>
      </c>
      <c r="AF36" s="67">
        <v>0</v>
      </c>
      <c r="AG36" s="210">
        <v>0</v>
      </c>
      <c r="AH36" s="67">
        <v>0</v>
      </c>
      <c r="AI36" s="66">
        <v>0</v>
      </c>
      <c r="AJ36" s="66">
        <v>0</v>
      </c>
      <c r="AK36" s="66">
        <v>0</v>
      </c>
      <c r="AL36" s="66">
        <v>0</v>
      </c>
      <c r="AM36" s="66">
        <v>0</v>
      </c>
      <c r="AN36" s="66">
        <v>0</v>
      </c>
      <c r="AO36" s="66">
        <v>0</v>
      </c>
      <c r="AP36" s="66">
        <v>0</v>
      </c>
      <c r="AQ36" s="66">
        <v>0</v>
      </c>
      <c r="AR36" s="66">
        <v>0</v>
      </c>
      <c r="AS36" s="66">
        <v>0</v>
      </c>
      <c r="AT36" s="67" t="s">
        <v>1094</v>
      </c>
      <c r="AU36" s="67" t="s">
        <v>1094</v>
      </c>
      <c r="AV36" s="67">
        <v>0</v>
      </c>
      <c r="AW36" s="210">
        <v>0</v>
      </c>
      <c r="AX36" s="67">
        <v>0</v>
      </c>
    </row>
    <row r="37" spans="1:50" ht="15.75" x14ac:dyDescent="0.25">
      <c r="A37" s="11" t="s">
        <v>76</v>
      </c>
      <c r="B37" s="189" t="s">
        <v>77</v>
      </c>
      <c r="C37" s="66">
        <v>19.562799999999999</v>
      </c>
      <c r="D37" s="66">
        <v>0</v>
      </c>
      <c r="E37" s="66">
        <v>20.592421050000002</v>
      </c>
      <c r="F37" s="66">
        <v>19.562799999999999</v>
      </c>
      <c r="G37" s="66">
        <v>1.02962105</v>
      </c>
      <c r="H37" s="66">
        <v>19.562770899999997</v>
      </c>
      <c r="I37" s="66">
        <v>0</v>
      </c>
      <c r="J37" s="66">
        <v>20.592390420000001</v>
      </c>
      <c r="K37" s="66">
        <v>19.562770899999997</v>
      </c>
      <c r="L37" s="66">
        <v>0</v>
      </c>
      <c r="M37" s="66">
        <v>1.02961952</v>
      </c>
      <c r="N37" s="67">
        <v>99.999851248287555</v>
      </c>
      <c r="O37" s="67">
        <v>99.999851401639461</v>
      </c>
      <c r="P37" s="67">
        <v>4.9999999951438365</v>
      </c>
      <c r="Q37" s="66">
        <v>0</v>
      </c>
      <c r="R37" s="67">
        <v>0</v>
      </c>
      <c r="S37" s="66">
        <v>19.562799999999999</v>
      </c>
      <c r="T37" s="66">
        <v>0</v>
      </c>
      <c r="U37" s="66">
        <v>20.592421050000002</v>
      </c>
      <c r="V37" s="66">
        <v>19.562799999999999</v>
      </c>
      <c r="W37" s="66">
        <v>1.02962105</v>
      </c>
      <c r="X37" s="66">
        <v>19.562770899999997</v>
      </c>
      <c r="Y37" s="66">
        <v>0</v>
      </c>
      <c r="Z37" s="66">
        <v>20.592390420000001</v>
      </c>
      <c r="AA37" s="66">
        <v>19.562770899999997</v>
      </c>
      <c r="AB37" s="66">
        <v>0</v>
      </c>
      <c r="AC37" s="66">
        <v>1.02961952</v>
      </c>
      <c r="AD37" s="67">
        <v>99.999851248287555</v>
      </c>
      <c r="AE37" s="67">
        <v>99.999851401639461</v>
      </c>
      <c r="AF37" s="67">
        <v>4.9999999951438365</v>
      </c>
      <c r="AG37" s="210">
        <v>0</v>
      </c>
      <c r="AH37" s="67">
        <v>0</v>
      </c>
      <c r="AI37" s="66">
        <v>0</v>
      </c>
      <c r="AJ37" s="66">
        <v>0</v>
      </c>
      <c r="AK37" s="66">
        <v>0</v>
      </c>
      <c r="AL37" s="66">
        <v>0</v>
      </c>
      <c r="AM37" s="66">
        <v>0</v>
      </c>
      <c r="AN37" s="66">
        <v>0</v>
      </c>
      <c r="AO37" s="66">
        <v>0</v>
      </c>
      <c r="AP37" s="66">
        <v>0</v>
      </c>
      <c r="AQ37" s="66">
        <v>0</v>
      </c>
      <c r="AR37" s="66">
        <v>0</v>
      </c>
      <c r="AS37" s="66">
        <v>0</v>
      </c>
      <c r="AT37" s="67" t="s">
        <v>1094</v>
      </c>
      <c r="AU37" s="67" t="s">
        <v>1094</v>
      </c>
      <c r="AV37" s="67">
        <v>0</v>
      </c>
      <c r="AW37" s="210">
        <v>0</v>
      </c>
      <c r="AX37" s="67">
        <v>0</v>
      </c>
    </row>
    <row r="38" spans="1:50" ht="15.75" x14ac:dyDescent="0.25">
      <c r="A38" s="11" t="s">
        <v>79</v>
      </c>
      <c r="B38" s="189" t="s">
        <v>80</v>
      </c>
      <c r="C38" s="66">
        <v>0</v>
      </c>
      <c r="D38" s="66">
        <v>0</v>
      </c>
      <c r="E38" s="66">
        <v>0</v>
      </c>
      <c r="F38" s="66">
        <v>0</v>
      </c>
      <c r="G38" s="66">
        <v>0</v>
      </c>
      <c r="H38" s="66">
        <v>0</v>
      </c>
      <c r="I38" s="66">
        <v>0</v>
      </c>
      <c r="J38" s="66">
        <v>0</v>
      </c>
      <c r="K38" s="66">
        <v>0</v>
      </c>
      <c r="L38" s="66">
        <v>0</v>
      </c>
      <c r="M38" s="66">
        <v>0</v>
      </c>
      <c r="N38" s="67" t="s">
        <v>1094</v>
      </c>
      <c r="O38" s="67" t="s">
        <v>1094</v>
      </c>
      <c r="P38" s="67">
        <v>0</v>
      </c>
      <c r="Q38" s="66">
        <v>0</v>
      </c>
      <c r="R38" s="67">
        <v>0</v>
      </c>
      <c r="S38" s="66">
        <v>0</v>
      </c>
      <c r="T38" s="66">
        <v>0</v>
      </c>
      <c r="U38" s="66">
        <v>0</v>
      </c>
      <c r="V38" s="66">
        <v>0</v>
      </c>
      <c r="W38" s="66">
        <v>0</v>
      </c>
      <c r="X38" s="66">
        <v>0</v>
      </c>
      <c r="Y38" s="66">
        <v>0</v>
      </c>
      <c r="Z38" s="66">
        <v>0</v>
      </c>
      <c r="AA38" s="66">
        <v>0</v>
      </c>
      <c r="AB38" s="66">
        <v>0</v>
      </c>
      <c r="AC38" s="66">
        <v>0</v>
      </c>
      <c r="AD38" s="67" t="s">
        <v>1094</v>
      </c>
      <c r="AE38" s="67" t="s">
        <v>1094</v>
      </c>
      <c r="AF38" s="67">
        <v>0</v>
      </c>
      <c r="AG38" s="210">
        <v>0</v>
      </c>
      <c r="AH38" s="67">
        <v>0</v>
      </c>
      <c r="AI38" s="66">
        <v>0</v>
      </c>
      <c r="AJ38" s="66">
        <v>0</v>
      </c>
      <c r="AK38" s="66">
        <v>0</v>
      </c>
      <c r="AL38" s="66">
        <v>0</v>
      </c>
      <c r="AM38" s="66">
        <v>0</v>
      </c>
      <c r="AN38" s="66">
        <v>0</v>
      </c>
      <c r="AO38" s="66">
        <v>0</v>
      </c>
      <c r="AP38" s="66">
        <v>0</v>
      </c>
      <c r="AQ38" s="66">
        <v>0</v>
      </c>
      <c r="AR38" s="66">
        <v>0</v>
      </c>
      <c r="AS38" s="66">
        <v>0</v>
      </c>
      <c r="AT38" s="67" t="s">
        <v>1094</v>
      </c>
      <c r="AU38" s="67" t="s">
        <v>1094</v>
      </c>
      <c r="AV38" s="67">
        <v>0</v>
      </c>
      <c r="AW38" s="210">
        <v>0</v>
      </c>
      <c r="AX38" s="67">
        <v>0</v>
      </c>
    </row>
    <row r="39" spans="1:50" ht="15.75" x14ac:dyDescent="0.25">
      <c r="A39" s="11" t="s">
        <v>82</v>
      </c>
      <c r="B39" s="189" t="s">
        <v>83</v>
      </c>
      <c r="C39" s="66">
        <v>61.070900000000002</v>
      </c>
      <c r="D39" s="66">
        <v>0</v>
      </c>
      <c r="E39" s="66">
        <v>92.706210529999993</v>
      </c>
      <c r="F39" s="66">
        <v>61.070900000000002</v>
      </c>
      <c r="G39" s="66">
        <v>31.635310529999998</v>
      </c>
      <c r="H39" s="66">
        <v>61.070900000000002</v>
      </c>
      <c r="I39" s="66">
        <v>0</v>
      </c>
      <c r="J39" s="66">
        <v>92.706210529999993</v>
      </c>
      <c r="K39" s="66">
        <v>61.070900000000002</v>
      </c>
      <c r="L39" s="66">
        <v>0</v>
      </c>
      <c r="M39" s="66">
        <v>31.635310529999998</v>
      </c>
      <c r="N39" s="67">
        <v>100</v>
      </c>
      <c r="O39" s="67">
        <v>100</v>
      </c>
      <c r="P39" s="67">
        <v>34.124262386674431</v>
      </c>
      <c r="Q39" s="66">
        <v>0</v>
      </c>
      <c r="R39" s="67">
        <v>0</v>
      </c>
      <c r="S39" s="66">
        <v>30</v>
      </c>
      <c r="T39" s="66">
        <v>0</v>
      </c>
      <c r="U39" s="66">
        <v>60</v>
      </c>
      <c r="V39" s="66">
        <v>30</v>
      </c>
      <c r="W39" s="66">
        <v>30</v>
      </c>
      <c r="X39" s="66">
        <v>30</v>
      </c>
      <c r="Y39" s="66">
        <v>0</v>
      </c>
      <c r="Z39" s="66">
        <v>60</v>
      </c>
      <c r="AA39" s="66">
        <v>30</v>
      </c>
      <c r="AB39" s="66">
        <v>0</v>
      </c>
      <c r="AC39" s="66">
        <v>30</v>
      </c>
      <c r="AD39" s="67">
        <v>100</v>
      </c>
      <c r="AE39" s="67">
        <v>100</v>
      </c>
      <c r="AF39" s="67">
        <v>50</v>
      </c>
      <c r="AG39" s="210">
        <v>0</v>
      </c>
      <c r="AH39" s="67">
        <v>0</v>
      </c>
      <c r="AI39" s="66">
        <v>31.070900000000002</v>
      </c>
      <c r="AJ39" s="66">
        <v>0</v>
      </c>
      <c r="AK39" s="66">
        <v>32.70621053</v>
      </c>
      <c r="AL39" s="66">
        <v>31.070900000000002</v>
      </c>
      <c r="AM39" s="66">
        <v>1.6353105299999999</v>
      </c>
      <c r="AN39" s="66">
        <v>31.070900000000002</v>
      </c>
      <c r="AO39" s="66">
        <v>0</v>
      </c>
      <c r="AP39" s="66">
        <v>32.70621053</v>
      </c>
      <c r="AQ39" s="66">
        <v>31.070900000000002</v>
      </c>
      <c r="AR39" s="66">
        <v>0</v>
      </c>
      <c r="AS39" s="66">
        <v>1.6353105299999999</v>
      </c>
      <c r="AT39" s="67">
        <v>100</v>
      </c>
      <c r="AU39" s="67">
        <v>100</v>
      </c>
      <c r="AV39" s="67">
        <v>5.0000000107013314</v>
      </c>
      <c r="AW39" s="210">
        <v>0</v>
      </c>
      <c r="AX39" s="67">
        <v>0</v>
      </c>
    </row>
    <row r="40" spans="1:50" ht="15.75" x14ac:dyDescent="0.25">
      <c r="A40" s="11" t="s">
        <v>85</v>
      </c>
      <c r="B40" s="189" t="s">
        <v>299</v>
      </c>
      <c r="C40" s="66">
        <v>0</v>
      </c>
      <c r="D40" s="66">
        <v>0</v>
      </c>
      <c r="E40" s="66">
        <v>0</v>
      </c>
      <c r="F40" s="66">
        <v>0</v>
      </c>
      <c r="G40" s="66">
        <v>0</v>
      </c>
      <c r="H40" s="66">
        <v>0</v>
      </c>
      <c r="I40" s="66">
        <v>0</v>
      </c>
      <c r="J40" s="66">
        <v>0</v>
      </c>
      <c r="K40" s="66">
        <v>0</v>
      </c>
      <c r="L40" s="66">
        <v>0</v>
      </c>
      <c r="M40" s="66">
        <v>0</v>
      </c>
      <c r="N40" s="67" t="s">
        <v>1094</v>
      </c>
      <c r="O40" s="67" t="s">
        <v>1094</v>
      </c>
      <c r="P40" s="67">
        <v>0</v>
      </c>
      <c r="Q40" s="66">
        <v>0</v>
      </c>
      <c r="R40" s="67">
        <v>0</v>
      </c>
      <c r="S40" s="66">
        <v>0</v>
      </c>
      <c r="T40" s="66">
        <v>0</v>
      </c>
      <c r="U40" s="66">
        <v>0</v>
      </c>
      <c r="V40" s="66">
        <v>0</v>
      </c>
      <c r="W40" s="66">
        <v>0</v>
      </c>
      <c r="X40" s="66">
        <v>0</v>
      </c>
      <c r="Y40" s="66">
        <v>0</v>
      </c>
      <c r="Z40" s="66">
        <v>0</v>
      </c>
      <c r="AA40" s="66">
        <v>0</v>
      </c>
      <c r="AB40" s="66">
        <v>0</v>
      </c>
      <c r="AC40" s="66">
        <v>0</v>
      </c>
      <c r="AD40" s="67" t="s">
        <v>1094</v>
      </c>
      <c r="AE40" s="67" t="s">
        <v>1094</v>
      </c>
      <c r="AF40" s="67">
        <v>0</v>
      </c>
      <c r="AG40" s="210">
        <v>0</v>
      </c>
      <c r="AH40" s="67">
        <v>0</v>
      </c>
      <c r="AI40" s="66">
        <v>0</v>
      </c>
      <c r="AJ40" s="66">
        <v>0</v>
      </c>
      <c r="AK40" s="66">
        <v>0</v>
      </c>
      <c r="AL40" s="66">
        <v>0</v>
      </c>
      <c r="AM40" s="66">
        <v>0</v>
      </c>
      <c r="AN40" s="66">
        <v>0</v>
      </c>
      <c r="AO40" s="66">
        <v>0</v>
      </c>
      <c r="AP40" s="66">
        <v>0</v>
      </c>
      <c r="AQ40" s="66">
        <v>0</v>
      </c>
      <c r="AR40" s="66">
        <v>0</v>
      </c>
      <c r="AS40" s="66">
        <v>0</v>
      </c>
      <c r="AT40" s="67" t="s">
        <v>1094</v>
      </c>
      <c r="AU40" s="67" t="s">
        <v>1094</v>
      </c>
      <c r="AV40" s="67">
        <v>0</v>
      </c>
      <c r="AW40" s="210">
        <v>0</v>
      </c>
      <c r="AX40" s="67">
        <v>0</v>
      </c>
    </row>
    <row r="41" spans="1:50" ht="15.75" x14ac:dyDescent="0.25">
      <c r="A41" s="11" t="s">
        <v>87</v>
      </c>
      <c r="B41" s="189" t="s">
        <v>88</v>
      </c>
      <c r="C41" s="66">
        <v>0</v>
      </c>
      <c r="D41" s="66">
        <v>0</v>
      </c>
      <c r="E41" s="66">
        <v>0</v>
      </c>
      <c r="F41" s="66">
        <v>0</v>
      </c>
      <c r="G41" s="66">
        <v>0</v>
      </c>
      <c r="H41" s="66">
        <v>0</v>
      </c>
      <c r="I41" s="66">
        <v>0</v>
      </c>
      <c r="J41" s="66">
        <v>0</v>
      </c>
      <c r="K41" s="66">
        <v>0</v>
      </c>
      <c r="L41" s="66">
        <v>0</v>
      </c>
      <c r="M41" s="66">
        <v>0</v>
      </c>
      <c r="N41" s="67" t="s">
        <v>1094</v>
      </c>
      <c r="O41" s="67" t="s">
        <v>1094</v>
      </c>
      <c r="P41" s="67">
        <v>0</v>
      </c>
      <c r="Q41" s="66">
        <v>0</v>
      </c>
      <c r="R41" s="67">
        <v>0</v>
      </c>
      <c r="S41" s="66">
        <v>0</v>
      </c>
      <c r="T41" s="66">
        <v>0</v>
      </c>
      <c r="U41" s="66">
        <v>0</v>
      </c>
      <c r="V41" s="66">
        <v>0</v>
      </c>
      <c r="W41" s="66">
        <v>0</v>
      </c>
      <c r="X41" s="66">
        <v>0</v>
      </c>
      <c r="Y41" s="66">
        <v>0</v>
      </c>
      <c r="Z41" s="66">
        <v>0</v>
      </c>
      <c r="AA41" s="66">
        <v>0</v>
      </c>
      <c r="AB41" s="66">
        <v>0</v>
      </c>
      <c r="AC41" s="66">
        <v>0</v>
      </c>
      <c r="AD41" s="67" t="s">
        <v>1094</v>
      </c>
      <c r="AE41" s="67" t="s">
        <v>1094</v>
      </c>
      <c r="AF41" s="67">
        <v>0</v>
      </c>
      <c r="AG41" s="210">
        <v>0</v>
      </c>
      <c r="AH41" s="67">
        <v>0</v>
      </c>
      <c r="AI41" s="66">
        <v>0</v>
      </c>
      <c r="AJ41" s="66">
        <v>0</v>
      </c>
      <c r="AK41" s="66">
        <v>0</v>
      </c>
      <c r="AL41" s="66">
        <v>0</v>
      </c>
      <c r="AM41" s="66">
        <v>0</v>
      </c>
      <c r="AN41" s="66">
        <v>0</v>
      </c>
      <c r="AO41" s="66">
        <v>0</v>
      </c>
      <c r="AP41" s="66">
        <v>0</v>
      </c>
      <c r="AQ41" s="66">
        <v>0</v>
      </c>
      <c r="AR41" s="66">
        <v>0</v>
      </c>
      <c r="AS41" s="66">
        <v>0</v>
      </c>
      <c r="AT41" s="67" t="s">
        <v>1094</v>
      </c>
      <c r="AU41" s="67" t="s">
        <v>1094</v>
      </c>
      <c r="AV41" s="67">
        <v>0</v>
      </c>
      <c r="AW41" s="210">
        <v>0</v>
      </c>
      <c r="AX41" s="67">
        <v>0</v>
      </c>
    </row>
    <row r="42" spans="1:50" ht="15.75" x14ac:dyDescent="0.25">
      <c r="A42" s="11" t="s">
        <v>90</v>
      </c>
      <c r="B42" s="189" t="s">
        <v>91</v>
      </c>
      <c r="C42" s="66">
        <v>98.4</v>
      </c>
      <c r="D42" s="66">
        <v>0</v>
      </c>
      <c r="E42" s="66">
        <v>104.991527</v>
      </c>
      <c r="F42" s="66">
        <v>98.4</v>
      </c>
      <c r="G42" s="66">
        <v>6.5915270000000001</v>
      </c>
      <c r="H42" s="66">
        <v>98.4</v>
      </c>
      <c r="I42" s="66">
        <v>0</v>
      </c>
      <c r="J42" s="66">
        <v>104.991527</v>
      </c>
      <c r="K42" s="66">
        <v>98.4</v>
      </c>
      <c r="L42" s="66">
        <v>0</v>
      </c>
      <c r="M42" s="66">
        <v>6.5915270000000001</v>
      </c>
      <c r="N42" s="67">
        <v>100</v>
      </c>
      <c r="O42" s="67">
        <v>100</v>
      </c>
      <c r="P42" s="67">
        <v>6.2781513788250738</v>
      </c>
      <c r="Q42" s="66">
        <v>0</v>
      </c>
      <c r="R42" s="67">
        <v>0</v>
      </c>
      <c r="S42" s="66">
        <v>98.4</v>
      </c>
      <c r="T42" s="66">
        <v>0</v>
      </c>
      <c r="U42" s="66">
        <v>104.991527</v>
      </c>
      <c r="V42" s="66">
        <v>98.4</v>
      </c>
      <c r="W42" s="66">
        <v>6.5915270000000001</v>
      </c>
      <c r="X42" s="66">
        <v>98.4</v>
      </c>
      <c r="Y42" s="66">
        <v>0</v>
      </c>
      <c r="Z42" s="66">
        <v>104.991527</v>
      </c>
      <c r="AA42" s="66">
        <v>98.4</v>
      </c>
      <c r="AB42" s="66">
        <v>0</v>
      </c>
      <c r="AC42" s="66">
        <v>6.5915270000000001</v>
      </c>
      <c r="AD42" s="67">
        <v>100</v>
      </c>
      <c r="AE42" s="67">
        <v>100</v>
      </c>
      <c r="AF42" s="67">
        <v>6.2781513788250738</v>
      </c>
      <c r="AG42" s="210">
        <v>0</v>
      </c>
      <c r="AH42" s="67">
        <v>0</v>
      </c>
      <c r="AI42" s="66">
        <v>0</v>
      </c>
      <c r="AJ42" s="66">
        <v>0</v>
      </c>
      <c r="AK42" s="66">
        <v>0</v>
      </c>
      <c r="AL42" s="66">
        <v>0</v>
      </c>
      <c r="AM42" s="66">
        <v>0</v>
      </c>
      <c r="AN42" s="66">
        <v>0</v>
      </c>
      <c r="AO42" s="66">
        <v>0</v>
      </c>
      <c r="AP42" s="66">
        <v>0</v>
      </c>
      <c r="AQ42" s="66">
        <v>0</v>
      </c>
      <c r="AR42" s="66">
        <v>0</v>
      </c>
      <c r="AS42" s="66">
        <v>0</v>
      </c>
      <c r="AT42" s="67" t="s">
        <v>1094</v>
      </c>
      <c r="AU42" s="67" t="s">
        <v>1094</v>
      </c>
      <c r="AV42" s="67">
        <v>0</v>
      </c>
      <c r="AW42" s="210">
        <v>0</v>
      </c>
      <c r="AX42" s="67">
        <v>0</v>
      </c>
    </row>
    <row r="43" spans="1:50" ht="15.75" x14ac:dyDescent="0.25">
      <c r="A43" s="68">
        <v>32</v>
      </c>
      <c r="B43" s="189" t="s">
        <v>93</v>
      </c>
      <c r="C43" s="66">
        <v>200</v>
      </c>
      <c r="D43" s="66">
        <v>0</v>
      </c>
      <c r="E43" s="66">
        <v>210.52631600000001</v>
      </c>
      <c r="F43" s="66">
        <v>200</v>
      </c>
      <c r="G43" s="66">
        <v>10.526316</v>
      </c>
      <c r="H43" s="66">
        <v>200</v>
      </c>
      <c r="I43" s="66">
        <v>0</v>
      </c>
      <c r="J43" s="66">
        <v>210.52631600000001</v>
      </c>
      <c r="K43" s="66">
        <v>200</v>
      </c>
      <c r="L43" s="66">
        <v>0</v>
      </c>
      <c r="M43" s="66">
        <v>10.526316</v>
      </c>
      <c r="N43" s="67">
        <v>100</v>
      </c>
      <c r="O43" s="67">
        <v>100</v>
      </c>
      <c r="P43" s="67">
        <v>5.0000000949999999</v>
      </c>
      <c r="Q43" s="66">
        <v>0</v>
      </c>
      <c r="R43" s="67">
        <v>0</v>
      </c>
      <c r="S43" s="66">
        <v>200</v>
      </c>
      <c r="T43" s="66">
        <v>0</v>
      </c>
      <c r="U43" s="66">
        <v>210.52631600000001</v>
      </c>
      <c r="V43" s="66">
        <v>200</v>
      </c>
      <c r="W43" s="66">
        <v>10.526316</v>
      </c>
      <c r="X43" s="66">
        <v>200</v>
      </c>
      <c r="Y43" s="66">
        <v>0</v>
      </c>
      <c r="Z43" s="66">
        <v>210.52631600000001</v>
      </c>
      <c r="AA43" s="66">
        <v>200</v>
      </c>
      <c r="AB43" s="66">
        <v>0</v>
      </c>
      <c r="AC43" s="66">
        <v>10.526316</v>
      </c>
      <c r="AD43" s="67">
        <v>100</v>
      </c>
      <c r="AE43" s="67">
        <v>100</v>
      </c>
      <c r="AF43" s="67">
        <v>5.0000000949999999</v>
      </c>
      <c r="AG43" s="210">
        <v>0</v>
      </c>
      <c r="AH43" s="67">
        <v>0</v>
      </c>
      <c r="AI43" s="66">
        <v>0</v>
      </c>
      <c r="AJ43" s="66">
        <v>0</v>
      </c>
      <c r="AK43" s="66">
        <v>0</v>
      </c>
      <c r="AL43" s="66">
        <v>0</v>
      </c>
      <c r="AM43" s="66">
        <v>0</v>
      </c>
      <c r="AN43" s="66">
        <v>0</v>
      </c>
      <c r="AO43" s="66">
        <v>0</v>
      </c>
      <c r="AP43" s="66">
        <v>0</v>
      </c>
      <c r="AQ43" s="66">
        <v>0</v>
      </c>
      <c r="AR43" s="66">
        <v>0</v>
      </c>
      <c r="AS43" s="66">
        <v>0</v>
      </c>
      <c r="AT43" s="67" t="s">
        <v>1094</v>
      </c>
      <c r="AU43" s="67" t="s">
        <v>1094</v>
      </c>
      <c r="AV43" s="67">
        <v>0</v>
      </c>
      <c r="AW43" s="210">
        <v>0</v>
      </c>
      <c r="AX43" s="67">
        <v>0</v>
      </c>
    </row>
    <row r="44" spans="1:50" ht="15.75" x14ac:dyDescent="0.25">
      <c r="A44" s="70">
        <v>33</v>
      </c>
      <c r="B44" s="191" t="s">
        <v>95</v>
      </c>
      <c r="C44" s="61">
        <v>973.42459999999994</v>
      </c>
      <c r="D44" s="61">
        <v>0</v>
      </c>
      <c r="E44" s="61">
        <v>1024.7178119999999</v>
      </c>
      <c r="F44" s="61">
        <v>973.42459999999994</v>
      </c>
      <c r="G44" s="61">
        <v>51.293212000000004</v>
      </c>
      <c r="H44" s="61">
        <v>940.97919533999993</v>
      </c>
      <c r="I44" s="61">
        <v>0</v>
      </c>
      <c r="J44" s="61">
        <v>990.56475328999989</v>
      </c>
      <c r="K44" s="61">
        <v>940.96723021000003</v>
      </c>
      <c r="L44" s="61">
        <v>0</v>
      </c>
      <c r="M44" s="61">
        <v>49.597523080000002</v>
      </c>
      <c r="N44" s="61">
        <v>96.665651372484334</v>
      </c>
      <c r="O44" s="61">
        <v>96.694126076565439</v>
      </c>
      <c r="P44" s="61">
        <v>5.0069945367296675</v>
      </c>
      <c r="Q44" s="61">
        <v>0</v>
      </c>
      <c r="R44" s="61">
        <v>1.1965129999907731E-2</v>
      </c>
      <c r="S44" s="61">
        <v>973.42459999999994</v>
      </c>
      <c r="T44" s="61">
        <v>0</v>
      </c>
      <c r="U44" s="61">
        <v>1024.7178119999999</v>
      </c>
      <c r="V44" s="61">
        <v>973.42459999999994</v>
      </c>
      <c r="W44" s="61">
        <v>51.293212000000004</v>
      </c>
      <c r="X44" s="61">
        <v>940.97919533999993</v>
      </c>
      <c r="Y44" s="61">
        <v>0</v>
      </c>
      <c r="Z44" s="61">
        <v>990.56475328999989</v>
      </c>
      <c r="AA44" s="61">
        <v>940.96723021000003</v>
      </c>
      <c r="AB44" s="61">
        <v>0</v>
      </c>
      <c r="AC44" s="61">
        <v>49.597523080000002</v>
      </c>
      <c r="AD44" s="61">
        <v>96.665651372484334</v>
      </c>
      <c r="AE44" s="61">
        <v>96.694126076565439</v>
      </c>
      <c r="AF44" s="61">
        <v>5.0069945367296675</v>
      </c>
      <c r="AG44" s="61">
        <v>0</v>
      </c>
      <c r="AH44" s="61">
        <v>1.1965129999907731E-2</v>
      </c>
      <c r="AI44" s="61">
        <v>0</v>
      </c>
      <c r="AJ44" s="61">
        <v>0</v>
      </c>
      <c r="AK44" s="61">
        <v>0</v>
      </c>
      <c r="AL44" s="61">
        <v>0</v>
      </c>
      <c r="AM44" s="61">
        <v>0</v>
      </c>
      <c r="AN44" s="61">
        <v>0</v>
      </c>
      <c r="AO44" s="61">
        <v>0</v>
      </c>
      <c r="AP44" s="61">
        <v>0</v>
      </c>
      <c r="AQ44" s="61">
        <v>0</v>
      </c>
      <c r="AR44" s="61">
        <v>0</v>
      </c>
      <c r="AS44" s="61">
        <v>0</v>
      </c>
      <c r="AT44" s="61" t="s">
        <v>1094</v>
      </c>
      <c r="AU44" s="61" t="s">
        <v>1094</v>
      </c>
      <c r="AV44" s="61">
        <v>0</v>
      </c>
      <c r="AW44" s="61">
        <v>0</v>
      </c>
      <c r="AX44" s="61">
        <v>0</v>
      </c>
    </row>
    <row r="45" spans="1:50" ht="15.75" x14ac:dyDescent="0.25">
      <c r="A45" s="72">
        <v>34</v>
      </c>
      <c r="B45" s="192" t="s">
        <v>97</v>
      </c>
      <c r="C45" s="66">
        <v>0</v>
      </c>
      <c r="D45" s="66">
        <v>0</v>
      </c>
      <c r="E45" s="66">
        <v>0</v>
      </c>
      <c r="F45" s="66">
        <v>0</v>
      </c>
      <c r="G45" s="66">
        <v>0</v>
      </c>
      <c r="H45" s="66">
        <v>0</v>
      </c>
      <c r="I45" s="66">
        <v>0</v>
      </c>
      <c r="J45" s="66">
        <v>0</v>
      </c>
      <c r="K45" s="66">
        <v>0</v>
      </c>
      <c r="L45" s="66">
        <v>0</v>
      </c>
      <c r="M45" s="66">
        <v>0</v>
      </c>
      <c r="N45" s="67" t="s">
        <v>1094</v>
      </c>
      <c r="O45" s="67" t="s">
        <v>1094</v>
      </c>
      <c r="P45" s="67">
        <v>0</v>
      </c>
      <c r="Q45" s="66">
        <v>0</v>
      </c>
      <c r="R45" s="67">
        <v>0</v>
      </c>
      <c r="S45" s="66">
        <v>0</v>
      </c>
      <c r="T45" s="66">
        <v>0</v>
      </c>
      <c r="U45" s="66">
        <v>0</v>
      </c>
      <c r="V45" s="66">
        <v>0</v>
      </c>
      <c r="W45" s="66">
        <v>0</v>
      </c>
      <c r="X45" s="66">
        <v>0</v>
      </c>
      <c r="Y45" s="66">
        <v>0</v>
      </c>
      <c r="Z45" s="66">
        <v>0</v>
      </c>
      <c r="AA45" s="66">
        <v>0</v>
      </c>
      <c r="AB45" s="66">
        <v>0</v>
      </c>
      <c r="AC45" s="66">
        <v>0</v>
      </c>
      <c r="AD45" s="67" t="s">
        <v>1094</v>
      </c>
      <c r="AE45" s="67" t="s">
        <v>1094</v>
      </c>
      <c r="AF45" s="67">
        <v>0</v>
      </c>
      <c r="AG45" s="210">
        <v>0</v>
      </c>
      <c r="AH45" s="67">
        <v>0</v>
      </c>
      <c r="AI45" s="66">
        <v>0</v>
      </c>
      <c r="AJ45" s="66">
        <v>0</v>
      </c>
      <c r="AK45" s="66">
        <v>0</v>
      </c>
      <c r="AL45" s="66">
        <v>0</v>
      </c>
      <c r="AM45" s="66">
        <v>0</v>
      </c>
      <c r="AN45" s="66">
        <v>0</v>
      </c>
      <c r="AO45" s="66">
        <v>0</v>
      </c>
      <c r="AP45" s="66">
        <v>0</v>
      </c>
      <c r="AQ45" s="66">
        <v>0</v>
      </c>
      <c r="AR45" s="66">
        <v>0</v>
      </c>
      <c r="AS45" s="66">
        <v>0</v>
      </c>
      <c r="AT45" s="67" t="s">
        <v>1094</v>
      </c>
      <c r="AU45" s="67" t="s">
        <v>1094</v>
      </c>
      <c r="AV45" s="67">
        <v>0</v>
      </c>
      <c r="AW45" s="210">
        <v>0</v>
      </c>
      <c r="AX45" s="67">
        <v>0</v>
      </c>
    </row>
    <row r="46" spans="1:50" ht="15.75" x14ac:dyDescent="0.25">
      <c r="A46" s="72">
        <v>35</v>
      </c>
      <c r="B46" s="192" t="s">
        <v>99</v>
      </c>
      <c r="C46" s="66">
        <v>0</v>
      </c>
      <c r="D46" s="66">
        <v>0</v>
      </c>
      <c r="E46" s="66">
        <v>0</v>
      </c>
      <c r="F46" s="66">
        <v>0</v>
      </c>
      <c r="G46" s="66">
        <v>0</v>
      </c>
      <c r="H46" s="66">
        <v>0</v>
      </c>
      <c r="I46" s="66">
        <v>0</v>
      </c>
      <c r="J46" s="66">
        <v>0</v>
      </c>
      <c r="K46" s="66">
        <v>0</v>
      </c>
      <c r="L46" s="66">
        <v>0</v>
      </c>
      <c r="M46" s="66">
        <v>0</v>
      </c>
      <c r="N46" s="67" t="s">
        <v>1094</v>
      </c>
      <c r="O46" s="67" t="s">
        <v>1094</v>
      </c>
      <c r="P46" s="67">
        <v>0</v>
      </c>
      <c r="Q46" s="66">
        <v>0</v>
      </c>
      <c r="R46" s="67">
        <v>0</v>
      </c>
      <c r="S46" s="66">
        <v>0</v>
      </c>
      <c r="T46" s="66">
        <v>0</v>
      </c>
      <c r="U46" s="66">
        <v>0</v>
      </c>
      <c r="V46" s="66">
        <v>0</v>
      </c>
      <c r="W46" s="66">
        <v>0</v>
      </c>
      <c r="X46" s="66">
        <v>0</v>
      </c>
      <c r="Y46" s="66">
        <v>0</v>
      </c>
      <c r="Z46" s="66">
        <v>0</v>
      </c>
      <c r="AA46" s="66">
        <v>0</v>
      </c>
      <c r="AB46" s="66">
        <v>0</v>
      </c>
      <c r="AC46" s="66">
        <v>0</v>
      </c>
      <c r="AD46" s="67" t="s">
        <v>1094</v>
      </c>
      <c r="AE46" s="67" t="s">
        <v>1094</v>
      </c>
      <c r="AF46" s="67">
        <v>0</v>
      </c>
      <c r="AG46" s="210">
        <v>0</v>
      </c>
      <c r="AH46" s="67">
        <v>0</v>
      </c>
      <c r="AI46" s="66">
        <v>0</v>
      </c>
      <c r="AJ46" s="66">
        <v>0</v>
      </c>
      <c r="AK46" s="66">
        <v>0</v>
      </c>
      <c r="AL46" s="66">
        <v>0</v>
      </c>
      <c r="AM46" s="66">
        <v>0</v>
      </c>
      <c r="AN46" s="66">
        <v>0</v>
      </c>
      <c r="AO46" s="66">
        <v>0</v>
      </c>
      <c r="AP46" s="66">
        <v>0</v>
      </c>
      <c r="AQ46" s="66">
        <v>0</v>
      </c>
      <c r="AR46" s="66">
        <v>0</v>
      </c>
      <c r="AS46" s="66">
        <v>0</v>
      </c>
      <c r="AT46" s="67" t="s">
        <v>1094</v>
      </c>
      <c r="AU46" s="67" t="s">
        <v>1094</v>
      </c>
      <c r="AV46" s="67">
        <v>0</v>
      </c>
      <c r="AW46" s="210">
        <v>0</v>
      </c>
      <c r="AX46" s="67">
        <v>0</v>
      </c>
    </row>
    <row r="47" spans="1:50" s="126" customFormat="1" ht="15.75" x14ac:dyDescent="0.25">
      <c r="A47" s="136">
        <v>36</v>
      </c>
      <c r="B47" s="189" t="s">
        <v>318</v>
      </c>
      <c r="C47" s="66">
        <v>0</v>
      </c>
      <c r="D47" s="66">
        <v>0</v>
      </c>
      <c r="E47" s="66">
        <v>0</v>
      </c>
      <c r="F47" s="66">
        <v>0</v>
      </c>
      <c r="G47" s="66">
        <v>0</v>
      </c>
      <c r="H47" s="66">
        <v>0</v>
      </c>
      <c r="I47" s="66">
        <v>0</v>
      </c>
      <c r="J47" s="66">
        <v>0</v>
      </c>
      <c r="K47" s="66">
        <v>0</v>
      </c>
      <c r="L47" s="66">
        <v>0</v>
      </c>
      <c r="M47" s="66">
        <v>0</v>
      </c>
      <c r="N47" s="67" t="s">
        <v>1094</v>
      </c>
      <c r="O47" s="67" t="s">
        <v>1094</v>
      </c>
      <c r="P47" s="67">
        <v>0</v>
      </c>
      <c r="Q47" s="66">
        <v>0</v>
      </c>
      <c r="R47" s="67">
        <v>0</v>
      </c>
      <c r="S47" s="66">
        <v>0</v>
      </c>
      <c r="T47" s="66">
        <v>0</v>
      </c>
      <c r="U47" s="66">
        <v>0</v>
      </c>
      <c r="V47" s="66">
        <v>0</v>
      </c>
      <c r="W47" s="66">
        <v>0</v>
      </c>
      <c r="X47" s="66">
        <v>0</v>
      </c>
      <c r="Y47" s="66">
        <v>0</v>
      </c>
      <c r="Z47" s="66">
        <v>0</v>
      </c>
      <c r="AA47" s="66">
        <v>0</v>
      </c>
      <c r="AB47" s="66">
        <v>0</v>
      </c>
      <c r="AC47" s="66">
        <v>0</v>
      </c>
      <c r="AD47" s="67" t="s">
        <v>1094</v>
      </c>
      <c r="AE47" s="67" t="s">
        <v>1094</v>
      </c>
      <c r="AF47" s="67">
        <v>0</v>
      </c>
      <c r="AG47" s="210">
        <v>0</v>
      </c>
      <c r="AH47" s="67">
        <v>0</v>
      </c>
      <c r="AI47" s="66">
        <v>0</v>
      </c>
      <c r="AJ47" s="66">
        <v>0</v>
      </c>
      <c r="AK47" s="66">
        <v>0</v>
      </c>
      <c r="AL47" s="66">
        <v>0</v>
      </c>
      <c r="AM47" s="66">
        <v>0</v>
      </c>
      <c r="AN47" s="66">
        <v>0</v>
      </c>
      <c r="AO47" s="66">
        <v>0</v>
      </c>
      <c r="AP47" s="66">
        <v>0</v>
      </c>
      <c r="AQ47" s="66">
        <v>0</v>
      </c>
      <c r="AR47" s="66">
        <v>0</v>
      </c>
      <c r="AS47" s="66">
        <v>0</v>
      </c>
      <c r="AT47" s="67" t="s">
        <v>1094</v>
      </c>
      <c r="AU47" s="67" t="s">
        <v>1094</v>
      </c>
      <c r="AV47" s="67">
        <v>0</v>
      </c>
      <c r="AW47" s="210">
        <v>0</v>
      </c>
      <c r="AX47" s="67">
        <v>0</v>
      </c>
    </row>
    <row r="48" spans="1:50" ht="15.75" x14ac:dyDescent="0.25">
      <c r="A48" s="72">
        <v>37</v>
      </c>
      <c r="B48" s="192" t="s">
        <v>101</v>
      </c>
      <c r="C48" s="66">
        <v>825.67049999999995</v>
      </c>
      <c r="D48" s="66">
        <v>0</v>
      </c>
      <c r="E48" s="66">
        <v>869.12689999999998</v>
      </c>
      <c r="F48" s="66">
        <v>825.67049999999995</v>
      </c>
      <c r="G48" s="66">
        <v>43.456400000000002</v>
      </c>
      <c r="H48" s="66">
        <v>793.22512433999998</v>
      </c>
      <c r="I48" s="66">
        <v>0</v>
      </c>
      <c r="J48" s="66">
        <v>834.97387028999992</v>
      </c>
      <c r="K48" s="66">
        <v>793.21315921000007</v>
      </c>
      <c r="L48" s="66">
        <v>0</v>
      </c>
      <c r="M48" s="66">
        <v>41.76071108</v>
      </c>
      <c r="N48" s="67">
        <v>96.068971727826067</v>
      </c>
      <c r="O48" s="67">
        <v>96.097953535037419</v>
      </c>
      <c r="P48" s="67">
        <v>5.0014392744405081</v>
      </c>
      <c r="Q48" s="66">
        <v>0</v>
      </c>
      <c r="R48" s="67">
        <v>1.1965129999907731E-2</v>
      </c>
      <c r="S48" s="66">
        <v>825.67049999999995</v>
      </c>
      <c r="T48" s="66">
        <v>0</v>
      </c>
      <c r="U48" s="66">
        <v>869.12689999999998</v>
      </c>
      <c r="V48" s="66">
        <v>825.67049999999995</v>
      </c>
      <c r="W48" s="66">
        <v>43.456400000000002</v>
      </c>
      <c r="X48" s="66">
        <v>793.22512433999998</v>
      </c>
      <c r="Y48" s="66">
        <v>0</v>
      </c>
      <c r="Z48" s="66">
        <v>834.97387028999992</v>
      </c>
      <c r="AA48" s="66">
        <v>793.21315921000007</v>
      </c>
      <c r="AB48" s="66">
        <v>0</v>
      </c>
      <c r="AC48" s="66">
        <v>41.76071108</v>
      </c>
      <c r="AD48" s="67">
        <v>96.068971727826067</v>
      </c>
      <c r="AE48" s="67">
        <v>96.097953535037419</v>
      </c>
      <c r="AF48" s="67">
        <v>5.0014392744405081</v>
      </c>
      <c r="AG48" s="210">
        <v>0</v>
      </c>
      <c r="AH48" s="67">
        <v>1.1965129999907731E-2</v>
      </c>
      <c r="AI48" s="66">
        <v>0</v>
      </c>
      <c r="AJ48" s="66">
        <v>0</v>
      </c>
      <c r="AK48" s="66">
        <v>0</v>
      </c>
      <c r="AL48" s="66">
        <v>0</v>
      </c>
      <c r="AM48" s="66">
        <v>0</v>
      </c>
      <c r="AN48" s="66">
        <v>0</v>
      </c>
      <c r="AO48" s="66">
        <v>0</v>
      </c>
      <c r="AP48" s="66">
        <v>0</v>
      </c>
      <c r="AQ48" s="66">
        <v>0</v>
      </c>
      <c r="AR48" s="66">
        <v>0</v>
      </c>
      <c r="AS48" s="66">
        <v>0</v>
      </c>
      <c r="AT48" s="67" t="s">
        <v>1094</v>
      </c>
      <c r="AU48" s="67" t="s">
        <v>1094</v>
      </c>
      <c r="AV48" s="67">
        <v>0</v>
      </c>
      <c r="AW48" s="210">
        <v>0</v>
      </c>
      <c r="AX48" s="67">
        <v>0</v>
      </c>
    </row>
    <row r="49" spans="1:50" ht="15.75" x14ac:dyDescent="0.25">
      <c r="A49" s="72">
        <v>38</v>
      </c>
      <c r="B49" s="192" t="s">
        <v>103</v>
      </c>
      <c r="C49" s="66">
        <v>0</v>
      </c>
      <c r="D49" s="66">
        <v>0</v>
      </c>
      <c r="E49" s="66">
        <v>0</v>
      </c>
      <c r="F49" s="66">
        <v>0</v>
      </c>
      <c r="G49" s="66">
        <v>0</v>
      </c>
      <c r="H49" s="66">
        <v>0</v>
      </c>
      <c r="I49" s="66">
        <v>0</v>
      </c>
      <c r="J49" s="66">
        <v>0</v>
      </c>
      <c r="K49" s="66">
        <v>0</v>
      </c>
      <c r="L49" s="66">
        <v>0</v>
      </c>
      <c r="M49" s="66">
        <v>0</v>
      </c>
      <c r="N49" s="67" t="s">
        <v>1094</v>
      </c>
      <c r="O49" s="67" t="s">
        <v>1094</v>
      </c>
      <c r="P49" s="67">
        <v>0</v>
      </c>
      <c r="Q49" s="66">
        <v>0</v>
      </c>
      <c r="R49" s="67">
        <v>0</v>
      </c>
      <c r="S49" s="66">
        <v>0</v>
      </c>
      <c r="T49" s="66">
        <v>0</v>
      </c>
      <c r="U49" s="66">
        <v>0</v>
      </c>
      <c r="V49" s="66">
        <v>0</v>
      </c>
      <c r="W49" s="66">
        <v>0</v>
      </c>
      <c r="X49" s="66">
        <v>0</v>
      </c>
      <c r="Y49" s="66">
        <v>0</v>
      </c>
      <c r="Z49" s="66">
        <v>0</v>
      </c>
      <c r="AA49" s="66">
        <v>0</v>
      </c>
      <c r="AB49" s="66">
        <v>0</v>
      </c>
      <c r="AC49" s="66">
        <v>0</v>
      </c>
      <c r="AD49" s="67" t="s">
        <v>1094</v>
      </c>
      <c r="AE49" s="67" t="s">
        <v>1094</v>
      </c>
      <c r="AF49" s="67">
        <v>0</v>
      </c>
      <c r="AG49" s="210">
        <v>0</v>
      </c>
      <c r="AH49" s="67">
        <v>0</v>
      </c>
      <c r="AI49" s="66">
        <v>0</v>
      </c>
      <c r="AJ49" s="66">
        <v>0</v>
      </c>
      <c r="AK49" s="66">
        <v>0</v>
      </c>
      <c r="AL49" s="66">
        <v>0</v>
      </c>
      <c r="AM49" s="66">
        <v>0</v>
      </c>
      <c r="AN49" s="66">
        <v>0</v>
      </c>
      <c r="AO49" s="66">
        <v>0</v>
      </c>
      <c r="AP49" s="66">
        <v>0</v>
      </c>
      <c r="AQ49" s="66">
        <v>0</v>
      </c>
      <c r="AR49" s="66">
        <v>0</v>
      </c>
      <c r="AS49" s="66">
        <v>0</v>
      </c>
      <c r="AT49" s="67" t="s">
        <v>1094</v>
      </c>
      <c r="AU49" s="67" t="s">
        <v>1094</v>
      </c>
      <c r="AV49" s="67">
        <v>0</v>
      </c>
      <c r="AW49" s="210">
        <v>0</v>
      </c>
      <c r="AX49" s="67">
        <v>0</v>
      </c>
    </row>
    <row r="50" spans="1:50" ht="15.75" x14ac:dyDescent="0.25">
      <c r="A50" s="72">
        <v>39</v>
      </c>
      <c r="B50" s="192" t="s">
        <v>105</v>
      </c>
      <c r="C50" s="66">
        <v>147.75409999999999</v>
      </c>
      <c r="D50" s="66">
        <v>0</v>
      </c>
      <c r="E50" s="66">
        <v>155.590912</v>
      </c>
      <c r="F50" s="66">
        <v>147.75409999999999</v>
      </c>
      <c r="G50" s="66">
        <v>7.8368120000000001</v>
      </c>
      <c r="H50" s="66">
        <v>147.75407100000001</v>
      </c>
      <c r="I50" s="66">
        <v>0</v>
      </c>
      <c r="J50" s="66">
        <v>155.59088299999999</v>
      </c>
      <c r="K50" s="66">
        <v>147.75407100000001</v>
      </c>
      <c r="L50" s="66">
        <v>0</v>
      </c>
      <c r="M50" s="66">
        <v>7.8368120000000001</v>
      </c>
      <c r="N50" s="67">
        <v>99.999980372795079</v>
      </c>
      <c r="O50" s="67">
        <v>100</v>
      </c>
      <c r="P50" s="67">
        <v>5.0368066874458197</v>
      </c>
      <c r="Q50" s="66">
        <v>0</v>
      </c>
      <c r="R50" s="67">
        <v>0</v>
      </c>
      <c r="S50" s="66">
        <v>147.75409999999999</v>
      </c>
      <c r="T50" s="66">
        <v>0</v>
      </c>
      <c r="U50" s="66">
        <v>155.590912</v>
      </c>
      <c r="V50" s="66">
        <v>147.75409999999999</v>
      </c>
      <c r="W50" s="66">
        <v>7.8368120000000001</v>
      </c>
      <c r="X50" s="66">
        <v>147.75407100000001</v>
      </c>
      <c r="Y50" s="66">
        <v>0</v>
      </c>
      <c r="Z50" s="66">
        <v>155.59088299999999</v>
      </c>
      <c r="AA50" s="66">
        <v>147.75407100000001</v>
      </c>
      <c r="AB50" s="66">
        <v>0</v>
      </c>
      <c r="AC50" s="66">
        <v>7.8368120000000001</v>
      </c>
      <c r="AD50" s="67">
        <v>99.999980372795079</v>
      </c>
      <c r="AE50" s="67">
        <v>100</v>
      </c>
      <c r="AF50" s="67">
        <v>5.0368066874458197</v>
      </c>
      <c r="AG50" s="210">
        <v>0</v>
      </c>
      <c r="AH50" s="67">
        <v>0</v>
      </c>
      <c r="AI50" s="66">
        <v>0</v>
      </c>
      <c r="AJ50" s="66">
        <v>0</v>
      </c>
      <c r="AK50" s="66">
        <v>0</v>
      </c>
      <c r="AL50" s="66">
        <v>0</v>
      </c>
      <c r="AM50" s="66">
        <v>0</v>
      </c>
      <c r="AN50" s="66">
        <v>0</v>
      </c>
      <c r="AO50" s="66">
        <v>0</v>
      </c>
      <c r="AP50" s="66">
        <v>0</v>
      </c>
      <c r="AQ50" s="66">
        <v>0</v>
      </c>
      <c r="AR50" s="66">
        <v>0</v>
      </c>
      <c r="AS50" s="66">
        <v>0</v>
      </c>
      <c r="AT50" s="67" t="s">
        <v>1094</v>
      </c>
      <c r="AU50" s="67" t="s">
        <v>1094</v>
      </c>
      <c r="AV50" s="67">
        <v>0</v>
      </c>
      <c r="AW50" s="210">
        <v>0</v>
      </c>
      <c r="AX50" s="67">
        <v>0</v>
      </c>
    </row>
    <row r="51" spans="1:50" s="126" customFormat="1" ht="15.75" x14ac:dyDescent="0.25">
      <c r="A51" s="68">
        <v>40</v>
      </c>
      <c r="B51" s="192" t="s">
        <v>107</v>
      </c>
      <c r="C51" s="66">
        <v>0</v>
      </c>
      <c r="D51" s="66">
        <v>0</v>
      </c>
      <c r="E51" s="66">
        <v>0</v>
      </c>
      <c r="F51" s="66">
        <v>0</v>
      </c>
      <c r="G51" s="66">
        <v>0</v>
      </c>
      <c r="H51" s="66">
        <v>0</v>
      </c>
      <c r="I51" s="66">
        <v>0</v>
      </c>
      <c r="J51" s="66">
        <v>0</v>
      </c>
      <c r="K51" s="66">
        <v>0</v>
      </c>
      <c r="L51" s="66">
        <v>0</v>
      </c>
      <c r="M51" s="66">
        <v>0</v>
      </c>
      <c r="N51" s="67" t="s">
        <v>1094</v>
      </c>
      <c r="O51" s="67" t="s">
        <v>1094</v>
      </c>
      <c r="P51" s="67">
        <v>0</v>
      </c>
      <c r="Q51" s="66">
        <v>0</v>
      </c>
      <c r="R51" s="67">
        <v>0</v>
      </c>
      <c r="S51" s="66">
        <v>0</v>
      </c>
      <c r="T51" s="66">
        <v>0</v>
      </c>
      <c r="U51" s="66">
        <v>0</v>
      </c>
      <c r="V51" s="66">
        <v>0</v>
      </c>
      <c r="W51" s="66">
        <v>0</v>
      </c>
      <c r="X51" s="66">
        <v>0</v>
      </c>
      <c r="Y51" s="66">
        <v>0</v>
      </c>
      <c r="Z51" s="66">
        <v>0</v>
      </c>
      <c r="AA51" s="66">
        <v>0</v>
      </c>
      <c r="AB51" s="66">
        <v>0</v>
      </c>
      <c r="AC51" s="66">
        <v>0</v>
      </c>
      <c r="AD51" s="67" t="s">
        <v>1094</v>
      </c>
      <c r="AE51" s="67" t="s">
        <v>1094</v>
      </c>
      <c r="AF51" s="67">
        <v>0</v>
      </c>
      <c r="AG51" s="210">
        <v>0</v>
      </c>
      <c r="AH51" s="67">
        <v>0</v>
      </c>
      <c r="AI51" s="66">
        <v>0</v>
      </c>
      <c r="AJ51" s="66">
        <v>0</v>
      </c>
      <c r="AK51" s="66">
        <v>0</v>
      </c>
      <c r="AL51" s="66">
        <v>0</v>
      </c>
      <c r="AM51" s="66">
        <v>0</v>
      </c>
      <c r="AN51" s="66">
        <v>0</v>
      </c>
      <c r="AO51" s="66">
        <v>0</v>
      </c>
      <c r="AP51" s="66">
        <v>0</v>
      </c>
      <c r="AQ51" s="66">
        <v>0</v>
      </c>
      <c r="AR51" s="66">
        <v>0</v>
      </c>
      <c r="AS51" s="66">
        <v>0</v>
      </c>
      <c r="AT51" s="67" t="s">
        <v>1094</v>
      </c>
      <c r="AU51" s="67" t="s">
        <v>1094</v>
      </c>
      <c r="AV51" s="67">
        <v>0</v>
      </c>
      <c r="AW51" s="210">
        <v>0</v>
      </c>
      <c r="AX51" s="67">
        <v>0</v>
      </c>
    </row>
    <row r="52" spans="1:50" ht="15.75" x14ac:dyDescent="0.25">
      <c r="A52" s="136">
        <v>41</v>
      </c>
      <c r="B52" s="189" t="s">
        <v>319</v>
      </c>
      <c r="C52" s="66">
        <v>0</v>
      </c>
      <c r="D52" s="66">
        <v>0</v>
      </c>
      <c r="E52" s="66">
        <v>0</v>
      </c>
      <c r="F52" s="66">
        <v>0</v>
      </c>
      <c r="G52" s="66">
        <v>0</v>
      </c>
      <c r="H52" s="66">
        <v>0</v>
      </c>
      <c r="I52" s="66">
        <v>0</v>
      </c>
      <c r="J52" s="66">
        <v>0</v>
      </c>
      <c r="K52" s="66">
        <v>0</v>
      </c>
      <c r="L52" s="66">
        <v>0</v>
      </c>
      <c r="M52" s="66">
        <v>0</v>
      </c>
      <c r="N52" s="67" t="s">
        <v>1094</v>
      </c>
      <c r="O52" s="67" t="s">
        <v>1094</v>
      </c>
      <c r="P52" s="67">
        <v>0</v>
      </c>
      <c r="Q52" s="66">
        <v>0</v>
      </c>
      <c r="R52" s="67">
        <v>0</v>
      </c>
      <c r="S52" s="66">
        <v>0</v>
      </c>
      <c r="T52" s="66">
        <v>0</v>
      </c>
      <c r="U52" s="66">
        <v>0</v>
      </c>
      <c r="V52" s="66">
        <v>0</v>
      </c>
      <c r="W52" s="66">
        <v>0</v>
      </c>
      <c r="X52" s="66">
        <v>0</v>
      </c>
      <c r="Y52" s="66">
        <v>0</v>
      </c>
      <c r="Z52" s="66">
        <v>0</v>
      </c>
      <c r="AA52" s="66">
        <v>0</v>
      </c>
      <c r="AB52" s="66">
        <v>0</v>
      </c>
      <c r="AC52" s="66">
        <v>0</v>
      </c>
      <c r="AD52" s="67" t="s">
        <v>1094</v>
      </c>
      <c r="AE52" s="67" t="s">
        <v>1094</v>
      </c>
      <c r="AF52" s="67">
        <v>0</v>
      </c>
      <c r="AG52" s="210">
        <v>0</v>
      </c>
      <c r="AH52" s="67">
        <v>0</v>
      </c>
      <c r="AI52" s="66">
        <v>0</v>
      </c>
      <c r="AJ52" s="66">
        <v>0</v>
      </c>
      <c r="AK52" s="66">
        <v>0</v>
      </c>
      <c r="AL52" s="66">
        <v>0</v>
      </c>
      <c r="AM52" s="66">
        <v>0</v>
      </c>
      <c r="AN52" s="66">
        <v>0</v>
      </c>
      <c r="AO52" s="66">
        <v>0</v>
      </c>
      <c r="AP52" s="66">
        <v>0</v>
      </c>
      <c r="AQ52" s="66">
        <v>0</v>
      </c>
      <c r="AR52" s="66">
        <v>0</v>
      </c>
      <c r="AS52" s="66">
        <v>0</v>
      </c>
      <c r="AT52" s="67" t="s">
        <v>1094</v>
      </c>
      <c r="AU52" s="67" t="s">
        <v>1094</v>
      </c>
      <c r="AV52" s="67">
        <v>0</v>
      </c>
      <c r="AW52" s="210">
        <v>0</v>
      </c>
      <c r="AX52" s="67">
        <v>0</v>
      </c>
    </row>
    <row r="53" spans="1:50" ht="31.5" x14ac:dyDescent="0.25">
      <c r="A53" s="70">
        <v>42</v>
      </c>
      <c r="B53" s="193" t="s">
        <v>109</v>
      </c>
      <c r="C53" s="61">
        <v>4390.3325000000004</v>
      </c>
      <c r="D53" s="61">
        <v>0</v>
      </c>
      <c r="E53" s="61">
        <v>4623.0080489599995</v>
      </c>
      <c r="F53" s="61">
        <v>4390.3325000000004</v>
      </c>
      <c r="G53" s="61">
        <v>232.67554896000001</v>
      </c>
      <c r="H53" s="61">
        <v>4390.3324708999999</v>
      </c>
      <c r="I53" s="61">
        <v>0</v>
      </c>
      <c r="J53" s="61">
        <v>4615.5463972400003</v>
      </c>
      <c r="K53" s="61">
        <v>4383.2439709</v>
      </c>
      <c r="L53" s="61">
        <v>0</v>
      </c>
      <c r="M53" s="61">
        <v>232.30242634000001</v>
      </c>
      <c r="N53" s="61">
        <v>99.838542317694618</v>
      </c>
      <c r="O53" s="61">
        <v>99.839638233725992</v>
      </c>
      <c r="P53" s="61">
        <v>5.0330428154489359</v>
      </c>
      <c r="Q53" s="61">
        <v>0</v>
      </c>
      <c r="R53" s="61">
        <v>7.0885000000000105</v>
      </c>
      <c r="S53" s="61">
        <v>4322.1044000000002</v>
      </c>
      <c r="T53" s="61">
        <v>0</v>
      </c>
      <c r="U53" s="61">
        <v>4551.1889749600005</v>
      </c>
      <c r="V53" s="61">
        <v>4322.1044000000002</v>
      </c>
      <c r="W53" s="61">
        <v>229.08457496</v>
      </c>
      <c r="X53" s="61">
        <v>4322.1043709000005</v>
      </c>
      <c r="Y53" s="61">
        <v>0</v>
      </c>
      <c r="Z53" s="61">
        <v>4551.1889235600001</v>
      </c>
      <c r="AA53" s="61">
        <v>4322.1043709000005</v>
      </c>
      <c r="AB53" s="61">
        <v>0</v>
      </c>
      <c r="AC53" s="61">
        <v>229.08455265999999</v>
      </c>
      <c r="AD53" s="61">
        <v>99.999999326716875</v>
      </c>
      <c r="AE53" s="61">
        <v>99.99999026560387</v>
      </c>
      <c r="AF53" s="61">
        <v>5.033510067536529</v>
      </c>
      <c r="AG53" s="61">
        <v>0</v>
      </c>
      <c r="AH53" s="61">
        <v>0</v>
      </c>
      <c r="AI53" s="61">
        <v>68.228099999999998</v>
      </c>
      <c r="AJ53" s="61">
        <v>0</v>
      </c>
      <c r="AK53" s="61">
        <v>71.819074000000001</v>
      </c>
      <c r="AL53" s="61">
        <v>68.228099999999998</v>
      </c>
      <c r="AM53" s="61">
        <v>3.5909740000000001</v>
      </c>
      <c r="AN53" s="61">
        <v>68.228099999999998</v>
      </c>
      <c r="AO53" s="61">
        <v>0</v>
      </c>
      <c r="AP53" s="61">
        <v>64.357473679999998</v>
      </c>
      <c r="AQ53" s="61">
        <v>61.139600000000002</v>
      </c>
      <c r="AR53" s="61">
        <v>0</v>
      </c>
      <c r="AS53" s="61">
        <v>3.2178736800000003</v>
      </c>
      <c r="AT53" s="61">
        <v>89.610585667782047</v>
      </c>
      <c r="AU53" s="61">
        <v>89.610052314497409</v>
      </c>
      <c r="AV53" s="61">
        <v>4.9999999937847166</v>
      </c>
      <c r="AW53" s="61">
        <v>0</v>
      </c>
      <c r="AX53" s="61">
        <v>7.0884999999999998</v>
      </c>
    </row>
    <row r="54" spans="1:50" ht="15.75" x14ac:dyDescent="0.25">
      <c r="A54" s="72">
        <v>43</v>
      </c>
      <c r="B54" s="192" t="s">
        <v>111</v>
      </c>
      <c r="C54" s="66">
        <v>0</v>
      </c>
      <c r="D54" s="66">
        <v>0</v>
      </c>
      <c r="E54" s="66">
        <v>0</v>
      </c>
      <c r="F54" s="66">
        <v>0</v>
      </c>
      <c r="G54" s="66">
        <v>0</v>
      </c>
      <c r="H54" s="66">
        <v>0</v>
      </c>
      <c r="I54" s="66">
        <v>0</v>
      </c>
      <c r="J54" s="66">
        <v>0</v>
      </c>
      <c r="K54" s="66">
        <v>0</v>
      </c>
      <c r="L54" s="66">
        <v>0</v>
      </c>
      <c r="M54" s="66">
        <v>0</v>
      </c>
      <c r="N54" s="67" t="s">
        <v>1094</v>
      </c>
      <c r="O54" s="67" t="s">
        <v>1094</v>
      </c>
      <c r="P54" s="67">
        <v>0</v>
      </c>
      <c r="Q54" s="66">
        <v>0</v>
      </c>
      <c r="R54" s="67">
        <v>0</v>
      </c>
      <c r="S54" s="66">
        <v>0</v>
      </c>
      <c r="T54" s="66">
        <v>0</v>
      </c>
      <c r="U54" s="66">
        <v>0</v>
      </c>
      <c r="V54" s="66">
        <v>0</v>
      </c>
      <c r="W54" s="66">
        <v>0</v>
      </c>
      <c r="X54" s="66">
        <v>0</v>
      </c>
      <c r="Y54" s="66">
        <v>0</v>
      </c>
      <c r="Z54" s="66">
        <v>0</v>
      </c>
      <c r="AA54" s="66">
        <v>0</v>
      </c>
      <c r="AB54" s="66">
        <v>0</v>
      </c>
      <c r="AC54" s="66">
        <v>0</v>
      </c>
      <c r="AD54" s="67" t="s">
        <v>1094</v>
      </c>
      <c r="AE54" s="67" t="s">
        <v>1094</v>
      </c>
      <c r="AF54" s="67">
        <v>0</v>
      </c>
      <c r="AG54" s="210">
        <v>0</v>
      </c>
      <c r="AH54" s="67">
        <v>0</v>
      </c>
      <c r="AI54" s="66">
        <v>0</v>
      </c>
      <c r="AJ54" s="66">
        <v>0</v>
      </c>
      <c r="AK54" s="66">
        <v>0</v>
      </c>
      <c r="AL54" s="66">
        <v>0</v>
      </c>
      <c r="AM54" s="66">
        <v>0</v>
      </c>
      <c r="AN54" s="66">
        <v>0</v>
      </c>
      <c r="AO54" s="66">
        <v>0</v>
      </c>
      <c r="AP54" s="66">
        <v>0</v>
      </c>
      <c r="AQ54" s="66">
        <v>0</v>
      </c>
      <c r="AR54" s="66">
        <v>0</v>
      </c>
      <c r="AS54" s="66">
        <v>0</v>
      </c>
      <c r="AT54" s="67" t="s">
        <v>1094</v>
      </c>
      <c r="AU54" s="67" t="s">
        <v>1094</v>
      </c>
      <c r="AV54" s="67">
        <v>0</v>
      </c>
      <c r="AW54" s="210">
        <v>0</v>
      </c>
      <c r="AX54" s="67">
        <v>0</v>
      </c>
    </row>
    <row r="55" spans="1:50" ht="15.75" x14ac:dyDescent="0.25">
      <c r="A55" s="72">
        <v>44</v>
      </c>
      <c r="B55" s="192" t="s">
        <v>113</v>
      </c>
      <c r="C55" s="66">
        <v>0</v>
      </c>
      <c r="D55" s="66">
        <v>0</v>
      </c>
      <c r="E55" s="66">
        <v>0</v>
      </c>
      <c r="F55" s="66">
        <v>0</v>
      </c>
      <c r="G55" s="66">
        <v>0</v>
      </c>
      <c r="H55" s="66">
        <v>0</v>
      </c>
      <c r="I55" s="66">
        <v>0</v>
      </c>
      <c r="J55" s="66">
        <v>0</v>
      </c>
      <c r="K55" s="66">
        <v>0</v>
      </c>
      <c r="L55" s="66">
        <v>0</v>
      </c>
      <c r="M55" s="66">
        <v>0</v>
      </c>
      <c r="N55" s="67" t="s">
        <v>1094</v>
      </c>
      <c r="O55" s="67" t="s">
        <v>1094</v>
      </c>
      <c r="P55" s="67">
        <v>0</v>
      </c>
      <c r="Q55" s="66">
        <v>0</v>
      </c>
      <c r="R55" s="67">
        <v>0</v>
      </c>
      <c r="S55" s="66">
        <v>0</v>
      </c>
      <c r="T55" s="66">
        <v>0</v>
      </c>
      <c r="U55" s="66">
        <v>0</v>
      </c>
      <c r="V55" s="66">
        <v>0</v>
      </c>
      <c r="W55" s="66">
        <v>0</v>
      </c>
      <c r="X55" s="66">
        <v>0</v>
      </c>
      <c r="Y55" s="66">
        <v>0</v>
      </c>
      <c r="Z55" s="66">
        <v>0</v>
      </c>
      <c r="AA55" s="66">
        <v>0</v>
      </c>
      <c r="AB55" s="66">
        <v>0</v>
      </c>
      <c r="AC55" s="66">
        <v>0</v>
      </c>
      <c r="AD55" s="67" t="s">
        <v>1094</v>
      </c>
      <c r="AE55" s="67" t="s">
        <v>1094</v>
      </c>
      <c r="AF55" s="67">
        <v>0</v>
      </c>
      <c r="AG55" s="210">
        <v>0</v>
      </c>
      <c r="AH55" s="67">
        <v>0</v>
      </c>
      <c r="AI55" s="66">
        <v>0</v>
      </c>
      <c r="AJ55" s="66">
        <v>0</v>
      </c>
      <c r="AK55" s="66">
        <v>0</v>
      </c>
      <c r="AL55" s="66">
        <v>0</v>
      </c>
      <c r="AM55" s="66">
        <v>0</v>
      </c>
      <c r="AN55" s="66">
        <v>0</v>
      </c>
      <c r="AO55" s="66">
        <v>0</v>
      </c>
      <c r="AP55" s="66">
        <v>0</v>
      </c>
      <c r="AQ55" s="66">
        <v>0</v>
      </c>
      <c r="AR55" s="66">
        <v>0</v>
      </c>
      <c r="AS55" s="66">
        <v>0</v>
      </c>
      <c r="AT55" s="67" t="s">
        <v>1094</v>
      </c>
      <c r="AU55" s="67" t="s">
        <v>1094</v>
      </c>
      <c r="AV55" s="67">
        <v>0</v>
      </c>
      <c r="AW55" s="210">
        <v>0</v>
      </c>
      <c r="AX55" s="67">
        <v>0</v>
      </c>
    </row>
    <row r="56" spans="1:50" ht="31.5" x14ac:dyDescent="0.25">
      <c r="A56" s="72">
        <v>45</v>
      </c>
      <c r="B56" s="192" t="s">
        <v>115</v>
      </c>
      <c r="C56" s="66">
        <v>291.89980000000003</v>
      </c>
      <c r="D56" s="66">
        <v>0</v>
      </c>
      <c r="E56" s="66">
        <v>307.26859999999999</v>
      </c>
      <c r="F56" s="66">
        <v>291.89980000000003</v>
      </c>
      <c r="G56" s="66">
        <v>15.3688</v>
      </c>
      <c r="H56" s="66">
        <v>291.89977089999996</v>
      </c>
      <c r="I56" s="66">
        <v>0</v>
      </c>
      <c r="J56" s="66">
        <v>299.80697089999995</v>
      </c>
      <c r="K56" s="66">
        <v>284.81127089999995</v>
      </c>
      <c r="L56" s="66">
        <v>0</v>
      </c>
      <c r="M56" s="66">
        <v>14.995699999999999</v>
      </c>
      <c r="N56" s="67">
        <v>97.571588229933667</v>
      </c>
      <c r="O56" s="67">
        <v>97.572354380302954</v>
      </c>
      <c r="P56" s="67">
        <v>5.0017849668351397</v>
      </c>
      <c r="Q56" s="66">
        <v>0</v>
      </c>
      <c r="R56" s="67">
        <v>7.0885000000000105</v>
      </c>
      <c r="S56" s="66">
        <v>284.81130000000002</v>
      </c>
      <c r="T56" s="66">
        <v>0</v>
      </c>
      <c r="U56" s="66">
        <v>299.80700000000002</v>
      </c>
      <c r="V56" s="66">
        <v>284.81130000000002</v>
      </c>
      <c r="W56" s="66">
        <v>14.995699999999999</v>
      </c>
      <c r="X56" s="66">
        <v>284.81127089999995</v>
      </c>
      <c r="Y56" s="66">
        <v>0</v>
      </c>
      <c r="Z56" s="66">
        <v>299.80697089999995</v>
      </c>
      <c r="AA56" s="66">
        <v>284.81127089999995</v>
      </c>
      <c r="AB56" s="66">
        <v>0</v>
      </c>
      <c r="AC56" s="66">
        <v>14.995699999999999</v>
      </c>
      <c r="AD56" s="67">
        <v>99.999989782708738</v>
      </c>
      <c r="AE56" s="67">
        <v>100</v>
      </c>
      <c r="AF56" s="67">
        <v>5.0017849668351397</v>
      </c>
      <c r="AG56" s="210">
        <v>0</v>
      </c>
      <c r="AH56" s="67">
        <v>0</v>
      </c>
      <c r="AI56" s="66">
        <v>7.0884999999999998</v>
      </c>
      <c r="AJ56" s="66">
        <v>0</v>
      </c>
      <c r="AK56" s="66">
        <v>7.4615999999999998</v>
      </c>
      <c r="AL56" s="66">
        <v>7.0884999999999998</v>
      </c>
      <c r="AM56" s="66">
        <v>0.37309999999999999</v>
      </c>
      <c r="AN56" s="66">
        <v>7.0884999999999998</v>
      </c>
      <c r="AO56" s="66">
        <v>0</v>
      </c>
      <c r="AP56" s="66">
        <v>0</v>
      </c>
      <c r="AQ56" s="66">
        <v>0</v>
      </c>
      <c r="AR56" s="66">
        <v>0</v>
      </c>
      <c r="AS56" s="66">
        <v>0</v>
      </c>
      <c r="AT56" s="67">
        <v>0</v>
      </c>
      <c r="AU56" s="67">
        <v>0</v>
      </c>
      <c r="AV56" s="67">
        <v>0</v>
      </c>
      <c r="AW56" s="210">
        <v>0</v>
      </c>
      <c r="AX56" s="67">
        <v>7.0884999999999998</v>
      </c>
    </row>
    <row r="57" spans="1:50" ht="31.5" x14ac:dyDescent="0.25">
      <c r="A57" s="72">
        <v>46</v>
      </c>
      <c r="B57" s="192" t="s">
        <v>117</v>
      </c>
      <c r="C57" s="66">
        <v>84</v>
      </c>
      <c r="D57" s="66">
        <v>0</v>
      </c>
      <c r="E57" s="66">
        <v>88.422105269999989</v>
      </c>
      <c r="F57" s="66">
        <v>84</v>
      </c>
      <c r="G57" s="66">
        <v>4.4221052699999994</v>
      </c>
      <c r="H57" s="66">
        <v>84</v>
      </c>
      <c r="I57" s="66">
        <v>0</v>
      </c>
      <c r="J57" s="66">
        <v>88.422105269999989</v>
      </c>
      <c r="K57" s="66">
        <v>84</v>
      </c>
      <c r="L57" s="66">
        <v>0</v>
      </c>
      <c r="M57" s="66">
        <v>4.4221052699999994</v>
      </c>
      <c r="N57" s="67">
        <v>100</v>
      </c>
      <c r="O57" s="67">
        <v>100</v>
      </c>
      <c r="P57" s="67">
        <v>5.0011309462684093</v>
      </c>
      <c r="Q57" s="66">
        <v>0</v>
      </c>
      <c r="R57" s="67">
        <v>0</v>
      </c>
      <c r="S57" s="66">
        <v>84</v>
      </c>
      <c r="T57" s="66">
        <v>0</v>
      </c>
      <c r="U57" s="66">
        <v>88.422105269999989</v>
      </c>
      <c r="V57" s="66">
        <v>84</v>
      </c>
      <c r="W57" s="66">
        <v>4.4221052699999994</v>
      </c>
      <c r="X57" s="66">
        <v>84</v>
      </c>
      <c r="Y57" s="66">
        <v>0</v>
      </c>
      <c r="Z57" s="66">
        <v>88.422105269999989</v>
      </c>
      <c r="AA57" s="66">
        <v>84</v>
      </c>
      <c r="AB57" s="66">
        <v>0</v>
      </c>
      <c r="AC57" s="66">
        <v>4.4221052699999994</v>
      </c>
      <c r="AD57" s="67">
        <v>100</v>
      </c>
      <c r="AE57" s="67">
        <v>100</v>
      </c>
      <c r="AF57" s="67">
        <v>5.0011309462684093</v>
      </c>
      <c r="AG57" s="210">
        <v>0</v>
      </c>
      <c r="AH57" s="67">
        <v>0</v>
      </c>
      <c r="AI57" s="66">
        <v>0</v>
      </c>
      <c r="AJ57" s="66">
        <v>0</v>
      </c>
      <c r="AK57" s="66">
        <v>0</v>
      </c>
      <c r="AL57" s="66">
        <v>0</v>
      </c>
      <c r="AM57" s="66">
        <v>0</v>
      </c>
      <c r="AN57" s="66">
        <v>0</v>
      </c>
      <c r="AO57" s="66">
        <v>0</v>
      </c>
      <c r="AP57" s="66">
        <v>0</v>
      </c>
      <c r="AQ57" s="66">
        <v>0</v>
      </c>
      <c r="AR57" s="66">
        <v>0</v>
      </c>
      <c r="AS57" s="66">
        <v>0</v>
      </c>
      <c r="AT57" s="67" t="s">
        <v>1094</v>
      </c>
      <c r="AU57" s="67" t="s">
        <v>1094</v>
      </c>
      <c r="AV57" s="67">
        <v>0</v>
      </c>
      <c r="AW57" s="210">
        <v>0</v>
      </c>
      <c r="AX57" s="67">
        <v>0</v>
      </c>
    </row>
    <row r="58" spans="1:50" ht="31.5" x14ac:dyDescent="0.25">
      <c r="A58" s="72">
        <v>47</v>
      </c>
      <c r="B58" s="192" t="s">
        <v>119</v>
      </c>
      <c r="C58" s="66">
        <v>8.1</v>
      </c>
      <c r="D58" s="66">
        <v>0</v>
      </c>
      <c r="E58" s="66">
        <v>10.125</v>
      </c>
      <c r="F58" s="66">
        <v>8.1</v>
      </c>
      <c r="G58" s="66">
        <v>2.0249999999999999</v>
      </c>
      <c r="H58" s="66">
        <v>8.1</v>
      </c>
      <c r="I58" s="66">
        <v>0</v>
      </c>
      <c r="J58" s="66">
        <v>10.125</v>
      </c>
      <c r="K58" s="66">
        <v>8.1</v>
      </c>
      <c r="L58" s="66">
        <v>0</v>
      </c>
      <c r="M58" s="66">
        <v>2.0249999999999999</v>
      </c>
      <c r="N58" s="67">
        <v>100</v>
      </c>
      <c r="O58" s="67">
        <v>100</v>
      </c>
      <c r="P58" s="67">
        <v>20</v>
      </c>
      <c r="Q58" s="66">
        <v>0</v>
      </c>
      <c r="R58" s="67">
        <v>0</v>
      </c>
      <c r="S58" s="66">
        <v>8.1</v>
      </c>
      <c r="T58" s="66">
        <v>0</v>
      </c>
      <c r="U58" s="66">
        <v>10.125</v>
      </c>
      <c r="V58" s="66">
        <v>8.1</v>
      </c>
      <c r="W58" s="66">
        <v>2.0249999999999999</v>
      </c>
      <c r="X58" s="66">
        <v>8.1</v>
      </c>
      <c r="Y58" s="66">
        <v>0</v>
      </c>
      <c r="Z58" s="66">
        <v>10.125</v>
      </c>
      <c r="AA58" s="66">
        <v>8.1</v>
      </c>
      <c r="AB58" s="66">
        <v>0</v>
      </c>
      <c r="AC58" s="66">
        <v>2.0249999999999999</v>
      </c>
      <c r="AD58" s="67">
        <v>100</v>
      </c>
      <c r="AE58" s="67">
        <v>100</v>
      </c>
      <c r="AF58" s="67">
        <v>20</v>
      </c>
      <c r="AG58" s="210">
        <v>0</v>
      </c>
      <c r="AH58" s="67">
        <v>0</v>
      </c>
      <c r="AI58" s="66">
        <v>0</v>
      </c>
      <c r="AJ58" s="66">
        <v>0</v>
      </c>
      <c r="AK58" s="66">
        <v>0</v>
      </c>
      <c r="AL58" s="66">
        <v>0</v>
      </c>
      <c r="AM58" s="66">
        <v>0</v>
      </c>
      <c r="AN58" s="66">
        <v>0</v>
      </c>
      <c r="AO58" s="66">
        <v>0</v>
      </c>
      <c r="AP58" s="66">
        <v>0</v>
      </c>
      <c r="AQ58" s="66">
        <v>0</v>
      </c>
      <c r="AR58" s="66">
        <v>0</v>
      </c>
      <c r="AS58" s="66">
        <v>0</v>
      </c>
      <c r="AT58" s="67" t="s">
        <v>1094</v>
      </c>
      <c r="AU58" s="67" t="s">
        <v>1094</v>
      </c>
      <c r="AV58" s="67">
        <v>0</v>
      </c>
      <c r="AW58" s="210">
        <v>0</v>
      </c>
      <c r="AX58" s="67">
        <v>0</v>
      </c>
    </row>
    <row r="59" spans="1:50" ht="15.75" x14ac:dyDescent="0.25">
      <c r="A59" s="11">
        <v>48</v>
      </c>
      <c r="B59" s="192" t="s">
        <v>122</v>
      </c>
      <c r="C59" s="66">
        <v>2401.7642999999998</v>
      </c>
      <c r="D59" s="66">
        <v>0</v>
      </c>
      <c r="E59" s="66">
        <v>2528.1729700000001</v>
      </c>
      <c r="F59" s="66">
        <v>2401.7642999999998</v>
      </c>
      <c r="G59" s="66">
        <v>126.40867</v>
      </c>
      <c r="H59" s="66">
        <v>2401.7642999999998</v>
      </c>
      <c r="I59" s="66">
        <v>0</v>
      </c>
      <c r="J59" s="66">
        <v>2528.1729473800001</v>
      </c>
      <c r="K59" s="66">
        <v>2401.7642999999998</v>
      </c>
      <c r="L59" s="66">
        <v>0</v>
      </c>
      <c r="M59" s="66">
        <v>126.40864738000001</v>
      </c>
      <c r="N59" s="67">
        <v>100</v>
      </c>
      <c r="O59" s="67">
        <v>99.999982105657793</v>
      </c>
      <c r="P59" s="67">
        <v>5.0000000004350964</v>
      </c>
      <c r="Q59" s="66">
        <v>0</v>
      </c>
      <c r="R59" s="67">
        <v>0</v>
      </c>
      <c r="S59" s="66">
        <v>2340.6246999999998</v>
      </c>
      <c r="T59" s="66">
        <v>0</v>
      </c>
      <c r="U59" s="66">
        <v>2463.8154960000002</v>
      </c>
      <c r="V59" s="66">
        <v>2340.6246999999998</v>
      </c>
      <c r="W59" s="66">
        <v>123.19079600000001</v>
      </c>
      <c r="X59" s="66">
        <v>2340.6246999999998</v>
      </c>
      <c r="Y59" s="66">
        <v>0</v>
      </c>
      <c r="Z59" s="66">
        <v>2463.8154737</v>
      </c>
      <c r="AA59" s="66">
        <v>2340.6246999999998</v>
      </c>
      <c r="AB59" s="66">
        <v>0</v>
      </c>
      <c r="AC59" s="66">
        <v>123.19077370000001</v>
      </c>
      <c r="AD59" s="67">
        <v>100</v>
      </c>
      <c r="AE59" s="67">
        <v>99.999981897998296</v>
      </c>
      <c r="AF59" s="67">
        <v>5.0000000006088117</v>
      </c>
      <c r="AG59" s="210">
        <v>0</v>
      </c>
      <c r="AH59" s="67">
        <v>0</v>
      </c>
      <c r="AI59" s="66">
        <v>61.139600000000002</v>
      </c>
      <c r="AJ59" s="66">
        <v>0</v>
      </c>
      <c r="AK59" s="66">
        <v>64.357473999999996</v>
      </c>
      <c r="AL59" s="66">
        <v>61.139600000000002</v>
      </c>
      <c r="AM59" s="66">
        <v>3.2178740000000001</v>
      </c>
      <c r="AN59" s="66">
        <v>61.139600000000002</v>
      </c>
      <c r="AO59" s="66">
        <v>0</v>
      </c>
      <c r="AP59" s="66">
        <v>64.357473679999998</v>
      </c>
      <c r="AQ59" s="66">
        <v>61.139600000000002</v>
      </c>
      <c r="AR59" s="66">
        <v>0</v>
      </c>
      <c r="AS59" s="66">
        <v>3.2178736800000003</v>
      </c>
      <c r="AT59" s="67">
        <v>100</v>
      </c>
      <c r="AU59" s="67">
        <v>99.999990055545993</v>
      </c>
      <c r="AV59" s="67">
        <v>4.9999999937847166</v>
      </c>
      <c r="AW59" s="210">
        <v>0</v>
      </c>
      <c r="AX59" s="67">
        <v>0</v>
      </c>
    </row>
    <row r="60" spans="1:50" ht="15.75" x14ac:dyDescent="0.25">
      <c r="A60" s="74">
        <v>49</v>
      </c>
      <c r="B60" s="192" t="s">
        <v>125</v>
      </c>
      <c r="C60" s="66">
        <v>1604.5684000000001</v>
      </c>
      <c r="D60" s="66">
        <v>0</v>
      </c>
      <c r="E60" s="66">
        <v>1689.0193736899998</v>
      </c>
      <c r="F60" s="66">
        <v>1604.5684000000001</v>
      </c>
      <c r="G60" s="66">
        <v>84.450973689999998</v>
      </c>
      <c r="H60" s="66">
        <v>1604.5684000000001</v>
      </c>
      <c r="I60" s="66">
        <v>0</v>
      </c>
      <c r="J60" s="66">
        <v>1689.0193736899998</v>
      </c>
      <c r="K60" s="66">
        <v>1604.5684000000001</v>
      </c>
      <c r="L60" s="66">
        <v>0</v>
      </c>
      <c r="M60" s="66">
        <v>84.450973689999998</v>
      </c>
      <c r="N60" s="67">
        <v>100</v>
      </c>
      <c r="O60" s="67">
        <v>100</v>
      </c>
      <c r="P60" s="67">
        <v>5.0000002963553936</v>
      </c>
      <c r="Q60" s="66">
        <v>0</v>
      </c>
      <c r="R60" s="67">
        <v>0</v>
      </c>
      <c r="S60" s="66">
        <v>1604.5684000000001</v>
      </c>
      <c r="T60" s="66">
        <v>0</v>
      </c>
      <c r="U60" s="66">
        <v>1689.0193736899998</v>
      </c>
      <c r="V60" s="66">
        <v>1604.5684000000001</v>
      </c>
      <c r="W60" s="66">
        <v>84.450973689999998</v>
      </c>
      <c r="X60" s="66">
        <v>1604.5684000000001</v>
      </c>
      <c r="Y60" s="66">
        <v>0</v>
      </c>
      <c r="Z60" s="66">
        <v>1689.0193736899998</v>
      </c>
      <c r="AA60" s="66">
        <v>1604.5684000000001</v>
      </c>
      <c r="AB60" s="66">
        <v>0</v>
      </c>
      <c r="AC60" s="66">
        <v>84.450973689999998</v>
      </c>
      <c r="AD60" s="67">
        <v>100</v>
      </c>
      <c r="AE60" s="67">
        <v>100</v>
      </c>
      <c r="AF60" s="67">
        <v>5.0000002963553936</v>
      </c>
      <c r="AG60" s="210">
        <v>0</v>
      </c>
      <c r="AH60" s="67">
        <v>0</v>
      </c>
      <c r="AI60" s="66">
        <v>0</v>
      </c>
      <c r="AJ60" s="66">
        <v>0</v>
      </c>
      <c r="AK60" s="66">
        <v>0</v>
      </c>
      <c r="AL60" s="66">
        <v>0</v>
      </c>
      <c r="AM60" s="66">
        <v>0</v>
      </c>
      <c r="AN60" s="66">
        <v>0</v>
      </c>
      <c r="AO60" s="66">
        <v>0</v>
      </c>
      <c r="AP60" s="66">
        <v>0</v>
      </c>
      <c r="AQ60" s="66">
        <v>0</v>
      </c>
      <c r="AR60" s="66">
        <v>0</v>
      </c>
      <c r="AS60" s="66">
        <v>0</v>
      </c>
      <c r="AT60" s="67" t="s">
        <v>1094</v>
      </c>
      <c r="AU60" s="67" t="s">
        <v>1094</v>
      </c>
      <c r="AV60" s="67">
        <v>0</v>
      </c>
      <c r="AW60" s="210">
        <v>0</v>
      </c>
      <c r="AX60" s="67">
        <v>0</v>
      </c>
    </row>
    <row r="61" spans="1:50" ht="15.75" x14ac:dyDescent="0.25">
      <c r="A61" s="57">
        <v>50</v>
      </c>
      <c r="B61" s="190" t="s">
        <v>128</v>
      </c>
      <c r="C61" s="61">
        <v>1302.2985999999999</v>
      </c>
      <c r="D61" s="61">
        <v>0</v>
      </c>
      <c r="E61" s="61">
        <v>1369.4819236399999</v>
      </c>
      <c r="F61" s="61">
        <v>1302.2985999999999</v>
      </c>
      <c r="G61" s="61">
        <v>67.183323639999998</v>
      </c>
      <c r="H61" s="61">
        <v>1284.0678737699998</v>
      </c>
      <c r="I61" s="61">
        <v>0</v>
      </c>
      <c r="J61" s="61">
        <v>1350.2917299600001</v>
      </c>
      <c r="K61" s="61">
        <v>1284.0678737699998</v>
      </c>
      <c r="L61" s="61">
        <v>0</v>
      </c>
      <c r="M61" s="61">
        <v>66.223856189999992</v>
      </c>
      <c r="N61" s="61">
        <v>98.600111661795538</v>
      </c>
      <c r="O61" s="61">
        <v>98.57186665080566</v>
      </c>
      <c r="P61" s="61">
        <v>4.9044110039807283</v>
      </c>
      <c r="Q61" s="61">
        <v>0</v>
      </c>
      <c r="R61" s="61">
        <v>0</v>
      </c>
      <c r="S61" s="61">
        <v>1301.0986</v>
      </c>
      <c r="T61" s="61">
        <v>0</v>
      </c>
      <c r="U61" s="61">
        <v>1368.2187656399997</v>
      </c>
      <c r="V61" s="61">
        <v>1301.0986</v>
      </c>
      <c r="W61" s="61">
        <v>67.120165639999996</v>
      </c>
      <c r="X61" s="61">
        <v>1282.8678737699997</v>
      </c>
      <c r="Y61" s="61">
        <v>0</v>
      </c>
      <c r="Z61" s="61">
        <v>1349.0285719599999</v>
      </c>
      <c r="AA61" s="61">
        <v>1282.8678737699997</v>
      </c>
      <c r="AB61" s="61">
        <v>0</v>
      </c>
      <c r="AC61" s="61">
        <v>66.160698189999991</v>
      </c>
      <c r="AD61" s="61">
        <v>98.598820548265891</v>
      </c>
      <c r="AE61" s="61">
        <v>98.57052282149283</v>
      </c>
      <c r="AF61" s="61">
        <v>4.9043214921590055</v>
      </c>
      <c r="AG61" s="61">
        <v>0</v>
      </c>
      <c r="AH61" s="61">
        <v>0</v>
      </c>
      <c r="AI61" s="61">
        <v>1.2</v>
      </c>
      <c r="AJ61" s="61">
        <v>0</v>
      </c>
      <c r="AK61" s="61">
        <v>1.263158</v>
      </c>
      <c r="AL61" s="61">
        <v>1.2</v>
      </c>
      <c r="AM61" s="61">
        <v>6.3158000000000006E-2</v>
      </c>
      <c r="AN61" s="61">
        <v>1.2</v>
      </c>
      <c r="AO61" s="61">
        <v>0</v>
      </c>
      <c r="AP61" s="61">
        <v>1.263158</v>
      </c>
      <c r="AQ61" s="61">
        <v>1.2</v>
      </c>
      <c r="AR61" s="61">
        <v>0</v>
      </c>
      <c r="AS61" s="61">
        <v>6.3158000000000006E-2</v>
      </c>
      <c r="AT61" s="61">
        <v>100</v>
      </c>
      <c r="AU61" s="61">
        <v>100</v>
      </c>
      <c r="AV61" s="61">
        <v>5.0000079166660072</v>
      </c>
      <c r="AW61" s="61">
        <v>0</v>
      </c>
      <c r="AX61" s="61">
        <v>0</v>
      </c>
    </row>
    <row r="62" spans="1:50" ht="15.75" x14ac:dyDescent="0.25">
      <c r="A62" s="11">
        <v>51</v>
      </c>
      <c r="B62" s="189" t="s">
        <v>131</v>
      </c>
      <c r="C62" s="66">
        <v>60.109300000000005</v>
      </c>
      <c r="D62" s="66">
        <v>0</v>
      </c>
      <c r="E62" s="66">
        <v>63.272953629999996</v>
      </c>
      <c r="F62" s="66">
        <v>60.109300000000005</v>
      </c>
      <c r="G62" s="66">
        <v>3.1636536299999998</v>
      </c>
      <c r="H62" s="66">
        <v>60.109273549999997</v>
      </c>
      <c r="I62" s="66">
        <v>0</v>
      </c>
      <c r="J62" s="66">
        <v>63.272919629999997</v>
      </c>
      <c r="K62" s="66">
        <v>60.109273549999997</v>
      </c>
      <c r="L62" s="66">
        <v>0</v>
      </c>
      <c r="M62" s="66">
        <v>3.1636460799999999</v>
      </c>
      <c r="N62" s="67">
        <v>99.999955996825776</v>
      </c>
      <c r="O62" s="67">
        <v>99.999761351877197</v>
      </c>
      <c r="P62" s="67">
        <v>5.0000001556748144</v>
      </c>
      <c r="Q62" s="66">
        <v>0</v>
      </c>
      <c r="R62" s="67">
        <v>0</v>
      </c>
      <c r="S62" s="66">
        <v>58.909300000000002</v>
      </c>
      <c r="T62" s="66">
        <v>0</v>
      </c>
      <c r="U62" s="66">
        <v>62.009795629999999</v>
      </c>
      <c r="V62" s="66">
        <v>58.909300000000002</v>
      </c>
      <c r="W62" s="66">
        <v>3.1004956299999997</v>
      </c>
      <c r="X62" s="66">
        <v>58.909273549999995</v>
      </c>
      <c r="Y62" s="66">
        <v>0</v>
      </c>
      <c r="Z62" s="66">
        <v>62.00976163</v>
      </c>
      <c r="AA62" s="66">
        <v>58.909273549999995</v>
      </c>
      <c r="AB62" s="66">
        <v>0</v>
      </c>
      <c r="AC62" s="66">
        <v>3.1004880799999999</v>
      </c>
      <c r="AD62" s="67">
        <v>99.999955100468</v>
      </c>
      <c r="AE62" s="67">
        <v>99.999756490545352</v>
      </c>
      <c r="AF62" s="67">
        <v>4.9999999975810256</v>
      </c>
      <c r="AG62" s="210">
        <v>0</v>
      </c>
      <c r="AH62" s="67">
        <v>0</v>
      </c>
      <c r="AI62" s="66">
        <v>1.2</v>
      </c>
      <c r="AJ62" s="66">
        <v>0</v>
      </c>
      <c r="AK62" s="66">
        <v>1.263158</v>
      </c>
      <c r="AL62" s="66">
        <v>1.2</v>
      </c>
      <c r="AM62" s="66">
        <v>6.3158000000000006E-2</v>
      </c>
      <c r="AN62" s="66">
        <v>1.2</v>
      </c>
      <c r="AO62" s="66">
        <v>0</v>
      </c>
      <c r="AP62" s="66">
        <v>1.263158</v>
      </c>
      <c r="AQ62" s="66">
        <v>1.2</v>
      </c>
      <c r="AR62" s="66">
        <v>0</v>
      </c>
      <c r="AS62" s="66">
        <v>6.3158000000000006E-2</v>
      </c>
      <c r="AT62" s="67">
        <v>100</v>
      </c>
      <c r="AU62" s="67">
        <v>100</v>
      </c>
      <c r="AV62" s="67">
        <v>5.0000079166660072</v>
      </c>
      <c r="AW62" s="210">
        <v>0</v>
      </c>
      <c r="AX62" s="67">
        <v>0</v>
      </c>
    </row>
    <row r="63" spans="1:50" ht="15.75" x14ac:dyDescent="0.25">
      <c r="A63" s="11">
        <v>52</v>
      </c>
      <c r="B63" s="189" t="s">
        <v>134</v>
      </c>
      <c r="C63" s="66">
        <v>0</v>
      </c>
      <c r="D63" s="66">
        <v>0</v>
      </c>
      <c r="E63" s="66">
        <v>0</v>
      </c>
      <c r="F63" s="66">
        <v>0</v>
      </c>
      <c r="G63" s="66">
        <v>0</v>
      </c>
      <c r="H63" s="66">
        <v>0</v>
      </c>
      <c r="I63" s="66">
        <v>0</v>
      </c>
      <c r="J63" s="66">
        <v>0</v>
      </c>
      <c r="K63" s="66">
        <v>0</v>
      </c>
      <c r="L63" s="66">
        <v>0</v>
      </c>
      <c r="M63" s="66">
        <v>0</v>
      </c>
      <c r="N63" s="67" t="s">
        <v>1094</v>
      </c>
      <c r="O63" s="67" t="s">
        <v>1094</v>
      </c>
      <c r="P63" s="67">
        <v>0</v>
      </c>
      <c r="Q63" s="66">
        <v>0</v>
      </c>
      <c r="R63" s="67">
        <v>0</v>
      </c>
      <c r="S63" s="66">
        <v>0</v>
      </c>
      <c r="T63" s="66">
        <v>0</v>
      </c>
      <c r="U63" s="66">
        <v>0</v>
      </c>
      <c r="V63" s="66">
        <v>0</v>
      </c>
      <c r="W63" s="66">
        <v>0</v>
      </c>
      <c r="X63" s="66">
        <v>0</v>
      </c>
      <c r="Y63" s="66">
        <v>0</v>
      </c>
      <c r="Z63" s="66">
        <v>0</v>
      </c>
      <c r="AA63" s="66">
        <v>0</v>
      </c>
      <c r="AB63" s="66">
        <v>0</v>
      </c>
      <c r="AC63" s="66">
        <v>0</v>
      </c>
      <c r="AD63" s="67" t="s">
        <v>1094</v>
      </c>
      <c r="AE63" s="67" t="s">
        <v>1094</v>
      </c>
      <c r="AF63" s="67">
        <v>0</v>
      </c>
      <c r="AG63" s="210">
        <v>0</v>
      </c>
      <c r="AH63" s="67">
        <v>0</v>
      </c>
      <c r="AI63" s="66">
        <v>0</v>
      </c>
      <c r="AJ63" s="66">
        <v>0</v>
      </c>
      <c r="AK63" s="66">
        <v>0</v>
      </c>
      <c r="AL63" s="66">
        <v>0</v>
      </c>
      <c r="AM63" s="66">
        <v>0</v>
      </c>
      <c r="AN63" s="66">
        <v>0</v>
      </c>
      <c r="AO63" s="66">
        <v>0</v>
      </c>
      <c r="AP63" s="66">
        <v>0</v>
      </c>
      <c r="AQ63" s="66">
        <v>0</v>
      </c>
      <c r="AR63" s="66">
        <v>0</v>
      </c>
      <c r="AS63" s="66">
        <v>0</v>
      </c>
      <c r="AT63" s="67" t="s">
        <v>1094</v>
      </c>
      <c r="AU63" s="67" t="s">
        <v>1094</v>
      </c>
      <c r="AV63" s="67">
        <v>0</v>
      </c>
      <c r="AW63" s="210">
        <v>0</v>
      </c>
      <c r="AX63" s="67">
        <v>0</v>
      </c>
    </row>
    <row r="64" spans="1:50" ht="15.75" x14ac:dyDescent="0.25">
      <c r="A64" s="11">
        <v>53</v>
      </c>
      <c r="B64" s="189" t="s">
        <v>137</v>
      </c>
      <c r="C64" s="66">
        <v>0</v>
      </c>
      <c r="D64" s="66">
        <v>0</v>
      </c>
      <c r="E64" s="66">
        <v>0</v>
      </c>
      <c r="F64" s="66">
        <v>0</v>
      </c>
      <c r="G64" s="66">
        <v>0</v>
      </c>
      <c r="H64" s="66">
        <v>0</v>
      </c>
      <c r="I64" s="66">
        <v>0</v>
      </c>
      <c r="J64" s="66">
        <v>0</v>
      </c>
      <c r="K64" s="66">
        <v>0</v>
      </c>
      <c r="L64" s="66">
        <v>0</v>
      </c>
      <c r="M64" s="66">
        <v>0</v>
      </c>
      <c r="N64" s="67" t="s">
        <v>1094</v>
      </c>
      <c r="O64" s="67" t="s">
        <v>1094</v>
      </c>
      <c r="P64" s="67">
        <v>0</v>
      </c>
      <c r="Q64" s="66">
        <v>0</v>
      </c>
      <c r="R64" s="67">
        <v>0</v>
      </c>
      <c r="S64" s="66">
        <v>0</v>
      </c>
      <c r="T64" s="66">
        <v>0</v>
      </c>
      <c r="U64" s="66">
        <v>0</v>
      </c>
      <c r="V64" s="66">
        <v>0</v>
      </c>
      <c r="W64" s="66">
        <v>0</v>
      </c>
      <c r="X64" s="66">
        <v>0</v>
      </c>
      <c r="Y64" s="66">
        <v>0</v>
      </c>
      <c r="Z64" s="66">
        <v>0</v>
      </c>
      <c r="AA64" s="66">
        <v>0</v>
      </c>
      <c r="AB64" s="66">
        <v>0</v>
      </c>
      <c r="AC64" s="66">
        <v>0</v>
      </c>
      <c r="AD64" s="67" t="s">
        <v>1094</v>
      </c>
      <c r="AE64" s="67" t="s">
        <v>1094</v>
      </c>
      <c r="AF64" s="67">
        <v>0</v>
      </c>
      <c r="AG64" s="210">
        <v>0</v>
      </c>
      <c r="AH64" s="67">
        <v>0</v>
      </c>
      <c r="AI64" s="66">
        <v>0</v>
      </c>
      <c r="AJ64" s="66">
        <v>0</v>
      </c>
      <c r="AK64" s="66">
        <v>0</v>
      </c>
      <c r="AL64" s="66">
        <v>0</v>
      </c>
      <c r="AM64" s="66">
        <v>0</v>
      </c>
      <c r="AN64" s="66">
        <v>0</v>
      </c>
      <c r="AO64" s="66">
        <v>0</v>
      </c>
      <c r="AP64" s="66">
        <v>0</v>
      </c>
      <c r="AQ64" s="66">
        <v>0</v>
      </c>
      <c r="AR64" s="66">
        <v>0</v>
      </c>
      <c r="AS64" s="66">
        <v>0</v>
      </c>
      <c r="AT64" s="67" t="s">
        <v>1094</v>
      </c>
      <c r="AU64" s="67" t="s">
        <v>1094</v>
      </c>
      <c r="AV64" s="67">
        <v>0</v>
      </c>
      <c r="AW64" s="210">
        <v>0</v>
      </c>
      <c r="AX64" s="67">
        <v>0</v>
      </c>
    </row>
    <row r="65" spans="1:50" ht="15.75" x14ac:dyDescent="0.25">
      <c r="A65" s="11">
        <v>54</v>
      </c>
      <c r="B65" s="189" t="s">
        <v>140</v>
      </c>
      <c r="C65" s="66">
        <v>573.96450000000004</v>
      </c>
      <c r="D65" s="66">
        <v>0</v>
      </c>
      <c r="E65" s="66">
        <v>604.17320876999997</v>
      </c>
      <c r="F65" s="66">
        <v>573.96450000000004</v>
      </c>
      <c r="G65" s="66">
        <v>30.208708770000001</v>
      </c>
      <c r="H65" s="66">
        <v>559.43660151999995</v>
      </c>
      <c r="I65" s="66">
        <v>0</v>
      </c>
      <c r="J65" s="66">
        <v>588.88068277000002</v>
      </c>
      <c r="K65" s="66">
        <v>559.43660151999995</v>
      </c>
      <c r="L65" s="66">
        <v>0</v>
      </c>
      <c r="M65" s="66">
        <v>29.44408125</v>
      </c>
      <c r="N65" s="67">
        <v>97.46885069024303</v>
      </c>
      <c r="O65" s="67">
        <v>97.468850701889835</v>
      </c>
      <c r="P65" s="67">
        <v>5.0000080001775196</v>
      </c>
      <c r="Q65" s="66">
        <v>0</v>
      </c>
      <c r="R65" s="67">
        <v>0</v>
      </c>
      <c r="S65" s="66">
        <v>573.96450000000004</v>
      </c>
      <c r="T65" s="66">
        <v>0</v>
      </c>
      <c r="U65" s="66">
        <v>604.17320876999997</v>
      </c>
      <c r="V65" s="66">
        <v>573.96450000000004</v>
      </c>
      <c r="W65" s="66">
        <v>30.208708770000001</v>
      </c>
      <c r="X65" s="66">
        <v>559.43660151999995</v>
      </c>
      <c r="Y65" s="66">
        <v>0</v>
      </c>
      <c r="Z65" s="66">
        <v>588.88068277000002</v>
      </c>
      <c r="AA65" s="66">
        <v>559.43660151999995</v>
      </c>
      <c r="AB65" s="66">
        <v>0</v>
      </c>
      <c r="AC65" s="66">
        <v>29.44408125</v>
      </c>
      <c r="AD65" s="67">
        <v>97.46885069024303</v>
      </c>
      <c r="AE65" s="67">
        <v>97.468850701889835</v>
      </c>
      <c r="AF65" s="67">
        <v>5.0000080001775196</v>
      </c>
      <c r="AG65" s="210">
        <v>0</v>
      </c>
      <c r="AH65" s="67">
        <v>0</v>
      </c>
      <c r="AI65" s="66">
        <v>0</v>
      </c>
      <c r="AJ65" s="66">
        <v>0</v>
      </c>
      <c r="AK65" s="66">
        <v>0</v>
      </c>
      <c r="AL65" s="66">
        <v>0</v>
      </c>
      <c r="AM65" s="66">
        <v>0</v>
      </c>
      <c r="AN65" s="66">
        <v>0</v>
      </c>
      <c r="AO65" s="66">
        <v>0</v>
      </c>
      <c r="AP65" s="66">
        <v>0</v>
      </c>
      <c r="AQ65" s="66">
        <v>0</v>
      </c>
      <c r="AR65" s="66">
        <v>0</v>
      </c>
      <c r="AS65" s="66">
        <v>0</v>
      </c>
      <c r="AT65" s="67" t="s">
        <v>1094</v>
      </c>
      <c r="AU65" s="67" t="s">
        <v>1094</v>
      </c>
      <c r="AV65" s="67">
        <v>0</v>
      </c>
      <c r="AW65" s="210">
        <v>0</v>
      </c>
      <c r="AX65" s="67">
        <v>0</v>
      </c>
    </row>
    <row r="66" spans="1:50" ht="15.75" x14ac:dyDescent="0.25">
      <c r="A66" s="11">
        <v>55</v>
      </c>
      <c r="B66" s="189" t="s">
        <v>143</v>
      </c>
      <c r="C66" s="66">
        <v>0</v>
      </c>
      <c r="D66" s="66">
        <v>0</v>
      </c>
      <c r="E66" s="66">
        <v>0</v>
      </c>
      <c r="F66" s="66">
        <v>0</v>
      </c>
      <c r="G66" s="66">
        <v>0</v>
      </c>
      <c r="H66" s="66">
        <v>0</v>
      </c>
      <c r="I66" s="66">
        <v>0</v>
      </c>
      <c r="J66" s="66">
        <v>0</v>
      </c>
      <c r="K66" s="66">
        <v>0</v>
      </c>
      <c r="L66" s="66">
        <v>0</v>
      </c>
      <c r="M66" s="66">
        <v>0</v>
      </c>
      <c r="N66" s="67" t="s">
        <v>1094</v>
      </c>
      <c r="O66" s="67" t="s">
        <v>1094</v>
      </c>
      <c r="P66" s="67">
        <v>0</v>
      </c>
      <c r="Q66" s="66">
        <v>0</v>
      </c>
      <c r="R66" s="67">
        <v>0</v>
      </c>
      <c r="S66" s="66">
        <v>0</v>
      </c>
      <c r="T66" s="66">
        <v>0</v>
      </c>
      <c r="U66" s="66">
        <v>0</v>
      </c>
      <c r="V66" s="66">
        <v>0</v>
      </c>
      <c r="W66" s="66">
        <v>0</v>
      </c>
      <c r="X66" s="66">
        <v>0</v>
      </c>
      <c r="Y66" s="66">
        <v>0</v>
      </c>
      <c r="Z66" s="66">
        <v>0</v>
      </c>
      <c r="AA66" s="66">
        <v>0</v>
      </c>
      <c r="AB66" s="66">
        <v>0</v>
      </c>
      <c r="AC66" s="66">
        <v>0</v>
      </c>
      <c r="AD66" s="67" t="s">
        <v>1094</v>
      </c>
      <c r="AE66" s="67" t="s">
        <v>1094</v>
      </c>
      <c r="AF66" s="67">
        <v>0</v>
      </c>
      <c r="AG66" s="210">
        <v>0</v>
      </c>
      <c r="AH66" s="67">
        <v>0</v>
      </c>
      <c r="AI66" s="66">
        <v>0</v>
      </c>
      <c r="AJ66" s="66">
        <v>0</v>
      </c>
      <c r="AK66" s="66">
        <v>0</v>
      </c>
      <c r="AL66" s="66">
        <v>0</v>
      </c>
      <c r="AM66" s="66">
        <v>0</v>
      </c>
      <c r="AN66" s="66">
        <v>0</v>
      </c>
      <c r="AO66" s="66">
        <v>0</v>
      </c>
      <c r="AP66" s="66">
        <v>0</v>
      </c>
      <c r="AQ66" s="66">
        <v>0</v>
      </c>
      <c r="AR66" s="66">
        <v>0</v>
      </c>
      <c r="AS66" s="66">
        <v>0</v>
      </c>
      <c r="AT66" s="67" t="s">
        <v>1094</v>
      </c>
      <c r="AU66" s="67" t="s">
        <v>1094</v>
      </c>
      <c r="AV66" s="67">
        <v>0</v>
      </c>
      <c r="AW66" s="210">
        <v>0</v>
      </c>
      <c r="AX66" s="67">
        <v>0</v>
      </c>
    </row>
    <row r="67" spans="1:50" ht="15.75" x14ac:dyDescent="0.25">
      <c r="A67" s="11">
        <v>56</v>
      </c>
      <c r="B67" s="189" t="s">
        <v>146</v>
      </c>
      <c r="C67" s="66">
        <v>78.866600000000005</v>
      </c>
      <c r="D67" s="66">
        <v>0</v>
      </c>
      <c r="E67" s="66">
        <v>83.017473690000003</v>
      </c>
      <c r="F67" s="66">
        <v>78.866600000000005</v>
      </c>
      <c r="G67" s="66">
        <v>4.1508736900000001</v>
      </c>
      <c r="H67" s="66">
        <v>75.168016260000002</v>
      </c>
      <c r="I67" s="66">
        <v>0</v>
      </c>
      <c r="J67" s="66">
        <v>79.124227640000001</v>
      </c>
      <c r="K67" s="66">
        <v>75.168016260000002</v>
      </c>
      <c r="L67" s="66">
        <v>0</v>
      </c>
      <c r="M67" s="66">
        <v>3.9562113800000001</v>
      </c>
      <c r="N67" s="67">
        <v>95.310329417015566</v>
      </c>
      <c r="O67" s="67">
        <v>95.310329233361955</v>
      </c>
      <c r="P67" s="67">
        <v>4.9999999974723295</v>
      </c>
      <c r="Q67" s="66">
        <v>0</v>
      </c>
      <c r="R67" s="67">
        <v>0</v>
      </c>
      <c r="S67" s="66">
        <v>78.866600000000005</v>
      </c>
      <c r="T67" s="66">
        <v>0</v>
      </c>
      <c r="U67" s="66">
        <v>83.017473690000003</v>
      </c>
      <c r="V67" s="66">
        <v>78.866600000000005</v>
      </c>
      <c r="W67" s="66">
        <v>4.1508736900000001</v>
      </c>
      <c r="X67" s="66">
        <v>75.168016260000002</v>
      </c>
      <c r="Y67" s="66">
        <v>0</v>
      </c>
      <c r="Z67" s="66">
        <v>79.124227640000001</v>
      </c>
      <c r="AA67" s="66">
        <v>75.168016260000002</v>
      </c>
      <c r="AB67" s="66">
        <v>0</v>
      </c>
      <c r="AC67" s="66">
        <v>3.9562113800000001</v>
      </c>
      <c r="AD67" s="67">
        <v>95.310329417015566</v>
      </c>
      <c r="AE67" s="67">
        <v>95.310329233361955</v>
      </c>
      <c r="AF67" s="67">
        <v>4.9999999974723295</v>
      </c>
      <c r="AG67" s="210">
        <v>0</v>
      </c>
      <c r="AH67" s="67">
        <v>0</v>
      </c>
      <c r="AI67" s="66">
        <v>0</v>
      </c>
      <c r="AJ67" s="66">
        <v>0</v>
      </c>
      <c r="AK67" s="66">
        <v>0</v>
      </c>
      <c r="AL67" s="66">
        <v>0</v>
      </c>
      <c r="AM67" s="66">
        <v>0</v>
      </c>
      <c r="AN67" s="66">
        <v>0</v>
      </c>
      <c r="AO67" s="66">
        <v>0</v>
      </c>
      <c r="AP67" s="66">
        <v>0</v>
      </c>
      <c r="AQ67" s="66">
        <v>0</v>
      </c>
      <c r="AR67" s="66">
        <v>0</v>
      </c>
      <c r="AS67" s="66">
        <v>0</v>
      </c>
      <c r="AT67" s="67" t="s">
        <v>1094</v>
      </c>
      <c r="AU67" s="67" t="s">
        <v>1094</v>
      </c>
      <c r="AV67" s="67">
        <v>0</v>
      </c>
      <c r="AW67" s="210">
        <v>0</v>
      </c>
      <c r="AX67" s="67">
        <v>0</v>
      </c>
    </row>
    <row r="68" spans="1:50" ht="15.75" x14ac:dyDescent="0.25">
      <c r="A68" s="11">
        <v>57</v>
      </c>
      <c r="B68" s="189" t="s">
        <v>149</v>
      </c>
      <c r="C68" s="66">
        <v>186.6634</v>
      </c>
      <c r="D68" s="66">
        <v>0</v>
      </c>
      <c r="E68" s="66">
        <v>196.48778947999998</v>
      </c>
      <c r="F68" s="66">
        <v>186.6634</v>
      </c>
      <c r="G68" s="66">
        <v>9.8243894800000007</v>
      </c>
      <c r="H68" s="66">
        <v>186.66332241000001</v>
      </c>
      <c r="I68" s="66">
        <v>0</v>
      </c>
      <c r="J68" s="66">
        <v>196.48770919</v>
      </c>
      <c r="K68" s="66">
        <v>186.66332241000001</v>
      </c>
      <c r="L68" s="66">
        <v>0</v>
      </c>
      <c r="M68" s="66">
        <v>9.8243867799999993</v>
      </c>
      <c r="N68" s="67">
        <v>99.999958433201158</v>
      </c>
      <c r="O68" s="67">
        <v>99.999972517376207</v>
      </c>
      <c r="P68" s="67">
        <v>5.0000006720522139</v>
      </c>
      <c r="Q68" s="66">
        <v>0</v>
      </c>
      <c r="R68" s="67">
        <v>0</v>
      </c>
      <c r="S68" s="66">
        <v>186.6634</v>
      </c>
      <c r="T68" s="66">
        <v>0</v>
      </c>
      <c r="U68" s="66">
        <v>196.48778947999998</v>
      </c>
      <c r="V68" s="66">
        <v>186.6634</v>
      </c>
      <c r="W68" s="66">
        <v>9.8243894800000007</v>
      </c>
      <c r="X68" s="66">
        <v>186.66332241000001</v>
      </c>
      <c r="Y68" s="66">
        <v>0</v>
      </c>
      <c r="Z68" s="66">
        <v>196.48770919</v>
      </c>
      <c r="AA68" s="66">
        <v>186.66332241000001</v>
      </c>
      <c r="AB68" s="66">
        <v>0</v>
      </c>
      <c r="AC68" s="66">
        <v>9.8243867799999993</v>
      </c>
      <c r="AD68" s="67">
        <v>99.999958433201158</v>
      </c>
      <c r="AE68" s="67">
        <v>99.999972517376207</v>
      </c>
      <c r="AF68" s="67">
        <v>5.0000006720522139</v>
      </c>
      <c r="AG68" s="210">
        <v>0</v>
      </c>
      <c r="AH68" s="67">
        <v>0</v>
      </c>
      <c r="AI68" s="66">
        <v>0</v>
      </c>
      <c r="AJ68" s="66">
        <v>0</v>
      </c>
      <c r="AK68" s="66">
        <v>0</v>
      </c>
      <c r="AL68" s="66">
        <v>0</v>
      </c>
      <c r="AM68" s="66">
        <v>0</v>
      </c>
      <c r="AN68" s="66">
        <v>0</v>
      </c>
      <c r="AO68" s="66">
        <v>0</v>
      </c>
      <c r="AP68" s="66">
        <v>0</v>
      </c>
      <c r="AQ68" s="66">
        <v>0</v>
      </c>
      <c r="AR68" s="66">
        <v>0</v>
      </c>
      <c r="AS68" s="66">
        <v>0</v>
      </c>
      <c r="AT68" s="67" t="s">
        <v>1094</v>
      </c>
      <c r="AU68" s="67" t="s">
        <v>1094</v>
      </c>
      <c r="AV68" s="67">
        <v>0</v>
      </c>
      <c r="AW68" s="210">
        <v>0</v>
      </c>
      <c r="AX68" s="67">
        <v>0</v>
      </c>
    </row>
    <row r="69" spans="1:50" ht="15.75" x14ac:dyDescent="0.25">
      <c r="A69" s="11">
        <v>58</v>
      </c>
      <c r="B69" s="189" t="s">
        <v>152</v>
      </c>
      <c r="C69" s="66">
        <v>253.90029999999999</v>
      </c>
      <c r="D69" s="66">
        <v>0</v>
      </c>
      <c r="E69" s="66">
        <v>267.44132744000001</v>
      </c>
      <c r="F69" s="66">
        <v>253.90029999999999</v>
      </c>
      <c r="G69" s="66">
        <v>13.541027439999999</v>
      </c>
      <c r="H69" s="66">
        <v>253.90029999999999</v>
      </c>
      <c r="I69" s="66">
        <v>0</v>
      </c>
      <c r="J69" s="66">
        <v>267.44132744000001</v>
      </c>
      <c r="K69" s="66">
        <v>253.90029999999999</v>
      </c>
      <c r="L69" s="66">
        <v>0</v>
      </c>
      <c r="M69" s="66">
        <v>13.541027439999999</v>
      </c>
      <c r="N69" s="67">
        <v>100</v>
      </c>
      <c r="O69" s="67">
        <v>100</v>
      </c>
      <c r="P69" s="67">
        <v>5.0631768730799109</v>
      </c>
      <c r="Q69" s="66">
        <v>0</v>
      </c>
      <c r="R69" s="67">
        <v>0</v>
      </c>
      <c r="S69" s="66">
        <v>253.90029999999999</v>
      </c>
      <c r="T69" s="66">
        <v>0</v>
      </c>
      <c r="U69" s="66">
        <v>267.44132744000001</v>
      </c>
      <c r="V69" s="66">
        <v>253.90029999999999</v>
      </c>
      <c r="W69" s="66">
        <v>13.541027439999999</v>
      </c>
      <c r="X69" s="66">
        <v>253.90029999999999</v>
      </c>
      <c r="Y69" s="66">
        <v>0</v>
      </c>
      <c r="Z69" s="66">
        <v>267.44132744000001</v>
      </c>
      <c r="AA69" s="66">
        <v>253.90029999999999</v>
      </c>
      <c r="AB69" s="66">
        <v>0</v>
      </c>
      <c r="AC69" s="66">
        <v>13.541027439999999</v>
      </c>
      <c r="AD69" s="67">
        <v>100</v>
      </c>
      <c r="AE69" s="67">
        <v>100</v>
      </c>
      <c r="AF69" s="67">
        <v>5.0631768730799109</v>
      </c>
      <c r="AG69" s="210">
        <v>0</v>
      </c>
      <c r="AH69" s="67">
        <v>0</v>
      </c>
      <c r="AI69" s="66">
        <v>0</v>
      </c>
      <c r="AJ69" s="66">
        <v>0</v>
      </c>
      <c r="AK69" s="66">
        <v>0</v>
      </c>
      <c r="AL69" s="66">
        <v>0</v>
      </c>
      <c r="AM69" s="66">
        <v>0</v>
      </c>
      <c r="AN69" s="66">
        <v>0</v>
      </c>
      <c r="AO69" s="66">
        <v>0</v>
      </c>
      <c r="AP69" s="66">
        <v>0</v>
      </c>
      <c r="AQ69" s="66">
        <v>0</v>
      </c>
      <c r="AR69" s="66">
        <v>0</v>
      </c>
      <c r="AS69" s="66">
        <v>0</v>
      </c>
      <c r="AT69" s="67" t="s">
        <v>1094</v>
      </c>
      <c r="AU69" s="67" t="s">
        <v>1094</v>
      </c>
      <c r="AV69" s="67">
        <v>0</v>
      </c>
      <c r="AW69" s="210">
        <v>0</v>
      </c>
      <c r="AX69" s="67">
        <v>0</v>
      </c>
    </row>
    <row r="70" spans="1:50" ht="15.75" x14ac:dyDescent="0.25">
      <c r="A70" s="11">
        <v>59</v>
      </c>
      <c r="B70" s="189" t="s">
        <v>155</v>
      </c>
      <c r="C70" s="66">
        <v>73.067999999999998</v>
      </c>
      <c r="D70" s="66">
        <v>0</v>
      </c>
      <c r="E70" s="66">
        <v>76.914000000000001</v>
      </c>
      <c r="F70" s="66">
        <v>73.067999999999998</v>
      </c>
      <c r="G70" s="66">
        <v>3.8460000000000001</v>
      </c>
      <c r="H70" s="66">
        <v>73.067999999999998</v>
      </c>
      <c r="I70" s="66">
        <v>0</v>
      </c>
      <c r="J70" s="66">
        <v>76.914000000000001</v>
      </c>
      <c r="K70" s="66">
        <v>73.067999999999998</v>
      </c>
      <c r="L70" s="66">
        <v>0</v>
      </c>
      <c r="M70" s="66">
        <v>3.8460000000000001</v>
      </c>
      <c r="N70" s="67">
        <v>100</v>
      </c>
      <c r="O70" s="67">
        <v>100</v>
      </c>
      <c r="P70" s="67">
        <v>5.0003900460254309</v>
      </c>
      <c r="Q70" s="66">
        <v>0</v>
      </c>
      <c r="R70" s="67">
        <v>0</v>
      </c>
      <c r="S70" s="66">
        <v>73.067999999999998</v>
      </c>
      <c r="T70" s="66">
        <v>0</v>
      </c>
      <c r="U70" s="66">
        <v>76.914000000000001</v>
      </c>
      <c r="V70" s="66">
        <v>73.067999999999998</v>
      </c>
      <c r="W70" s="66">
        <v>3.8460000000000001</v>
      </c>
      <c r="X70" s="66">
        <v>73.067999999999998</v>
      </c>
      <c r="Y70" s="66">
        <v>0</v>
      </c>
      <c r="Z70" s="66">
        <v>76.914000000000001</v>
      </c>
      <c r="AA70" s="66">
        <v>73.067999999999998</v>
      </c>
      <c r="AB70" s="66">
        <v>0</v>
      </c>
      <c r="AC70" s="66">
        <v>3.8460000000000001</v>
      </c>
      <c r="AD70" s="67">
        <v>100</v>
      </c>
      <c r="AE70" s="67">
        <v>100</v>
      </c>
      <c r="AF70" s="67">
        <v>5.0003900460254309</v>
      </c>
      <c r="AG70" s="210">
        <v>0</v>
      </c>
      <c r="AH70" s="67">
        <v>0</v>
      </c>
      <c r="AI70" s="66">
        <v>0</v>
      </c>
      <c r="AJ70" s="66">
        <v>0</v>
      </c>
      <c r="AK70" s="66">
        <v>0</v>
      </c>
      <c r="AL70" s="66">
        <v>0</v>
      </c>
      <c r="AM70" s="66">
        <v>0</v>
      </c>
      <c r="AN70" s="66">
        <v>0</v>
      </c>
      <c r="AO70" s="66">
        <v>0</v>
      </c>
      <c r="AP70" s="66">
        <v>0</v>
      </c>
      <c r="AQ70" s="66">
        <v>0</v>
      </c>
      <c r="AR70" s="66">
        <v>0</v>
      </c>
      <c r="AS70" s="66">
        <v>0</v>
      </c>
      <c r="AT70" s="67" t="s">
        <v>1094</v>
      </c>
      <c r="AU70" s="67" t="s">
        <v>1094</v>
      </c>
      <c r="AV70" s="67">
        <v>0</v>
      </c>
      <c r="AW70" s="210">
        <v>0</v>
      </c>
      <c r="AX70" s="67">
        <v>0</v>
      </c>
    </row>
    <row r="71" spans="1:50" ht="15.75" x14ac:dyDescent="0.25">
      <c r="A71" s="11">
        <v>60</v>
      </c>
      <c r="B71" s="189" t="s">
        <v>158</v>
      </c>
      <c r="C71" s="66">
        <v>0</v>
      </c>
      <c r="D71" s="66">
        <v>0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>
        <v>0</v>
      </c>
      <c r="K71" s="66">
        <v>0</v>
      </c>
      <c r="L71" s="66">
        <v>0</v>
      </c>
      <c r="M71" s="66">
        <v>0</v>
      </c>
      <c r="N71" s="67" t="s">
        <v>1094</v>
      </c>
      <c r="O71" s="67" t="s">
        <v>1094</v>
      </c>
      <c r="P71" s="67">
        <v>0</v>
      </c>
      <c r="Q71" s="66">
        <v>0</v>
      </c>
      <c r="R71" s="67">
        <v>0</v>
      </c>
      <c r="S71" s="66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0</v>
      </c>
      <c r="AB71" s="66">
        <v>0</v>
      </c>
      <c r="AC71" s="66">
        <v>0</v>
      </c>
      <c r="AD71" s="67" t="s">
        <v>1094</v>
      </c>
      <c r="AE71" s="67" t="s">
        <v>1094</v>
      </c>
      <c r="AF71" s="67">
        <v>0</v>
      </c>
      <c r="AG71" s="210">
        <v>0</v>
      </c>
      <c r="AH71" s="67">
        <v>0</v>
      </c>
      <c r="AI71" s="66">
        <v>0</v>
      </c>
      <c r="AJ71" s="66">
        <v>0</v>
      </c>
      <c r="AK71" s="66">
        <v>0</v>
      </c>
      <c r="AL71" s="66">
        <v>0</v>
      </c>
      <c r="AM71" s="66">
        <v>0</v>
      </c>
      <c r="AN71" s="66">
        <v>0</v>
      </c>
      <c r="AO71" s="66">
        <v>0</v>
      </c>
      <c r="AP71" s="66">
        <v>0</v>
      </c>
      <c r="AQ71" s="66">
        <v>0</v>
      </c>
      <c r="AR71" s="66">
        <v>0</v>
      </c>
      <c r="AS71" s="66">
        <v>0</v>
      </c>
      <c r="AT71" s="67" t="s">
        <v>1094</v>
      </c>
      <c r="AU71" s="67" t="s">
        <v>1094</v>
      </c>
      <c r="AV71" s="67">
        <v>0</v>
      </c>
      <c r="AW71" s="210">
        <v>0</v>
      </c>
      <c r="AX71" s="67">
        <v>0</v>
      </c>
    </row>
    <row r="72" spans="1:50" ht="15.75" x14ac:dyDescent="0.25">
      <c r="A72" s="11">
        <v>61</v>
      </c>
      <c r="B72" s="189" t="s">
        <v>161</v>
      </c>
      <c r="C72" s="66">
        <v>41.063099999999999</v>
      </c>
      <c r="D72" s="66">
        <v>0</v>
      </c>
      <c r="E72" s="66">
        <v>43.224315789999999</v>
      </c>
      <c r="F72" s="66">
        <v>41.063099999999999</v>
      </c>
      <c r="G72" s="66">
        <v>2.16121579</v>
      </c>
      <c r="H72" s="66">
        <v>41.059919999999998</v>
      </c>
      <c r="I72" s="66">
        <v>0</v>
      </c>
      <c r="J72" s="66">
        <v>43.220968419999998</v>
      </c>
      <c r="K72" s="66">
        <v>41.059919999999998</v>
      </c>
      <c r="L72" s="66">
        <v>0</v>
      </c>
      <c r="M72" s="66">
        <v>2.1610484199999997</v>
      </c>
      <c r="N72" s="67">
        <v>99.99225582091951</v>
      </c>
      <c r="O72" s="67">
        <v>99.992255747863084</v>
      </c>
      <c r="P72" s="67">
        <v>4.9999999976863077</v>
      </c>
      <c r="Q72" s="66">
        <v>0</v>
      </c>
      <c r="R72" s="67">
        <v>0</v>
      </c>
      <c r="S72" s="66">
        <v>41.063099999999999</v>
      </c>
      <c r="T72" s="66">
        <v>0</v>
      </c>
      <c r="U72" s="66">
        <v>43.224315789999999</v>
      </c>
      <c r="V72" s="66">
        <v>41.063099999999999</v>
      </c>
      <c r="W72" s="66">
        <v>2.16121579</v>
      </c>
      <c r="X72" s="66">
        <v>41.059919999999998</v>
      </c>
      <c r="Y72" s="66">
        <v>0</v>
      </c>
      <c r="Z72" s="66">
        <v>43.220968419999998</v>
      </c>
      <c r="AA72" s="66">
        <v>41.059919999999998</v>
      </c>
      <c r="AB72" s="66">
        <v>0</v>
      </c>
      <c r="AC72" s="66">
        <v>2.1610484199999997</v>
      </c>
      <c r="AD72" s="67">
        <v>99.99225582091951</v>
      </c>
      <c r="AE72" s="67">
        <v>99.992255747863084</v>
      </c>
      <c r="AF72" s="67">
        <v>4.9999999976863077</v>
      </c>
      <c r="AG72" s="210">
        <v>0</v>
      </c>
      <c r="AH72" s="67">
        <v>0</v>
      </c>
      <c r="AI72" s="66">
        <v>0</v>
      </c>
      <c r="AJ72" s="66">
        <v>0</v>
      </c>
      <c r="AK72" s="66">
        <v>0</v>
      </c>
      <c r="AL72" s="66">
        <v>0</v>
      </c>
      <c r="AM72" s="66">
        <v>0</v>
      </c>
      <c r="AN72" s="66">
        <v>0</v>
      </c>
      <c r="AO72" s="66">
        <v>0</v>
      </c>
      <c r="AP72" s="66">
        <v>0</v>
      </c>
      <c r="AQ72" s="66">
        <v>0</v>
      </c>
      <c r="AR72" s="66">
        <v>0</v>
      </c>
      <c r="AS72" s="66">
        <v>0</v>
      </c>
      <c r="AT72" s="67" t="s">
        <v>1094</v>
      </c>
      <c r="AU72" s="67" t="s">
        <v>1094</v>
      </c>
      <c r="AV72" s="67">
        <v>0</v>
      </c>
      <c r="AW72" s="210">
        <v>0</v>
      </c>
      <c r="AX72" s="67">
        <v>0</v>
      </c>
    </row>
    <row r="73" spans="1:50" ht="15.75" x14ac:dyDescent="0.25">
      <c r="A73" s="11">
        <v>62</v>
      </c>
      <c r="B73" s="189" t="s">
        <v>164</v>
      </c>
      <c r="C73" s="66">
        <v>0</v>
      </c>
      <c r="D73" s="66">
        <v>0</v>
      </c>
      <c r="E73" s="66">
        <v>0</v>
      </c>
      <c r="F73" s="66">
        <v>0</v>
      </c>
      <c r="G73" s="66">
        <v>0</v>
      </c>
      <c r="H73" s="66">
        <v>0</v>
      </c>
      <c r="I73" s="66">
        <v>0</v>
      </c>
      <c r="J73" s="66">
        <v>0</v>
      </c>
      <c r="K73" s="66">
        <v>0</v>
      </c>
      <c r="L73" s="66">
        <v>0</v>
      </c>
      <c r="M73" s="66">
        <v>0</v>
      </c>
      <c r="N73" s="67" t="s">
        <v>1094</v>
      </c>
      <c r="O73" s="67" t="s">
        <v>1094</v>
      </c>
      <c r="P73" s="67">
        <v>0</v>
      </c>
      <c r="Q73" s="66">
        <v>0</v>
      </c>
      <c r="R73" s="67">
        <v>0</v>
      </c>
      <c r="S73" s="66">
        <v>0</v>
      </c>
      <c r="T73" s="66">
        <v>0</v>
      </c>
      <c r="U73" s="66">
        <v>0</v>
      </c>
      <c r="V73" s="66">
        <v>0</v>
      </c>
      <c r="W73" s="66">
        <v>0</v>
      </c>
      <c r="X73" s="66">
        <v>0</v>
      </c>
      <c r="Y73" s="66">
        <v>0</v>
      </c>
      <c r="Z73" s="66">
        <v>0</v>
      </c>
      <c r="AA73" s="66">
        <v>0</v>
      </c>
      <c r="AB73" s="66">
        <v>0</v>
      </c>
      <c r="AC73" s="66">
        <v>0</v>
      </c>
      <c r="AD73" s="67" t="s">
        <v>1094</v>
      </c>
      <c r="AE73" s="67" t="s">
        <v>1094</v>
      </c>
      <c r="AF73" s="67">
        <v>0</v>
      </c>
      <c r="AG73" s="210">
        <v>0</v>
      </c>
      <c r="AH73" s="67">
        <v>0</v>
      </c>
      <c r="AI73" s="66">
        <v>0</v>
      </c>
      <c r="AJ73" s="66">
        <v>0</v>
      </c>
      <c r="AK73" s="66">
        <v>0</v>
      </c>
      <c r="AL73" s="66">
        <v>0</v>
      </c>
      <c r="AM73" s="66">
        <v>0</v>
      </c>
      <c r="AN73" s="66">
        <v>0</v>
      </c>
      <c r="AO73" s="66">
        <v>0</v>
      </c>
      <c r="AP73" s="66">
        <v>0</v>
      </c>
      <c r="AQ73" s="66">
        <v>0</v>
      </c>
      <c r="AR73" s="66">
        <v>0</v>
      </c>
      <c r="AS73" s="66">
        <v>0</v>
      </c>
      <c r="AT73" s="67" t="s">
        <v>1094</v>
      </c>
      <c r="AU73" s="67" t="s">
        <v>1094</v>
      </c>
      <c r="AV73" s="67">
        <v>0</v>
      </c>
      <c r="AW73" s="210">
        <v>0</v>
      </c>
      <c r="AX73" s="67">
        <v>0</v>
      </c>
    </row>
    <row r="74" spans="1:50" ht="15.75" x14ac:dyDescent="0.25">
      <c r="A74" s="11">
        <v>63</v>
      </c>
      <c r="B74" s="189" t="s">
        <v>167</v>
      </c>
      <c r="C74" s="66">
        <v>34.663400000000003</v>
      </c>
      <c r="D74" s="66">
        <v>0</v>
      </c>
      <c r="E74" s="66">
        <v>34.950854840000005</v>
      </c>
      <c r="F74" s="66">
        <v>34.663400000000003</v>
      </c>
      <c r="G74" s="66">
        <v>0.28745484000000004</v>
      </c>
      <c r="H74" s="66">
        <v>34.662440029999999</v>
      </c>
      <c r="I74" s="66">
        <v>0</v>
      </c>
      <c r="J74" s="66">
        <v>34.949894869999994</v>
      </c>
      <c r="K74" s="66">
        <v>34.662440029999999</v>
      </c>
      <c r="L74" s="66">
        <v>0</v>
      </c>
      <c r="M74" s="66">
        <v>0.28745484000000004</v>
      </c>
      <c r="N74" s="67">
        <v>99.997230594806041</v>
      </c>
      <c r="O74" s="67">
        <v>100</v>
      </c>
      <c r="P74" s="67">
        <v>0.82247698045793893</v>
      </c>
      <c r="Q74" s="66">
        <v>0</v>
      </c>
      <c r="R74" s="67">
        <v>0</v>
      </c>
      <c r="S74" s="66">
        <v>34.663400000000003</v>
      </c>
      <c r="T74" s="66">
        <v>0</v>
      </c>
      <c r="U74" s="66">
        <v>34.950854840000005</v>
      </c>
      <c r="V74" s="66">
        <v>34.663400000000003</v>
      </c>
      <c r="W74" s="66">
        <v>0.28745484000000004</v>
      </c>
      <c r="X74" s="66">
        <v>34.662440029999999</v>
      </c>
      <c r="Y74" s="66">
        <v>0</v>
      </c>
      <c r="Z74" s="66">
        <v>34.949894869999994</v>
      </c>
      <c r="AA74" s="66">
        <v>34.662440029999999</v>
      </c>
      <c r="AB74" s="66">
        <v>0</v>
      </c>
      <c r="AC74" s="66">
        <v>0.28745484000000004</v>
      </c>
      <c r="AD74" s="67">
        <v>99.997230594806041</v>
      </c>
      <c r="AE74" s="67">
        <v>100</v>
      </c>
      <c r="AF74" s="67">
        <v>0.82247698045793893</v>
      </c>
      <c r="AG74" s="210">
        <v>0</v>
      </c>
      <c r="AH74" s="67">
        <v>0</v>
      </c>
      <c r="AI74" s="66">
        <v>0</v>
      </c>
      <c r="AJ74" s="66">
        <v>0</v>
      </c>
      <c r="AK74" s="66">
        <v>0</v>
      </c>
      <c r="AL74" s="66">
        <v>0</v>
      </c>
      <c r="AM74" s="66">
        <v>0</v>
      </c>
      <c r="AN74" s="66">
        <v>0</v>
      </c>
      <c r="AO74" s="66">
        <v>0</v>
      </c>
      <c r="AP74" s="66">
        <v>0</v>
      </c>
      <c r="AQ74" s="66">
        <v>0</v>
      </c>
      <c r="AR74" s="66">
        <v>0</v>
      </c>
      <c r="AS74" s="66">
        <v>0</v>
      </c>
      <c r="AT74" s="67" t="s">
        <v>1094</v>
      </c>
      <c r="AU74" s="67" t="s">
        <v>1094</v>
      </c>
      <c r="AV74" s="67">
        <v>0</v>
      </c>
      <c r="AW74" s="210">
        <v>0</v>
      </c>
      <c r="AX74" s="67">
        <v>0</v>
      </c>
    </row>
    <row r="75" spans="1:50" ht="15.75" x14ac:dyDescent="0.25">
      <c r="A75" s="74">
        <v>64</v>
      </c>
      <c r="B75" s="189" t="s">
        <v>170</v>
      </c>
      <c r="C75" s="66">
        <v>0</v>
      </c>
      <c r="D75" s="66">
        <v>0</v>
      </c>
      <c r="E75" s="66">
        <v>0</v>
      </c>
      <c r="F75" s="66">
        <v>0</v>
      </c>
      <c r="G75" s="66">
        <v>0</v>
      </c>
      <c r="H75" s="66">
        <v>0</v>
      </c>
      <c r="I75" s="66">
        <v>0</v>
      </c>
      <c r="J75" s="66">
        <v>0</v>
      </c>
      <c r="K75" s="66">
        <v>0</v>
      </c>
      <c r="L75" s="66">
        <v>0</v>
      </c>
      <c r="M75" s="66">
        <v>0</v>
      </c>
      <c r="N75" s="67" t="s">
        <v>1094</v>
      </c>
      <c r="O75" s="67" t="s">
        <v>1094</v>
      </c>
      <c r="P75" s="67">
        <v>0</v>
      </c>
      <c r="Q75" s="66">
        <v>0</v>
      </c>
      <c r="R75" s="67">
        <v>0</v>
      </c>
      <c r="S75" s="66">
        <v>0</v>
      </c>
      <c r="T75" s="66">
        <v>0</v>
      </c>
      <c r="U75" s="66">
        <v>0</v>
      </c>
      <c r="V75" s="66">
        <v>0</v>
      </c>
      <c r="W75" s="66">
        <v>0</v>
      </c>
      <c r="X75" s="66">
        <v>0</v>
      </c>
      <c r="Y75" s="66">
        <v>0</v>
      </c>
      <c r="Z75" s="66">
        <v>0</v>
      </c>
      <c r="AA75" s="66">
        <v>0</v>
      </c>
      <c r="AB75" s="66">
        <v>0</v>
      </c>
      <c r="AC75" s="66">
        <v>0</v>
      </c>
      <c r="AD75" s="67" t="s">
        <v>1094</v>
      </c>
      <c r="AE75" s="67" t="s">
        <v>1094</v>
      </c>
      <c r="AF75" s="67">
        <v>0</v>
      </c>
      <c r="AG75" s="210">
        <v>0</v>
      </c>
      <c r="AH75" s="67">
        <v>0</v>
      </c>
      <c r="AI75" s="66">
        <v>0</v>
      </c>
      <c r="AJ75" s="66">
        <v>0</v>
      </c>
      <c r="AK75" s="66">
        <v>0</v>
      </c>
      <c r="AL75" s="66">
        <v>0</v>
      </c>
      <c r="AM75" s="66">
        <v>0</v>
      </c>
      <c r="AN75" s="66">
        <v>0</v>
      </c>
      <c r="AO75" s="66">
        <v>0</v>
      </c>
      <c r="AP75" s="66">
        <v>0</v>
      </c>
      <c r="AQ75" s="66">
        <v>0</v>
      </c>
      <c r="AR75" s="66">
        <v>0</v>
      </c>
      <c r="AS75" s="66">
        <v>0</v>
      </c>
      <c r="AT75" s="67" t="s">
        <v>1094</v>
      </c>
      <c r="AU75" s="67" t="s">
        <v>1094</v>
      </c>
      <c r="AV75" s="67">
        <v>0</v>
      </c>
      <c r="AW75" s="210">
        <v>0</v>
      </c>
      <c r="AX75" s="67">
        <v>0</v>
      </c>
    </row>
    <row r="76" spans="1:50" ht="15.75" x14ac:dyDescent="0.25">
      <c r="A76" s="57">
        <v>65</v>
      </c>
      <c r="B76" s="190" t="s">
        <v>173</v>
      </c>
      <c r="C76" s="61">
        <v>303.70999999999998</v>
      </c>
      <c r="D76" s="61">
        <v>0</v>
      </c>
      <c r="E76" s="61">
        <v>342.61840000000001</v>
      </c>
      <c r="F76" s="61">
        <v>303.70999999999998</v>
      </c>
      <c r="G76" s="61">
        <v>38.9084</v>
      </c>
      <c r="H76" s="61">
        <v>303.70999999999998</v>
      </c>
      <c r="I76" s="61">
        <v>0</v>
      </c>
      <c r="J76" s="61">
        <v>342.61840000000001</v>
      </c>
      <c r="K76" s="61">
        <v>303.70999999999998</v>
      </c>
      <c r="L76" s="61">
        <v>0</v>
      </c>
      <c r="M76" s="61">
        <v>38.9084</v>
      </c>
      <c r="N76" s="61">
        <v>100</v>
      </c>
      <c r="O76" s="61">
        <v>100</v>
      </c>
      <c r="P76" s="61">
        <v>11.356191027685611</v>
      </c>
      <c r="Q76" s="61">
        <v>0</v>
      </c>
      <c r="R76" s="61">
        <v>0</v>
      </c>
      <c r="S76" s="61">
        <v>289.70999999999998</v>
      </c>
      <c r="T76" s="61">
        <v>0</v>
      </c>
      <c r="U76" s="61">
        <v>305.16120000000001</v>
      </c>
      <c r="V76" s="61">
        <v>289.70999999999998</v>
      </c>
      <c r="W76" s="61">
        <v>15.4512</v>
      </c>
      <c r="X76" s="61">
        <v>289.70999999999998</v>
      </c>
      <c r="Y76" s="61">
        <v>0</v>
      </c>
      <c r="Z76" s="61">
        <v>305.16120000000001</v>
      </c>
      <c r="AA76" s="61">
        <v>289.70999999999998</v>
      </c>
      <c r="AB76" s="61">
        <v>0</v>
      </c>
      <c r="AC76" s="61">
        <v>15.4512</v>
      </c>
      <c r="AD76" s="61">
        <v>100</v>
      </c>
      <c r="AE76" s="61">
        <v>100</v>
      </c>
      <c r="AF76" s="61">
        <v>5.0632911392405067</v>
      </c>
      <c r="AG76" s="61">
        <v>0</v>
      </c>
      <c r="AH76" s="61">
        <v>0</v>
      </c>
      <c r="AI76" s="61">
        <v>14</v>
      </c>
      <c r="AJ76" s="61">
        <v>0</v>
      </c>
      <c r="AK76" s="61">
        <v>37.4572</v>
      </c>
      <c r="AL76" s="61">
        <v>14</v>
      </c>
      <c r="AM76" s="61">
        <v>23.4572</v>
      </c>
      <c r="AN76" s="61">
        <v>14</v>
      </c>
      <c r="AO76" s="61">
        <v>0</v>
      </c>
      <c r="AP76" s="61">
        <v>37.4572</v>
      </c>
      <c r="AQ76" s="61">
        <v>14</v>
      </c>
      <c r="AR76" s="61">
        <v>0</v>
      </c>
      <c r="AS76" s="61">
        <v>23.4572</v>
      </c>
      <c r="AT76" s="61">
        <v>100</v>
      </c>
      <c r="AU76" s="61">
        <v>100</v>
      </c>
      <c r="AV76" s="61">
        <v>62.624008201360482</v>
      </c>
      <c r="AW76" s="61">
        <v>0</v>
      </c>
      <c r="AX76" s="61">
        <v>0</v>
      </c>
    </row>
    <row r="77" spans="1:50" ht="15.75" x14ac:dyDescent="0.25">
      <c r="A77" s="11">
        <v>66</v>
      </c>
      <c r="B77" s="189" t="s">
        <v>176</v>
      </c>
      <c r="C77" s="66">
        <v>0</v>
      </c>
      <c r="D77" s="66">
        <v>0</v>
      </c>
      <c r="E77" s="66">
        <v>0</v>
      </c>
      <c r="F77" s="66">
        <v>0</v>
      </c>
      <c r="G77" s="66">
        <v>0</v>
      </c>
      <c r="H77" s="66">
        <v>0</v>
      </c>
      <c r="I77" s="66">
        <v>0</v>
      </c>
      <c r="J77" s="66">
        <v>0</v>
      </c>
      <c r="K77" s="66">
        <v>0</v>
      </c>
      <c r="L77" s="66">
        <v>0</v>
      </c>
      <c r="M77" s="66">
        <v>0</v>
      </c>
      <c r="N77" s="67" t="s">
        <v>1094</v>
      </c>
      <c r="O77" s="67" t="s">
        <v>1094</v>
      </c>
      <c r="P77" s="67">
        <v>0</v>
      </c>
      <c r="Q77" s="66">
        <v>0</v>
      </c>
      <c r="R77" s="67">
        <v>0</v>
      </c>
      <c r="S77" s="66">
        <v>0</v>
      </c>
      <c r="T77" s="66">
        <v>0</v>
      </c>
      <c r="U77" s="66">
        <v>0</v>
      </c>
      <c r="V77" s="66">
        <v>0</v>
      </c>
      <c r="W77" s="66">
        <v>0</v>
      </c>
      <c r="X77" s="66">
        <v>0</v>
      </c>
      <c r="Y77" s="66">
        <v>0</v>
      </c>
      <c r="Z77" s="66">
        <v>0</v>
      </c>
      <c r="AA77" s="66">
        <v>0</v>
      </c>
      <c r="AB77" s="66">
        <v>0</v>
      </c>
      <c r="AC77" s="66">
        <v>0</v>
      </c>
      <c r="AD77" s="67" t="s">
        <v>1094</v>
      </c>
      <c r="AE77" s="67" t="s">
        <v>1094</v>
      </c>
      <c r="AF77" s="67">
        <v>0</v>
      </c>
      <c r="AG77" s="210">
        <v>0</v>
      </c>
      <c r="AH77" s="67">
        <v>0</v>
      </c>
      <c r="AI77" s="66">
        <v>0</v>
      </c>
      <c r="AJ77" s="66">
        <v>0</v>
      </c>
      <c r="AK77" s="66">
        <v>0</v>
      </c>
      <c r="AL77" s="66">
        <v>0</v>
      </c>
      <c r="AM77" s="66">
        <v>0</v>
      </c>
      <c r="AN77" s="66">
        <v>0</v>
      </c>
      <c r="AO77" s="66">
        <v>0</v>
      </c>
      <c r="AP77" s="66">
        <v>0</v>
      </c>
      <c r="AQ77" s="66">
        <v>0</v>
      </c>
      <c r="AR77" s="66">
        <v>0</v>
      </c>
      <c r="AS77" s="66">
        <v>0</v>
      </c>
      <c r="AT77" s="67" t="s">
        <v>1094</v>
      </c>
      <c r="AU77" s="67" t="s">
        <v>1094</v>
      </c>
      <c r="AV77" s="67">
        <v>0</v>
      </c>
      <c r="AW77" s="210">
        <v>0</v>
      </c>
      <c r="AX77" s="67">
        <v>0</v>
      </c>
    </row>
    <row r="78" spans="1:50" ht="15.75" x14ac:dyDescent="0.25">
      <c r="A78" s="11">
        <v>67</v>
      </c>
      <c r="B78" s="189" t="s">
        <v>179</v>
      </c>
      <c r="C78" s="66">
        <v>14</v>
      </c>
      <c r="D78" s="66">
        <v>0</v>
      </c>
      <c r="E78" s="66">
        <v>37.4572</v>
      </c>
      <c r="F78" s="66">
        <v>14</v>
      </c>
      <c r="G78" s="66">
        <v>23.4572</v>
      </c>
      <c r="H78" s="66">
        <v>14</v>
      </c>
      <c r="I78" s="66">
        <v>0</v>
      </c>
      <c r="J78" s="66">
        <v>37.4572</v>
      </c>
      <c r="K78" s="66">
        <v>14</v>
      </c>
      <c r="L78" s="66">
        <v>0</v>
      </c>
      <c r="M78" s="66">
        <v>23.4572</v>
      </c>
      <c r="N78" s="67">
        <v>100</v>
      </c>
      <c r="O78" s="67">
        <v>100</v>
      </c>
      <c r="P78" s="67">
        <v>62.624008201360482</v>
      </c>
      <c r="Q78" s="66">
        <v>0</v>
      </c>
      <c r="R78" s="67">
        <v>0</v>
      </c>
      <c r="S78" s="66">
        <v>0</v>
      </c>
      <c r="T78" s="66">
        <v>0</v>
      </c>
      <c r="U78" s="66">
        <v>0</v>
      </c>
      <c r="V78" s="66">
        <v>0</v>
      </c>
      <c r="W78" s="66">
        <v>0</v>
      </c>
      <c r="X78" s="66">
        <v>0</v>
      </c>
      <c r="Y78" s="66">
        <v>0</v>
      </c>
      <c r="Z78" s="66">
        <v>0</v>
      </c>
      <c r="AA78" s="66">
        <v>0</v>
      </c>
      <c r="AB78" s="66">
        <v>0</v>
      </c>
      <c r="AC78" s="66">
        <v>0</v>
      </c>
      <c r="AD78" s="67" t="s">
        <v>1094</v>
      </c>
      <c r="AE78" s="67" t="s">
        <v>1094</v>
      </c>
      <c r="AF78" s="67">
        <v>0</v>
      </c>
      <c r="AG78" s="210">
        <v>0</v>
      </c>
      <c r="AH78" s="67">
        <v>0</v>
      </c>
      <c r="AI78" s="66">
        <v>14</v>
      </c>
      <c r="AJ78" s="66">
        <v>0</v>
      </c>
      <c r="AK78" s="66">
        <v>37.4572</v>
      </c>
      <c r="AL78" s="66">
        <v>14</v>
      </c>
      <c r="AM78" s="66">
        <v>23.4572</v>
      </c>
      <c r="AN78" s="66">
        <v>14</v>
      </c>
      <c r="AO78" s="66">
        <v>0</v>
      </c>
      <c r="AP78" s="66">
        <v>37.4572</v>
      </c>
      <c r="AQ78" s="66">
        <v>14</v>
      </c>
      <c r="AR78" s="66">
        <v>0</v>
      </c>
      <c r="AS78" s="66">
        <v>23.4572</v>
      </c>
      <c r="AT78" s="67">
        <v>100</v>
      </c>
      <c r="AU78" s="67">
        <v>100</v>
      </c>
      <c r="AV78" s="67">
        <v>62.624008201360482</v>
      </c>
      <c r="AW78" s="210">
        <v>0</v>
      </c>
      <c r="AX78" s="67">
        <v>0</v>
      </c>
    </row>
    <row r="79" spans="1:50" ht="15.75" x14ac:dyDescent="0.25">
      <c r="A79" s="11">
        <v>68</v>
      </c>
      <c r="B79" s="189" t="s">
        <v>182</v>
      </c>
      <c r="C79" s="66">
        <v>289.70999999999998</v>
      </c>
      <c r="D79" s="66">
        <v>0</v>
      </c>
      <c r="E79" s="66">
        <v>305.16120000000001</v>
      </c>
      <c r="F79" s="66">
        <v>289.70999999999998</v>
      </c>
      <c r="G79" s="66">
        <v>15.4512</v>
      </c>
      <c r="H79" s="66">
        <v>289.70999999999998</v>
      </c>
      <c r="I79" s="66">
        <v>0</v>
      </c>
      <c r="J79" s="66">
        <v>305.16120000000001</v>
      </c>
      <c r="K79" s="66">
        <v>289.70999999999998</v>
      </c>
      <c r="L79" s="66">
        <v>0</v>
      </c>
      <c r="M79" s="66">
        <v>15.4512</v>
      </c>
      <c r="N79" s="67">
        <v>100</v>
      </c>
      <c r="O79" s="67">
        <v>100</v>
      </c>
      <c r="P79" s="67">
        <v>5.0632911392405067</v>
      </c>
      <c r="Q79" s="66">
        <v>0</v>
      </c>
      <c r="R79" s="67">
        <v>0</v>
      </c>
      <c r="S79" s="66">
        <v>289.70999999999998</v>
      </c>
      <c r="T79" s="66">
        <v>0</v>
      </c>
      <c r="U79" s="66">
        <v>305.16120000000001</v>
      </c>
      <c r="V79" s="66">
        <v>289.70999999999998</v>
      </c>
      <c r="W79" s="66">
        <v>15.4512</v>
      </c>
      <c r="X79" s="66">
        <v>289.70999999999998</v>
      </c>
      <c r="Y79" s="66">
        <v>0</v>
      </c>
      <c r="Z79" s="66">
        <v>305.16120000000001</v>
      </c>
      <c r="AA79" s="66">
        <v>289.70999999999998</v>
      </c>
      <c r="AB79" s="66">
        <v>0</v>
      </c>
      <c r="AC79" s="66">
        <v>15.4512</v>
      </c>
      <c r="AD79" s="67">
        <v>100</v>
      </c>
      <c r="AE79" s="67">
        <v>100</v>
      </c>
      <c r="AF79" s="67">
        <v>5.0632911392405067</v>
      </c>
      <c r="AG79" s="210">
        <v>0</v>
      </c>
      <c r="AH79" s="67">
        <v>0</v>
      </c>
      <c r="AI79" s="66">
        <v>0</v>
      </c>
      <c r="AJ79" s="66">
        <v>0</v>
      </c>
      <c r="AK79" s="66">
        <v>0</v>
      </c>
      <c r="AL79" s="66">
        <v>0</v>
      </c>
      <c r="AM79" s="66">
        <v>0</v>
      </c>
      <c r="AN79" s="66">
        <v>0</v>
      </c>
      <c r="AO79" s="66">
        <v>0</v>
      </c>
      <c r="AP79" s="66">
        <v>0</v>
      </c>
      <c r="AQ79" s="66">
        <v>0</v>
      </c>
      <c r="AR79" s="66">
        <v>0</v>
      </c>
      <c r="AS79" s="66">
        <v>0</v>
      </c>
      <c r="AT79" s="67" t="s">
        <v>1094</v>
      </c>
      <c r="AU79" s="67" t="s">
        <v>1094</v>
      </c>
      <c r="AV79" s="67">
        <v>0</v>
      </c>
      <c r="AW79" s="210">
        <v>0</v>
      </c>
      <c r="AX79" s="67">
        <v>0</v>
      </c>
    </row>
    <row r="80" spans="1:50" ht="31.5" x14ac:dyDescent="0.25">
      <c r="A80" s="11">
        <v>69</v>
      </c>
      <c r="B80" s="194" t="s">
        <v>300</v>
      </c>
      <c r="C80" s="66">
        <v>0</v>
      </c>
      <c r="D80" s="66">
        <v>0</v>
      </c>
      <c r="E80" s="66">
        <v>0</v>
      </c>
      <c r="F80" s="66">
        <v>0</v>
      </c>
      <c r="G80" s="66">
        <v>0</v>
      </c>
      <c r="H80" s="66">
        <v>0</v>
      </c>
      <c r="I80" s="66">
        <v>0</v>
      </c>
      <c r="J80" s="66">
        <v>0</v>
      </c>
      <c r="K80" s="66">
        <v>0</v>
      </c>
      <c r="L80" s="66">
        <v>0</v>
      </c>
      <c r="M80" s="66">
        <v>0</v>
      </c>
      <c r="N80" s="67" t="s">
        <v>1094</v>
      </c>
      <c r="O80" s="67" t="s">
        <v>1094</v>
      </c>
      <c r="P80" s="67">
        <v>0</v>
      </c>
      <c r="Q80" s="66">
        <v>0</v>
      </c>
      <c r="R80" s="67">
        <v>0</v>
      </c>
      <c r="S80" s="66">
        <v>0</v>
      </c>
      <c r="T80" s="66">
        <v>0</v>
      </c>
      <c r="U80" s="66">
        <v>0</v>
      </c>
      <c r="V80" s="66">
        <v>0</v>
      </c>
      <c r="W80" s="66">
        <v>0</v>
      </c>
      <c r="X80" s="66">
        <v>0</v>
      </c>
      <c r="Y80" s="66">
        <v>0</v>
      </c>
      <c r="Z80" s="66">
        <v>0</v>
      </c>
      <c r="AA80" s="66">
        <v>0</v>
      </c>
      <c r="AB80" s="66">
        <v>0</v>
      </c>
      <c r="AC80" s="66">
        <v>0</v>
      </c>
      <c r="AD80" s="67" t="s">
        <v>1094</v>
      </c>
      <c r="AE80" s="67" t="s">
        <v>1094</v>
      </c>
      <c r="AF80" s="67">
        <v>0</v>
      </c>
      <c r="AG80" s="210">
        <v>0</v>
      </c>
      <c r="AH80" s="67">
        <v>0</v>
      </c>
      <c r="AI80" s="66">
        <v>0</v>
      </c>
      <c r="AJ80" s="66">
        <v>0</v>
      </c>
      <c r="AK80" s="66">
        <v>0</v>
      </c>
      <c r="AL80" s="66">
        <v>0</v>
      </c>
      <c r="AM80" s="66">
        <v>0</v>
      </c>
      <c r="AN80" s="66">
        <v>0</v>
      </c>
      <c r="AO80" s="66">
        <v>0</v>
      </c>
      <c r="AP80" s="66">
        <v>0</v>
      </c>
      <c r="AQ80" s="66">
        <v>0</v>
      </c>
      <c r="AR80" s="66">
        <v>0</v>
      </c>
      <c r="AS80" s="66">
        <v>0</v>
      </c>
      <c r="AT80" s="67" t="s">
        <v>1094</v>
      </c>
      <c r="AU80" s="67" t="s">
        <v>1094</v>
      </c>
      <c r="AV80" s="67">
        <v>0</v>
      </c>
      <c r="AW80" s="210">
        <v>0</v>
      </c>
      <c r="AX80" s="67">
        <v>0</v>
      </c>
    </row>
    <row r="81" spans="1:50" ht="31.5" x14ac:dyDescent="0.25">
      <c r="A81" s="11">
        <v>70</v>
      </c>
      <c r="B81" s="194" t="s">
        <v>301</v>
      </c>
      <c r="C81" s="66">
        <v>0</v>
      </c>
      <c r="D81" s="66">
        <v>0</v>
      </c>
      <c r="E81" s="66">
        <v>0</v>
      </c>
      <c r="F81" s="66">
        <v>0</v>
      </c>
      <c r="G81" s="66">
        <v>0</v>
      </c>
      <c r="H81" s="66">
        <v>0</v>
      </c>
      <c r="I81" s="66">
        <v>0</v>
      </c>
      <c r="J81" s="66">
        <v>0</v>
      </c>
      <c r="K81" s="66">
        <v>0</v>
      </c>
      <c r="L81" s="66">
        <v>0</v>
      </c>
      <c r="M81" s="66">
        <v>0</v>
      </c>
      <c r="N81" s="67" t="s">
        <v>1094</v>
      </c>
      <c r="O81" s="67" t="s">
        <v>1094</v>
      </c>
      <c r="P81" s="67">
        <v>0</v>
      </c>
      <c r="Q81" s="66">
        <v>0</v>
      </c>
      <c r="R81" s="67">
        <v>0</v>
      </c>
      <c r="S81" s="66">
        <v>0</v>
      </c>
      <c r="T81" s="66">
        <v>0</v>
      </c>
      <c r="U81" s="66">
        <v>0</v>
      </c>
      <c r="V81" s="66">
        <v>0</v>
      </c>
      <c r="W81" s="66">
        <v>0</v>
      </c>
      <c r="X81" s="66">
        <v>0</v>
      </c>
      <c r="Y81" s="66">
        <v>0</v>
      </c>
      <c r="Z81" s="66">
        <v>0</v>
      </c>
      <c r="AA81" s="66">
        <v>0</v>
      </c>
      <c r="AB81" s="66">
        <v>0</v>
      </c>
      <c r="AC81" s="66">
        <v>0</v>
      </c>
      <c r="AD81" s="67" t="s">
        <v>1094</v>
      </c>
      <c r="AE81" s="67" t="s">
        <v>1094</v>
      </c>
      <c r="AF81" s="67">
        <v>0</v>
      </c>
      <c r="AG81" s="210">
        <v>0</v>
      </c>
      <c r="AH81" s="67">
        <v>0</v>
      </c>
      <c r="AI81" s="66">
        <v>0</v>
      </c>
      <c r="AJ81" s="66">
        <v>0</v>
      </c>
      <c r="AK81" s="66">
        <v>0</v>
      </c>
      <c r="AL81" s="66">
        <v>0</v>
      </c>
      <c r="AM81" s="66">
        <v>0</v>
      </c>
      <c r="AN81" s="66">
        <v>0</v>
      </c>
      <c r="AO81" s="66">
        <v>0</v>
      </c>
      <c r="AP81" s="66">
        <v>0</v>
      </c>
      <c r="AQ81" s="66">
        <v>0</v>
      </c>
      <c r="AR81" s="66">
        <v>0</v>
      </c>
      <c r="AS81" s="66">
        <v>0</v>
      </c>
      <c r="AT81" s="67" t="s">
        <v>1094</v>
      </c>
      <c r="AU81" s="67" t="s">
        <v>1094</v>
      </c>
      <c r="AV81" s="67">
        <v>0</v>
      </c>
      <c r="AW81" s="210">
        <v>0</v>
      </c>
      <c r="AX81" s="67">
        <v>0</v>
      </c>
    </row>
    <row r="82" spans="1:50" ht="15.75" x14ac:dyDescent="0.25">
      <c r="A82" s="74">
        <v>71</v>
      </c>
      <c r="B82" s="189" t="s">
        <v>189</v>
      </c>
      <c r="C82" s="66">
        <v>0</v>
      </c>
      <c r="D82" s="66">
        <v>0</v>
      </c>
      <c r="E82" s="66">
        <v>0</v>
      </c>
      <c r="F82" s="66">
        <v>0</v>
      </c>
      <c r="G82" s="66">
        <v>0</v>
      </c>
      <c r="H82" s="66">
        <v>0</v>
      </c>
      <c r="I82" s="66">
        <v>0</v>
      </c>
      <c r="J82" s="66">
        <v>0</v>
      </c>
      <c r="K82" s="66">
        <v>0</v>
      </c>
      <c r="L82" s="66">
        <v>0</v>
      </c>
      <c r="M82" s="66">
        <v>0</v>
      </c>
      <c r="N82" s="67" t="s">
        <v>1094</v>
      </c>
      <c r="O82" s="67" t="s">
        <v>1094</v>
      </c>
      <c r="P82" s="67">
        <v>0</v>
      </c>
      <c r="Q82" s="66">
        <v>0</v>
      </c>
      <c r="R82" s="67">
        <v>0</v>
      </c>
      <c r="S82" s="66">
        <v>0</v>
      </c>
      <c r="T82" s="66">
        <v>0</v>
      </c>
      <c r="U82" s="66">
        <v>0</v>
      </c>
      <c r="V82" s="66">
        <v>0</v>
      </c>
      <c r="W82" s="66">
        <v>0</v>
      </c>
      <c r="X82" s="66">
        <v>0</v>
      </c>
      <c r="Y82" s="66">
        <v>0</v>
      </c>
      <c r="Z82" s="66">
        <v>0</v>
      </c>
      <c r="AA82" s="66">
        <v>0</v>
      </c>
      <c r="AB82" s="66">
        <v>0</v>
      </c>
      <c r="AC82" s="66">
        <v>0</v>
      </c>
      <c r="AD82" s="67" t="s">
        <v>1094</v>
      </c>
      <c r="AE82" s="67" t="s">
        <v>1094</v>
      </c>
      <c r="AF82" s="67">
        <v>0</v>
      </c>
      <c r="AG82" s="210">
        <v>0</v>
      </c>
      <c r="AH82" s="67">
        <v>0</v>
      </c>
      <c r="AI82" s="66">
        <v>0</v>
      </c>
      <c r="AJ82" s="66">
        <v>0</v>
      </c>
      <c r="AK82" s="66">
        <v>0</v>
      </c>
      <c r="AL82" s="66">
        <v>0</v>
      </c>
      <c r="AM82" s="66">
        <v>0</v>
      </c>
      <c r="AN82" s="66">
        <v>0</v>
      </c>
      <c r="AO82" s="66">
        <v>0</v>
      </c>
      <c r="AP82" s="66">
        <v>0</v>
      </c>
      <c r="AQ82" s="66">
        <v>0</v>
      </c>
      <c r="AR82" s="66">
        <v>0</v>
      </c>
      <c r="AS82" s="66">
        <v>0</v>
      </c>
      <c r="AT82" s="67" t="s">
        <v>1094</v>
      </c>
      <c r="AU82" s="67" t="s">
        <v>1094</v>
      </c>
      <c r="AV82" s="67">
        <v>0</v>
      </c>
      <c r="AW82" s="210">
        <v>0</v>
      </c>
      <c r="AX82" s="67">
        <v>0</v>
      </c>
    </row>
    <row r="83" spans="1:50" ht="15.75" x14ac:dyDescent="0.25">
      <c r="A83" s="57">
        <v>72</v>
      </c>
      <c r="B83" s="190" t="s">
        <v>192</v>
      </c>
      <c r="C83" s="61">
        <v>992.84169999999995</v>
      </c>
      <c r="D83" s="61">
        <v>0</v>
      </c>
      <c r="E83" s="61">
        <v>1056.9518146</v>
      </c>
      <c r="F83" s="61">
        <v>992.84169999999995</v>
      </c>
      <c r="G83" s="61">
        <v>64.110114600000003</v>
      </c>
      <c r="H83" s="61">
        <v>992.84168068999998</v>
      </c>
      <c r="I83" s="61">
        <v>0</v>
      </c>
      <c r="J83" s="61">
        <v>1052.7510691300001</v>
      </c>
      <c r="K83" s="61">
        <v>988.85099083</v>
      </c>
      <c r="L83" s="61">
        <v>0</v>
      </c>
      <c r="M83" s="61">
        <v>63.900078300000004</v>
      </c>
      <c r="N83" s="61">
        <v>99.598051817323949</v>
      </c>
      <c r="O83" s="61">
        <v>99.672381961394905</v>
      </c>
      <c r="P83" s="61">
        <v>6.0698184189741466</v>
      </c>
      <c r="Q83" s="61">
        <v>0</v>
      </c>
      <c r="R83" s="61">
        <v>3.9906898600000034</v>
      </c>
      <c r="S83" s="61">
        <v>934.93079999999998</v>
      </c>
      <c r="T83" s="61">
        <v>0</v>
      </c>
      <c r="U83" s="61">
        <v>995.99297250000006</v>
      </c>
      <c r="V83" s="61">
        <v>934.93079999999998</v>
      </c>
      <c r="W83" s="61">
        <v>61.062172500000003</v>
      </c>
      <c r="X83" s="61">
        <v>934.93078069000001</v>
      </c>
      <c r="Y83" s="61">
        <v>0</v>
      </c>
      <c r="Z83" s="61">
        <v>995.99295319000009</v>
      </c>
      <c r="AA83" s="61">
        <v>934.93078069000001</v>
      </c>
      <c r="AB83" s="61">
        <v>0</v>
      </c>
      <c r="AC83" s="61">
        <v>61.062172500000003</v>
      </c>
      <c r="AD83" s="61">
        <v>99.999997934606498</v>
      </c>
      <c r="AE83" s="61">
        <v>100</v>
      </c>
      <c r="AF83" s="61">
        <v>6.1307835868143448</v>
      </c>
      <c r="AG83" s="61">
        <v>0</v>
      </c>
      <c r="AH83" s="61">
        <v>0</v>
      </c>
      <c r="AI83" s="61">
        <v>57.910899999999998</v>
      </c>
      <c r="AJ83" s="61">
        <v>0</v>
      </c>
      <c r="AK83" s="61">
        <v>60.958842099999998</v>
      </c>
      <c r="AL83" s="61">
        <v>57.910899999999998</v>
      </c>
      <c r="AM83" s="61">
        <v>3.0479421000000002</v>
      </c>
      <c r="AN83" s="61">
        <v>57.910899999999998</v>
      </c>
      <c r="AO83" s="61">
        <v>0</v>
      </c>
      <c r="AP83" s="61">
        <v>56.758115939999996</v>
      </c>
      <c r="AQ83" s="61">
        <v>53.920210140000002</v>
      </c>
      <c r="AR83" s="61">
        <v>0</v>
      </c>
      <c r="AS83" s="61">
        <v>2.8379057999999997</v>
      </c>
      <c r="AT83" s="61">
        <v>93.108914107706838</v>
      </c>
      <c r="AU83" s="61">
        <v>93.108914372093864</v>
      </c>
      <c r="AV83" s="61">
        <v>5.0000000052855871</v>
      </c>
      <c r="AW83" s="61">
        <v>0</v>
      </c>
      <c r="AX83" s="61">
        <v>3.9906898599999963</v>
      </c>
    </row>
    <row r="84" spans="1:50" ht="15.75" x14ac:dyDescent="0.25">
      <c r="A84" s="11">
        <v>73</v>
      </c>
      <c r="B84" s="189" t="s">
        <v>195</v>
      </c>
      <c r="C84" s="66">
        <v>0</v>
      </c>
      <c r="D84" s="66">
        <v>0</v>
      </c>
      <c r="E84" s="66">
        <v>0</v>
      </c>
      <c r="F84" s="66">
        <v>0</v>
      </c>
      <c r="G84" s="66">
        <v>0</v>
      </c>
      <c r="H84" s="66">
        <v>0</v>
      </c>
      <c r="I84" s="66">
        <v>0</v>
      </c>
      <c r="J84" s="66">
        <v>0</v>
      </c>
      <c r="K84" s="66">
        <v>0</v>
      </c>
      <c r="L84" s="66">
        <v>0</v>
      </c>
      <c r="M84" s="66">
        <v>0</v>
      </c>
      <c r="N84" s="67" t="s">
        <v>1094</v>
      </c>
      <c r="O84" s="67" t="s">
        <v>1094</v>
      </c>
      <c r="P84" s="67">
        <v>0</v>
      </c>
      <c r="Q84" s="66">
        <v>0</v>
      </c>
      <c r="R84" s="67">
        <v>0</v>
      </c>
      <c r="S84" s="66">
        <v>0</v>
      </c>
      <c r="T84" s="66">
        <v>0</v>
      </c>
      <c r="U84" s="66">
        <v>0</v>
      </c>
      <c r="V84" s="66">
        <v>0</v>
      </c>
      <c r="W84" s="66">
        <v>0</v>
      </c>
      <c r="X84" s="66">
        <v>0</v>
      </c>
      <c r="Y84" s="66">
        <v>0</v>
      </c>
      <c r="Z84" s="66">
        <v>0</v>
      </c>
      <c r="AA84" s="66">
        <v>0</v>
      </c>
      <c r="AB84" s="66">
        <v>0</v>
      </c>
      <c r="AC84" s="66">
        <v>0</v>
      </c>
      <c r="AD84" s="67" t="s">
        <v>1094</v>
      </c>
      <c r="AE84" s="67" t="s">
        <v>1094</v>
      </c>
      <c r="AF84" s="67">
        <v>0</v>
      </c>
      <c r="AG84" s="210">
        <v>0</v>
      </c>
      <c r="AH84" s="67">
        <v>0</v>
      </c>
      <c r="AI84" s="66">
        <v>0</v>
      </c>
      <c r="AJ84" s="66">
        <v>0</v>
      </c>
      <c r="AK84" s="66">
        <v>0</v>
      </c>
      <c r="AL84" s="66">
        <v>0</v>
      </c>
      <c r="AM84" s="66">
        <v>0</v>
      </c>
      <c r="AN84" s="66">
        <v>0</v>
      </c>
      <c r="AO84" s="66">
        <v>0</v>
      </c>
      <c r="AP84" s="66">
        <v>0</v>
      </c>
      <c r="AQ84" s="66">
        <v>0</v>
      </c>
      <c r="AR84" s="66">
        <v>0</v>
      </c>
      <c r="AS84" s="66">
        <v>0</v>
      </c>
      <c r="AT84" s="67" t="s">
        <v>1094</v>
      </c>
      <c r="AU84" s="67" t="s">
        <v>1094</v>
      </c>
      <c r="AV84" s="67">
        <v>0</v>
      </c>
      <c r="AW84" s="210">
        <v>0</v>
      </c>
      <c r="AX84" s="67">
        <v>0</v>
      </c>
    </row>
    <row r="85" spans="1:50" ht="15.75" x14ac:dyDescent="0.25">
      <c r="A85" s="11">
        <v>74</v>
      </c>
      <c r="B85" s="189" t="s">
        <v>198</v>
      </c>
      <c r="C85" s="66">
        <v>0</v>
      </c>
      <c r="D85" s="66">
        <v>0</v>
      </c>
      <c r="E85" s="66">
        <v>0</v>
      </c>
      <c r="F85" s="66">
        <v>0</v>
      </c>
      <c r="G85" s="66">
        <v>0</v>
      </c>
      <c r="H85" s="66">
        <v>0</v>
      </c>
      <c r="I85" s="66">
        <v>0</v>
      </c>
      <c r="J85" s="66">
        <v>0</v>
      </c>
      <c r="K85" s="66">
        <v>0</v>
      </c>
      <c r="L85" s="66">
        <v>0</v>
      </c>
      <c r="M85" s="66">
        <v>0</v>
      </c>
      <c r="N85" s="67" t="s">
        <v>1094</v>
      </c>
      <c r="O85" s="67" t="s">
        <v>1094</v>
      </c>
      <c r="P85" s="67">
        <v>0</v>
      </c>
      <c r="Q85" s="66">
        <v>0</v>
      </c>
      <c r="R85" s="67">
        <v>0</v>
      </c>
      <c r="S85" s="66">
        <v>0</v>
      </c>
      <c r="T85" s="66">
        <v>0</v>
      </c>
      <c r="U85" s="66">
        <v>0</v>
      </c>
      <c r="V85" s="66">
        <v>0</v>
      </c>
      <c r="W85" s="66">
        <v>0</v>
      </c>
      <c r="X85" s="66">
        <v>0</v>
      </c>
      <c r="Y85" s="66">
        <v>0</v>
      </c>
      <c r="Z85" s="66">
        <v>0</v>
      </c>
      <c r="AA85" s="66">
        <v>0</v>
      </c>
      <c r="AB85" s="66">
        <v>0</v>
      </c>
      <c r="AC85" s="66">
        <v>0</v>
      </c>
      <c r="AD85" s="67" t="s">
        <v>1094</v>
      </c>
      <c r="AE85" s="67" t="s">
        <v>1094</v>
      </c>
      <c r="AF85" s="67">
        <v>0</v>
      </c>
      <c r="AG85" s="210">
        <v>0</v>
      </c>
      <c r="AH85" s="67">
        <v>0</v>
      </c>
      <c r="AI85" s="66">
        <v>0</v>
      </c>
      <c r="AJ85" s="66">
        <v>0</v>
      </c>
      <c r="AK85" s="66">
        <v>0</v>
      </c>
      <c r="AL85" s="66">
        <v>0</v>
      </c>
      <c r="AM85" s="66">
        <v>0</v>
      </c>
      <c r="AN85" s="66">
        <v>0</v>
      </c>
      <c r="AO85" s="66">
        <v>0</v>
      </c>
      <c r="AP85" s="66">
        <v>0</v>
      </c>
      <c r="AQ85" s="66">
        <v>0</v>
      </c>
      <c r="AR85" s="66">
        <v>0</v>
      </c>
      <c r="AS85" s="66">
        <v>0</v>
      </c>
      <c r="AT85" s="67" t="s">
        <v>1094</v>
      </c>
      <c r="AU85" s="67" t="s">
        <v>1094</v>
      </c>
      <c r="AV85" s="67">
        <v>0</v>
      </c>
      <c r="AW85" s="210">
        <v>0</v>
      </c>
      <c r="AX85" s="67">
        <v>0</v>
      </c>
    </row>
    <row r="86" spans="1:50" ht="15.75" x14ac:dyDescent="0.25">
      <c r="A86" s="11">
        <v>75</v>
      </c>
      <c r="B86" s="189" t="s">
        <v>201</v>
      </c>
      <c r="C86" s="66">
        <v>0</v>
      </c>
      <c r="D86" s="66">
        <v>0</v>
      </c>
      <c r="E86" s="66">
        <v>0</v>
      </c>
      <c r="F86" s="66">
        <v>0</v>
      </c>
      <c r="G86" s="66">
        <v>0</v>
      </c>
      <c r="H86" s="66">
        <v>0</v>
      </c>
      <c r="I86" s="66">
        <v>0</v>
      </c>
      <c r="J86" s="66">
        <v>0</v>
      </c>
      <c r="K86" s="66">
        <v>0</v>
      </c>
      <c r="L86" s="66">
        <v>0</v>
      </c>
      <c r="M86" s="66">
        <v>0</v>
      </c>
      <c r="N86" s="67" t="s">
        <v>1094</v>
      </c>
      <c r="O86" s="67" t="s">
        <v>1094</v>
      </c>
      <c r="P86" s="67">
        <v>0</v>
      </c>
      <c r="Q86" s="66">
        <v>0</v>
      </c>
      <c r="R86" s="67">
        <v>0</v>
      </c>
      <c r="S86" s="66">
        <v>0</v>
      </c>
      <c r="T86" s="66">
        <v>0</v>
      </c>
      <c r="U86" s="66">
        <v>0</v>
      </c>
      <c r="V86" s="66">
        <v>0</v>
      </c>
      <c r="W86" s="66">
        <v>0</v>
      </c>
      <c r="X86" s="66">
        <v>0</v>
      </c>
      <c r="Y86" s="66">
        <v>0</v>
      </c>
      <c r="Z86" s="66">
        <v>0</v>
      </c>
      <c r="AA86" s="66">
        <v>0</v>
      </c>
      <c r="AB86" s="66">
        <v>0</v>
      </c>
      <c r="AC86" s="66">
        <v>0</v>
      </c>
      <c r="AD86" s="67" t="s">
        <v>1094</v>
      </c>
      <c r="AE86" s="67" t="s">
        <v>1094</v>
      </c>
      <c r="AF86" s="67">
        <v>0</v>
      </c>
      <c r="AG86" s="210">
        <v>0</v>
      </c>
      <c r="AH86" s="67">
        <v>0</v>
      </c>
      <c r="AI86" s="66">
        <v>0</v>
      </c>
      <c r="AJ86" s="66">
        <v>0</v>
      </c>
      <c r="AK86" s="66">
        <v>0</v>
      </c>
      <c r="AL86" s="66">
        <v>0</v>
      </c>
      <c r="AM86" s="66">
        <v>0</v>
      </c>
      <c r="AN86" s="66">
        <v>0</v>
      </c>
      <c r="AO86" s="66">
        <v>0</v>
      </c>
      <c r="AP86" s="66">
        <v>0</v>
      </c>
      <c r="AQ86" s="66">
        <v>0</v>
      </c>
      <c r="AR86" s="66">
        <v>0</v>
      </c>
      <c r="AS86" s="66">
        <v>0</v>
      </c>
      <c r="AT86" s="67" t="s">
        <v>1094</v>
      </c>
      <c r="AU86" s="67" t="s">
        <v>1094</v>
      </c>
      <c r="AV86" s="67">
        <v>0</v>
      </c>
      <c r="AW86" s="210">
        <v>0</v>
      </c>
      <c r="AX86" s="67">
        <v>0</v>
      </c>
    </row>
    <row r="87" spans="1:50" ht="15.75" x14ac:dyDescent="0.25">
      <c r="A87" s="11">
        <v>76</v>
      </c>
      <c r="B87" s="189" t="s">
        <v>204</v>
      </c>
      <c r="C87" s="66">
        <v>0</v>
      </c>
      <c r="D87" s="66">
        <v>0</v>
      </c>
      <c r="E87" s="66">
        <v>0</v>
      </c>
      <c r="F87" s="66">
        <v>0</v>
      </c>
      <c r="G87" s="66">
        <v>0</v>
      </c>
      <c r="H87" s="66">
        <v>0</v>
      </c>
      <c r="I87" s="66">
        <v>0</v>
      </c>
      <c r="J87" s="66">
        <v>0</v>
      </c>
      <c r="K87" s="66">
        <v>0</v>
      </c>
      <c r="L87" s="66">
        <v>0</v>
      </c>
      <c r="M87" s="66">
        <v>0</v>
      </c>
      <c r="N87" s="67" t="s">
        <v>1094</v>
      </c>
      <c r="O87" s="67" t="s">
        <v>1094</v>
      </c>
      <c r="P87" s="67">
        <v>0</v>
      </c>
      <c r="Q87" s="66">
        <v>0</v>
      </c>
      <c r="R87" s="67">
        <v>0</v>
      </c>
      <c r="S87" s="66">
        <v>0</v>
      </c>
      <c r="T87" s="66">
        <v>0</v>
      </c>
      <c r="U87" s="66">
        <v>0</v>
      </c>
      <c r="V87" s="66">
        <v>0</v>
      </c>
      <c r="W87" s="66">
        <v>0</v>
      </c>
      <c r="X87" s="66">
        <v>0</v>
      </c>
      <c r="Y87" s="66">
        <v>0</v>
      </c>
      <c r="Z87" s="66">
        <v>0</v>
      </c>
      <c r="AA87" s="66">
        <v>0</v>
      </c>
      <c r="AB87" s="66">
        <v>0</v>
      </c>
      <c r="AC87" s="66">
        <v>0</v>
      </c>
      <c r="AD87" s="67" t="s">
        <v>1094</v>
      </c>
      <c r="AE87" s="67" t="s">
        <v>1094</v>
      </c>
      <c r="AF87" s="67">
        <v>0</v>
      </c>
      <c r="AG87" s="210">
        <v>0</v>
      </c>
      <c r="AH87" s="67">
        <v>0</v>
      </c>
      <c r="AI87" s="66">
        <v>0</v>
      </c>
      <c r="AJ87" s="66">
        <v>0</v>
      </c>
      <c r="AK87" s="66">
        <v>0</v>
      </c>
      <c r="AL87" s="66">
        <v>0</v>
      </c>
      <c r="AM87" s="66">
        <v>0</v>
      </c>
      <c r="AN87" s="66">
        <v>0</v>
      </c>
      <c r="AO87" s="66">
        <v>0</v>
      </c>
      <c r="AP87" s="66">
        <v>0</v>
      </c>
      <c r="AQ87" s="66">
        <v>0</v>
      </c>
      <c r="AR87" s="66">
        <v>0</v>
      </c>
      <c r="AS87" s="66">
        <v>0</v>
      </c>
      <c r="AT87" s="67" t="s">
        <v>1094</v>
      </c>
      <c r="AU87" s="67" t="s">
        <v>1094</v>
      </c>
      <c r="AV87" s="67">
        <v>0</v>
      </c>
      <c r="AW87" s="210">
        <v>0</v>
      </c>
      <c r="AX87" s="67">
        <v>0</v>
      </c>
    </row>
    <row r="88" spans="1:50" ht="15.75" x14ac:dyDescent="0.25">
      <c r="A88" s="11">
        <v>77</v>
      </c>
      <c r="B88" s="189" t="s">
        <v>207</v>
      </c>
      <c r="C88" s="66">
        <v>14.3847</v>
      </c>
      <c r="D88" s="66">
        <v>0</v>
      </c>
      <c r="E88" s="66">
        <v>15.141789470000001</v>
      </c>
      <c r="F88" s="66">
        <v>14.3847</v>
      </c>
      <c r="G88" s="66">
        <v>0.75708946999999993</v>
      </c>
      <c r="H88" s="66">
        <v>14.3847</v>
      </c>
      <c r="I88" s="66">
        <v>0</v>
      </c>
      <c r="J88" s="66">
        <v>15.141789470000001</v>
      </c>
      <c r="K88" s="66">
        <v>14.3847</v>
      </c>
      <c r="L88" s="66">
        <v>0</v>
      </c>
      <c r="M88" s="66">
        <v>0.75708946999999993</v>
      </c>
      <c r="N88" s="67">
        <v>100</v>
      </c>
      <c r="O88" s="67">
        <v>100</v>
      </c>
      <c r="P88" s="67">
        <v>4.999999976885162</v>
      </c>
      <c r="Q88" s="66">
        <v>0</v>
      </c>
      <c r="R88" s="67">
        <v>0</v>
      </c>
      <c r="S88" s="66">
        <v>14.3847</v>
      </c>
      <c r="T88" s="66">
        <v>0</v>
      </c>
      <c r="U88" s="66">
        <v>15.141789470000001</v>
      </c>
      <c r="V88" s="66">
        <v>14.3847</v>
      </c>
      <c r="W88" s="66">
        <v>0.75708946999999993</v>
      </c>
      <c r="X88" s="66">
        <v>14.3847</v>
      </c>
      <c r="Y88" s="66">
        <v>0</v>
      </c>
      <c r="Z88" s="66">
        <v>15.141789470000001</v>
      </c>
      <c r="AA88" s="66">
        <v>14.3847</v>
      </c>
      <c r="AB88" s="66">
        <v>0</v>
      </c>
      <c r="AC88" s="66">
        <v>0.75708946999999993</v>
      </c>
      <c r="AD88" s="67">
        <v>100</v>
      </c>
      <c r="AE88" s="67">
        <v>100</v>
      </c>
      <c r="AF88" s="67">
        <v>4.999999976885162</v>
      </c>
      <c r="AG88" s="210">
        <v>0</v>
      </c>
      <c r="AH88" s="67">
        <v>0</v>
      </c>
      <c r="AI88" s="66">
        <v>0</v>
      </c>
      <c r="AJ88" s="66">
        <v>0</v>
      </c>
      <c r="AK88" s="66">
        <v>0</v>
      </c>
      <c r="AL88" s="66">
        <v>0</v>
      </c>
      <c r="AM88" s="66">
        <v>0</v>
      </c>
      <c r="AN88" s="66">
        <v>0</v>
      </c>
      <c r="AO88" s="66">
        <v>0</v>
      </c>
      <c r="AP88" s="66">
        <v>0</v>
      </c>
      <c r="AQ88" s="66">
        <v>0</v>
      </c>
      <c r="AR88" s="66">
        <v>0</v>
      </c>
      <c r="AS88" s="66">
        <v>0</v>
      </c>
      <c r="AT88" s="67" t="s">
        <v>1094</v>
      </c>
      <c r="AU88" s="67" t="s">
        <v>1094</v>
      </c>
      <c r="AV88" s="67">
        <v>0</v>
      </c>
      <c r="AW88" s="210">
        <v>0</v>
      </c>
      <c r="AX88" s="67">
        <v>0</v>
      </c>
    </row>
    <row r="89" spans="1:50" ht="15.75" x14ac:dyDescent="0.25">
      <c r="A89" s="11">
        <v>78</v>
      </c>
      <c r="B89" s="189" t="s">
        <v>210</v>
      </c>
      <c r="C89" s="66">
        <v>0</v>
      </c>
      <c r="D89" s="66">
        <v>0</v>
      </c>
      <c r="E89" s="66">
        <v>0</v>
      </c>
      <c r="F89" s="66">
        <v>0</v>
      </c>
      <c r="G89" s="66">
        <v>0</v>
      </c>
      <c r="H89" s="66">
        <v>0</v>
      </c>
      <c r="I89" s="66">
        <v>0</v>
      </c>
      <c r="J89" s="66">
        <v>0</v>
      </c>
      <c r="K89" s="66">
        <v>0</v>
      </c>
      <c r="L89" s="66">
        <v>0</v>
      </c>
      <c r="M89" s="66">
        <v>0</v>
      </c>
      <c r="N89" s="67" t="s">
        <v>1094</v>
      </c>
      <c r="O89" s="67" t="s">
        <v>1094</v>
      </c>
      <c r="P89" s="67">
        <v>0</v>
      </c>
      <c r="Q89" s="66">
        <v>0</v>
      </c>
      <c r="R89" s="67">
        <v>0</v>
      </c>
      <c r="S89" s="66">
        <v>0</v>
      </c>
      <c r="T89" s="66">
        <v>0</v>
      </c>
      <c r="U89" s="66">
        <v>0</v>
      </c>
      <c r="V89" s="66">
        <v>0</v>
      </c>
      <c r="W89" s="66">
        <v>0</v>
      </c>
      <c r="X89" s="66">
        <v>0</v>
      </c>
      <c r="Y89" s="66">
        <v>0</v>
      </c>
      <c r="Z89" s="66">
        <v>0</v>
      </c>
      <c r="AA89" s="66">
        <v>0</v>
      </c>
      <c r="AB89" s="66">
        <v>0</v>
      </c>
      <c r="AC89" s="66">
        <v>0</v>
      </c>
      <c r="AD89" s="67" t="s">
        <v>1094</v>
      </c>
      <c r="AE89" s="67" t="s">
        <v>1094</v>
      </c>
      <c r="AF89" s="67">
        <v>0</v>
      </c>
      <c r="AG89" s="210">
        <v>0</v>
      </c>
      <c r="AH89" s="67">
        <v>0</v>
      </c>
      <c r="AI89" s="66">
        <v>0</v>
      </c>
      <c r="AJ89" s="66">
        <v>0</v>
      </c>
      <c r="AK89" s="66">
        <v>0</v>
      </c>
      <c r="AL89" s="66">
        <v>0</v>
      </c>
      <c r="AM89" s="66">
        <v>0</v>
      </c>
      <c r="AN89" s="66">
        <v>0</v>
      </c>
      <c r="AO89" s="66">
        <v>0</v>
      </c>
      <c r="AP89" s="66">
        <v>0</v>
      </c>
      <c r="AQ89" s="66">
        <v>0</v>
      </c>
      <c r="AR89" s="66">
        <v>0</v>
      </c>
      <c r="AS89" s="66">
        <v>0</v>
      </c>
      <c r="AT89" s="67" t="s">
        <v>1094</v>
      </c>
      <c r="AU89" s="67" t="s">
        <v>1094</v>
      </c>
      <c r="AV89" s="67">
        <v>0</v>
      </c>
      <c r="AW89" s="210">
        <v>0</v>
      </c>
      <c r="AX89" s="67">
        <v>0</v>
      </c>
    </row>
    <row r="90" spans="1:50" ht="15.75" x14ac:dyDescent="0.25">
      <c r="A90" s="11">
        <v>79</v>
      </c>
      <c r="B90" s="189" t="s">
        <v>213</v>
      </c>
      <c r="C90" s="66">
        <v>11.9451</v>
      </c>
      <c r="D90" s="66">
        <v>0</v>
      </c>
      <c r="E90" s="66">
        <v>12.573789470000001</v>
      </c>
      <c r="F90" s="66">
        <v>11.9451</v>
      </c>
      <c r="G90" s="66">
        <v>0.62868946999999997</v>
      </c>
      <c r="H90" s="66">
        <v>11.9451</v>
      </c>
      <c r="I90" s="66">
        <v>0</v>
      </c>
      <c r="J90" s="66">
        <v>12.573789470000001</v>
      </c>
      <c r="K90" s="66">
        <v>11.9451</v>
      </c>
      <c r="L90" s="66">
        <v>0</v>
      </c>
      <c r="M90" s="66">
        <v>0.62868946999999997</v>
      </c>
      <c r="N90" s="67">
        <v>100</v>
      </c>
      <c r="O90" s="67">
        <v>100</v>
      </c>
      <c r="P90" s="67">
        <v>4.9999999721643178</v>
      </c>
      <c r="Q90" s="66">
        <v>0</v>
      </c>
      <c r="R90" s="67">
        <v>0</v>
      </c>
      <c r="S90" s="66">
        <v>11.9451</v>
      </c>
      <c r="T90" s="66">
        <v>0</v>
      </c>
      <c r="U90" s="66">
        <v>12.573789470000001</v>
      </c>
      <c r="V90" s="66">
        <v>11.9451</v>
      </c>
      <c r="W90" s="66">
        <v>0.62868946999999997</v>
      </c>
      <c r="X90" s="66">
        <v>11.9451</v>
      </c>
      <c r="Y90" s="66">
        <v>0</v>
      </c>
      <c r="Z90" s="66">
        <v>12.573789470000001</v>
      </c>
      <c r="AA90" s="66">
        <v>11.9451</v>
      </c>
      <c r="AB90" s="66">
        <v>0</v>
      </c>
      <c r="AC90" s="66">
        <v>0.62868946999999997</v>
      </c>
      <c r="AD90" s="67">
        <v>100</v>
      </c>
      <c r="AE90" s="67">
        <v>100</v>
      </c>
      <c r="AF90" s="67">
        <v>4.9999999721643178</v>
      </c>
      <c r="AG90" s="210">
        <v>0</v>
      </c>
      <c r="AH90" s="67">
        <v>0</v>
      </c>
      <c r="AI90" s="66">
        <v>0</v>
      </c>
      <c r="AJ90" s="66">
        <v>0</v>
      </c>
      <c r="AK90" s="66">
        <v>0</v>
      </c>
      <c r="AL90" s="66">
        <v>0</v>
      </c>
      <c r="AM90" s="66">
        <v>0</v>
      </c>
      <c r="AN90" s="66">
        <v>0</v>
      </c>
      <c r="AO90" s="66">
        <v>0</v>
      </c>
      <c r="AP90" s="66">
        <v>0</v>
      </c>
      <c r="AQ90" s="66">
        <v>0</v>
      </c>
      <c r="AR90" s="66">
        <v>0</v>
      </c>
      <c r="AS90" s="66">
        <v>0</v>
      </c>
      <c r="AT90" s="67" t="s">
        <v>1094</v>
      </c>
      <c r="AU90" s="67" t="s">
        <v>1094</v>
      </c>
      <c r="AV90" s="67">
        <v>0</v>
      </c>
      <c r="AW90" s="210">
        <v>0</v>
      </c>
      <c r="AX90" s="67">
        <v>0</v>
      </c>
    </row>
    <row r="91" spans="1:50" ht="15.75" x14ac:dyDescent="0.25">
      <c r="A91" s="11">
        <v>80</v>
      </c>
      <c r="B91" s="189" t="s">
        <v>216</v>
      </c>
      <c r="C91" s="66">
        <v>0</v>
      </c>
      <c r="D91" s="66">
        <v>0</v>
      </c>
      <c r="E91" s="66">
        <v>0</v>
      </c>
      <c r="F91" s="66">
        <v>0</v>
      </c>
      <c r="G91" s="66">
        <v>0</v>
      </c>
      <c r="H91" s="66">
        <v>0</v>
      </c>
      <c r="I91" s="66">
        <v>0</v>
      </c>
      <c r="J91" s="66">
        <v>0</v>
      </c>
      <c r="K91" s="66">
        <v>0</v>
      </c>
      <c r="L91" s="66">
        <v>0</v>
      </c>
      <c r="M91" s="66">
        <v>0</v>
      </c>
      <c r="N91" s="67" t="s">
        <v>1094</v>
      </c>
      <c r="O91" s="67" t="s">
        <v>1094</v>
      </c>
      <c r="P91" s="67">
        <v>0</v>
      </c>
      <c r="Q91" s="66">
        <v>0</v>
      </c>
      <c r="R91" s="67">
        <v>0</v>
      </c>
      <c r="S91" s="66">
        <v>0</v>
      </c>
      <c r="T91" s="66">
        <v>0</v>
      </c>
      <c r="U91" s="66">
        <v>0</v>
      </c>
      <c r="V91" s="66">
        <v>0</v>
      </c>
      <c r="W91" s="66">
        <v>0</v>
      </c>
      <c r="X91" s="66">
        <v>0</v>
      </c>
      <c r="Y91" s="66">
        <v>0</v>
      </c>
      <c r="Z91" s="66">
        <v>0</v>
      </c>
      <c r="AA91" s="66">
        <v>0</v>
      </c>
      <c r="AB91" s="66">
        <v>0</v>
      </c>
      <c r="AC91" s="66">
        <v>0</v>
      </c>
      <c r="AD91" s="67" t="s">
        <v>1094</v>
      </c>
      <c r="AE91" s="67" t="s">
        <v>1094</v>
      </c>
      <c r="AF91" s="67">
        <v>0</v>
      </c>
      <c r="AG91" s="210">
        <v>0</v>
      </c>
      <c r="AH91" s="67">
        <v>0</v>
      </c>
      <c r="AI91" s="66">
        <v>0</v>
      </c>
      <c r="AJ91" s="66">
        <v>0</v>
      </c>
      <c r="AK91" s="66">
        <v>0</v>
      </c>
      <c r="AL91" s="66">
        <v>0</v>
      </c>
      <c r="AM91" s="66">
        <v>0</v>
      </c>
      <c r="AN91" s="66">
        <v>0</v>
      </c>
      <c r="AO91" s="66">
        <v>0</v>
      </c>
      <c r="AP91" s="66">
        <v>0</v>
      </c>
      <c r="AQ91" s="66">
        <v>0</v>
      </c>
      <c r="AR91" s="66">
        <v>0</v>
      </c>
      <c r="AS91" s="66">
        <v>0</v>
      </c>
      <c r="AT91" s="67" t="s">
        <v>1094</v>
      </c>
      <c r="AU91" s="67" t="s">
        <v>1094</v>
      </c>
      <c r="AV91" s="67">
        <v>0</v>
      </c>
      <c r="AW91" s="210">
        <v>0</v>
      </c>
      <c r="AX91" s="67">
        <v>0</v>
      </c>
    </row>
    <row r="92" spans="1:50" ht="15.75" x14ac:dyDescent="0.25">
      <c r="A92" s="11">
        <v>81</v>
      </c>
      <c r="B92" s="189" t="s">
        <v>219</v>
      </c>
      <c r="C92" s="66">
        <v>0</v>
      </c>
      <c r="D92" s="66">
        <v>0</v>
      </c>
      <c r="E92" s="66">
        <v>0</v>
      </c>
      <c r="F92" s="66">
        <v>0</v>
      </c>
      <c r="G92" s="66">
        <v>0</v>
      </c>
      <c r="H92" s="66">
        <v>0</v>
      </c>
      <c r="I92" s="66">
        <v>0</v>
      </c>
      <c r="J92" s="66">
        <v>0</v>
      </c>
      <c r="K92" s="66">
        <v>0</v>
      </c>
      <c r="L92" s="66">
        <v>0</v>
      </c>
      <c r="M92" s="66">
        <v>0</v>
      </c>
      <c r="N92" s="67" t="s">
        <v>1094</v>
      </c>
      <c r="O92" s="67" t="s">
        <v>1094</v>
      </c>
      <c r="P92" s="67">
        <v>0</v>
      </c>
      <c r="Q92" s="66">
        <v>0</v>
      </c>
      <c r="R92" s="67">
        <v>0</v>
      </c>
      <c r="S92" s="66">
        <v>0</v>
      </c>
      <c r="T92" s="66">
        <v>0</v>
      </c>
      <c r="U92" s="66">
        <v>0</v>
      </c>
      <c r="V92" s="66">
        <v>0</v>
      </c>
      <c r="W92" s="66">
        <v>0</v>
      </c>
      <c r="X92" s="66">
        <v>0</v>
      </c>
      <c r="Y92" s="66">
        <v>0</v>
      </c>
      <c r="Z92" s="66">
        <v>0</v>
      </c>
      <c r="AA92" s="66">
        <v>0</v>
      </c>
      <c r="AB92" s="66">
        <v>0</v>
      </c>
      <c r="AC92" s="66">
        <v>0</v>
      </c>
      <c r="AD92" s="67" t="s">
        <v>1094</v>
      </c>
      <c r="AE92" s="67" t="s">
        <v>1094</v>
      </c>
      <c r="AF92" s="67">
        <v>0</v>
      </c>
      <c r="AG92" s="210">
        <v>0</v>
      </c>
      <c r="AH92" s="67">
        <v>0</v>
      </c>
      <c r="AI92" s="66">
        <v>0</v>
      </c>
      <c r="AJ92" s="66">
        <v>0</v>
      </c>
      <c r="AK92" s="66">
        <v>0</v>
      </c>
      <c r="AL92" s="66">
        <v>0</v>
      </c>
      <c r="AM92" s="66">
        <v>0</v>
      </c>
      <c r="AN92" s="66">
        <v>0</v>
      </c>
      <c r="AO92" s="66">
        <v>0</v>
      </c>
      <c r="AP92" s="66">
        <v>0</v>
      </c>
      <c r="AQ92" s="66">
        <v>0</v>
      </c>
      <c r="AR92" s="66">
        <v>0</v>
      </c>
      <c r="AS92" s="66">
        <v>0</v>
      </c>
      <c r="AT92" s="67" t="s">
        <v>1094</v>
      </c>
      <c r="AU92" s="67" t="s">
        <v>1094</v>
      </c>
      <c r="AV92" s="67">
        <v>0</v>
      </c>
      <c r="AW92" s="210">
        <v>0</v>
      </c>
      <c r="AX92" s="67">
        <v>0</v>
      </c>
    </row>
    <row r="93" spans="1:50" ht="15.75" x14ac:dyDescent="0.25">
      <c r="A93" s="11">
        <v>82</v>
      </c>
      <c r="B93" s="189" t="s">
        <v>222</v>
      </c>
      <c r="C93" s="66">
        <v>866.40570000000002</v>
      </c>
      <c r="D93" s="66">
        <v>0</v>
      </c>
      <c r="E93" s="66">
        <v>912.01700000000005</v>
      </c>
      <c r="F93" s="66">
        <v>866.40570000000002</v>
      </c>
      <c r="G93" s="66">
        <v>45.6113</v>
      </c>
      <c r="H93" s="66">
        <v>866.40570000000002</v>
      </c>
      <c r="I93" s="66">
        <v>0</v>
      </c>
      <c r="J93" s="66">
        <v>912.01700000000005</v>
      </c>
      <c r="K93" s="66">
        <v>866.40570000000002</v>
      </c>
      <c r="L93" s="66">
        <v>0</v>
      </c>
      <c r="M93" s="66">
        <v>45.6113</v>
      </c>
      <c r="N93" s="67">
        <v>100</v>
      </c>
      <c r="O93" s="67">
        <v>100</v>
      </c>
      <c r="P93" s="67">
        <v>5.0011458119749959</v>
      </c>
      <c r="Q93" s="66">
        <v>0</v>
      </c>
      <c r="R93" s="67">
        <v>0</v>
      </c>
      <c r="S93" s="66">
        <v>866.40570000000002</v>
      </c>
      <c r="T93" s="66">
        <v>0</v>
      </c>
      <c r="U93" s="66">
        <v>912.01700000000005</v>
      </c>
      <c r="V93" s="66">
        <v>866.40570000000002</v>
      </c>
      <c r="W93" s="66">
        <v>45.6113</v>
      </c>
      <c r="X93" s="66">
        <v>866.40570000000002</v>
      </c>
      <c r="Y93" s="66">
        <v>0</v>
      </c>
      <c r="Z93" s="66">
        <v>912.01700000000005</v>
      </c>
      <c r="AA93" s="66">
        <v>866.40570000000002</v>
      </c>
      <c r="AB93" s="66">
        <v>0</v>
      </c>
      <c r="AC93" s="66">
        <v>45.6113</v>
      </c>
      <c r="AD93" s="67">
        <v>100</v>
      </c>
      <c r="AE93" s="67">
        <v>100</v>
      </c>
      <c r="AF93" s="67">
        <v>5.0011458119749959</v>
      </c>
      <c r="AG93" s="210">
        <v>0</v>
      </c>
      <c r="AH93" s="67">
        <v>0</v>
      </c>
      <c r="AI93" s="66">
        <v>0</v>
      </c>
      <c r="AJ93" s="66">
        <v>0</v>
      </c>
      <c r="AK93" s="66">
        <v>0</v>
      </c>
      <c r="AL93" s="66">
        <v>0</v>
      </c>
      <c r="AM93" s="66">
        <v>0</v>
      </c>
      <c r="AN93" s="66">
        <v>0</v>
      </c>
      <c r="AO93" s="66">
        <v>0</v>
      </c>
      <c r="AP93" s="66">
        <v>0</v>
      </c>
      <c r="AQ93" s="66">
        <v>0</v>
      </c>
      <c r="AR93" s="66">
        <v>0</v>
      </c>
      <c r="AS93" s="66">
        <v>0</v>
      </c>
      <c r="AT93" s="67" t="s">
        <v>1094</v>
      </c>
      <c r="AU93" s="67" t="s">
        <v>1094</v>
      </c>
      <c r="AV93" s="67">
        <v>0</v>
      </c>
      <c r="AW93" s="210">
        <v>0</v>
      </c>
      <c r="AX93" s="67">
        <v>0</v>
      </c>
    </row>
    <row r="94" spans="1:50" ht="15.75" x14ac:dyDescent="0.25">
      <c r="A94" s="11">
        <v>83</v>
      </c>
      <c r="B94" s="189" t="s">
        <v>225</v>
      </c>
      <c r="C94" s="66">
        <v>100.1062</v>
      </c>
      <c r="D94" s="66">
        <v>0</v>
      </c>
      <c r="E94" s="66">
        <v>117.21923566000001</v>
      </c>
      <c r="F94" s="66">
        <v>100.1062</v>
      </c>
      <c r="G94" s="66">
        <v>17.113035660000001</v>
      </c>
      <c r="H94" s="66">
        <v>100.10618069</v>
      </c>
      <c r="I94" s="66">
        <v>0</v>
      </c>
      <c r="J94" s="66">
        <v>113.01849018999999</v>
      </c>
      <c r="K94" s="66">
        <v>96.115490829999999</v>
      </c>
      <c r="L94" s="66">
        <v>0</v>
      </c>
      <c r="M94" s="66">
        <v>16.902999360000003</v>
      </c>
      <c r="N94" s="67">
        <v>96.013524467016026</v>
      </c>
      <c r="O94" s="67">
        <v>98.772653174030737</v>
      </c>
      <c r="P94" s="67">
        <v>14.955959269659044</v>
      </c>
      <c r="Q94" s="66">
        <v>0</v>
      </c>
      <c r="R94" s="67">
        <v>3.9906898600000034</v>
      </c>
      <c r="S94" s="66">
        <v>42.195300000000003</v>
      </c>
      <c r="T94" s="66">
        <v>0</v>
      </c>
      <c r="U94" s="66">
        <v>56.260393560000004</v>
      </c>
      <c r="V94" s="66">
        <v>42.195300000000003</v>
      </c>
      <c r="W94" s="66">
        <v>14.065093560000001</v>
      </c>
      <c r="X94" s="66">
        <v>42.195280689999997</v>
      </c>
      <c r="Y94" s="66">
        <v>0</v>
      </c>
      <c r="Z94" s="66">
        <v>56.260374249999998</v>
      </c>
      <c r="AA94" s="66">
        <v>42.195280689999997</v>
      </c>
      <c r="AB94" s="66">
        <v>0</v>
      </c>
      <c r="AC94" s="66">
        <v>14.065093560000001</v>
      </c>
      <c r="AD94" s="67">
        <v>99.999954236609284</v>
      </c>
      <c r="AE94" s="67">
        <v>100</v>
      </c>
      <c r="AF94" s="67">
        <v>24.999999995556376</v>
      </c>
      <c r="AG94" s="210">
        <v>0</v>
      </c>
      <c r="AH94" s="67">
        <v>0</v>
      </c>
      <c r="AI94" s="66">
        <v>57.910899999999998</v>
      </c>
      <c r="AJ94" s="66">
        <v>0</v>
      </c>
      <c r="AK94" s="66">
        <v>60.958842099999998</v>
      </c>
      <c r="AL94" s="66">
        <v>57.910899999999998</v>
      </c>
      <c r="AM94" s="66">
        <v>3.0479421000000002</v>
      </c>
      <c r="AN94" s="66">
        <v>57.910899999999998</v>
      </c>
      <c r="AO94" s="66">
        <v>0</v>
      </c>
      <c r="AP94" s="66">
        <v>56.758115939999996</v>
      </c>
      <c r="AQ94" s="66">
        <v>53.920210140000002</v>
      </c>
      <c r="AR94" s="66">
        <v>0</v>
      </c>
      <c r="AS94" s="66">
        <v>2.8379057999999997</v>
      </c>
      <c r="AT94" s="67">
        <v>93.108914107706838</v>
      </c>
      <c r="AU94" s="67">
        <v>93.108914372093864</v>
      </c>
      <c r="AV94" s="67">
        <v>5.0000000052855871</v>
      </c>
      <c r="AW94" s="210">
        <v>0</v>
      </c>
      <c r="AX94" s="67">
        <v>3.9906898599999963</v>
      </c>
    </row>
    <row r="95" spans="1:50" ht="15.75" x14ac:dyDescent="0.25">
      <c r="A95" s="74">
        <v>84</v>
      </c>
      <c r="B95" s="189" t="s">
        <v>228</v>
      </c>
      <c r="C95" s="66">
        <v>0</v>
      </c>
      <c r="D95" s="66">
        <v>0</v>
      </c>
      <c r="E95" s="66">
        <v>0</v>
      </c>
      <c r="F95" s="66">
        <v>0</v>
      </c>
      <c r="G95" s="66">
        <v>0</v>
      </c>
      <c r="H95" s="66">
        <v>0</v>
      </c>
      <c r="I95" s="66">
        <v>0</v>
      </c>
      <c r="J95" s="66">
        <v>0</v>
      </c>
      <c r="K95" s="66">
        <v>0</v>
      </c>
      <c r="L95" s="66">
        <v>0</v>
      </c>
      <c r="M95" s="66">
        <v>0</v>
      </c>
      <c r="N95" s="67" t="s">
        <v>1094</v>
      </c>
      <c r="O95" s="67" t="s">
        <v>1094</v>
      </c>
      <c r="P95" s="67">
        <v>0</v>
      </c>
      <c r="Q95" s="66">
        <v>0</v>
      </c>
      <c r="R95" s="67">
        <v>0</v>
      </c>
      <c r="S95" s="66">
        <v>0</v>
      </c>
      <c r="T95" s="66">
        <v>0</v>
      </c>
      <c r="U95" s="66">
        <v>0</v>
      </c>
      <c r="V95" s="66">
        <v>0</v>
      </c>
      <c r="W95" s="66">
        <v>0</v>
      </c>
      <c r="X95" s="66">
        <v>0</v>
      </c>
      <c r="Y95" s="66">
        <v>0</v>
      </c>
      <c r="Z95" s="66">
        <v>0</v>
      </c>
      <c r="AA95" s="66">
        <v>0</v>
      </c>
      <c r="AB95" s="66">
        <v>0</v>
      </c>
      <c r="AC95" s="66">
        <v>0</v>
      </c>
      <c r="AD95" s="67" t="s">
        <v>1094</v>
      </c>
      <c r="AE95" s="67" t="s">
        <v>1094</v>
      </c>
      <c r="AF95" s="67">
        <v>0</v>
      </c>
      <c r="AG95" s="210">
        <v>0</v>
      </c>
      <c r="AH95" s="67">
        <v>0</v>
      </c>
      <c r="AI95" s="66">
        <v>0</v>
      </c>
      <c r="AJ95" s="66">
        <v>0</v>
      </c>
      <c r="AK95" s="66">
        <v>0</v>
      </c>
      <c r="AL95" s="66">
        <v>0</v>
      </c>
      <c r="AM95" s="66">
        <v>0</v>
      </c>
      <c r="AN95" s="66">
        <v>0</v>
      </c>
      <c r="AO95" s="66">
        <v>0</v>
      </c>
      <c r="AP95" s="66">
        <v>0</v>
      </c>
      <c r="AQ95" s="66">
        <v>0</v>
      </c>
      <c r="AR95" s="66">
        <v>0</v>
      </c>
      <c r="AS95" s="66">
        <v>0</v>
      </c>
      <c r="AT95" s="67" t="s">
        <v>1094</v>
      </c>
      <c r="AU95" s="67" t="s">
        <v>1094</v>
      </c>
      <c r="AV95" s="67">
        <v>0</v>
      </c>
      <c r="AW95" s="210">
        <v>0</v>
      </c>
      <c r="AX95" s="67">
        <v>0</v>
      </c>
    </row>
    <row r="96" spans="1:50" ht="15.75" x14ac:dyDescent="0.25">
      <c r="A96" s="57">
        <v>85</v>
      </c>
      <c r="B96" s="190" t="s">
        <v>231</v>
      </c>
      <c r="C96" s="61">
        <v>497.32339999999999</v>
      </c>
      <c r="D96" s="61">
        <v>0</v>
      </c>
      <c r="E96" s="61">
        <v>578.33800314999996</v>
      </c>
      <c r="F96" s="61">
        <v>497.32339999999999</v>
      </c>
      <c r="G96" s="61">
        <v>81.014603149999999</v>
      </c>
      <c r="H96" s="61">
        <v>489.58339696000002</v>
      </c>
      <c r="I96" s="61">
        <v>0</v>
      </c>
      <c r="J96" s="61">
        <v>567.19288572000005</v>
      </c>
      <c r="K96" s="61">
        <v>489.58199632000003</v>
      </c>
      <c r="L96" s="61">
        <v>0</v>
      </c>
      <c r="M96" s="61">
        <v>77.610889399999991</v>
      </c>
      <c r="N96" s="61">
        <v>98.443386400076903</v>
      </c>
      <c r="O96" s="61">
        <v>95.798641704511013</v>
      </c>
      <c r="P96" s="61">
        <v>13.683332664068942</v>
      </c>
      <c r="Q96" s="61">
        <v>0</v>
      </c>
      <c r="R96" s="61">
        <v>1.400639999999953E-3</v>
      </c>
      <c r="S96" s="61">
        <v>497.32339999999999</v>
      </c>
      <c r="T96" s="61">
        <v>0</v>
      </c>
      <c r="U96" s="61">
        <v>578.33800314999996</v>
      </c>
      <c r="V96" s="61">
        <v>497.32339999999999</v>
      </c>
      <c r="W96" s="61">
        <v>81.014603149999999</v>
      </c>
      <c r="X96" s="61">
        <v>489.58339696000002</v>
      </c>
      <c r="Y96" s="61">
        <v>0</v>
      </c>
      <c r="Z96" s="61">
        <v>567.19288572000005</v>
      </c>
      <c r="AA96" s="61">
        <v>489.58199632000003</v>
      </c>
      <c r="AB96" s="61">
        <v>0</v>
      </c>
      <c r="AC96" s="61">
        <v>77.610889399999991</v>
      </c>
      <c r="AD96" s="61">
        <v>98.443386400076903</v>
      </c>
      <c r="AE96" s="61">
        <v>95.798641704511013</v>
      </c>
      <c r="AF96" s="61">
        <v>13.683332664068942</v>
      </c>
      <c r="AG96" s="61">
        <v>0</v>
      </c>
      <c r="AH96" s="61">
        <v>1.400639999999953E-3</v>
      </c>
      <c r="AI96" s="61">
        <v>0</v>
      </c>
      <c r="AJ96" s="61">
        <v>0</v>
      </c>
      <c r="AK96" s="61">
        <v>0</v>
      </c>
      <c r="AL96" s="61">
        <v>0</v>
      </c>
      <c r="AM96" s="61">
        <v>0</v>
      </c>
      <c r="AN96" s="61">
        <v>0</v>
      </c>
      <c r="AO96" s="61">
        <v>0</v>
      </c>
      <c r="AP96" s="61">
        <v>0</v>
      </c>
      <c r="AQ96" s="61">
        <v>0</v>
      </c>
      <c r="AR96" s="61">
        <v>0</v>
      </c>
      <c r="AS96" s="61">
        <v>0</v>
      </c>
      <c r="AT96" s="61" t="s">
        <v>1094</v>
      </c>
      <c r="AU96" s="61" t="s">
        <v>1094</v>
      </c>
      <c r="AV96" s="61">
        <v>0</v>
      </c>
      <c r="AW96" s="61">
        <v>0</v>
      </c>
      <c r="AX96" s="61">
        <v>0</v>
      </c>
    </row>
    <row r="97" spans="1:50" ht="15.75" x14ac:dyDescent="0.25">
      <c r="A97" s="11">
        <v>86</v>
      </c>
      <c r="B97" s="189" t="s">
        <v>234</v>
      </c>
      <c r="C97" s="66">
        <v>162.8672</v>
      </c>
      <c r="D97" s="66">
        <v>0</v>
      </c>
      <c r="E97" s="66">
        <v>171.75800699999999</v>
      </c>
      <c r="F97" s="66">
        <v>162.8672</v>
      </c>
      <c r="G97" s="66">
        <v>8.8908070000000006</v>
      </c>
      <c r="H97" s="66">
        <v>162.8672</v>
      </c>
      <c r="I97" s="66">
        <v>0</v>
      </c>
      <c r="J97" s="66">
        <v>171.75800699999999</v>
      </c>
      <c r="K97" s="66">
        <v>162.8672</v>
      </c>
      <c r="L97" s="66">
        <v>0</v>
      </c>
      <c r="M97" s="66">
        <v>8.8908070000000006</v>
      </c>
      <c r="N97" s="67">
        <v>100</v>
      </c>
      <c r="O97" s="67">
        <v>100</v>
      </c>
      <c r="P97" s="67">
        <v>5.1763566399556566</v>
      </c>
      <c r="Q97" s="66">
        <v>0</v>
      </c>
      <c r="R97" s="67">
        <v>0</v>
      </c>
      <c r="S97" s="66">
        <v>162.8672</v>
      </c>
      <c r="T97" s="66">
        <v>0</v>
      </c>
      <c r="U97" s="66">
        <v>171.75800699999999</v>
      </c>
      <c r="V97" s="66">
        <v>162.8672</v>
      </c>
      <c r="W97" s="66">
        <v>8.8908070000000006</v>
      </c>
      <c r="X97" s="66">
        <v>162.8672</v>
      </c>
      <c r="Y97" s="66">
        <v>0</v>
      </c>
      <c r="Z97" s="66">
        <v>171.75800699999999</v>
      </c>
      <c r="AA97" s="66">
        <v>162.8672</v>
      </c>
      <c r="AB97" s="66">
        <v>0</v>
      </c>
      <c r="AC97" s="66">
        <v>8.8908070000000006</v>
      </c>
      <c r="AD97" s="67">
        <v>100</v>
      </c>
      <c r="AE97" s="67">
        <v>100</v>
      </c>
      <c r="AF97" s="67">
        <v>5.1763566399556566</v>
      </c>
      <c r="AG97" s="210">
        <v>0</v>
      </c>
      <c r="AH97" s="67">
        <v>0</v>
      </c>
      <c r="AI97" s="66">
        <v>0</v>
      </c>
      <c r="AJ97" s="66">
        <v>0</v>
      </c>
      <c r="AK97" s="66">
        <v>0</v>
      </c>
      <c r="AL97" s="66">
        <v>0</v>
      </c>
      <c r="AM97" s="66">
        <v>0</v>
      </c>
      <c r="AN97" s="66">
        <v>0</v>
      </c>
      <c r="AO97" s="66">
        <v>0</v>
      </c>
      <c r="AP97" s="66">
        <v>0</v>
      </c>
      <c r="AQ97" s="66">
        <v>0</v>
      </c>
      <c r="AR97" s="66">
        <v>0</v>
      </c>
      <c r="AS97" s="66">
        <v>0</v>
      </c>
      <c r="AT97" s="67" t="s">
        <v>1094</v>
      </c>
      <c r="AU97" s="67" t="s">
        <v>1094</v>
      </c>
      <c r="AV97" s="67">
        <v>0</v>
      </c>
      <c r="AW97" s="210">
        <v>0</v>
      </c>
      <c r="AX97" s="67">
        <v>0</v>
      </c>
    </row>
    <row r="98" spans="1:50" ht="15.75" x14ac:dyDescent="0.25">
      <c r="A98" s="11">
        <v>87</v>
      </c>
      <c r="B98" s="189" t="s">
        <v>237</v>
      </c>
      <c r="C98" s="66">
        <v>0</v>
      </c>
      <c r="D98" s="66">
        <v>0</v>
      </c>
      <c r="E98" s="66">
        <v>0</v>
      </c>
      <c r="F98" s="66">
        <v>0</v>
      </c>
      <c r="G98" s="66">
        <v>0</v>
      </c>
      <c r="H98" s="66">
        <v>0</v>
      </c>
      <c r="I98" s="66">
        <v>0</v>
      </c>
      <c r="J98" s="66">
        <v>0</v>
      </c>
      <c r="K98" s="66">
        <v>0</v>
      </c>
      <c r="L98" s="66">
        <v>0</v>
      </c>
      <c r="M98" s="66">
        <v>0</v>
      </c>
      <c r="N98" s="67" t="s">
        <v>1094</v>
      </c>
      <c r="O98" s="67" t="s">
        <v>1094</v>
      </c>
      <c r="P98" s="67">
        <v>0</v>
      </c>
      <c r="Q98" s="66">
        <v>0</v>
      </c>
      <c r="R98" s="67">
        <v>0</v>
      </c>
      <c r="S98" s="66">
        <v>0</v>
      </c>
      <c r="T98" s="66">
        <v>0</v>
      </c>
      <c r="U98" s="66">
        <v>0</v>
      </c>
      <c r="V98" s="66">
        <v>0</v>
      </c>
      <c r="W98" s="66">
        <v>0</v>
      </c>
      <c r="X98" s="66">
        <v>0</v>
      </c>
      <c r="Y98" s="66">
        <v>0</v>
      </c>
      <c r="Z98" s="66">
        <v>0</v>
      </c>
      <c r="AA98" s="66">
        <v>0</v>
      </c>
      <c r="AB98" s="66">
        <v>0</v>
      </c>
      <c r="AC98" s="66">
        <v>0</v>
      </c>
      <c r="AD98" s="67" t="s">
        <v>1094</v>
      </c>
      <c r="AE98" s="67" t="s">
        <v>1094</v>
      </c>
      <c r="AF98" s="67">
        <v>0</v>
      </c>
      <c r="AG98" s="210">
        <v>0</v>
      </c>
      <c r="AH98" s="67">
        <v>0</v>
      </c>
      <c r="AI98" s="66">
        <v>0</v>
      </c>
      <c r="AJ98" s="66">
        <v>0</v>
      </c>
      <c r="AK98" s="66">
        <v>0</v>
      </c>
      <c r="AL98" s="66">
        <v>0</v>
      </c>
      <c r="AM98" s="66">
        <v>0</v>
      </c>
      <c r="AN98" s="66">
        <v>0</v>
      </c>
      <c r="AO98" s="66">
        <v>0</v>
      </c>
      <c r="AP98" s="66">
        <v>0</v>
      </c>
      <c r="AQ98" s="66">
        <v>0</v>
      </c>
      <c r="AR98" s="66">
        <v>0</v>
      </c>
      <c r="AS98" s="66">
        <v>0</v>
      </c>
      <c r="AT98" s="67" t="s">
        <v>1094</v>
      </c>
      <c r="AU98" s="67" t="s">
        <v>1094</v>
      </c>
      <c r="AV98" s="67">
        <v>0</v>
      </c>
      <c r="AW98" s="210">
        <v>0</v>
      </c>
      <c r="AX98" s="67">
        <v>0</v>
      </c>
    </row>
    <row r="99" spans="1:50" ht="15.75" x14ac:dyDescent="0.25">
      <c r="A99" s="11">
        <v>88</v>
      </c>
      <c r="B99" s="189" t="s">
        <v>240</v>
      </c>
      <c r="C99" s="66">
        <v>0</v>
      </c>
      <c r="D99" s="66">
        <v>0</v>
      </c>
      <c r="E99" s="66">
        <v>0</v>
      </c>
      <c r="F99" s="66">
        <v>0</v>
      </c>
      <c r="G99" s="66">
        <v>0</v>
      </c>
      <c r="H99" s="66">
        <v>0</v>
      </c>
      <c r="I99" s="66">
        <v>0</v>
      </c>
      <c r="J99" s="66">
        <v>0</v>
      </c>
      <c r="K99" s="66">
        <v>0</v>
      </c>
      <c r="L99" s="66">
        <v>0</v>
      </c>
      <c r="M99" s="66">
        <v>0</v>
      </c>
      <c r="N99" s="67" t="s">
        <v>1094</v>
      </c>
      <c r="O99" s="67" t="s">
        <v>1094</v>
      </c>
      <c r="P99" s="67">
        <v>0</v>
      </c>
      <c r="Q99" s="66">
        <v>0</v>
      </c>
      <c r="R99" s="67">
        <v>0</v>
      </c>
      <c r="S99" s="66">
        <v>0</v>
      </c>
      <c r="T99" s="66">
        <v>0</v>
      </c>
      <c r="U99" s="66">
        <v>0</v>
      </c>
      <c r="V99" s="66">
        <v>0</v>
      </c>
      <c r="W99" s="66">
        <v>0</v>
      </c>
      <c r="X99" s="66">
        <v>0</v>
      </c>
      <c r="Y99" s="66">
        <v>0</v>
      </c>
      <c r="Z99" s="66">
        <v>0</v>
      </c>
      <c r="AA99" s="66">
        <v>0</v>
      </c>
      <c r="AB99" s="66">
        <v>0</v>
      </c>
      <c r="AC99" s="66">
        <v>0</v>
      </c>
      <c r="AD99" s="67" t="s">
        <v>1094</v>
      </c>
      <c r="AE99" s="67" t="s">
        <v>1094</v>
      </c>
      <c r="AF99" s="67">
        <v>0</v>
      </c>
      <c r="AG99" s="210">
        <v>0</v>
      </c>
      <c r="AH99" s="67">
        <v>0</v>
      </c>
      <c r="AI99" s="66">
        <v>0</v>
      </c>
      <c r="AJ99" s="66">
        <v>0</v>
      </c>
      <c r="AK99" s="66">
        <v>0</v>
      </c>
      <c r="AL99" s="66">
        <v>0</v>
      </c>
      <c r="AM99" s="66">
        <v>0</v>
      </c>
      <c r="AN99" s="66">
        <v>0</v>
      </c>
      <c r="AO99" s="66">
        <v>0</v>
      </c>
      <c r="AP99" s="66">
        <v>0</v>
      </c>
      <c r="AQ99" s="66">
        <v>0</v>
      </c>
      <c r="AR99" s="66">
        <v>0</v>
      </c>
      <c r="AS99" s="66">
        <v>0</v>
      </c>
      <c r="AT99" s="67" t="s">
        <v>1094</v>
      </c>
      <c r="AU99" s="67" t="s">
        <v>1094</v>
      </c>
      <c r="AV99" s="67">
        <v>0</v>
      </c>
      <c r="AW99" s="210">
        <v>0</v>
      </c>
      <c r="AX99" s="67">
        <v>0</v>
      </c>
    </row>
    <row r="100" spans="1:50" ht="15.75" x14ac:dyDescent="0.25">
      <c r="A100" s="11">
        <v>89</v>
      </c>
      <c r="B100" s="189" t="s">
        <v>243</v>
      </c>
      <c r="C100" s="66">
        <v>0</v>
      </c>
      <c r="D100" s="66">
        <v>0</v>
      </c>
      <c r="E100" s="66">
        <v>0</v>
      </c>
      <c r="F100" s="66">
        <v>0</v>
      </c>
      <c r="G100" s="66">
        <v>0</v>
      </c>
      <c r="H100" s="66">
        <v>0</v>
      </c>
      <c r="I100" s="66">
        <v>0</v>
      </c>
      <c r="J100" s="66">
        <v>0</v>
      </c>
      <c r="K100" s="66">
        <v>0</v>
      </c>
      <c r="L100" s="66">
        <v>0</v>
      </c>
      <c r="M100" s="66">
        <v>0</v>
      </c>
      <c r="N100" s="67" t="s">
        <v>1094</v>
      </c>
      <c r="O100" s="67" t="s">
        <v>1094</v>
      </c>
      <c r="P100" s="67">
        <v>0</v>
      </c>
      <c r="Q100" s="66">
        <v>0</v>
      </c>
      <c r="R100" s="67">
        <v>0</v>
      </c>
      <c r="S100" s="66">
        <v>0</v>
      </c>
      <c r="T100" s="66">
        <v>0</v>
      </c>
      <c r="U100" s="66">
        <v>0</v>
      </c>
      <c r="V100" s="66">
        <v>0</v>
      </c>
      <c r="W100" s="66">
        <v>0</v>
      </c>
      <c r="X100" s="66">
        <v>0</v>
      </c>
      <c r="Y100" s="66">
        <v>0</v>
      </c>
      <c r="Z100" s="66">
        <v>0</v>
      </c>
      <c r="AA100" s="66">
        <v>0</v>
      </c>
      <c r="AB100" s="66">
        <v>0</v>
      </c>
      <c r="AC100" s="66">
        <v>0</v>
      </c>
      <c r="AD100" s="67" t="s">
        <v>1094</v>
      </c>
      <c r="AE100" s="67" t="s">
        <v>1094</v>
      </c>
      <c r="AF100" s="67">
        <v>0</v>
      </c>
      <c r="AG100" s="210">
        <v>0</v>
      </c>
      <c r="AH100" s="67">
        <v>0</v>
      </c>
      <c r="AI100" s="66">
        <v>0</v>
      </c>
      <c r="AJ100" s="66">
        <v>0</v>
      </c>
      <c r="AK100" s="66">
        <v>0</v>
      </c>
      <c r="AL100" s="66">
        <v>0</v>
      </c>
      <c r="AM100" s="66">
        <v>0</v>
      </c>
      <c r="AN100" s="66">
        <v>0</v>
      </c>
      <c r="AO100" s="66">
        <v>0</v>
      </c>
      <c r="AP100" s="66">
        <v>0</v>
      </c>
      <c r="AQ100" s="66">
        <v>0</v>
      </c>
      <c r="AR100" s="66">
        <v>0</v>
      </c>
      <c r="AS100" s="66">
        <v>0</v>
      </c>
      <c r="AT100" s="67" t="s">
        <v>1094</v>
      </c>
      <c r="AU100" s="67" t="s">
        <v>1094</v>
      </c>
      <c r="AV100" s="67">
        <v>0</v>
      </c>
      <c r="AW100" s="210">
        <v>0</v>
      </c>
      <c r="AX100" s="67">
        <v>0</v>
      </c>
    </row>
    <row r="101" spans="1:50" ht="15.75" x14ac:dyDescent="0.25">
      <c r="A101" s="11">
        <v>90</v>
      </c>
      <c r="B101" s="189" t="s">
        <v>246</v>
      </c>
      <c r="C101" s="66">
        <v>203.37379999999999</v>
      </c>
      <c r="D101" s="66">
        <v>0</v>
      </c>
      <c r="E101" s="66">
        <v>217.86159615</v>
      </c>
      <c r="F101" s="66">
        <v>203.37379999999999</v>
      </c>
      <c r="G101" s="66">
        <v>14.487796150000001</v>
      </c>
      <c r="H101" s="66">
        <v>203.37378000000001</v>
      </c>
      <c r="I101" s="66">
        <v>0</v>
      </c>
      <c r="J101" s="66">
        <v>217.86157471999999</v>
      </c>
      <c r="K101" s="66">
        <v>203.37378000000001</v>
      </c>
      <c r="L101" s="66">
        <v>0</v>
      </c>
      <c r="M101" s="66">
        <v>14.48779472</v>
      </c>
      <c r="N101" s="67">
        <v>99.999990165891589</v>
      </c>
      <c r="O101" s="67">
        <v>99.999990129623669</v>
      </c>
      <c r="P101" s="67">
        <v>6.6500000005140878</v>
      </c>
      <c r="Q101" s="66">
        <v>0</v>
      </c>
      <c r="R101" s="67">
        <v>0</v>
      </c>
      <c r="S101" s="66">
        <v>203.37379999999999</v>
      </c>
      <c r="T101" s="66">
        <v>0</v>
      </c>
      <c r="U101" s="66">
        <v>217.86159615</v>
      </c>
      <c r="V101" s="66">
        <v>203.37379999999999</v>
      </c>
      <c r="W101" s="66">
        <v>14.487796150000001</v>
      </c>
      <c r="X101" s="66">
        <v>203.37378000000001</v>
      </c>
      <c r="Y101" s="66">
        <v>0</v>
      </c>
      <c r="Z101" s="66">
        <v>217.86157471999999</v>
      </c>
      <c r="AA101" s="66">
        <v>203.37378000000001</v>
      </c>
      <c r="AB101" s="66">
        <v>0</v>
      </c>
      <c r="AC101" s="66">
        <v>14.48779472</v>
      </c>
      <c r="AD101" s="67">
        <v>99.999990165891589</v>
      </c>
      <c r="AE101" s="67">
        <v>99.999990129623669</v>
      </c>
      <c r="AF101" s="67">
        <v>6.6500000005140878</v>
      </c>
      <c r="AG101" s="210">
        <v>0</v>
      </c>
      <c r="AH101" s="67">
        <v>0</v>
      </c>
      <c r="AI101" s="66">
        <v>0</v>
      </c>
      <c r="AJ101" s="66">
        <v>0</v>
      </c>
      <c r="AK101" s="66">
        <v>0</v>
      </c>
      <c r="AL101" s="66">
        <v>0</v>
      </c>
      <c r="AM101" s="66">
        <v>0</v>
      </c>
      <c r="AN101" s="66">
        <v>0</v>
      </c>
      <c r="AO101" s="66">
        <v>0</v>
      </c>
      <c r="AP101" s="66">
        <v>0</v>
      </c>
      <c r="AQ101" s="66">
        <v>0</v>
      </c>
      <c r="AR101" s="66">
        <v>0</v>
      </c>
      <c r="AS101" s="66">
        <v>0</v>
      </c>
      <c r="AT101" s="67" t="s">
        <v>1094</v>
      </c>
      <c r="AU101" s="67" t="s">
        <v>1094</v>
      </c>
      <c r="AV101" s="67">
        <v>0</v>
      </c>
      <c r="AW101" s="210">
        <v>0</v>
      </c>
      <c r="AX101" s="67">
        <v>0</v>
      </c>
    </row>
    <row r="102" spans="1:50" ht="15.75" x14ac:dyDescent="0.25">
      <c r="A102" s="11">
        <v>91</v>
      </c>
      <c r="B102" s="189" t="s">
        <v>249</v>
      </c>
      <c r="C102" s="66">
        <v>0</v>
      </c>
      <c r="D102" s="66">
        <v>0</v>
      </c>
      <c r="E102" s="66">
        <v>0</v>
      </c>
      <c r="F102" s="66">
        <v>0</v>
      </c>
      <c r="G102" s="66">
        <v>0</v>
      </c>
      <c r="H102" s="66">
        <v>0</v>
      </c>
      <c r="I102" s="66">
        <v>0</v>
      </c>
      <c r="J102" s="66">
        <v>0</v>
      </c>
      <c r="K102" s="66">
        <v>0</v>
      </c>
      <c r="L102" s="66">
        <v>0</v>
      </c>
      <c r="M102" s="66">
        <v>0</v>
      </c>
      <c r="N102" s="67" t="s">
        <v>1094</v>
      </c>
      <c r="O102" s="67" t="s">
        <v>1094</v>
      </c>
      <c r="P102" s="67">
        <v>0</v>
      </c>
      <c r="Q102" s="66">
        <v>0</v>
      </c>
      <c r="R102" s="67">
        <v>0</v>
      </c>
      <c r="S102" s="66">
        <v>0</v>
      </c>
      <c r="T102" s="66">
        <v>0</v>
      </c>
      <c r="U102" s="66">
        <v>0</v>
      </c>
      <c r="V102" s="66">
        <v>0</v>
      </c>
      <c r="W102" s="66">
        <v>0</v>
      </c>
      <c r="X102" s="66">
        <v>0</v>
      </c>
      <c r="Y102" s="66">
        <v>0</v>
      </c>
      <c r="Z102" s="66">
        <v>0</v>
      </c>
      <c r="AA102" s="66">
        <v>0</v>
      </c>
      <c r="AB102" s="66">
        <v>0</v>
      </c>
      <c r="AC102" s="66">
        <v>0</v>
      </c>
      <c r="AD102" s="67" t="s">
        <v>1094</v>
      </c>
      <c r="AE102" s="67" t="s">
        <v>1094</v>
      </c>
      <c r="AF102" s="67">
        <v>0</v>
      </c>
      <c r="AG102" s="210">
        <v>0</v>
      </c>
      <c r="AH102" s="67">
        <v>0</v>
      </c>
      <c r="AI102" s="66">
        <v>0</v>
      </c>
      <c r="AJ102" s="66">
        <v>0</v>
      </c>
      <c r="AK102" s="66">
        <v>0</v>
      </c>
      <c r="AL102" s="66">
        <v>0</v>
      </c>
      <c r="AM102" s="66">
        <v>0</v>
      </c>
      <c r="AN102" s="66">
        <v>0</v>
      </c>
      <c r="AO102" s="66">
        <v>0</v>
      </c>
      <c r="AP102" s="66">
        <v>0</v>
      </c>
      <c r="AQ102" s="66">
        <v>0</v>
      </c>
      <c r="AR102" s="66">
        <v>0</v>
      </c>
      <c r="AS102" s="66">
        <v>0</v>
      </c>
      <c r="AT102" s="67" t="s">
        <v>1094</v>
      </c>
      <c r="AU102" s="67" t="s">
        <v>1094</v>
      </c>
      <c r="AV102" s="67">
        <v>0</v>
      </c>
      <c r="AW102" s="210">
        <v>0</v>
      </c>
      <c r="AX102" s="67">
        <v>0</v>
      </c>
    </row>
    <row r="103" spans="1:50" ht="15.75" x14ac:dyDescent="0.25">
      <c r="A103" s="11">
        <v>92</v>
      </c>
      <c r="B103" s="189" t="s">
        <v>252</v>
      </c>
      <c r="C103" s="66">
        <v>131.08240000000001</v>
      </c>
      <c r="D103" s="66">
        <v>0</v>
      </c>
      <c r="E103" s="66">
        <v>188.7184</v>
      </c>
      <c r="F103" s="66">
        <v>131.08240000000001</v>
      </c>
      <c r="G103" s="66">
        <v>57.636000000000003</v>
      </c>
      <c r="H103" s="66">
        <v>123.34241695999999</v>
      </c>
      <c r="I103" s="66">
        <v>0</v>
      </c>
      <c r="J103" s="66">
        <v>177.57330400000001</v>
      </c>
      <c r="K103" s="66">
        <v>123.34101631999999</v>
      </c>
      <c r="L103" s="66">
        <v>0</v>
      </c>
      <c r="M103" s="66">
        <v>54.232287679999999</v>
      </c>
      <c r="N103" s="67">
        <v>94.094261563718689</v>
      </c>
      <c r="O103" s="67">
        <v>94.094468179609962</v>
      </c>
      <c r="P103" s="67">
        <v>30.540788766311405</v>
      </c>
      <c r="Q103" s="66">
        <v>0</v>
      </c>
      <c r="R103" s="67">
        <v>1.400639999999953E-3</v>
      </c>
      <c r="S103" s="66">
        <v>131.08240000000001</v>
      </c>
      <c r="T103" s="66">
        <v>0</v>
      </c>
      <c r="U103" s="66">
        <v>188.7184</v>
      </c>
      <c r="V103" s="66">
        <v>131.08240000000001</v>
      </c>
      <c r="W103" s="66">
        <v>57.636000000000003</v>
      </c>
      <c r="X103" s="66">
        <v>123.34241695999999</v>
      </c>
      <c r="Y103" s="66">
        <v>0</v>
      </c>
      <c r="Z103" s="66">
        <v>177.57330400000001</v>
      </c>
      <c r="AA103" s="66">
        <v>123.34101631999999</v>
      </c>
      <c r="AB103" s="66">
        <v>0</v>
      </c>
      <c r="AC103" s="66">
        <v>54.232287679999999</v>
      </c>
      <c r="AD103" s="67">
        <v>94.094261563718689</v>
      </c>
      <c r="AE103" s="67">
        <v>94.094468179609962</v>
      </c>
      <c r="AF103" s="67">
        <v>30.540788766311405</v>
      </c>
      <c r="AG103" s="210">
        <v>0</v>
      </c>
      <c r="AH103" s="67">
        <v>1.400639999999953E-3</v>
      </c>
      <c r="AI103" s="66">
        <v>0</v>
      </c>
      <c r="AJ103" s="66">
        <v>0</v>
      </c>
      <c r="AK103" s="66">
        <v>0</v>
      </c>
      <c r="AL103" s="66">
        <v>0</v>
      </c>
      <c r="AM103" s="66">
        <v>0</v>
      </c>
      <c r="AN103" s="66">
        <v>0</v>
      </c>
      <c r="AO103" s="66">
        <v>0</v>
      </c>
      <c r="AP103" s="66">
        <v>0</v>
      </c>
      <c r="AQ103" s="66">
        <v>0</v>
      </c>
      <c r="AR103" s="66">
        <v>0</v>
      </c>
      <c r="AS103" s="66">
        <v>0</v>
      </c>
      <c r="AT103" s="67" t="s">
        <v>1094</v>
      </c>
      <c r="AU103" s="67" t="s">
        <v>1094</v>
      </c>
      <c r="AV103" s="67">
        <v>0</v>
      </c>
      <c r="AW103" s="210">
        <v>0</v>
      </c>
      <c r="AX103" s="67">
        <v>0</v>
      </c>
    </row>
    <row r="104" spans="1:50" ht="15.75" x14ac:dyDescent="0.25">
      <c r="A104" s="11">
        <v>93</v>
      </c>
      <c r="B104" s="189" t="s">
        <v>254</v>
      </c>
      <c r="C104" s="66">
        <v>0</v>
      </c>
      <c r="D104" s="66">
        <v>0</v>
      </c>
      <c r="E104" s="66">
        <v>0</v>
      </c>
      <c r="F104" s="66">
        <v>0</v>
      </c>
      <c r="G104" s="66">
        <v>0</v>
      </c>
      <c r="H104" s="66">
        <v>0</v>
      </c>
      <c r="I104" s="66">
        <v>0</v>
      </c>
      <c r="J104" s="66">
        <v>0</v>
      </c>
      <c r="K104" s="66">
        <v>0</v>
      </c>
      <c r="L104" s="66">
        <v>0</v>
      </c>
      <c r="M104" s="66">
        <v>0</v>
      </c>
      <c r="N104" s="67" t="s">
        <v>1094</v>
      </c>
      <c r="O104" s="67" t="s">
        <v>1094</v>
      </c>
      <c r="P104" s="67">
        <v>0</v>
      </c>
      <c r="Q104" s="66">
        <v>0</v>
      </c>
      <c r="R104" s="67">
        <v>0</v>
      </c>
      <c r="S104" s="66">
        <v>0</v>
      </c>
      <c r="T104" s="66">
        <v>0</v>
      </c>
      <c r="U104" s="66">
        <v>0</v>
      </c>
      <c r="V104" s="66">
        <v>0</v>
      </c>
      <c r="W104" s="66">
        <v>0</v>
      </c>
      <c r="X104" s="66">
        <v>0</v>
      </c>
      <c r="Y104" s="66">
        <v>0</v>
      </c>
      <c r="Z104" s="66">
        <v>0</v>
      </c>
      <c r="AA104" s="66">
        <v>0</v>
      </c>
      <c r="AB104" s="66">
        <v>0</v>
      </c>
      <c r="AC104" s="66">
        <v>0</v>
      </c>
      <c r="AD104" s="67" t="s">
        <v>1094</v>
      </c>
      <c r="AE104" s="67" t="s">
        <v>1094</v>
      </c>
      <c r="AF104" s="67">
        <v>0</v>
      </c>
      <c r="AG104" s="210">
        <v>0</v>
      </c>
      <c r="AH104" s="67">
        <v>0</v>
      </c>
      <c r="AI104" s="66">
        <v>0</v>
      </c>
      <c r="AJ104" s="66">
        <v>0</v>
      </c>
      <c r="AK104" s="66">
        <v>0</v>
      </c>
      <c r="AL104" s="66">
        <v>0</v>
      </c>
      <c r="AM104" s="66">
        <v>0</v>
      </c>
      <c r="AN104" s="66">
        <v>0</v>
      </c>
      <c r="AO104" s="66">
        <v>0</v>
      </c>
      <c r="AP104" s="66">
        <v>0</v>
      </c>
      <c r="AQ104" s="66">
        <v>0</v>
      </c>
      <c r="AR104" s="66">
        <v>0</v>
      </c>
      <c r="AS104" s="66">
        <v>0</v>
      </c>
      <c r="AT104" s="67" t="s">
        <v>1094</v>
      </c>
      <c r="AU104" s="67" t="s">
        <v>1094</v>
      </c>
      <c r="AV104" s="67">
        <v>0</v>
      </c>
      <c r="AW104" s="210">
        <v>0</v>
      </c>
      <c r="AX104" s="67">
        <v>0</v>
      </c>
    </row>
    <row r="105" spans="1:50" ht="15.75" x14ac:dyDescent="0.25">
      <c r="A105" s="9">
        <v>94</v>
      </c>
      <c r="B105" s="189" t="s">
        <v>256</v>
      </c>
      <c r="C105" s="66">
        <v>0</v>
      </c>
      <c r="D105" s="66">
        <v>0</v>
      </c>
      <c r="E105" s="66">
        <v>0</v>
      </c>
      <c r="F105" s="66">
        <v>0</v>
      </c>
      <c r="G105" s="66">
        <v>0</v>
      </c>
      <c r="H105" s="66">
        <v>0</v>
      </c>
      <c r="I105" s="66">
        <v>0</v>
      </c>
      <c r="J105" s="66">
        <v>0</v>
      </c>
      <c r="K105" s="66">
        <v>0</v>
      </c>
      <c r="L105" s="66">
        <v>0</v>
      </c>
      <c r="M105" s="66">
        <v>0</v>
      </c>
      <c r="N105" s="67" t="s">
        <v>1094</v>
      </c>
      <c r="O105" s="67" t="s">
        <v>1094</v>
      </c>
      <c r="P105" s="67">
        <v>0</v>
      </c>
      <c r="Q105" s="66">
        <v>0</v>
      </c>
      <c r="R105" s="67">
        <v>0</v>
      </c>
      <c r="S105" s="66">
        <v>0</v>
      </c>
      <c r="T105" s="66">
        <v>0</v>
      </c>
      <c r="U105" s="66">
        <v>0</v>
      </c>
      <c r="V105" s="66">
        <v>0</v>
      </c>
      <c r="W105" s="66">
        <v>0</v>
      </c>
      <c r="X105" s="66">
        <v>0</v>
      </c>
      <c r="Y105" s="66">
        <v>0</v>
      </c>
      <c r="Z105" s="66">
        <v>0</v>
      </c>
      <c r="AA105" s="66">
        <v>0</v>
      </c>
      <c r="AB105" s="66">
        <v>0</v>
      </c>
      <c r="AC105" s="66">
        <v>0</v>
      </c>
      <c r="AD105" s="67" t="s">
        <v>1094</v>
      </c>
      <c r="AE105" s="67" t="s">
        <v>1094</v>
      </c>
      <c r="AF105" s="67">
        <v>0</v>
      </c>
      <c r="AG105" s="210">
        <v>0</v>
      </c>
      <c r="AH105" s="67">
        <v>0</v>
      </c>
      <c r="AI105" s="66">
        <v>0</v>
      </c>
      <c r="AJ105" s="66">
        <v>0</v>
      </c>
      <c r="AK105" s="66">
        <v>0</v>
      </c>
      <c r="AL105" s="66">
        <v>0</v>
      </c>
      <c r="AM105" s="66">
        <v>0</v>
      </c>
      <c r="AN105" s="66">
        <v>0</v>
      </c>
      <c r="AO105" s="66">
        <v>0</v>
      </c>
      <c r="AP105" s="66">
        <v>0</v>
      </c>
      <c r="AQ105" s="66">
        <v>0</v>
      </c>
      <c r="AR105" s="66">
        <v>0</v>
      </c>
      <c r="AS105" s="66">
        <v>0</v>
      </c>
      <c r="AT105" s="67" t="s">
        <v>1094</v>
      </c>
      <c r="AU105" s="67" t="s">
        <v>1094</v>
      </c>
      <c r="AV105" s="67">
        <v>0</v>
      </c>
      <c r="AW105" s="210">
        <v>0</v>
      </c>
      <c r="AX105" s="67">
        <v>0</v>
      </c>
    </row>
  </sheetData>
  <mergeCells count="47">
    <mergeCell ref="AL10:AM10"/>
    <mergeCell ref="AP10:AP11"/>
    <mergeCell ref="AQ10:AS10"/>
    <mergeCell ref="S7:AH8"/>
    <mergeCell ref="S9:S11"/>
    <mergeCell ref="T9:T11"/>
    <mergeCell ref="U10:U11"/>
    <mergeCell ref="AI7:AX8"/>
    <mergeCell ref="AI9:AI11"/>
    <mergeCell ref="AJ9:AJ11"/>
    <mergeCell ref="AK9:AM9"/>
    <mergeCell ref="AN9:AN11"/>
    <mergeCell ref="AO9:AO11"/>
    <mergeCell ref="AP9:AS9"/>
    <mergeCell ref="AT9:AU10"/>
    <mergeCell ref="AV9:AV11"/>
    <mergeCell ref="AW9:AW11"/>
    <mergeCell ref="AX9:AX11"/>
    <mergeCell ref="AK10:AK11"/>
    <mergeCell ref="AG9:AG11"/>
    <mergeCell ref="AH9:AH11"/>
    <mergeCell ref="A7:A11"/>
    <mergeCell ref="B7:B11"/>
    <mergeCell ref="C9:C11"/>
    <mergeCell ref="C7:R8"/>
    <mergeCell ref="N9:O10"/>
    <mergeCell ref="P9:P11"/>
    <mergeCell ref="Q9:Q11"/>
    <mergeCell ref="R9:R11"/>
    <mergeCell ref="E10:E11"/>
    <mergeCell ref="F10:G10"/>
    <mergeCell ref="J10:J11"/>
    <mergeCell ref="K10:M10"/>
    <mergeCell ref="D9:D11"/>
    <mergeCell ref="V10:W10"/>
    <mergeCell ref="E9:G9"/>
    <mergeCell ref="H9:H11"/>
    <mergeCell ref="I9:I11"/>
    <mergeCell ref="J9:M9"/>
    <mergeCell ref="AF9:AF11"/>
    <mergeCell ref="Z10:Z11"/>
    <mergeCell ref="AA10:AC10"/>
    <mergeCell ref="U9:W9"/>
    <mergeCell ref="X9:X11"/>
    <mergeCell ref="Y9:Y11"/>
    <mergeCell ref="Z9:AC9"/>
    <mergeCell ref="AD9:AE10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5"/>
  <dimension ref="A1:R105"/>
  <sheetViews>
    <sheetView view="pageBreakPreview" zoomScale="60" zoomScaleNormal="70" workbookViewId="0">
      <pane xSplit="2" ySplit="12" topLeftCell="C13" activePane="bottomRight" state="frozen"/>
      <selection activeCell="F34" sqref="F34"/>
      <selection pane="topRight" activeCell="F34" sqref="F34"/>
      <selection pane="bottomLeft" activeCell="F34" sqref="F34"/>
      <selection pane="bottomRight" activeCell="D9" sqref="D9:D11"/>
    </sheetView>
  </sheetViews>
  <sheetFormatPr defaultRowHeight="15" outlineLevelCol="1" x14ac:dyDescent="0.25"/>
  <cols>
    <col min="1" max="1" width="5" customWidth="1"/>
    <col min="2" max="2" width="33.5703125" customWidth="1"/>
    <col min="3" max="4" width="18.7109375" customWidth="1"/>
    <col min="5" max="6" width="18.7109375" customWidth="1" outlineLevel="1"/>
    <col min="7" max="15" width="18.7109375" customWidth="1"/>
    <col min="16" max="18" width="18.7109375" customWidth="1" outlineLevel="1"/>
  </cols>
  <sheetData>
    <row r="1" spans="1:18" s="126" customFormat="1" ht="19.5" customHeight="1" x14ac:dyDescent="0.25">
      <c r="B1" s="127"/>
    </row>
    <row r="2" spans="1:18" s="126" customFormat="1" ht="19.5" customHeight="1" x14ac:dyDescent="0.3">
      <c r="C2" s="216"/>
      <c r="D2" s="217"/>
      <c r="E2" s="217"/>
      <c r="F2" s="217"/>
      <c r="G2" s="217"/>
      <c r="H2" s="217"/>
      <c r="I2" s="217"/>
      <c r="J2" s="217"/>
      <c r="K2" s="217"/>
      <c r="L2" s="217"/>
    </row>
    <row r="3" spans="1:18" s="126" customFormat="1" ht="19.5" customHeight="1" x14ac:dyDescent="0.3">
      <c r="A3" s="128"/>
      <c r="B3" s="128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38"/>
      <c r="N3" s="38"/>
      <c r="O3" s="38"/>
      <c r="P3" s="38"/>
    </row>
    <row r="4" spans="1:18" s="126" customFormat="1" ht="19.5" customHeight="1" x14ac:dyDescent="0.3">
      <c r="A4" s="128"/>
      <c r="B4" s="128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38"/>
      <c r="N4" s="38"/>
      <c r="O4" s="38"/>
      <c r="P4" s="38"/>
    </row>
    <row r="5" spans="1:18" s="126" customFormat="1" ht="19.5" customHeight="1" x14ac:dyDescent="0.3">
      <c r="A5" s="128"/>
      <c r="B5" s="128"/>
      <c r="D5" s="215"/>
      <c r="E5" s="215"/>
      <c r="F5" s="214"/>
      <c r="G5" s="42"/>
      <c r="H5" s="43"/>
      <c r="I5" s="43"/>
    </row>
    <row r="6" spans="1:18" ht="15" customHeight="1" x14ac:dyDescent="0.25">
      <c r="B6" s="44" t="s">
        <v>1093</v>
      </c>
      <c r="C6" s="76"/>
      <c r="Q6" s="76"/>
      <c r="R6" s="76"/>
    </row>
    <row r="7" spans="1:18" ht="15.75" customHeight="1" x14ac:dyDescent="0.25">
      <c r="A7" s="285" t="s">
        <v>284</v>
      </c>
      <c r="B7" s="275" t="s">
        <v>285</v>
      </c>
      <c r="C7" s="282" t="s">
        <v>1003</v>
      </c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</row>
    <row r="8" spans="1:18" ht="18.75" customHeight="1" thickBot="1" x14ac:dyDescent="0.3">
      <c r="A8" s="286"/>
      <c r="B8" s="275"/>
      <c r="C8" s="284"/>
      <c r="D8" s="279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79"/>
    </row>
    <row r="9" spans="1:18" ht="31.5" customHeight="1" x14ac:dyDescent="0.25">
      <c r="A9" s="286"/>
      <c r="B9" s="275"/>
      <c r="C9" s="253" t="s">
        <v>315</v>
      </c>
      <c r="D9" s="254" t="s">
        <v>1096</v>
      </c>
      <c r="E9" s="254" t="s">
        <v>287</v>
      </c>
      <c r="F9" s="254"/>
      <c r="G9" s="254"/>
      <c r="H9" s="254" t="s">
        <v>312</v>
      </c>
      <c r="I9" s="254" t="s">
        <v>262</v>
      </c>
      <c r="J9" s="254" t="s">
        <v>288</v>
      </c>
      <c r="K9" s="254"/>
      <c r="L9" s="254"/>
      <c r="M9" s="254"/>
      <c r="N9" s="269" t="s">
        <v>289</v>
      </c>
      <c r="O9" s="269"/>
      <c r="P9" s="254" t="s">
        <v>290</v>
      </c>
      <c r="Q9" s="254" t="s">
        <v>266</v>
      </c>
      <c r="R9" s="254" t="s">
        <v>291</v>
      </c>
    </row>
    <row r="10" spans="1:18" ht="24" customHeight="1" x14ac:dyDescent="0.25">
      <c r="A10" s="286"/>
      <c r="B10" s="275"/>
      <c r="C10" s="220"/>
      <c r="D10" s="224"/>
      <c r="E10" s="224" t="s">
        <v>292</v>
      </c>
      <c r="F10" s="224" t="s">
        <v>293</v>
      </c>
      <c r="G10" s="224"/>
      <c r="H10" s="224"/>
      <c r="I10" s="224"/>
      <c r="J10" s="224" t="s">
        <v>292</v>
      </c>
      <c r="K10" s="224" t="s">
        <v>294</v>
      </c>
      <c r="L10" s="224"/>
      <c r="M10" s="224"/>
      <c r="N10" s="270"/>
      <c r="O10" s="270"/>
      <c r="P10" s="224"/>
      <c r="Q10" s="224"/>
      <c r="R10" s="224"/>
    </row>
    <row r="11" spans="1:18" ht="114" customHeight="1" x14ac:dyDescent="0.25">
      <c r="A11" s="287"/>
      <c r="B11" s="275"/>
      <c r="C11" s="254"/>
      <c r="D11" s="224"/>
      <c r="E11" s="224"/>
      <c r="F11" s="96" t="s">
        <v>259</v>
      </c>
      <c r="G11" s="96" t="s">
        <v>260</v>
      </c>
      <c r="H11" s="224"/>
      <c r="I11" s="224"/>
      <c r="J11" s="224"/>
      <c r="K11" s="96" t="s">
        <v>264</v>
      </c>
      <c r="L11" s="96" t="s">
        <v>303</v>
      </c>
      <c r="M11" s="96" t="s">
        <v>260</v>
      </c>
      <c r="N11" s="96" t="s">
        <v>965</v>
      </c>
      <c r="O11" s="96" t="s">
        <v>295</v>
      </c>
      <c r="P11" s="224"/>
      <c r="Q11" s="224"/>
      <c r="R11" s="224"/>
    </row>
    <row r="12" spans="1:18" s="54" customFormat="1" ht="15.75" x14ac:dyDescent="0.25">
      <c r="A12" s="50" t="s">
        <v>2</v>
      </c>
      <c r="B12" s="195" t="s">
        <v>3</v>
      </c>
      <c r="C12" s="53">
        <v>4412.6139000000003</v>
      </c>
      <c r="D12" s="53">
        <v>0</v>
      </c>
      <c r="E12" s="53">
        <v>5606.8259570600003</v>
      </c>
      <c r="F12" s="53">
        <v>4410.6139000000003</v>
      </c>
      <c r="G12" s="53">
        <v>1196.21205706</v>
      </c>
      <c r="H12" s="53">
        <v>4223.0563488400003</v>
      </c>
      <c r="I12" s="53">
        <v>6.680672190000001</v>
      </c>
      <c r="J12" s="53">
        <v>5382.82551883</v>
      </c>
      <c r="K12" s="53">
        <v>4223.0561048500003</v>
      </c>
      <c r="L12" s="53">
        <v>0</v>
      </c>
      <c r="M12" s="53">
        <v>1159.7694139799999</v>
      </c>
      <c r="N12" s="53">
        <v>95.747580735869903</v>
      </c>
      <c r="O12" s="53">
        <v>96.953496425243586</v>
      </c>
      <c r="P12" s="53">
        <v>21.545736712493053</v>
      </c>
      <c r="Q12" s="53">
        <v>6.680672190000001</v>
      </c>
      <c r="R12" s="53">
        <v>2.439900000044265E-4</v>
      </c>
    </row>
    <row r="13" spans="1:18" s="62" customFormat="1" ht="15.75" x14ac:dyDescent="0.25">
      <c r="A13" s="57" t="s">
        <v>6</v>
      </c>
      <c r="B13" s="190" t="s">
        <v>7</v>
      </c>
      <c r="C13" s="61">
        <v>449.67660000000001</v>
      </c>
      <c r="D13" s="61">
        <v>0</v>
      </c>
      <c r="E13" s="61">
        <v>579.01493760999995</v>
      </c>
      <c r="F13" s="61">
        <v>447.67660000000001</v>
      </c>
      <c r="G13" s="61">
        <v>131.33833761</v>
      </c>
      <c r="H13" s="61">
        <v>440.44460000999999</v>
      </c>
      <c r="I13" s="61">
        <v>1.2501999999999999E-2</v>
      </c>
      <c r="J13" s="61">
        <v>570.74135529</v>
      </c>
      <c r="K13" s="61">
        <v>440.44460000999999</v>
      </c>
      <c r="L13" s="61">
        <v>0</v>
      </c>
      <c r="M13" s="61">
        <v>130.29675527999996</v>
      </c>
      <c r="N13" s="61">
        <v>98.384548133630389</v>
      </c>
      <c r="O13" s="61">
        <v>99.206947225803219</v>
      </c>
      <c r="P13" s="61">
        <v>22.829387440094425</v>
      </c>
      <c r="Q13" s="61">
        <v>1.2501999999999999E-2</v>
      </c>
      <c r="R13" s="61">
        <v>1.3877787807814457E-17</v>
      </c>
    </row>
    <row r="14" spans="1:18" ht="15.75" x14ac:dyDescent="0.25">
      <c r="A14" s="11" t="s">
        <v>9</v>
      </c>
      <c r="B14" s="189" t="s">
        <v>10</v>
      </c>
      <c r="C14" s="66">
        <v>130.34039999999999</v>
      </c>
      <c r="D14" s="66">
        <v>0</v>
      </c>
      <c r="E14" s="66">
        <v>170.357339</v>
      </c>
      <c r="F14" s="66">
        <v>130.34039999999999</v>
      </c>
      <c r="G14" s="66">
        <v>40.016939000000001</v>
      </c>
      <c r="H14" s="66">
        <v>130.34039999999999</v>
      </c>
      <c r="I14" s="66">
        <v>0</v>
      </c>
      <c r="J14" s="66">
        <v>170.357339</v>
      </c>
      <c r="K14" s="66">
        <v>130.34039999999999</v>
      </c>
      <c r="L14" s="66">
        <v>0</v>
      </c>
      <c r="M14" s="66">
        <v>40.016939000000001</v>
      </c>
      <c r="N14" s="67">
        <v>100</v>
      </c>
      <c r="O14" s="67">
        <v>100</v>
      </c>
      <c r="P14" s="67">
        <v>23.490000040444396</v>
      </c>
      <c r="Q14" s="67">
        <v>0</v>
      </c>
      <c r="R14" s="67">
        <v>0</v>
      </c>
    </row>
    <row r="15" spans="1:18" ht="15.75" x14ac:dyDescent="0.25">
      <c r="A15" s="11" t="s">
        <v>12</v>
      </c>
      <c r="B15" s="189" t="s">
        <v>13</v>
      </c>
      <c r="C15" s="66">
        <v>85.955500000000001</v>
      </c>
      <c r="D15" s="66">
        <v>0</v>
      </c>
      <c r="E15" s="66">
        <v>102.7855</v>
      </c>
      <c r="F15" s="66">
        <v>85.955500000000001</v>
      </c>
      <c r="G15" s="66">
        <v>16.829999999999998</v>
      </c>
      <c r="H15" s="66">
        <v>85.955500000000001</v>
      </c>
      <c r="I15" s="66">
        <v>0</v>
      </c>
      <c r="J15" s="66">
        <v>102.7855</v>
      </c>
      <c r="K15" s="66">
        <v>85.955500000000001</v>
      </c>
      <c r="L15" s="66">
        <v>0</v>
      </c>
      <c r="M15" s="66">
        <v>16.829999999999998</v>
      </c>
      <c r="N15" s="67">
        <v>100</v>
      </c>
      <c r="O15" s="67">
        <v>100</v>
      </c>
      <c r="P15" s="67">
        <v>16.373904879579317</v>
      </c>
      <c r="Q15" s="67">
        <v>0</v>
      </c>
      <c r="R15" s="67">
        <v>0</v>
      </c>
    </row>
    <row r="16" spans="1:18" ht="15.75" x14ac:dyDescent="0.25">
      <c r="A16" s="11" t="s">
        <v>15</v>
      </c>
      <c r="B16" s="189" t="s">
        <v>16</v>
      </c>
      <c r="C16" s="66">
        <v>7.1917999999999997</v>
      </c>
      <c r="D16" s="66">
        <v>0</v>
      </c>
      <c r="E16" s="66">
        <v>9.1920000000000002</v>
      </c>
      <c r="F16" s="66">
        <v>7.1917999999999997</v>
      </c>
      <c r="G16" s="66">
        <v>2.0002</v>
      </c>
      <c r="H16" s="66">
        <v>7.1917999999999997</v>
      </c>
      <c r="I16" s="66">
        <v>0</v>
      </c>
      <c r="J16" s="66">
        <v>9.1920000000000002</v>
      </c>
      <c r="K16" s="66">
        <v>7.1917999999999997</v>
      </c>
      <c r="L16" s="66">
        <v>0</v>
      </c>
      <c r="M16" s="66">
        <v>2.0002</v>
      </c>
      <c r="N16" s="67">
        <v>100</v>
      </c>
      <c r="O16" s="67">
        <v>100</v>
      </c>
      <c r="P16" s="67">
        <v>21.760226283724979</v>
      </c>
      <c r="Q16" s="67">
        <v>0</v>
      </c>
      <c r="R16" s="67">
        <v>0</v>
      </c>
    </row>
    <row r="17" spans="1:18" ht="15.75" x14ac:dyDescent="0.25">
      <c r="A17" s="11" t="s">
        <v>18</v>
      </c>
      <c r="B17" s="189" t="s">
        <v>19</v>
      </c>
      <c r="C17" s="66">
        <v>105.20180000000001</v>
      </c>
      <c r="D17" s="66">
        <v>0</v>
      </c>
      <c r="E17" s="66">
        <v>155.20179999999999</v>
      </c>
      <c r="F17" s="66">
        <v>105.20180000000001</v>
      </c>
      <c r="G17" s="66">
        <v>50</v>
      </c>
      <c r="H17" s="66">
        <v>104.66248852</v>
      </c>
      <c r="I17" s="66">
        <v>0</v>
      </c>
      <c r="J17" s="66">
        <v>154.40616796</v>
      </c>
      <c r="K17" s="66">
        <v>104.66248852</v>
      </c>
      <c r="L17" s="66">
        <v>0</v>
      </c>
      <c r="M17" s="66">
        <v>49.743679440000001</v>
      </c>
      <c r="N17" s="67">
        <v>99.487355273388843</v>
      </c>
      <c r="O17" s="67">
        <v>99.487358880000002</v>
      </c>
      <c r="P17" s="67">
        <v>32.216121996425976</v>
      </c>
      <c r="Q17" s="67">
        <v>0</v>
      </c>
      <c r="R17" s="67">
        <v>0</v>
      </c>
    </row>
    <row r="18" spans="1:18" ht="15.75" x14ac:dyDescent="0.25">
      <c r="A18" s="11" t="s">
        <v>21</v>
      </c>
      <c r="B18" s="189" t="s">
        <v>22</v>
      </c>
      <c r="C18" s="66">
        <v>1.8</v>
      </c>
      <c r="D18" s="66">
        <v>0</v>
      </c>
      <c r="E18" s="66">
        <v>2.01997531</v>
      </c>
      <c r="F18" s="66">
        <v>1.8</v>
      </c>
      <c r="G18" s="66">
        <v>0.21997531000000001</v>
      </c>
      <c r="H18" s="66">
        <v>1.8</v>
      </c>
      <c r="I18" s="66">
        <v>0</v>
      </c>
      <c r="J18" s="66">
        <v>2.01997531</v>
      </c>
      <c r="K18" s="66">
        <v>1.8</v>
      </c>
      <c r="L18" s="66">
        <v>0</v>
      </c>
      <c r="M18" s="66">
        <v>0.21997531000000001</v>
      </c>
      <c r="N18" s="67">
        <v>100</v>
      </c>
      <c r="O18" s="67">
        <v>100</v>
      </c>
      <c r="P18" s="67">
        <v>10.889999937672506</v>
      </c>
      <c r="Q18" s="67">
        <v>0</v>
      </c>
      <c r="R18" s="67">
        <v>0</v>
      </c>
    </row>
    <row r="19" spans="1:18" ht="15.75" x14ac:dyDescent="0.25">
      <c r="A19" s="11" t="s">
        <v>24</v>
      </c>
      <c r="B19" s="189" t="s">
        <v>25</v>
      </c>
      <c r="C19" s="66">
        <v>2</v>
      </c>
      <c r="D19" s="66">
        <v>0</v>
      </c>
      <c r="E19" s="66">
        <v>0</v>
      </c>
      <c r="F19" s="66">
        <v>0</v>
      </c>
      <c r="G19" s="66">
        <v>0</v>
      </c>
      <c r="H19" s="66">
        <v>0</v>
      </c>
      <c r="I19" s="66">
        <v>0</v>
      </c>
      <c r="J19" s="66">
        <v>0</v>
      </c>
      <c r="K19" s="66">
        <v>0</v>
      </c>
      <c r="L19" s="66">
        <v>0</v>
      </c>
      <c r="M19" s="66">
        <v>0</v>
      </c>
      <c r="N19" s="67" t="s">
        <v>1094</v>
      </c>
      <c r="O19" s="67" t="s">
        <v>1094</v>
      </c>
      <c r="P19" s="67">
        <v>0</v>
      </c>
      <c r="Q19" s="67">
        <v>0</v>
      </c>
      <c r="R19" s="67">
        <v>0</v>
      </c>
    </row>
    <row r="20" spans="1:18" ht="15.75" x14ac:dyDescent="0.25">
      <c r="A20" s="11" t="s">
        <v>27</v>
      </c>
      <c r="B20" s="189" t="s">
        <v>28</v>
      </c>
      <c r="C20" s="66">
        <v>2.9380000000000002</v>
      </c>
      <c r="D20" s="66">
        <v>0</v>
      </c>
      <c r="E20" s="66">
        <v>3.5001191</v>
      </c>
      <c r="F20" s="66">
        <v>2.9380000000000002</v>
      </c>
      <c r="G20" s="66">
        <v>0.56211909999999998</v>
      </c>
      <c r="H20" s="66">
        <v>2.9380000000000002</v>
      </c>
      <c r="I20" s="66">
        <v>1.2501999999999999E-2</v>
      </c>
      <c r="J20" s="66">
        <v>3.5001191</v>
      </c>
      <c r="K20" s="66">
        <v>2.9380000000000002</v>
      </c>
      <c r="L20" s="66">
        <v>0</v>
      </c>
      <c r="M20" s="66">
        <v>0.56211909999999998</v>
      </c>
      <c r="N20" s="67">
        <v>100</v>
      </c>
      <c r="O20" s="67">
        <v>100</v>
      </c>
      <c r="P20" s="67">
        <v>16.059999215455267</v>
      </c>
      <c r="Q20" s="67">
        <v>1.2501999999999999E-2</v>
      </c>
      <c r="R20" s="67">
        <v>1.3877787807814457E-17</v>
      </c>
    </row>
    <row r="21" spans="1:18" ht="15.75" x14ac:dyDescent="0.25">
      <c r="A21" s="11" t="s">
        <v>30</v>
      </c>
      <c r="B21" s="189" t="s">
        <v>31</v>
      </c>
      <c r="C21" s="66">
        <v>27.062100000000001</v>
      </c>
      <c r="D21" s="66">
        <v>0</v>
      </c>
      <c r="E21" s="66">
        <v>32.417465999999997</v>
      </c>
      <c r="F21" s="66">
        <v>27.062100000000001</v>
      </c>
      <c r="G21" s="66">
        <v>5.3553660000000001</v>
      </c>
      <c r="H21" s="66">
        <v>27.062100000000001</v>
      </c>
      <c r="I21" s="66">
        <v>0</v>
      </c>
      <c r="J21" s="66">
        <v>32.417465999999997</v>
      </c>
      <c r="K21" s="66">
        <v>27.062100000000001</v>
      </c>
      <c r="L21" s="66">
        <v>0</v>
      </c>
      <c r="M21" s="66">
        <v>5.3553660000000001</v>
      </c>
      <c r="N21" s="67">
        <v>100</v>
      </c>
      <c r="O21" s="67">
        <v>100</v>
      </c>
      <c r="P21" s="67">
        <v>16.520001902678022</v>
      </c>
      <c r="Q21" s="67">
        <v>0</v>
      </c>
      <c r="R21" s="67">
        <v>0</v>
      </c>
    </row>
    <row r="22" spans="1:18" ht="15.75" x14ac:dyDescent="0.25">
      <c r="A22" s="11" t="s">
        <v>33</v>
      </c>
      <c r="B22" s="189" t="s">
        <v>34</v>
      </c>
      <c r="C22" s="66">
        <v>0</v>
      </c>
      <c r="D22" s="66">
        <v>0</v>
      </c>
      <c r="E22" s="66">
        <v>0</v>
      </c>
      <c r="F22" s="66">
        <v>0</v>
      </c>
      <c r="G22" s="66">
        <v>0</v>
      </c>
      <c r="H22" s="66">
        <v>0</v>
      </c>
      <c r="I22" s="66">
        <v>0</v>
      </c>
      <c r="J22" s="66">
        <v>0</v>
      </c>
      <c r="K22" s="66">
        <v>0</v>
      </c>
      <c r="L22" s="66">
        <v>0</v>
      </c>
      <c r="M22" s="66">
        <v>0</v>
      </c>
      <c r="N22" s="67" t="s">
        <v>1094</v>
      </c>
      <c r="O22" s="67" t="s">
        <v>1094</v>
      </c>
      <c r="P22" s="67">
        <v>0</v>
      </c>
      <c r="Q22" s="67">
        <v>0</v>
      </c>
      <c r="R22" s="67">
        <v>0</v>
      </c>
    </row>
    <row r="23" spans="1:18" ht="15.75" x14ac:dyDescent="0.25">
      <c r="A23" s="11" t="s">
        <v>36</v>
      </c>
      <c r="B23" s="189" t="s">
        <v>37</v>
      </c>
      <c r="C23" s="66">
        <v>2</v>
      </c>
      <c r="D23" s="66">
        <v>0</v>
      </c>
      <c r="E23" s="66">
        <v>2.2229999999999999</v>
      </c>
      <c r="F23" s="66">
        <v>2</v>
      </c>
      <c r="G23" s="66">
        <v>0.223</v>
      </c>
      <c r="H23" s="66">
        <v>2</v>
      </c>
      <c r="I23" s="66">
        <v>0</v>
      </c>
      <c r="J23" s="66">
        <v>2.2229999999999999</v>
      </c>
      <c r="K23" s="66">
        <v>2</v>
      </c>
      <c r="L23" s="66">
        <v>0</v>
      </c>
      <c r="M23" s="66">
        <v>0.223</v>
      </c>
      <c r="N23" s="67">
        <v>100</v>
      </c>
      <c r="O23" s="67">
        <v>100</v>
      </c>
      <c r="P23" s="67">
        <v>10.0314889788574</v>
      </c>
      <c r="Q23" s="67">
        <v>0</v>
      </c>
      <c r="R23" s="67">
        <v>0</v>
      </c>
    </row>
    <row r="24" spans="1:18" ht="15.75" x14ac:dyDescent="0.25">
      <c r="A24" s="11" t="s">
        <v>39</v>
      </c>
      <c r="B24" s="189" t="s">
        <v>297</v>
      </c>
      <c r="C24" s="66">
        <v>0</v>
      </c>
      <c r="D24" s="66">
        <v>0</v>
      </c>
      <c r="E24" s="66">
        <v>0</v>
      </c>
      <c r="F24" s="66">
        <v>0</v>
      </c>
      <c r="G24" s="66">
        <v>0</v>
      </c>
      <c r="H24" s="66">
        <v>0</v>
      </c>
      <c r="I24" s="66">
        <v>0</v>
      </c>
      <c r="J24" s="66">
        <v>0</v>
      </c>
      <c r="K24" s="66">
        <v>0</v>
      </c>
      <c r="L24" s="66">
        <v>0</v>
      </c>
      <c r="M24" s="66">
        <v>0</v>
      </c>
      <c r="N24" s="67" t="s">
        <v>1094</v>
      </c>
      <c r="O24" s="67" t="s">
        <v>1094</v>
      </c>
      <c r="P24" s="67">
        <v>0</v>
      </c>
      <c r="Q24" s="67">
        <v>0</v>
      </c>
      <c r="R24" s="67">
        <v>0</v>
      </c>
    </row>
    <row r="25" spans="1:18" ht="15.75" x14ac:dyDescent="0.25">
      <c r="A25" s="11" t="s">
        <v>41</v>
      </c>
      <c r="B25" s="189" t="s">
        <v>42</v>
      </c>
      <c r="C25" s="66">
        <v>1.17</v>
      </c>
      <c r="D25" s="66">
        <v>0</v>
      </c>
      <c r="E25" s="66">
        <v>1.3</v>
      </c>
      <c r="F25" s="66">
        <v>1.17</v>
      </c>
      <c r="G25" s="66">
        <v>0.13</v>
      </c>
      <c r="H25" s="66">
        <v>0.20809257</v>
      </c>
      <c r="I25" s="66">
        <v>0</v>
      </c>
      <c r="J25" s="66">
        <v>0.23121396999999999</v>
      </c>
      <c r="K25" s="66">
        <v>0.20809257</v>
      </c>
      <c r="L25" s="66">
        <v>0</v>
      </c>
      <c r="M25" s="66">
        <v>2.31214E-2</v>
      </c>
      <c r="N25" s="67">
        <v>17.785689743589746</v>
      </c>
      <c r="O25" s="67">
        <v>17.785692307692308</v>
      </c>
      <c r="P25" s="67">
        <v>10.000001297499455</v>
      </c>
      <c r="Q25" s="67">
        <v>0</v>
      </c>
      <c r="R25" s="67">
        <v>0</v>
      </c>
    </row>
    <row r="26" spans="1:18" ht="15.75" x14ac:dyDescent="0.25">
      <c r="A26" s="11" t="s">
        <v>44</v>
      </c>
      <c r="B26" s="189" t="s">
        <v>45</v>
      </c>
      <c r="C26" s="66">
        <v>7.3906000000000001</v>
      </c>
      <c r="D26" s="66">
        <v>0</v>
      </c>
      <c r="E26" s="66">
        <v>13.1906</v>
      </c>
      <c r="F26" s="66">
        <v>7.3906000000000001</v>
      </c>
      <c r="G26" s="66">
        <v>5.8</v>
      </c>
      <c r="H26" s="66">
        <v>7.3906000000000001</v>
      </c>
      <c r="I26" s="66">
        <v>0</v>
      </c>
      <c r="J26" s="66">
        <v>13.1906</v>
      </c>
      <c r="K26" s="66">
        <v>7.3906000000000001</v>
      </c>
      <c r="L26" s="66">
        <v>0</v>
      </c>
      <c r="M26" s="66">
        <v>5.8</v>
      </c>
      <c r="N26" s="67">
        <v>100</v>
      </c>
      <c r="O26" s="67">
        <v>100</v>
      </c>
      <c r="P26" s="67">
        <v>43.970706412141979</v>
      </c>
      <c r="Q26" s="67">
        <v>0</v>
      </c>
      <c r="R26" s="67">
        <v>0</v>
      </c>
    </row>
    <row r="27" spans="1:18" ht="15.75" x14ac:dyDescent="0.25">
      <c r="A27" s="11" t="s">
        <v>47</v>
      </c>
      <c r="B27" s="189" t="s">
        <v>48</v>
      </c>
      <c r="C27" s="66">
        <v>1.1000000000000001</v>
      </c>
      <c r="D27" s="66">
        <v>0</v>
      </c>
      <c r="E27" s="66">
        <v>2.1000382000000002</v>
      </c>
      <c r="F27" s="66">
        <v>1.1000000000000001</v>
      </c>
      <c r="G27" s="66">
        <v>1.0000381999999999</v>
      </c>
      <c r="H27" s="66">
        <v>1.1000000000000001</v>
      </c>
      <c r="I27" s="66">
        <v>0</v>
      </c>
      <c r="J27" s="66">
        <v>2.1000382000000002</v>
      </c>
      <c r="K27" s="66">
        <v>1.1000000000000001</v>
      </c>
      <c r="L27" s="66">
        <v>0</v>
      </c>
      <c r="M27" s="66">
        <v>1.0000381999999999</v>
      </c>
      <c r="N27" s="67">
        <v>100</v>
      </c>
      <c r="O27" s="67">
        <v>100</v>
      </c>
      <c r="P27" s="67">
        <v>47.620000436182529</v>
      </c>
      <c r="Q27" s="67">
        <v>0</v>
      </c>
      <c r="R27" s="67">
        <v>0</v>
      </c>
    </row>
    <row r="28" spans="1:18" ht="15.75" x14ac:dyDescent="0.25">
      <c r="A28" s="11" t="s">
        <v>50</v>
      </c>
      <c r="B28" s="189" t="s">
        <v>51</v>
      </c>
      <c r="C28" s="66">
        <v>62.1327</v>
      </c>
      <c r="D28" s="66">
        <v>0</v>
      </c>
      <c r="E28" s="66">
        <v>69.0364</v>
      </c>
      <c r="F28" s="66">
        <v>62.1327</v>
      </c>
      <c r="G28" s="66">
        <v>6.9036999999999997</v>
      </c>
      <c r="H28" s="66">
        <v>62.1327</v>
      </c>
      <c r="I28" s="66">
        <v>0</v>
      </c>
      <c r="J28" s="66">
        <v>69.0364</v>
      </c>
      <c r="K28" s="66">
        <v>62.1327</v>
      </c>
      <c r="L28" s="66">
        <v>0</v>
      </c>
      <c r="M28" s="66">
        <v>6.9036999999999997</v>
      </c>
      <c r="N28" s="67">
        <v>100</v>
      </c>
      <c r="O28" s="67">
        <v>100</v>
      </c>
      <c r="P28" s="67">
        <v>10.000086910673209</v>
      </c>
      <c r="Q28" s="67">
        <v>0</v>
      </c>
      <c r="R28" s="67">
        <v>0</v>
      </c>
    </row>
    <row r="29" spans="1:18" ht="15.75" x14ac:dyDescent="0.25">
      <c r="A29" s="11" t="s">
        <v>53</v>
      </c>
      <c r="B29" s="189" t="s">
        <v>54</v>
      </c>
      <c r="C29" s="66">
        <v>5.9696999999999996</v>
      </c>
      <c r="D29" s="66">
        <v>0</v>
      </c>
      <c r="E29" s="66">
        <v>7.4417</v>
      </c>
      <c r="F29" s="66">
        <v>5.9696999999999996</v>
      </c>
      <c r="G29" s="66">
        <v>1.472</v>
      </c>
      <c r="H29" s="66">
        <v>5.6629189200000001</v>
      </c>
      <c r="I29" s="66">
        <v>0</v>
      </c>
      <c r="J29" s="66">
        <v>7.05923575</v>
      </c>
      <c r="K29" s="66">
        <v>5.6629189200000001</v>
      </c>
      <c r="L29" s="66">
        <v>0</v>
      </c>
      <c r="M29" s="66">
        <v>1.3963168300000002</v>
      </c>
      <c r="N29" s="67">
        <v>94.861030202522741</v>
      </c>
      <c r="O29" s="67">
        <v>94.858480298913065</v>
      </c>
      <c r="P29" s="67">
        <v>19.77999998087612</v>
      </c>
      <c r="Q29" s="67">
        <v>0</v>
      </c>
      <c r="R29" s="67">
        <v>0</v>
      </c>
    </row>
    <row r="30" spans="1:18" ht="15.75" x14ac:dyDescent="0.25">
      <c r="A30" s="11" t="s">
        <v>56</v>
      </c>
      <c r="B30" s="189" t="s">
        <v>57</v>
      </c>
      <c r="C30" s="66">
        <v>5.4240000000000004</v>
      </c>
      <c r="D30" s="66">
        <v>0</v>
      </c>
      <c r="E30" s="66">
        <v>6.0266999999999999</v>
      </c>
      <c r="F30" s="66">
        <v>5.4240000000000004</v>
      </c>
      <c r="G30" s="66">
        <v>0.60270000000000001</v>
      </c>
      <c r="H30" s="66">
        <v>0</v>
      </c>
      <c r="I30" s="66">
        <v>0</v>
      </c>
      <c r="J30" s="66">
        <v>0</v>
      </c>
      <c r="K30" s="66">
        <v>0</v>
      </c>
      <c r="L30" s="66">
        <v>0</v>
      </c>
      <c r="M30" s="66">
        <v>0</v>
      </c>
      <c r="N30" s="67">
        <v>0</v>
      </c>
      <c r="O30" s="67">
        <v>0</v>
      </c>
      <c r="P30" s="67">
        <v>0</v>
      </c>
      <c r="Q30" s="67">
        <v>0</v>
      </c>
      <c r="R30" s="67">
        <v>0</v>
      </c>
    </row>
    <row r="31" spans="1:18" ht="15.75" x14ac:dyDescent="0.25">
      <c r="A31" s="11" t="s">
        <v>59</v>
      </c>
      <c r="B31" s="189" t="s">
        <v>60</v>
      </c>
      <c r="C31" s="66">
        <v>2</v>
      </c>
      <c r="D31" s="66">
        <v>0</v>
      </c>
      <c r="E31" s="66">
        <v>2.2223000000000002</v>
      </c>
      <c r="F31" s="66">
        <v>2</v>
      </c>
      <c r="G31" s="66">
        <v>0.2223</v>
      </c>
      <c r="H31" s="66">
        <v>2</v>
      </c>
      <c r="I31" s="66">
        <v>0</v>
      </c>
      <c r="J31" s="66">
        <v>2.2223000000000002</v>
      </c>
      <c r="K31" s="66">
        <v>2</v>
      </c>
      <c r="L31" s="66">
        <v>0</v>
      </c>
      <c r="M31" s="66">
        <v>0.2223</v>
      </c>
      <c r="N31" s="67">
        <v>100</v>
      </c>
      <c r="O31" s="67">
        <v>100</v>
      </c>
      <c r="P31" s="67">
        <v>10.003149889753859</v>
      </c>
      <c r="Q31" s="67">
        <v>0</v>
      </c>
      <c r="R31" s="67">
        <v>0</v>
      </c>
    </row>
    <row r="32" spans="1:18" s="62" customFormat="1" ht="15.75" x14ac:dyDescent="0.25">
      <c r="A32" s="57" t="s">
        <v>62</v>
      </c>
      <c r="B32" s="190" t="s">
        <v>63</v>
      </c>
      <c r="C32" s="61">
        <v>337.4588</v>
      </c>
      <c r="D32" s="61">
        <v>0</v>
      </c>
      <c r="E32" s="61">
        <v>460.03345999999999</v>
      </c>
      <c r="F32" s="61">
        <v>337.4588</v>
      </c>
      <c r="G32" s="61">
        <v>122.57465999999999</v>
      </c>
      <c r="H32" s="61">
        <v>336.59558425</v>
      </c>
      <c r="I32" s="61">
        <v>0.30227700000000002</v>
      </c>
      <c r="J32" s="61">
        <v>458.34711905999995</v>
      </c>
      <c r="K32" s="61">
        <v>336.59558425</v>
      </c>
      <c r="L32" s="61">
        <v>0</v>
      </c>
      <c r="M32" s="61">
        <v>121.75153481000001</v>
      </c>
      <c r="N32" s="61">
        <v>99.744201143961874</v>
      </c>
      <c r="O32" s="61">
        <v>99.328470346154745</v>
      </c>
      <c r="P32" s="61">
        <v>26.563172265529637</v>
      </c>
      <c r="Q32" s="61">
        <v>0.30227700000000002</v>
      </c>
      <c r="R32" s="61">
        <v>1.1102230246251565E-16</v>
      </c>
    </row>
    <row r="33" spans="1:18" ht="15.75" x14ac:dyDescent="0.25">
      <c r="A33" s="11" t="s">
        <v>65</v>
      </c>
      <c r="B33" s="189" t="s">
        <v>66</v>
      </c>
      <c r="C33" s="66">
        <v>10.384</v>
      </c>
      <c r="D33" s="66">
        <v>0</v>
      </c>
      <c r="E33" s="66">
        <v>16.263999999999999</v>
      </c>
      <c r="F33" s="66">
        <v>10.384</v>
      </c>
      <c r="G33" s="66">
        <v>5.88</v>
      </c>
      <c r="H33" s="66">
        <v>10.38364176</v>
      </c>
      <c r="I33" s="66">
        <v>0.30227700000000002</v>
      </c>
      <c r="J33" s="66">
        <v>16.26311668</v>
      </c>
      <c r="K33" s="66">
        <v>10.38364176</v>
      </c>
      <c r="L33" s="66">
        <v>0</v>
      </c>
      <c r="M33" s="66">
        <v>5.8794749199999998</v>
      </c>
      <c r="N33" s="67">
        <v>99.996550077041604</v>
      </c>
      <c r="O33" s="67">
        <v>99.991070068027213</v>
      </c>
      <c r="P33" s="67">
        <v>36.152202776915701</v>
      </c>
      <c r="Q33" s="67">
        <v>0.30227700000000002</v>
      </c>
      <c r="R33" s="67">
        <v>1.1102230246251565E-16</v>
      </c>
    </row>
    <row r="34" spans="1:18" ht="15.75" x14ac:dyDescent="0.25">
      <c r="A34" s="11" t="s">
        <v>68</v>
      </c>
      <c r="B34" s="189" t="s">
        <v>69</v>
      </c>
      <c r="C34" s="66">
        <v>3.0623999999999998</v>
      </c>
      <c r="D34" s="66">
        <v>0</v>
      </c>
      <c r="E34" s="66">
        <v>10.718400000000001</v>
      </c>
      <c r="F34" s="66">
        <v>3.0623999999999998</v>
      </c>
      <c r="G34" s="66">
        <v>7.6559999999999997</v>
      </c>
      <c r="H34" s="66">
        <v>2.77311928</v>
      </c>
      <c r="I34" s="66">
        <v>0</v>
      </c>
      <c r="J34" s="66">
        <v>9.7059176600000008</v>
      </c>
      <c r="K34" s="66">
        <v>2.77311928</v>
      </c>
      <c r="L34" s="66">
        <v>0</v>
      </c>
      <c r="M34" s="66">
        <v>6.9327983799999995</v>
      </c>
      <c r="N34" s="67">
        <v>90.553790491118079</v>
      </c>
      <c r="O34" s="67">
        <v>90.553792842215259</v>
      </c>
      <c r="P34" s="67">
        <v>71.428571958439619</v>
      </c>
      <c r="Q34" s="67">
        <v>0</v>
      </c>
      <c r="R34" s="67">
        <v>0</v>
      </c>
    </row>
    <row r="35" spans="1:18" ht="15.75" x14ac:dyDescent="0.25">
      <c r="A35" s="11" t="s">
        <v>71</v>
      </c>
      <c r="B35" s="189" t="s">
        <v>72</v>
      </c>
      <c r="C35" s="66">
        <v>91.198899999999995</v>
      </c>
      <c r="D35" s="66">
        <v>0</v>
      </c>
      <c r="E35" s="66">
        <v>102.19889999999999</v>
      </c>
      <c r="F35" s="66">
        <v>91.198899999999995</v>
      </c>
      <c r="G35" s="66">
        <v>11</v>
      </c>
      <c r="H35" s="66">
        <v>90.727384120000011</v>
      </c>
      <c r="I35" s="66">
        <v>0</v>
      </c>
      <c r="J35" s="66">
        <v>101.67051171999999</v>
      </c>
      <c r="K35" s="66">
        <v>90.727384120000011</v>
      </c>
      <c r="L35" s="66">
        <v>0</v>
      </c>
      <c r="M35" s="66">
        <v>10.9431276</v>
      </c>
      <c r="N35" s="67">
        <v>99.482980737706285</v>
      </c>
      <c r="O35" s="67">
        <v>99.482978181818183</v>
      </c>
      <c r="P35" s="67">
        <v>10.763324994505103</v>
      </c>
      <c r="Q35" s="67">
        <v>0</v>
      </c>
      <c r="R35" s="67">
        <v>0</v>
      </c>
    </row>
    <row r="36" spans="1:18" ht="15.75" x14ac:dyDescent="0.25">
      <c r="A36" s="11" t="s">
        <v>74</v>
      </c>
      <c r="B36" s="189" t="s">
        <v>298</v>
      </c>
      <c r="C36" s="66">
        <v>0</v>
      </c>
      <c r="D36" s="66">
        <v>0</v>
      </c>
      <c r="E36" s="66">
        <v>0</v>
      </c>
      <c r="F36" s="66">
        <v>0</v>
      </c>
      <c r="G36" s="66">
        <v>0</v>
      </c>
      <c r="H36" s="66">
        <v>0</v>
      </c>
      <c r="I36" s="66">
        <v>0</v>
      </c>
      <c r="J36" s="66">
        <v>0</v>
      </c>
      <c r="K36" s="66">
        <v>0</v>
      </c>
      <c r="L36" s="66">
        <v>0</v>
      </c>
      <c r="M36" s="66">
        <v>0</v>
      </c>
      <c r="N36" s="67" t="s">
        <v>1094</v>
      </c>
      <c r="O36" s="67" t="s">
        <v>1094</v>
      </c>
      <c r="P36" s="67">
        <v>0</v>
      </c>
      <c r="Q36" s="67">
        <v>0</v>
      </c>
      <c r="R36" s="67">
        <v>0</v>
      </c>
    </row>
    <row r="37" spans="1:18" ht="15.75" x14ac:dyDescent="0.25">
      <c r="A37" s="11" t="s">
        <v>76</v>
      </c>
      <c r="B37" s="189" t="s">
        <v>77</v>
      </c>
      <c r="C37" s="66">
        <v>1.2766999999999999</v>
      </c>
      <c r="D37" s="66">
        <v>0</v>
      </c>
      <c r="E37" s="66">
        <v>3.2766999999999999</v>
      </c>
      <c r="F37" s="66">
        <v>1.2766999999999999</v>
      </c>
      <c r="G37" s="66">
        <v>2</v>
      </c>
      <c r="H37" s="66">
        <v>1.2766999999999999</v>
      </c>
      <c r="I37" s="66">
        <v>0</v>
      </c>
      <c r="J37" s="66">
        <v>3.2766999999999999</v>
      </c>
      <c r="K37" s="66">
        <v>1.2766999999999999</v>
      </c>
      <c r="L37" s="66">
        <v>0</v>
      </c>
      <c r="M37" s="66">
        <v>2</v>
      </c>
      <c r="N37" s="67">
        <v>100</v>
      </c>
      <c r="O37" s="67">
        <v>100</v>
      </c>
      <c r="P37" s="67">
        <v>61.037018951994384</v>
      </c>
      <c r="Q37" s="67">
        <v>0</v>
      </c>
      <c r="R37" s="67">
        <v>0</v>
      </c>
    </row>
    <row r="38" spans="1:18" ht="15.75" x14ac:dyDescent="0.25">
      <c r="A38" s="11" t="s">
        <v>79</v>
      </c>
      <c r="B38" s="189" t="s">
        <v>80</v>
      </c>
      <c r="C38" s="66">
        <v>50.4</v>
      </c>
      <c r="D38" s="66">
        <v>0</v>
      </c>
      <c r="E38" s="66">
        <v>71.400000000000006</v>
      </c>
      <c r="F38" s="66">
        <v>50.4</v>
      </c>
      <c r="G38" s="66">
        <v>21</v>
      </c>
      <c r="H38" s="66">
        <v>50.297939090000007</v>
      </c>
      <c r="I38" s="66">
        <v>0</v>
      </c>
      <c r="J38" s="66">
        <v>71.255413000000004</v>
      </c>
      <c r="K38" s="66">
        <v>50.297939090000007</v>
      </c>
      <c r="L38" s="66">
        <v>0</v>
      </c>
      <c r="M38" s="66">
        <v>20.957473910000001</v>
      </c>
      <c r="N38" s="67">
        <v>99.797498194444458</v>
      </c>
      <c r="O38" s="67">
        <v>99.797494809523812</v>
      </c>
      <c r="P38" s="67">
        <v>29.411764001704682</v>
      </c>
      <c r="Q38" s="67">
        <v>0</v>
      </c>
      <c r="R38" s="67">
        <v>0</v>
      </c>
    </row>
    <row r="39" spans="1:18" ht="15.75" x14ac:dyDescent="0.25">
      <c r="A39" s="11" t="s">
        <v>82</v>
      </c>
      <c r="B39" s="189" t="s">
        <v>83</v>
      </c>
      <c r="C39" s="66">
        <v>27.3477</v>
      </c>
      <c r="D39" s="66">
        <v>0</v>
      </c>
      <c r="E39" s="66">
        <v>30.38636</v>
      </c>
      <c r="F39" s="66">
        <v>27.3477</v>
      </c>
      <c r="G39" s="66">
        <v>3.0386600000000001</v>
      </c>
      <c r="H39" s="66">
        <v>27.3477</v>
      </c>
      <c r="I39" s="66">
        <v>0</v>
      </c>
      <c r="J39" s="66">
        <v>30.38636</v>
      </c>
      <c r="K39" s="66">
        <v>27.3477</v>
      </c>
      <c r="L39" s="66">
        <v>0</v>
      </c>
      <c r="M39" s="66">
        <v>3.0386600000000001</v>
      </c>
      <c r="N39" s="67">
        <v>100</v>
      </c>
      <c r="O39" s="67">
        <v>100</v>
      </c>
      <c r="P39" s="67">
        <v>10.000078982806759</v>
      </c>
      <c r="Q39" s="67">
        <v>0</v>
      </c>
      <c r="R39" s="67">
        <v>0</v>
      </c>
    </row>
    <row r="40" spans="1:18" ht="15.75" x14ac:dyDescent="0.25">
      <c r="A40" s="11" t="s">
        <v>85</v>
      </c>
      <c r="B40" s="189" t="s">
        <v>299</v>
      </c>
      <c r="C40" s="66">
        <v>0</v>
      </c>
      <c r="D40" s="66">
        <v>0</v>
      </c>
      <c r="E40" s="66">
        <v>0</v>
      </c>
      <c r="F40" s="66">
        <v>0</v>
      </c>
      <c r="G40" s="66">
        <v>0</v>
      </c>
      <c r="H40" s="66">
        <v>0</v>
      </c>
      <c r="I40" s="66">
        <v>0</v>
      </c>
      <c r="J40" s="66">
        <v>0</v>
      </c>
      <c r="K40" s="66">
        <v>0</v>
      </c>
      <c r="L40" s="66">
        <v>0</v>
      </c>
      <c r="M40" s="66">
        <v>0</v>
      </c>
      <c r="N40" s="67" t="s">
        <v>1094</v>
      </c>
      <c r="O40" s="67" t="s">
        <v>1094</v>
      </c>
      <c r="P40" s="67">
        <v>0</v>
      </c>
      <c r="Q40" s="67">
        <v>0</v>
      </c>
      <c r="R40" s="67">
        <v>0</v>
      </c>
    </row>
    <row r="41" spans="1:18" ht="15.75" x14ac:dyDescent="0.25">
      <c r="A41" s="11" t="s">
        <v>87</v>
      </c>
      <c r="B41" s="189" t="s">
        <v>88</v>
      </c>
      <c r="C41" s="66">
        <v>0</v>
      </c>
      <c r="D41" s="66">
        <v>0</v>
      </c>
      <c r="E41" s="66">
        <v>0</v>
      </c>
      <c r="F41" s="66">
        <v>0</v>
      </c>
      <c r="G41" s="66">
        <v>0</v>
      </c>
      <c r="H41" s="66">
        <v>0</v>
      </c>
      <c r="I41" s="66">
        <v>0</v>
      </c>
      <c r="J41" s="66">
        <v>0</v>
      </c>
      <c r="K41" s="66">
        <v>0</v>
      </c>
      <c r="L41" s="66">
        <v>0</v>
      </c>
      <c r="M41" s="66">
        <v>0</v>
      </c>
      <c r="N41" s="67" t="s">
        <v>1094</v>
      </c>
      <c r="O41" s="67" t="s">
        <v>1094</v>
      </c>
      <c r="P41" s="67">
        <v>0</v>
      </c>
      <c r="Q41" s="67">
        <v>0</v>
      </c>
      <c r="R41" s="67">
        <v>0</v>
      </c>
    </row>
    <row r="42" spans="1:18" ht="15.75" x14ac:dyDescent="0.25">
      <c r="A42" s="11" t="s">
        <v>90</v>
      </c>
      <c r="B42" s="189" t="s">
        <v>91</v>
      </c>
      <c r="C42" s="66">
        <v>55.364600000000003</v>
      </c>
      <c r="D42" s="66">
        <v>0</v>
      </c>
      <c r="E42" s="66">
        <v>77.364599999999996</v>
      </c>
      <c r="F42" s="66">
        <v>55.364600000000003</v>
      </c>
      <c r="G42" s="66">
        <v>22</v>
      </c>
      <c r="H42" s="66">
        <v>55.364600000000003</v>
      </c>
      <c r="I42" s="66">
        <v>0</v>
      </c>
      <c r="J42" s="66">
        <v>77.364599999999996</v>
      </c>
      <c r="K42" s="66">
        <v>55.364600000000003</v>
      </c>
      <c r="L42" s="66">
        <v>0</v>
      </c>
      <c r="M42" s="66">
        <v>22</v>
      </c>
      <c r="N42" s="67">
        <v>100</v>
      </c>
      <c r="O42" s="67">
        <v>100</v>
      </c>
      <c r="P42" s="67">
        <v>28.436778578316179</v>
      </c>
      <c r="Q42" s="67">
        <v>0</v>
      </c>
      <c r="R42" s="67">
        <v>0</v>
      </c>
    </row>
    <row r="43" spans="1:18" ht="15.75" x14ac:dyDescent="0.25">
      <c r="A43" s="68">
        <v>32</v>
      </c>
      <c r="B43" s="189" t="s">
        <v>93</v>
      </c>
      <c r="C43" s="66">
        <v>98.424499999999995</v>
      </c>
      <c r="D43" s="66">
        <v>0</v>
      </c>
      <c r="E43" s="66">
        <v>148.42449999999999</v>
      </c>
      <c r="F43" s="66">
        <v>98.424499999999995</v>
      </c>
      <c r="G43" s="66">
        <v>50</v>
      </c>
      <c r="H43" s="66">
        <v>98.424499999999995</v>
      </c>
      <c r="I43" s="66">
        <v>0</v>
      </c>
      <c r="J43" s="66">
        <v>148.42449999999999</v>
      </c>
      <c r="K43" s="66">
        <v>98.424499999999995</v>
      </c>
      <c r="L43" s="66">
        <v>0</v>
      </c>
      <c r="M43" s="66">
        <v>50</v>
      </c>
      <c r="N43" s="67">
        <v>100</v>
      </c>
      <c r="O43" s="67">
        <v>100</v>
      </c>
      <c r="P43" s="67">
        <v>33.687160812399568</v>
      </c>
      <c r="Q43" s="67">
        <v>0</v>
      </c>
      <c r="R43" s="67">
        <v>0</v>
      </c>
    </row>
    <row r="44" spans="1:18" s="62" customFormat="1" ht="15.75" x14ac:dyDescent="0.25">
      <c r="A44" s="70">
        <v>33</v>
      </c>
      <c r="B44" s="191" t="s">
        <v>95</v>
      </c>
      <c r="C44" s="61">
        <v>1504.9928</v>
      </c>
      <c r="D44" s="61">
        <v>0</v>
      </c>
      <c r="E44" s="61">
        <v>1845.572486</v>
      </c>
      <c r="F44" s="61">
        <v>1504.9928</v>
      </c>
      <c r="G44" s="61">
        <v>340.57968600000004</v>
      </c>
      <c r="H44" s="61">
        <v>1357.9061232199999</v>
      </c>
      <c r="I44" s="61">
        <v>5.2392936100000007</v>
      </c>
      <c r="J44" s="61">
        <v>1684.7455665800001</v>
      </c>
      <c r="K44" s="61">
        <v>1357.9061232199999</v>
      </c>
      <c r="L44" s="61">
        <v>0</v>
      </c>
      <c r="M44" s="61">
        <v>326.83944336000002</v>
      </c>
      <c r="N44" s="61">
        <v>90.226752129312501</v>
      </c>
      <c r="O44" s="61">
        <v>95.965630598414492</v>
      </c>
      <c r="P44" s="61">
        <v>19.399928977019218</v>
      </c>
      <c r="Q44" s="61">
        <v>5.2392936100000007</v>
      </c>
      <c r="R44" s="61">
        <v>3.5527136788005009E-15</v>
      </c>
    </row>
    <row r="45" spans="1:18" ht="15.75" x14ac:dyDescent="0.25">
      <c r="A45" s="72">
        <v>34</v>
      </c>
      <c r="B45" s="192" t="s">
        <v>97</v>
      </c>
      <c r="C45" s="66">
        <v>20.4712</v>
      </c>
      <c r="D45" s="66">
        <v>0</v>
      </c>
      <c r="E45" s="66">
        <v>29.6727062</v>
      </c>
      <c r="F45" s="66">
        <v>20.4712</v>
      </c>
      <c r="G45" s="66">
        <v>9.201506199999999</v>
      </c>
      <c r="H45" s="66">
        <v>20.4712</v>
      </c>
      <c r="I45" s="66">
        <v>0</v>
      </c>
      <c r="J45" s="66">
        <v>29.6727062</v>
      </c>
      <c r="K45" s="66">
        <v>20.4712</v>
      </c>
      <c r="L45" s="66">
        <v>0</v>
      </c>
      <c r="M45" s="66">
        <v>9.201506199999999</v>
      </c>
      <c r="N45" s="67">
        <v>100</v>
      </c>
      <c r="O45" s="67">
        <v>100</v>
      </c>
      <c r="P45" s="67">
        <v>31.010000024871339</v>
      </c>
      <c r="Q45" s="67">
        <v>0</v>
      </c>
      <c r="R45" s="67">
        <v>0</v>
      </c>
    </row>
    <row r="46" spans="1:18" ht="15.75" x14ac:dyDescent="0.25">
      <c r="A46" s="72">
        <v>35</v>
      </c>
      <c r="B46" s="192" t="s">
        <v>99</v>
      </c>
      <c r="C46" s="66">
        <v>205.14609999999999</v>
      </c>
      <c r="D46" s="66">
        <v>0</v>
      </c>
      <c r="E46" s="66">
        <v>237.96090940000002</v>
      </c>
      <c r="F46" s="66">
        <v>205.14609999999999</v>
      </c>
      <c r="G46" s="66">
        <v>32.814809400000001</v>
      </c>
      <c r="H46" s="66">
        <v>205.14609999999999</v>
      </c>
      <c r="I46" s="66">
        <v>5.2392936100000007</v>
      </c>
      <c r="J46" s="66">
        <v>237.96090940000002</v>
      </c>
      <c r="K46" s="66">
        <v>205.14609999999999</v>
      </c>
      <c r="L46" s="66">
        <v>0</v>
      </c>
      <c r="M46" s="66">
        <v>32.814809400000001</v>
      </c>
      <c r="N46" s="67">
        <v>100</v>
      </c>
      <c r="O46" s="67">
        <v>100</v>
      </c>
      <c r="P46" s="67">
        <v>13.789999997369314</v>
      </c>
      <c r="Q46" s="67">
        <v>5.2392936100000007</v>
      </c>
      <c r="R46" s="67">
        <v>3.5527136788005009E-15</v>
      </c>
    </row>
    <row r="47" spans="1:18" s="126" customFormat="1" ht="15.75" x14ac:dyDescent="0.25">
      <c r="A47" s="136">
        <v>36</v>
      </c>
      <c r="B47" s="189" t="s">
        <v>318</v>
      </c>
      <c r="C47" s="66">
        <v>258.0247</v>
      </c>
      <c r="D47" s="66">
        <v>0</v>
      </c>
      <c r="E47" s="66">
        <v>272.33510000000001</v>
      </c>
      <c r="F47" s="66">
        <v>258.0247</v>
      </c>
      <c r="G47" s="66">
        <v>14.3104</v>
      </c>
      <c r="H47" s="66">
        <v>153.29351918</v>
      </c>
      <c r="I47" s="66">
        <v>0</v>
      </c>
      <c r="J47" s="66">
        <v>161.79538621</v>
      </c>
      <c r="K47" s="66">
        <v>153.29351918</v>
      </c>
      <c r="L47" s="66">
        <v>0</v>
      </c>
      <c r="M47" s="66">
        <v>8.5018670299999997</v>
      </c>
      <c r="N47" s="67">
        <v>59.410404965106054</v>
      </c>
      <c r="O47" s="67">
        <v>59.410408024932913</v>
      </c>
      <c r="P47" s="67">
        <v>5.2547030104833299</v>
      </c>
      <c r="Q47" s="67">
        <v>0</v>
      </c>
      <c r="R47" s="67">
        <v>0</v>
      </c>
    </row>
    <row r="48" spans="1:18" ht="15.75" x14ac:dyDescent="0.25">
      <c r="A48" s="72">
        <v>37</v>
      </c>
      <c r="B48" s="192" t="s">
        <v>101</v>
      </c>
      <c r="C48" s="66">
        <v>141.27209999999999</v>
      </c>
      <c r="D48" s="66">
        <v>0</v>
      </c>
      <c r="E48" s="66">
        <v>184.15209999999999</v>
      </c>
      <c r="F48" s="66">
        <v>141.27209999999999</v>
      </c>
      <c r="G48" s="66">
        <v>42.88</v>
      </c>
      <c r="H48" s="66">
        <v>141.27209937000001</v>
      </c>
      <c r="I48" s="66">
        <v>0</v>
      </c>
      <c r="J48" s="66">
        <v>184.15209937</v>
      </c>
      <c r="K48" s="66">
        <v>141.27209937000001</v>
      </c>
      <c r="L48" s="66">
        <v>0</v>
      </c>
      <c r="M48" s="66">
        <v>42.88</v>
      </c>
      <c r="N48" s="67">
        <v>99.999999554052081</v>
      </c>
      <c r="O48" s="67">
        <v>100</v>
      </c>
      <c r="P48" s="67">
        <v>23.285099733696292</v>
      </c>
      <c r="Q48" s="67">
        <v>0</v>
      </c>
      <c r="R48" s="67">
        <v>0</v>
      </c>
    </row>
    <row r="49" spans="1:18" ht="15.75" x14ac:dyDescent="0.25">
      <c r="A49" s="72">
        <v>38</v>
      </c>
      <c r="B49" s="192" t="s">
        <v>103</v>
      </c>
      <c r="C49" s="66">
        <v>118.6557</v>
      </c>
      <c r="D49" s="66">
        <v>0</v>
      </c>
      <c r="E49" s="66">
        <v>143.40790430000001</v>
      </c>
      <c r="F49" s="66">
        <v>118.6557</v>
      </c>
      <c r="G49" s="66">
        <v>24.752204300000002</v>
      </c>
      <c r="H49" s="66">
        <v>118.6557</v>
      </c>
      <c r="I49" s="66">
        <v>0</v>
      </c>
      <c r="J49" s="66">
        <v>143.40790430000001</v>
      </c>
      <c r="K49" s="66">
        <v>118.6557</v>
      </c>
      <c r="L49" s="66">
        <v>0</v>
      </c>
      <c r="M49" s="66">
        <v>24.752204300000002</v>
      </c>
      <c r="N49" s="67">
        <v>100</v>
      </c>
      <c r="O49" s="67">
        <v>100</v>
      </c>
      <c r="P49" s="67">
        <v>17.260000012426094</v>
      </c>
      <c r="Q49" s="67">
        <v>0</v>
      </c>
      <c r="R49" s="67">
        <v>0</v>
      </c>
    </row>
    <row r="50" spans="1:18" ht="15.75" x14ac:dyDescent="0.25">
      <c r="A50" s="72">
        <v>39</v>
      </c>
      <c r="B50" s="192" t="s">
        <v>105</v>
      </c>
      <c r="C50" s="66">
        <v>479.74520000000001</v>
      </c>
      <c r="D50" s="66">
        <v>0</v>
      </c>
      <c r="E50" s="66">
        <v>639.74556610000002</v>
      </c>
      <c r="F50" s="66">
        <v>479.74520000000001</v>
      </c>
      <c r="G50" s="66">
        <v>160.00036610000001</v>
      </c>
      <c r="H50" s="66">
        <v>464.15341481000002</v>
      </c>
      <c r="I50" s="66">
        <v>0</v>
      </c>
      <c r="J50" s="66">
        <v>618.95339196999998</v>
      </c>
      <c r="K50" s="66">
        <v>464.15341481000002</v>
      </c>
      <c r="L50" s="66">
        <v>0</v>
      </c>
      <c r="M50" s="66">
        <v>154.79997716</v>
      </c>
      <c r="N50" s="67">
        <v>96.749986203092803</v>
      </c>
      <c r="O50" s="67">
        <v>96.749764349445442</v>
      </c>
      <c r="P50" s="67">
        <v>25.009956996487869</v>
      </c>
      <c r="Q50" s="67">
        <v>0</v>
      </c>
      <c r="R50" s="67">
        <v>0</v>
      </c>
    </row>
    <row r="51" spans="1:18" s="126" customFormat="1" ht="15.75" x14ac:dyDescent="0.25">
      <c r="A51" s="68">
        <v>40</v>
      </c>
      <c r="B51" s="192" t="s">
        <v>107</v>
      </c>
      <c r="C51" s="66">
        <v>230.86330000000001</v>
      </c>
      <c r="D51" s="66">
        <v>0</v>
      </c>
      <c r="E51" s="66">
        <v>282.298</v>
      </c>
      <c r="F51" s="66">
        <v>230.86330000000001</v>
      </c>
      <c r="G51" s="66">
        <v>51.434699999999999</v>
      </c>
      <c r="H51" s="66">
        <v>230.86329308000001</v>
      </c>
      <c r="I51" s="66">
        <v>0</v>
      </c>
      <c r="J51" s="66">
        <v>282.29799305</v>
      </c>
      <c r="K51" s="66">
        <v>230.86329308000001</v>
      </c>
      <c r="L51" s="66">
        <v>0</v>
      </c>
      <c r="M51" s="66">
        <v>51.434699969999997</v>
      </c>
      <c r="N51" s="67">
        <v>99.99999700255519</v>
      </c>
      <c r="O51" s="67">
        <v>99.999999941673607</v>
      </c>
      <c r="P51" s="67">
        <v>18.220001996574588</v>
      </c>
      <c r="Q51" s="67">
        <v>0</v>
      </c>
      <c r="R51" s="67">
        <v>0</v>
      </c>
    </row>
    <row r="52" spans="1:18" ht="15.75" x14ac:dyDescent="0.25">
      <c r="A52" s="136">
        <v>41</v>
      </c>
      <c r="B52" s="189" t="s">
        <v>319</v>
      </c>
      <c r="C52" s="66">
        <v>50.814500000000002</v>
      </c>
      <c r="D52" s="66">
        <v>0</v>
      </c>
      <c r="E52" s="66">
        <v>56.0002</v>
      </c>
      <c r="F52" s="66">
        <v>50.814500000000002</v>
      </c>
      <c r="G52" s="66">
        <v>5.1856999999999998</v>
      </c>
      <c r="H52" s="66">
        <v>24.050796780000002</v>
      </c>
      <c r="I52" s="66">
        <v>0</v>
      </c>
      <c r="J52" s="66">
        <v>26.505176079999998</v>
      </c>
      <c r="K52" s="66">
        <v>24.050796780000002</v>
      </c>
      <c r="L52" s="66">
        <v>0</v>
      </c>
      <c r="M52" s="66">
        <v>2.4543792999999998</v>
      </c>
      <c r="N52" s="67">
        <v>47.330578437257088</v>
      </c>
      <c r="O52" s="67">
        <v>47.329758759665999</v>
      </c>
      <c r="P52" s="67">
        <v>9.259999981105576</v>
      </c>
      <c r="Q52" s="67">
        <v>0</v>
      </c>
      <c r="R52" s="67">
        <v>0</v>
      </c>
    </row>
    <row r="53" spans="1:18" s="62" customFormat="1" ht="15.75" x14ac:dyDescent="0.25">
      <c r="A53" s="70">
        <v>42</v>
      </c>
      <c r="B53" s="193" t="s">
        <v>109</v>
      </c>
      <c r="C53" s="61">
        <v>811.98850000000004</v>
      </c>
      <c r="D53" s="61">
        <v>0</v>
      </c>
      <c r="E53" s="61">
        <v>926.19114869999999</v>
      </c>
      <c r="F53" s="61">
        <v>811.98850000000004</v>
      </c>
      <c r="G53" s="61">
        <v>114.2026487</v>
      </c>
      <c r="H53" s="61">
        <v>811.98849834000009</v>
      </c>
      <c r="I53" s="61">
        <v>0</v>
      </c>
      <c r="J53" s="61">
        <v>926.18749456</v>
      </c>
      <c r="K53" s="61">
        <v>811.98849834000009</v>
      </c>
      <c r="L53" s="61">
        <v>0</v>
      </c>
      <c r="M53" s="61">
        <v>114.19899622</v>
      </c>
      <c r="N53" s="61">
        <v>99.99999979556361</v>
      </c>
      <c r="O53" s="61">
        <v>99.996801755439492</v>
      </c>
      <c r="P53" s="61">
        <v>12.330008436817865</v>
      </c>
      <c r="Q53" s="61">
        <v>0</v>
      </c>
      <c r="R53" s="61">
        <v>0</v>
      </c>
    </row>
    <row r="54" spans="1:18" ht="15.75" x14ac:dyDescent="0.25">
      <c r="A54" s="72">
        <v>43</v>
      </c>
      <c r="B54" s="192" t="s">
        <v>111</v>
      </c>
      <c r="C54" s="66">
        <v>164.11500000000001</v>
      </c>
      <c r="D54" s="66">
        <v>0</v>
      </c>
      <c r="E54" s="66">
        <v>180.11500000000001</v>
      </c>
      <c r="F54" s="66">
        <v>164.11500000000001</v>
      </c>
      <c r="G54" s="66">
        <v>16</v>
      </c>
      <c r="H54" s="66">
        <v>164.11500000000001</v>
      </c>
      <c r="I54" s="66">
        <v>0</v>
      </c>
      <c r="J54" s="66">
        <v>180.11500000000001</v>
      </c>
      <c r="K54" s="66">
        <v>164.11500000000001</v>
      </c>
      <c r="L54" s="66">
        <v>0</v>
      </c>
      <c r="M54" s="66">
        <v>16</v>
      </c>
      <c r="N54" s="67">
        <v>100</v>
      </c>
      <c r="O54" s="67">
        <v>100</v>
      </c>
      <c r="P54" s="67">
        <v>8.8832135024845229</v>
      </c>
      <c r="Q54" s="67">
        <v>0</v>
      </c>
      <c r="R54" s="67">
        <v>0</v>
      </c>
    </row>
    <row r="55" spans="1:18" ht="15.75" x14ac:dyDescent="0.25">
      <c r="A55" s="72">
        <v>44</v>
      </c>
      <c r="B55" s="192" t="s">
        <v>113</v>
      </c>
      <c r="C55" s="66">
        <v>47.171399999999998</v>
      </c>
      <c r="D55" s="66">
        <v>0</v>
      </c>
      <c r="E55" s="66">
        <v>56.641399999999997</v>
      </c>
      <c r="F55" s="66">
        <v>47.171399999999998</v>
      </c>
      <c r="G55" s="66">
        <v>9.4700000000000006</v>
      </c>
      <c r="H55" s="66">
        <v>47.171399999999998</v>
      </c>
      <c r="I55" s="66">
        <v>0</v>
      </c>
      <c r="J55" s="66">
        <v>56.641399999999997</v>
      </c>
      <c r="K55" s="66">
        <v>47.171399999999998</v>
      </c>
      <c r="L55" s="66">
        <v>0</v>
      </c>
      <c r="M55" s="66">
        <v>9.4700000000000006</v>
      </c>
      <c r="N55" s="67">
        <v>100</v>
      </c>
      <c r="O55" s="67">
        <v>100</v>
      </c>
      <c r="P55" s="67">
        <v>16.719219510817179</v>
      </c>
      <c r="Q55" s="67">
        <v>0</v>
      </c>
      <c r="R55" s="67">
        <v>0</v>
      </c>
    </row>
    <row r="56" spans="1:18" ht="31.5" x14ac:dyDescent="0.25">
      <c r="A56" s="72">
        <v>45</v>
      </c>
      <c r="B56" s="192" t="s">
        <v>115</v>
      </c>
      <c r="C56" s="66">
        <v>231.09569999999999</v>
      </c>
      <c r="D56" s="66">
        <v>0</v>
      </c>
      <c r="E56" s="66">
        <v>256.77300000000002</v>
      </c>
      <c r="F56" s="66">
        <v>231.09569999999999</v>
      </c>
      <c r="G56" s="66">
        <v>25.677299999999999</v>
      </c>
      <c r="H56" s="66">
        <v>231.09569999000001</v>
      </c>
      <c r="I56" s="66">
        <v>0</v>
      </c>
      <c r="J56" s="66">
        <v>256.77299999000002</v>
      </c>
      <c r="K56" s="66">
        <v>231.09569999000001</v>
      </c>
      <c r="L56" s="66">
        <v>0</v>
      </c>
      <c r="M56" s="66">
        <v>25.677299999999999</v>
      </c>
      <c r="N56" s="67">
        <v>99.999999995672795</v>
      </c>
      <c r="O56" s="67">
        <v>100</v>
      </c>
      <c r="P56" s="67">
        <v>10.000000000389447</v>
      </c>
      <c r="Q56" s="67">
        <v>0</v>
      </c>
      <c r="R56" s="67">
        <v>0</v>
      </c>
    </row>
    <row r="57" spans="1:18" ht="31.5" x14ac:dyDescent="0.25">
      <c r="A57" s="72">
        <v>46</v>
      </c>
      <c r="B57" s="192" t="s">
        <v>117</v>
      </c>
      <c r="C57" s="66">
        <v>7.7462999999999997</v>
      </c>
      <c r="D57" s="66">
        <v>0</v>
      </c>
      <c r="E57" s="66">
        <v>8.6069999999999993</v>
      </c>
      <c r="F57" s="66">
        <v>7.7462999999999997</v>
      </c>
      <c r="G57" s="66">
        <v>0.86070000000000002</v>
      </c>
      <c r="H57" s="66">
        <v>7.7462999999999997</v>
      </c>
      <c r="I57" s="66">
        <v>0</v>
      </c>
      <c r="J57" s="66">
        <v>8.6069999999999993</v>
      </c>
      <c r="K57" s="66">
        <v>7.7462999999999997</v>
      </c>
      <c r="L57" s="66">
        <v>0</v>
      </c>
      <c r="M57" s="66">
        <v>0.86070000000000002</v>
      </c>
      <c r="N57" s="67">
        <v>100</v>
      </c>
      <c r="O57" s="67">
        <v>100</v>
      </c>
      <c r="P57" s="67">
        <v>10</v>
      </c>
      <c r="Q57" s="67">
        <v>0</v>
      </c>
      <c r="R57" s="67">
        <v>0</v>
      </c>
    </row>
    <row r="58" spans="1:18" ht="31.5" x14ac:dyDescent="0.25">
      <c r="A58" s="72">
        <v>47</v>
      </c>
      <c r="B58" s="192" t="s">
        <v>119</v>
      </c>
      <c r="C58" s="66">
        <v>26.118400000000001</v>
      </c>
      <c r="D58" s="66">
        <v>0</v>
      </c>
      <c r="E58" s="66">
        <v>30.402048699999998</v>
      </c>
      <c r="F58" s="66">
        <v>26.118400000000001</v>
      </c>
      <c r="G58" s="66">
        <v>4.2836487000000005</v>
      </c>
      <c r="H58" s="66">
        <v>26.118400000000001</v>
      </c>
      <c r="I58" s="66">
        <v>0</v>
      </c>
      <c r="J58" s="66">
        <v>30.402048699999998</v>
      </c>
      <c r="K58" s="66">
        <v>26.118400000000001</v>
      </c>
      <c r="L58" s="66">
        <v>0</v>
      </c>
      <c r="M58" s="66">
        <v>4.2836487000000005</v>
      </c>
      <c r="N58" s="67">
        <v>100</v>
      </c>
      <c r="O58" s="67">
        <v>100</v>
      </c>
      <c r="P58" s="67">
        <v>14.090000125550754</v>
      </c>
      <c r="Q58" s="67">
        <v>0</v>
      </c>
      <c r="R58" s="67">
        <v>0</v>
      </c>
    </row>
    <row r="59" spans="1:18" ht="15.75" x14ac:dyDescent="0.25">
      <c r="A59" s="11">
        <v>48</v>
      </c>
      <c r="B59" s="192" t="s">
        <v>122</v>
      </c>
      <c r="C59" s="66">
        <v>155.5566</v>
      </c>
      <c r="D59" s="66">
        <v>0</v>
      </c>
      <c r="E59" s="66">
        <v>187.6926</v>
      </c>
      <c r="F59" s="66">
        <v>155.5566</v>
      </c>
      <c r="G59" s="66">
        <v>32.136000000000003</v>
      </c>
      <c r="H59" s="66">
        <v>155.55659835</v>
      </c>
      <c r="I59" s="66">
        <v>0</v>
      </c>
      <c r="J59" s="66">
        <v>187.68894587</v>
      </c>
      <c r="K59" s="66">
        <v>155.55659835</v>
      </c>
      <c r="L59" s="66">
        <v>0</v>
      </c>
      <c r="M59" s="66">
        <v>32.132347519999996</v>
      </c>
      <c r="N59" s="67">
        <v>99.999998939292837</v>
      </c>
      <c r="O59" s="67">
        <v>99.988634304207096</v>
      </c>
      <c r="P59" s="67">
        <v>17.119999993103484</v>
      </c>
      <c r="Q59" s="67">
        <v>0</v>
      </c>
      <c r="R59" s="67">
        <v>0</v>
      </c>
    </row>
    <row r="60" spans="1:18" ht="15.75" x14ac:dyDescent="0.25">
      <c r="A60" s="74">
        <v>49</v>
      </c>
      <c r="B60" s="192" t="s">
        <v>125</v>
      </c>
      <c r="C60" s="66">
        <v>180.18510000000001</v>
      </c>
      <c r="D60" s="66">
        <v>0</v>
      </c>
      <c r="E60" s="66">
        <v>205.96010000000001</v>
      </c>
      <c r="F60" s="66">
        <v>180.18510000000001</v>
      </c>
      <c r="G60" s="66">
        <v>25.774999999999999</v>
      </c>
      <c r="H60" s="66">
        <v>180.18510000000001</v>
      </c>
      <c r="I60" s="66">
        <v>0</v>
      </c>
      <c r="J60" s="66">
        <v>205.96010000000001</v>
      </c>
      <c r="K60" s="66">
        <v>180.18510000000001</v>
      </c>
      <c r="L60" s="66">
        <v>0</v>
      </c>
      <c r="M60" s="66">
        <v>25.774999999999999</v>
      </c>
      <c r="N60" s="67">
        <v>100</v>
      </c>
      <c r="O60" s="67">
        <v>100</v>
      </c>
      <c r="P60" s="67">
        <v>12.514559858924128</v>
      </c>
      <c r="Q60" s="67">
        <v>0</v>
      </c>
      <c r="R60" s="67">
        <v>0</v>
      </c>
    </row>
    <row r="61" spans="1:18" s="62" customFormat="1" ht="15.75" x14ac:dyDescent="0.25">
      <c r="A61" s="57">
        <v>50</v>
      </c>
      <c r="B61" s="190" t="s">
        <v>128</v>
      </c>
      <c r="C61" s="61">
        <v>1061.2148999999999</v>
      </c>
      <c r="D61" s="61">
        <v>0</v>
      </c>
      <c r="E61" s="61">
        <v>1328.8695910399999</v>
      </c>
      <c r="F61" s="61">
        <v>1061.2148999999999</v>
      </c>
      <c r="G61" s="61">
        <v>267.65469103999999</v>
      </c>
      <c r="H61" s="61">
        <v>1057.3398868899999</v>
      </c>
      <c r="I61" s="61">
        <v>0.84576832999999996</v>
      </c>
      <c r="J61" s="61">
        <v>1319.1798807600001</v>
      </c>
      <c r="K61" s="61">
        <v>1057.3398868899999</v>
      </c>
      <c r="L61" s="61">
        <v>0</v>
      </c>
      <c r="M61" s="61">
        <v>261.83999387</v>
      </c>
      <c r="N61" s="61">
        <v>99.634851234184524</v>
      </c>
      <c r="O61" s="61">
        <v>97.827537732514088</v>
      </c>
      <c r="P61" s="61">
        <v>19.848695215026314</v>
      </c>
      <c r="Q61" s="61">
        <v>0.84576832999999996</v>
      </c>
      <c r="R61" s="61">
        <v>0</v>
      </c>
    </row>
    <row r="62" spans="1:18" ht="15.75" x14ac:dyDescent="0.25">
      <c r="A62" s="11">
        <v>51</v>
      </c>
      <c r="B62" s="189" t="s">
        <v>131</v>
      </c>
      <c r="C62" s="66">
        <v>25.263100000000001</v>
      </c>
      <c r="D62" s="66">
        <v>0</v>
      </c>
      <c r="E62" s="66">
        <v>55.268212640000002</v>
      </c>
      <c r="F62" s="66">
        <v>25.263100000000001</v>
      </c>
      <c r="G62" s="66">
        <v>30.00511264</v>
      </c>
      <c r="H62" s="66">
        <v>25.00927145</v>
      </c>
      <c r="I62" s="66">
        <v>0</v>
      </c>
      <c r="J62" s="66">
        <v>54.712910640000004</v>
      </c>
      <c r="K62" s="66">
        <v>25.00927145</v>
      </c>
      <c r="L62" s="66">
        <v>0</v>
      </c>
      <c r="M62" s="66">
        <v>29.703639190000001</v>
      </c>
      <c r="N62" s="67">
        <v>98.995259687053434</v>
      </c>
      <c r="O62" s="67">
        <v>98.99525972917661</v>
      </c>
      <c r="P62" s="67">
        <v>54.290000006477449</v>
      </c>
      <c r="Q62" s="67">
        <v>0</v>
      </c>
      <c r="R62" s="67">
        <v>0</v>
      </c>
    </row>
    <row r="63" spans="1:18" ht="15.75" x14ac:dyDescent="0.25">
      <c r="A63" s="11">
        <v>52</v>
      </c>
      <c r="B63" s="189" t="s">
        <v>134</v>
      </c>
      <c r="C63" s="66">
        <v>0</v>
      </c>
      <c r="D63" s="66">
        <v>0</v>
      </c>
      <c r="E63" s="66">
        <v>0</v>
      </c>
      <c r="F63" s="66">
        <v>0</v>
      </c>
      <c r="G63" s="66">
        <v>0</v>
      </c>
      <c r="H63" s="66">
        <v>0</v>
      </c>
      <c r="I63" s="66">
        <v>0</v>
      </c>
      <c r="J63" s="66">
        <v>0</v>
      </c>
      <c r="K63" s="66">
        <v>0</v>
      </c>
      <c r="L63" s="66">
        <v>0</v>
      </c>
      <c r="M63" s="66">
        <v>0</v>
      </c>
      <c r="N63" s="67" t="s">
        <v>1094</v>
      </c>
      <c r="O63" s="67" t="s">
        <v>1094</v>
      </c>
      <c r="P63" s="67">
        <v>0</v>
      </c>
      <c r="Q63" s="67">
        <v>0</v>
      </c>
      <c r="R63" s="67">
        <v>0</v>
      </c>
    </row>
    <row r="64" spans="1:18" ht="15.75" x14ac:dyDescent="0.25">
      <c r="A64" s="11">
        <v>53</v>
      </c>
      <c r="B64" s="189" t="s">
        <v>137</v>
      </c>
      <c r="C64" s="66">
        <v>33.875500000000002</v>
      </c>
      <c r="D64" s="66">
        <v>0</v>
      </c>
      <c r="E64" s="66">
        <v>47.420499999999997</v>
      </c>
      <c r="F64" s="66">
        <v>33.875500000000002</v>
      </c>
      <c r="G64" s="66">
        <v>13.545</v>
      </c>
      <c r="H64" s="66">
        <v>33.875500000000002</v>
      </c>
      <c r="I64" s="66">
        <v>0</v>
      </c>
      <c r="J64" s="66">
        <v>47.420499999999997</v>
      </c>
      <c r="K64" s="66">
        <v>33.875500000000002</v>
      </c>
      <c r="L64" s="66">
        <v>0</v>
      </c>
      <c r="M64" s="66">
        <v>13.545</v>
      </c>
      <c r="N64" s="67">
        <v>100</v>
      </c>
      <c r="O64" s="67">
        <v>100</v>
      </c>
      <c r="P64" s="67">
        <v>28.563595913159922</v>
      </c>
      <c r="Q64" s="67">
        <v>0</v>
      </c>
      <c r="R64" s="67">
        <v>0</v>
      </c>
    </row>
    <row r="65" spans="1:18" ht="15.75" x14ac:dyDescent="0.25">
      <c r="A65" s="11">
        <v>54</v>
      </c>
      <c r="B65" s="189" t="s">
        <v>140</v>
      </c>
      <c r="C65" s="66">
        <v>68.222899999999996</v>
      </c>
      <c r="D65" s="66">
        <v>0</v>
      </c>
      <c r="E65" s="66">
        <v>94.622900000000001</v>
      </c>
      <c r="F65" s="66">
        <v>68.222899999999996</v>
      </c>
      <c r="G65" s="66">
        <v>26.4</v>
      </c>
      <c r="H65" s="66">
        <v>68.222899999999996</v>
      </c>
      <c r="I65" s="66">
        <v>0</v>
      </c>
      <c r="J65" s="66">
        <v>94.622900000000001</v>
      </c>
      <c r="K65" s="66">
        <v>68.222899999999996</v>
      </c>
      <c r="L65" s="66">
        <v>0</v>
      </c>
      <c r="M65" s="66">
        <v>26.4</v>
      </c>
      <c r="N65" s="67">
        <v>100</v>
      </c>
      <c r="O65" s="67">
        <v>100</v>
      </c>
      <c r="P65" s="67">
        <v>27.900222884735086</v>
      </c>
      <c r="Q65" s="67">
        <v>0</v>
      </c>
      <c r="R65" s="67">
        <v>0</v>
      </c>
    </row>
    <row r="66" spans="1:18" ht="15.75" x14ac:dyDescent="0.25">
      <c r="A66" s="11">
        <v>55</v>
      </c>
      <c r="B66" s="189" t="s">
        <v>143</v>
      </c>
      <c r="C66" s="66">
        <v>0</v>
      </c>
      <c r="D66" s="66">
        <v>0</v>
      </c>
      <c r="E66" s="66">
        <v>0</v>
      </c>
      <c r="F66" s="66">
        <v>0</v>
      </c>
      <c r="G66" s="66">
        <v>0</v>
      </c>
      <c r="H66" s="66">
        <v>0</v>
      </c>
      <c r="I66" s="66">
        <v>0</v>
      </c>
      <c r="J66" s="66">
        <v>0</v>
      </c>
      <c r="K66" s="66">
        <v>0</v>
      </c>
      <c r="L66" s="66">
        <v>0</v>
      </c>
      <c r="M66" s="66">
        <v>0</v>
      </c>
      <c r="N66" s="67" t="s">
        <v>1094</v>
      </c>
      <c r="O66" s="67" t="s">
        <v>1094</v>
      </c>
      <c r="P66" s="67">
        <v>0</v>
      </c>
      <c r="Q66" s="67">
        <v>0</v>
      </c>
      <c r="R66" s="67">
        <v>0</v>
      </c>
    </row>
    <row r="67" spans="1:18" ht="15.75" x14ac:dyDescent="0.25">
      <c r="A67" s="11">
        <v>56</v>
      </c>
      <c r="B67" s="189" t="s">
        <v>146</v>
      </c>
      <c r="C67" s="66">
        <v>0</v>
      </c>
      <c r="D67" s="66">
        <v>0</v>
      </c>
      <c r="E67" s="66">
        <v>0</v>
      </c>
      <c r="F67" s="66">
        <v>0</v>
      </c>
      <c r="G67" s="66">
        <v>0</v>
      </c>
      <c r="H67" s="66">
        <v>0</v>
      </c>
      <c r="I67" s="66">
        <v>0.84576832999999996</v>
      </c>
      <c r="J67" s="66">
        <v>0</v>
      </c>
      <c r="K67" s="66">
        <v>0</v>
      </c>
      <c r="L67" s="66">
        <v>0</v>
      </c>
      <c r="M67" s="66">
        <v>0</v>
      </c>
      <c r="N67" s="67" t="s">
        <v>1094</v>
      </c>
      <c r="O67" s="67" t="s">
        <v>1094</v>
      </c>
      <c r="P67" s="67">
        <v>0</v>
      </c>
      <c r="Q67" s="67">
        <v>0.84576832999999996</v>
      </c>
      <c r="R67" s="67">
        <v>0</v>
      </c>
    </row>
    <row r="68" spans="1:18" ht="15.75" x14ac:dyDescent="0.25">
      <c r="A68" s="11">
        <v>57</v>
      </c>
      <c r="B68" s="189" t="s">
        <v>149</v>
      </c>
      <c r="C68" s="66">
        <v>2.7153</v>
      </c>
      <c r="D68" s="66">
        <v>0</v>
      </c>
      <c r="E68" s="66">
        <v>8.1152999999999995</v>
      </c>
      <c r="F68" s="66">
        <v>2.7153</v>
      </c>
      <c r="G68" s="66">
        <v>5.4</v>
      </c>
      <c r="H68" s="66">
        <v>0.17612135999999998</v>
      </c>
      <c r="I68" s="66">
        <v>0</v>
      </c>
      <c r="J68" s="66">
        <v>0.52637929999999999</v>
      </c>
      <c r="K68" s="66">
        <v>0.17612135999999998</v>
      </c>
      <c r="L68" s="66">
        <v>0</v>
      </c>
      <c r="M68" s="66">
        <v>0.35025793999999999</v>
      </c>
      <c r="N68" s="67">
        <v>6.486257872058335</v>
      </c>
      <c r="O68" s="67">
        <v>6.4862581481481483</v>
      </c>
      <c r="P68" s="67">
        <v>66.540979100051999</v>
      </c>
      <c r="Q68" s="67">
        <v>0</v>
      </c>
      <c r="R68" s="67">
        <v>0</v>
      </c>
    </row>
    <row r="69" spans="1:18" ht="15.75" x14ac:dyDescent="0.25">
      <c r="A69" s="11">
        <v>58</v>
      </c>
      <c r="B69" s="189" t="s">
        <v>152</v>
      </c>
      <c r="C69" s="66">
        <v>0</v>
      </c>
      <c r="D69" s="66">
        <v>0</v>
      </c>
      <c r="E69" s="66">
        <v>0</v>
      </c>
      <c r="F69" s="66">
        <v>0</v>
      </c>
      <c r="G69" s="66">
        <v>0</v>
      </c>
      <c r="H69" s="66">
        <v>0</v>
      </c>
      <c r="I69" s="66">
        <v>0</v>
      </c>
      <c r="J69" s="66">
        <v>0</v>
      </c>
      <c r="K69" s="66">
        <v>0</v>
      </c>
      <c r="L69" s="66">
        <v>0</v>
      </c>
      <c r="M69" s="66">
        <v>0</v>
      </c>
      <c r="N69" s="67" t="s">
        <v>1094</v>
      </c>
      <c r="O69" s="67" t="s">
        <v>1094</v>
      </c>
      <c r="P69" s="67">
        <v>0</v>
      </c>
      <c r="Q69" s="67">
        <v>0</v>
      </c>
      <c r="R69" s="67">
        <v>0</v>
      </c>
    </row>
    <row r="70" spans="1:18" ht="15.75" x14ac:dyDescent="0.25">
      <c r="A70" s="11">
        <v>59</v>
      </c>
      <c r="B70" s="189" t="s">
        <v>155</v>
      </c>
      <c r="C70" s="66">
        <v>36</v>
      </c>
      <c r="D70" s="66">
        <v>0</v>
      </c>
      <c r="E70" s="66">
        <v>40</v>
      </c>
      <c r="F70" s="66">
        <v>36</v>
      </c>
      <c r="G70" s="66">
        <v>4</v>
      </c>
      <c r="H70" s="66">
        <v>36</v>
      </c>
      <c r="I70" s="66">
        <v>0</v>
      </c>
      <c r="J70" s="66">
        <v>40</v>
      </c>
      <c r="K70" s="66">
        <v>36</v>
      </c>
      <c r="L70" s="66">
        <v>0</v>
      </c>
      <c r="M70" s="66">
        <v>4</v>
      </c>
      <c r="N70" s="67">
        <v>100</v>
      </c>
      <c r="O70" s="67">
        <v>100</v>
      </c>
      <c r="P70" s="67">
        <v>10</v>
      </c>
      <c r="Q70" s="67">
        <v>0</v>
      </c>
      <c r="R70" s="67">
        <v>0</v>
      </c>
    </row>
    <row r="71" spans="1:18" ht="15.75" x14ac:dyDescent="0.25">
      <c r="A71" s="11">
        <v>60</v>
      </c>
      <c r="B71" s="189" t="s">
        <v>158</v>
      </c>
      <c r="C71" s="66">
        <v>74.302800000000005</v>
      </c>
      <c r="D71" s="66">
        <v>0</v>
      </c>
      <c r="E71" s="66">
        <v>110.5039</v>
      </c>
      <c r="F71" s="66">
        <v>74.302800000000005</v>
      </c>
      <c r="G71" s="66">
        <v>36.201099999999997</v>
      </c>
      <c r="H71" s="66">
        <v>74.302800000000005</v>
      </c>
      <c r="I71" s="66">
        <v>0</v>
      </c>
      <c r="J71" s="66">
        <v>110.5039</v>
      </c>
      <c r="K71" s="66">
        <v>74.302800000000005</v>
      </c>
      <c r="L71" s="66">
        <v>0</v>
      </c>
      <c r="M71" s="66">
        <v>36.201099999999997</v>
      </c>
      <c r="N71" s="67">
        <v>100</v>
      </c>
      <c r="O71" s="67">
        <v>100</v>
      </c>
      <c r="P71" s="67">
        <v>32.760020234579947</v>
      </c>
      <c r="Q71" s="67">
        <v>0</v>
      </c>
      <c r="R71" s="67">
        <v>0</v>
      </c>
    </row>
    <row r="72" spans="1:18" ht="15.75" x14ac:dyDescent="0.25">
      <c r="A72" s="11">
        <v>61</v>
      </c>
      <c r="B72" s="189" t="s">
        <v>161</v>
      </c>
      <c r="C72" s="66">
        <v>77.0321</v>
      </c>
      <c r="D72" s="66">
        <v>0</v>
      </c>
      <c r="E72" s="66">
        <v>85.734200000000001</v>
      </c>
      <c r="F72" s="66">
        <v>77.0321</v>
      </c>
      <c r="G72" s="66">
        <v>8.7020999999999997</v>
      </c>
      <c r="H72" s="66">
        <v>77.0321</v>
      </c>
      <c r="I72" s="66">
        <v>0</v>
      </c>
      <c r="J72" s="66">
        <v>85.734112420000002</v>
      </c>
      <c r="K72" s="66">
        <v>77.0321</v>
      </c>
      <c r="L72" s="66">
        <v>0</v>
      </c>
      <c r="M72" s="66">
        <v>8.7020124199999991</v>
      </c>
      <c r="N72" s="67">
        <v>100</v>
      </c>
      <c r="O72" s="67">
        <v>99.998993576263189</v>
      </c>
      <c r="P72" s="67">
        <v>10.150000010929137</v>
      </c>
      <c r="Q72" s="67">
        <v>0</v>
      </c>
      <c r="R72" s="67">
        <v>0</v>
      </c>
    </row>
    <row r="73" spans="1:18" ht="15.75" x14ac:dyDescent="0.25">
      <c r="A73" s="11">
        <v>62</v>
      </c>
      <c r="B73" s="189" t="s">
        <v>164</v>
      </c>
      <c r="C73" s="66">
        <v>20.677900000000001</v>
      </c>
      <c r="D73" s="66">
        <v>0</v>
      </c>
      <c r="E73" s="66">
        <v>75.770978400000004</v>
      </c>
      <c r="F73" s="66">
        <v>20.677900000000001</v>
      </c>
      <c r="G73" s="66">
        <v>55.093078399999996</v>
      </c>
      <c r="H73" s="66">
        <v>20.677900000000001</v>
      </c>
      <c r="I73" s="66">
        <v>0</v>
      </c>
      <c r="J73" s="66">
        <v>75.770978400000004</v>
      </c>
      <c r="K73" s="66">
        <v>20.677900000000001</v>
      </c>
      <c r="L73" s="66">
        <v>0</v>
      </c>
      <c r="M73" s="66">
        <v>55.093078399999996</v>
      </c>
      <c r="N73" s="67">
        <v>100</v>
      </c>
      <c r="O73" s="67">
        <v>100</v>
      </c>
      <c r="P73" s="67">
        <v>72.710000007073944</v>
      </c>
      <c r="Q73" s="67">
        <v>0</v>
      </c>
      <c r="R73" s="67">
        <v>0</v>
      </c>
    </row>
    <row r="74" spans="1:18" ht="15.75" x14ac:dyDescent="0.25">
      <c r="A74" s="11">
        <v>63</v>
      </c>
      <c r="B74" s="189" t="s">
        <v>167</v>
      </c>
      <c r="C74" s="66">
        <v>698.02449999999999</v>
      </c>
      <c r="D74" s="66">
        <v>0</v>
      </c>
      <c r="E74" s="66">
        <v>775.58280000000002</v>
      </c>
      <c r="F74" s="66">
        <v>698.02449999999999</v>
      </c>
      <c r="G74" s="66">
        <v>77.558300000000003</v>
      </c>
      <c r="H74" s="66">
        <v>698.02449999999999</v>
      </c>
      <c r="I74" s="66">
        <v>0</v>
      </c>
      <c r="J74" s="66">
        <v>775.58280000000002</v>
      </c>
      <c r="K74" s="66">
        <v>698.02449999999999</v>
      </c>
      <c r="L74" s="66">
        <v>0</v>
      </c>
      <c r="M74" s="66">
        <v>77.558300000000003</v>
      </c>
      <c r="N74" s="67">
        <v>100</v>
      </c>
      <c r="O74" s="67">
        <v>100</v>
      </c>
      <c r="P74" s="67">
        <v>10.000002578705974</v>
      </c>
      <c r="Q74" s="67">
        <v>0</v>
      </c>
      <c r="R74" s="67">
        <v>0</v>
      </c>
    </row>
    <row r="75" spans="1:18" ht="15.75" x14ac:dyDescent="0.25">
      <c r="A75" s="74">
        <v>64</v>
      </c>
      <c r="B75" s="189" t="s">
        <v>170</v>
      </c>
      <c r="C75" s="66">
        <v>25.1008</v>
      </c>
      <c r="D75" s="66">
        <v>0</v>
      </c>
      <c r="E75" s="66">
        <v>35.8508</v>
      </c>
      <c r="F75" s="66">
        <v>25.1008</v>
      </c>
      <c r="G75" s="66">
        <v>10.75</v>
      </c>
      <c r="H75" s="66">
        <v>24.018794079999999</v>
      </c>
      <c r="I75" s="66">
        <v>0</v>
      </c>
      <c r="J75" s="66">
        <v>34.305399999999999</v>
      </c>
      <c r="K75" s="66">
        <v>24.018794079999999</v>
      </c>
      <c r="L75" s="66">
        <v>0</v>
      </c>
      <c r="M75" s="66">
        <v>10.28660592</v>
      </c>
      <c r="N75" s="67">
        <v>95.68935683324834</v>
      </c>
      <c r="O75" s="67">
        <v>95.689357395348821</v>
      </c>
      <c r="P75" s="67">
        <v>29.985383992024577</v>
      </c>
      <c r="Q75" s="67">
        <v>0</v>
      </c>
      <c r="R75" s="67">
        <v>0</v>
      </c>
    </row>
    <row r="76" spans="1:18" s="62" customFormat="1" ht="15.75" x14ac:dyDescent="0.25">
      <c r="A76" s="57">
        <v>65</v>
      </c>
      <c r="B76" s="190" t="s">
        <v>173</v>
      </c>
      <c r="C76" s="61">
        <v>12.1861</v>
      </c>
      <c r="D76" s="61">
        <v>0</v>
      </c>
      <c r="E76" s="61">
        <v>20.004899999999999</v>
      </c>
      <c r="F76" s="61">
        <v>12.1861</v>
      </c>
      <c r="G76" s="61">
        <v>7.8188000000000004</v>
      </c>
      <c r="H76" s="61">
        <v>12.1861</v>
      </c>
      <c r="I76" s="61">
        <v>0</v>
      </c>
      <c r="J76" s="61">
        <v>20.004899999999999</v>
      </c>
      <c r="K76" s="61">
        <v>12.1861</v>
      </c>
      <c r="L76" s="61">
        <v>0</v>
      </c>
      <c r="M76" s="61">
        <v>7.8188000000000004</v>
      </c>
      <c r="N76" s="61">
        <v>100</v>
      </c>
      <c r="O76" s="61">
        <v>100</v>
      </c>
      <c r="P76" s="61">
        <v>39.084424316042572</v>
      </c>
      <c r="Q76" s="61">
        <v>0</v>
      </c>
      <c r="R76" s="61">
        <v>0</v>
      </c>
    </row>
    <row r="77" spans="1:18" ht="15.75" x14ac:dyDescent="0.25">
      <c r="A77" s="11">
        <v>66</v>
      </c>
      <c r="B77" s="189" t="s">
        <v>176</v>
      </c>
      <c r="C77" s="66">
        <v>7.819</v>
      </c>
      <c r="D77" s="66">
        <v>0</v>
      </c>
      <c r="E77" s="66">
        <v>8.6877999999999993</v>
      </c>
      <c r="F77" s="66">
        <v>7.819</v>
      </c>
      <c r="G77" s="66">
        <v>0.86880000000000002</v>
      </c>
      <c r="H77" s="66">
        <v>7.819</v>
      </c>
      <c r="I77" s="66">
        <v>0</v>
      </c>
      <c r="J77" s="66">
        <v>8.6877999999999993</v>
      </c>
      <c r="K77" s="66">
        <v>7.819</v>
      </c>
      <c r="L77" s="66">
        <v>0</v>
      </c>
      <c r="M77" s="66">
        <v>0.86880000000000002</v>
      </c>
      <c r="N77" s="67">
        <v>100</v>
      </c>
      <c r="O77" s="67">
        <v>100</v>
      </c>
      <c r="P77" s="67">
        <v>10.000230207877713</v>
      </c>
      <c r="Q77" s="67">
        <v>0</v>
      </c>
      <c r="R77" s="67">
        <v>0</v>
      </c>
    </row>
    <row r="78" spans="1:18" ht="15.75" x14ac:dyDescent="0.25">
      <c r="A78" s="11">
        <v>67</v>
      </c>
      <c r="B78" s="189" t="s">
        <v>179</v>
      </c>
      <c r="C78" s="66">
        <v>0</v>
      </c>
      <c r="D78" s="66">
        <v>0</v>
      </c>
      <c r="E78" s="66">
        <v>0</v>
      </c>
      <c r="F78" s="66">
        <v>0</v>
      </c>
      <c r="G78" s="66">
        <v>0</v>
      </c>
      <c r="H78" s="66">
        <v>0</v>
      </c>
      <c r="I78" s="66">
        <v>0</v>
      </c>
      <c r="J78" s="66">
        <v>0</v>
      </c>
      <c r="K78" s="66">
        <v>0</v>
      </c>
      <c r="L78" s="66">
        <v>0</v>
      </c>
      <c r="M78" s="66">
        <v>0</v>
      </c>
      <c r="N78" s="67" t="s">
        <v>1094</v>
      </c>
      <c r="O78" s="67" t="s">
        <v>1094</v>
      </c>
      <c r="P78" s="67">
        <v>0</v>
      </c>
      <c r="Q78" s="67">
        <v>0</v>
      </c>
      <c r="R78" s="67">
        <v>0</v>
      </c>
    </row>
    <row r="79" spans="1:18" ht="15.75" x14ac:dyDescent="0.25">
      <c r="A79" s="11">
        <v>68</v>
      </c>
      <c r="B79" s="189" t="s">
        <v>182</v>
      </c>
      <c r="C79" s="66">
        <v>4.3670999999999998</v>
      </c>
      <c r="D79" s="66">
        <v>0</v>
      </c>
      <c r="E79" s="66">
        <v>11.3171</v>
      </c>
      <c r="F79" s="66">
        <v>4.3670999999999998</v>
      </c>
      <c r="G79" s="66">
        <v>6.95</v>
      </c>
      <c r="H79" s="66">
        <v>4.3670999999999998</v>
      </c>
      <c r="I79" s="66">
        <v>0</v>
      </c>
      <c r="J79" s="66">
        <v>11.3171</v>
      </c>
      <c r="K79" s="66">
        <v>4.3670999999999998</v>
      </c>
      <c r="L79" s="66">
        <v>0</v>
      </c>
      <c r="M79" s="66">
        <v>6.95</v>
      </c>
      <c r="N79" s="67">
        <v>100</v>
      </c>
      <c r="O79" s="67">
        <v>100</v>
      </c>
      <c r="P79" s="67">
        <v>61.411492343444877</v>
      </c>
      <c r="Q79" s="67">
        <v>0</v>
      </c>
      <c r="R79" s="67">
        <v>0</v>
      </c>
    </row>
    <row r="80" spans="1:18" ht="31.5" x14ac:dyDescent="0.25">
      <c r="A80" s="11">
        <v>69</v>
      </c>
      <c r="B80" s="194" t="s">
        <v>300</v>
      </c>
      <c r="C80" s="66">
        <v>0</v>
      </c>
      <c r="D80" s="66">
        <v>0</v>
      </c>
      <c r="E80" s="66">
        <v>0</v>
      </c>
      <c r="F80" s="66">
        <v>0</v>
      </c>
      <c r="G80" s="66">
        <v>0</v>
      </c>
      <c r="H80" s="66">
        <v>0</v>
      </c>
      <c r="I80" s="66">
        <v>0</v>
      </c>
      <c r="J80" s="66">
        <v>0</v>
      </c>
      <c r="K80" s="66">
        <v>0</v>
      </c>
      <c r="L80" s="66">
        <v>0</v>
      </c>
      <c r="M80" s="66">
        <v>0</v>
      </c>
      <c r="N80" s="67" t="s">
        <v>1094</v>
      </c>
      <c r="O80" s="67" t="s">
        <v>1094</v>
      </c>
      <c r="P80" s="67">
        <v>0</v>
      </c>
      <c r="Q80" s="67">
        <v>0</v>
      </c>
      <c r="R80" s="67">
        <v>0</v>
      </c>
    </row>
    <row r="81" spans="1:18" ht="31.5" x14ac:dyDescent="0.25">
      <c r="A81" s="11">
        <v>70</v>
      </c>
      <c r="B81" s="194" t="s">
        <v>301</v>
      </c>
      <c r="C81" s="66">
        <v>0</v>
      </c>
      <c r="D81" s="66">
        <v>0</v>
      </c>
      <c r="E81" s="66">
        <v>0</v>
      </c>
      <c r="F81" s="66">
        <v>0</v>
      </c>
      <c r="G81" s="66">
        <v>0</v>
      </c>
      <c r="H81" s="66">
        <v>0</v>
      </c>
      <c r="I81" s="66">
        <v>0</v>
      </c>
      <c r="J81" s="66">
        <v>0</v>
      </c>
      <c r="K81" s="66">
        <v>0</v>
      </c>
      <c r="L81" s="66">
        <v>0</v>
      </c>
      <c r="M81" s="66">
        <v>0</v>
      </c>
      <c r="N81" s="67" t="s">
        <v>1094</v>
      </c>
      <c r="O81" s="67" t="s">
        <v>1094</v>
      </c>
      <c r="P81" s="67">
        <v>0</v>
      </c>
      <c r="Q81" s="67">
        <v>0</v>
      </c>
      <c r="R81" s="67">
        <v>0</v>
      </c>
    </row>
    <row r="82" spans="1:18" ht="15.75" x14ac:dyDescent="0.25">
      <c r="A82" s="74">
        <v>71</v>
      </c>
      <c r="B82" s="189" t="s">
        <v>189</v>
      </c>
      <c r="C82" s="66">
        <v>0</v>
      </c>
      <c r="D82" s="66">
        <v>0</v>
      </c>
      <c r="E82" s="66">
        <v>0</v>
      </c>
      <c r="F82" s="66">
        <v>0</v>
      </c>
      <c r="G82" s="66">
        <v>0</v>
      </c>
      <c r="H82" s="66">
        <v>0</v>
      </c>
      <c r="I82" s="66">
        <v>0</v>
      </c>
      <c r="J82" s="66">
        <v>0</v>
      </c>
      <c r="K82" s="66">
        <v>0</v>
      </c>
      <c r="L82" s="66">
        <v>0</v>
      </c>
      <c r="M82" s="66">
        <v>0</v>
      </c>
      <c r="N82" s="67" t="s">
        <v>1094</v>
      </c>
      <c r="O82" s="67" t="s">
        <v>1094</v>
      </c>
      <c r="P82" s="67">
        <v>0</v>
      </c>
      <c r="Q82" s="67">
        <v>0</v>
      </c>
      <c r="R82" s="67">
        <v>0</v>
      </c>
    </row>
    <row r="83" spans="1:18" s="62" customFormat="1" ht="15.75" x14ac:dyDescent="0.25">
      <c r="A83" s="57">
        <v>72</v>
      </c>
      <c r="B83" s="190" t="s">
        <v>192</v>
      </c>
      <c r="C83" s="61">
        <v>176.53080000000003</v>
      </c>
      <c r="D83" s="61">
        <v>0</v>
      </c>
      <c r="E83" s="61">
        <v>265.59003371</v>
      </c>
      <c r="F83" s="61">
        <v>176.53080000000003</v>
      </c>
      <c r="G83" s="61">
        <v>89.059233710000001</v>
      </c>
      <c r="H83" s="61">
        <v>148.03015612999999</v>
      </c>
      <c r="I83" s="61">
        <v>0.28083124999999998</v>
      </c>
      <c r="J83" s="61">
        <v>222.06980257999999</v>
      </c>
      <c r="K83" s="61">
        <v>148.02991213999999</v>
      </c>
      <c r="L83" s="61">
        <v>0</v>
      </c>
      <c r="M83" s="61">
        <v>74.039890439999994</v>
      </c>
      <c r="N83" s="61">
        <v>83.855005551439163</v>
      </c>
      <c r="O83" s="61">
        <v>83.135557488730598</v>
      </c>
      <c r="P83" s="61">
        <v>33.340818778513274</v>
      </c>
      <c r="Q83" s="61">
        <v>0.28083124999999998</v>
      </c>
      <c r="R83" s="61">
        <v>2.4399000000074889E-4</v>
      </c>
    </row>
    <row r="84" spans="1:18" ht="15.75" x14ac:dyDescent="0.25">
      <c r="A84" s="11">
        <v>73</v>
      </c>
      <c r="B84" s="189" t="s">
        <v>195</v>
      </c>
      <c r="C84" s="66">
        <v>10.221299999999999</v>
      </c>
      <c r="D84" s="66">
        <v>0</v>
      </c>
      <c r="E84" s="66">
        <v>12.9763</v>
      </c>
      <c r="F84" s="66">
        <v>10.221299999999999</v>
      </c>
      <c r="G84" s="66">
        <v>2.7549999999999999</v>
      </c>
      <c r="H84" s="66">
        <v>10.221299999999999</v>
      </c>
      <c r="I84" s="66">
        <v>0</v>
      </c>
      <c r="J84" s="66">
        <v>12.9763</v>
      </c>
      <c r="K84" s="66">
        <v>10.221299999999999</v>
      </c>
      <c r="L84" s="66">
        <v>0</v>
      </c>
      <c r="M84" s="66">
        <v>2.7549999999999999</v>
      </c>
      <c r="N84" s="67">
        <v>100</v>
      </c>
      <c r="O84" s="67">
        <v>100</v>
      </c>
      <c r="P84" s="67">
        <v>21.231013463005631</v>
      </c>
      <c r="Q84" s="67">
        <v>0</v>
      </c>
      <c r="R84" s="67">
        <v>0</v>
      </c>
    </row>
    <row r="85" spans="1:18" ht="15.75" x14ac:dyDescent="0.25">
      <c r="A85" s="11">
        <v>74</v>
      </c>
      <c r="B85" s="189" t="s">
        <v>198</v>
      </c>
      <c r="C85" s="66">
        <v>69.595500000000001</v>
      </c>
      <c r="D85" s="66">
        <v>0</v>
      </c>
      <c r="E85" s="66">
        <v>77.328500000000005</v>
      </c>
      <c r="F85" s="66">
        <v>69.595500000000001</v>
      </c>
      <c r="G85" s="66">
        <v>7.7329999999999997</v>
      </c>
      <c r="H85" s="66">
        <v>55.38173888</v>
      </c>
      <c r="I85" s="66">
        <v>0</v>
      </c>
      <c r="J85" s="66">
        <v>61.53539739</v>
      </c>
      <c r="K85" s="66">
        <v>55.38173888</v>
      </c>
      <c r="L85" s="66">
        <v>0</v>
      </c>
      <c r="M85" s="66">
        <v>6.1536585099999996</v>
      </c>
      <c r="N85" s="67">
        <v>79.576608947417569</v>
      </c>
      <c r="O85" s="67">
        <v>79.576600413810937</v>
      </c>
      <c r="P85" s="67">
        <v>10.000193012485557</v>
      </c>
      <c r="Q85" s="67">
        <v>0</v>
      </c>
      <c r="R85" s="67">
        <v>0</v>
      </c>
    </row>
    <row r="86" spans="1:18" ht="15.75" x14ac:dyDescent="0.25">
      <c r="A86" s="11">
        <v>75</v>
      </c>
      <c r="B86" s="189" t="s">
        <v>201</v>
      </c>
      <c r="C86" s="66">
        <v>2.2250000000000001</v>
      </c>
      <c r="D86" s="66">
        <v>0</v>
      </c>
      <c r="E86" s="66">
        <v>6.1950000000000003</v>
      </c>
      <c r="F86" s="66">
        <v>2.2250000000000001</v>
      </c>
      <c r="G86" s="66">
        <v>3.97</v>
      </c>
      <c r="H86" s="66">
        <v>2.2250000000000001</v>
      </c>
      <c r="I86" s="66">
        <v>0</v>
      </c>
      <c r="J86" s="66">
        <v>6.1943207199999994</v>
      </c>
      <c r="K86" s="66">
        <v>2.2247560099999997</v>
      </c>
      <c r="L86" s="66">
        <v>0</v>
      </c>
      <c r="M86" s="66">
        <v>3.9695647099999998</v>
      </c>
      <c r="N86" s="67">
        <v>99.989034157303351</v>
      </c>
      <c r="O86" s="67">
        <v>99.98903551637278</v>
      </c>
      <c r="P86" s="67">
        <v>64.083938973053364</v>
      </c>
      <c r="Q86" s="67">
        <v>0</v>
      </c>
      <c r="R86" s="67">
        <v>2.4399000000041582E-4</v>
      </c>
    </row>
    <row r="87" spans="1:18" ht="15.75" x14ac:dyDescent="0.25">
      <c r="A87" s="11">
        <v>76</v>
      </c>
      <c r="B87" s="189" t="s">
        <v>204</v>
      </c>
      <c r="C87" s="66">
        <v>1.69</v>
      </c>
      <c r="D87" s="66">
        <v>0</v>
      </c>
      <c r="E87" s="66">
        <v>4.6900000000000004</v>
      </c>
      <c r="F87" s="66">
        <v>1.69</v>
      </c>
      <c r="G87" s="66">
        <v>3</v>
      </c>
      <c r="H87" s="66">
        <v>0</v>
      </c>
      <c r="I87" s="66">
        <v>0</v>
      </c>
      <c r="J87" s="66">
        <v>0</v>
      </c>
      <c r="K87" s="66">
        <v>0</v>
      </c>
      <c r="L87" s="66">
        <v>0</v>
      </c>
      <c r="M87" s="66">
        <v>0</v>
      </c>
      <c r="N87" s="67">
        <v>0</v>
      </c>
      <c r="O87" s="67">
        <v>0</v>
      </c>
      <c r="P87" s="67">
        <v>0</v>
      </c>
      <c r="Q87" s="67">
        <v>0</v>
      </c>
      <c r="R87" s="67">
        <v>0</v>
      </c>
    </row>
    <row r="88" spans="1:18" ht="15.75" x14ac:dyDescent="0.25">
      <c r="A88" s="11">
        <v>77</v>
      </c>
      <c r="B88" s="189" t="s">
        <v>207</v>
      </c>
      <c r="C88" s="66">
        <v>0</v>
      </c>
      <c r="D88" s="66">
        <v>0</v>
      </c>
      <c r="E88" s="66">
        <v>0</v>
      </c>
      <c r="F88" s="66">
        <v>0</v>
      </c>
      <c r="G88" s="66">
        <v>0</v>
      </c>
      <c r="H88" s="66">
        <v>0</v>
      </c>
      <c r="I88" s="66">
        <v>0</v>
      </c>
      <c r="J88" s="66">
        <v>0</v>
      </c>
      <c r="K88" s="66">
        <v>0</v>
      </c>
      <c r="L88" s="66">
        <v>0</v>
      </c>
      <c r="M88" s="66">
        <v>0</v>
      </c>
      <c r="N88" s="67" t="s">
        <v>1094</v>
      </c>
      <c r="O88" s="67" t="s">
        <v>1094</v>
      </c>
      <c r="P88" s="67">
        <v>0</v>
      </c>
      <c r="Q88" s="67">
        <v>0</v>
      </c>
      <c r="R88" s="67">
        <v>0</v>
      </c>
    </row>
    <row r="89" spans="1:18" ht="15.75" x14ac:dyDescent="0.25">
      <c r="A89" s="11">
        <v>78</v>
      </c>
      <c r="B89" s="189" t="s">
        <v>210</v>
      </c>
      <c r="C89" s="66">
        <v>21.864000000000001</v>
      </c>
      <c r="D89" s="66">
        <v>0</v>
      </c>
      <c r="E89" s="66">
        <v>24.865233710000002</v>
      </c>
      <c r="F89" s="66">
        <v>21.864000000000001</v>
      </c>
      <c r="G89" s="66">
        <v>3.0012337100000002</v>
      </c>
      <c r="H89" s="66">
        <v>21.864000000000001</v>
      </c>
      <c r="I89" s="66">
        <v>0</v>
      </c>
      <c r="J89" s="66">
        <v>24.865233710000002</v>
      </c>
      <c r="K89" s="66">
        <v>21.864000000000001</v>
      </c>
      <c r="L89" s="66">
        <v>0</v>
      </c>
      <c r="M89" s="66">
        <v>3.0012337100000002</v>
      </c>
      <c r="N89" s="67">
        <v>100</v>
      </c>
      <c r="O89" s="67">
        <v>100</v>
      </c>
      <c r="P89" s="67">
        <v>12.07000000483808</v>
      </c>
      <c r="Q89" s="67">
        <v>0</v>
      </c>
      <c r="R89" s="67">
        <v>0</v>
      </c>
    </row>
    <row r="90" spans="1:18" ht="15.75" x14ac:dyDescent="0.25">
      <c r="A90" s="11">
        <v>79</v>
      </c>
      <c r="B90" s="189" t="s">
        <v>213</v>
      </c>
      <c r="C90" s="66">
        <v>21.6797</v>
      </c>
      <c r="D90" s="66">
        <v>0</v>
      </c>
      <c r="E90" s="66">
        <v>49.679699999999997</v>
      </c>
      <c r="F90" s="66">
        <v>21.6797</v>
      </c>
      <c r="G90" s="66">
        <v>28</v>
      </c>
      <c r="H90" s="66">
        <v>21.679178929999999</v>
      </c>
      <c r="I90" s="66">
        <v>0</v>
      </c>
      <c r="J90" s="66">
        <v>49.677984889999998</v>
      </c>
      <c r="K90" s="66">
        <v>21.679178929999999</v>
      </c>
      <c r="L90" s="66">
        <v>0</v>
      </c>
      <c r="M90" s="66">
        <v>27.998805960000002</v>
      </c>
      <c r="N90" s="67">
        <v>99.997596507331735</v>
      </c>
      <c r="O90" s="67">
        <v>99.995735571428582</v>
      </c>
      <c r="P90" s="67">
        <v>56.360591159236137</v>
      </c>
      <c r="Q90" s="67">
        <v>0</v>
      </c>
      <c r="R90" s="67">
        <v>0</v>
      </c>
    </row>
    <row r="91" spans="1:18" ht="15.75" x14ac:dyDescent="0.25">
      <c r="A91" s="11">
        <v>80</v>
      </c>
      <c r="B91" s="189" t="s">
        <v>216</v>
      </c>
      <c r="C91" s="66">
        <v>0</v>
      </c>
      <c r="D91" s="66">
        <v>0</v>
      </c>
      <c r="E91" s="66">
        <v>0</v>
      </c>
      <c r="F91" s="66">
        <v>0</v>
      </c>
      <c r="G91" s="66">
        <v>0</v>
      </c>
      <c r="H91" s="66">
        <v>0</v>
      </c>
      <c r="I91" s="66">
        <v>0</v>
      </c>
      <c r="J91" s="66">
        <v>0</v>
      </c>
      <c r="K91" s="66">
        <v>0</v>
      </c>
      <c r="L91" s="66">
        <v>0</v>
      </c>
      <c r="M91" s="66">
        <v>0</v>
      </c>
      <c r="N91" s="67" t="s">
        <v>1094</v>
      </c>
      <c r="O91" s="67" t="s">
        <v>1094</v>
      </c>
      <c r="P91" s="67">
        <v>0</v>
      </c>
      <c r="Q91" s="67">
        <v>0</v>
      </c>
      <c r="R91" s="67">
        <v>0</v>
      </c>
    </row>
    <row r="92" spans="1:18" ht="15.75" x14ac:dyDescent="0.25">
      <c r="A92" s="11">
        <v>81</v>
      </c>
      <c r="B92" s="189" t="s">
        <v>219</v>
      </c>
      <c r="C92" s="66">
        <v>0</v>
      </c>
      <c r="D92" s="66">
        <v>0</v>
      </c>
      <c r="E92" s="66">
        <v>0</v>
      </c>
      <c r="F92" s="66">
        <v>0</v>
      </c>
      <c r="G92" s="66">
        <v>0</v>
      </c>
      <c r="H92" s="66">
        <v>0</v>
      </c>
      <c r="I92" s="66">
        <v>0</v>
      </c>
      <c r="J92" s="66">
        <v>0</v>
      </c>
      <c r="K92" s="66">
        <v>0</v>
      </c>
      <c r="L92" s="66">
        <v>0</v>
      </c>
      <c r="M92" s="66">
        <v>0</v>
      </c>
      <c r="N92" s="67" t="s">
        <v>1094</v>
      </c>
      <c r="O92" s="67" t="s">
        <v>1094</v>
      </c>
      <c r="P92" s="67">
        <v>0</v>
      </c>
      <c r="Q92" s="67">
        <v>0</v>
      </c>
      <c r="R92" s="67">
        <v>0</v>
      </c>
    </row>
    <row r="93" spans="1:18" ht="15.75" x14ac:dyDescent="0.25">
      <c r="A93" s="11">
        <v>82</v>
      </c>
      <c r="B93" s="189" t="s">
        <v>222</v>
      </c>
      <c r="C93" s="66">
        <v>24.443899999999999</v>
      </c>
      <c r="D93" s="66">
        <v>0</v>
      </c>
      <c r="E93" s="66">
        <v>44.443899999999999</v>
      </c>
      <c r="F93" s="66">
        <v>24.443899999999999</v>
      </c>
      <c r="G93" s="66">
        <v>20</v>
      </c>
      <c r="H93" s="66">
        <v>12.09860503</v>
      </c>
      <c r="I93" s="66">
        <v>0</v>
      </c>
      <c r="J93" s="66">
        <v>21.997684070000002</v>
      </c>
      <c r="K93" s="66">
        <v>12.09860503</v>
      </c>
      <c r="L93" s="66">
        <v>0</v>
      </c>
      <c r="M93" s="66">
        <v>9.8990790399999984</v>
      </c>
      <c r="N93" s="67">
        <v>49.495395701995179</v>
      </c>
      <c r="O93" s="67">
        <v>49.49539519999999</v>
      </c>
      <c r="P93" s="67">
        <v>45.000551005731388</v>
      </c>
      <c r="Q93" s="67">
        <v>0</v>
      </c>
      <c r="R93" s="67">
        <v>0</v>
      </c>
    </row>
    <row r="94" spans="1:18" ht="15.75" x14ac:dyDescent="0.25">
      <c r="A94" s="11">
        <v>83</v>
      </c>
      <c r="B94" s="189" t="s">
        <v>225</v>
      </c>
      <c r="C94" s="66">
        <v>11.5345</v>
      </c>
      <c r="D94" s="66">
        <v>0</v>
      </c>
      <c r="E94" s="66">
        <v>27.034500000000001</v>
      </c>
      <c r="F94" s="66">
        <v>11.5345</v>
      </c>
      <c r="G94" s="66">
        <v>15.5</v>
      </c>
      <c r="H94" s="66">
        <v>11.28343329</v>
      </c>
      <c r="I94" s="66">
        <v>0.28083124999999998</v>
      </c>
      <c r="J94" s="66">
        <v>26.445981800000002</v>
      </c>
      <c r="K94" s="66">
        <v>11.28343329</v>
      </c>
      <c r="L94" s="66">
        <v>0</v>
      </c>
      <c r="M94" s="66">
        <v>15.162548510000001</v>
      </c>
      <c r="N94" s="67">
        <v>97.823341193809881</v>
      </c>
      <c r="O94" s="67">
        <v>97.822893612903229</v>
      </c>
      <c r="P94" s="67">
        <v>57.334035184127664</v>
      </c>
      <c r="Q94" s="67">
        <v>0.28083124999999998</v>
      </c>
      <c r="R94" s="67">
        <v>3.3306690738754696E-16</v>
      </c>
    </row>
    <row r="95" spans="1:18" ht="15.75" x14ac:dyDescent="0.25">
      <c r="A95" s="74">
        <v>84</v>
      </c>
      <c r="B95" s="189" t="s">
        <v>228</v>
      </c>
      <c r="C95" s="66">
        <v>13.276899999999999</v>
      </c>
      <c r="D95" s="66">
        <v>0</v>
      </c>
      <c r="E95" s="66">
        <v>18.376899999999999</v>
      </c>
      <c r="F95" s="66">
        <v>13.276899999999999</v>
      </c>
      <c r="G95" s="66">
        <v>5.0999999999999996</v>
      </c>
      <c r="H95" s="66">
        <v>13.276899999999999</v>
      </c>
      <c r="I95" s="66">
        <v>0</v>
      </c>
      <c r="J95" s="66">
        <v>18.376899999999999</v>
      </c>
      <c r="K95" s="66">
        <v>13.276899999999999</v>
      </c>
      <c r="L95" s="66">
        <v>0</v>
      </c>
      <c r="M95" s="66">
        <v>5.0999999999999996</v>
      </c>
      <c r="N95" s="67">
        <v>100</v>
      </c>
      <c r="O95" s="67">
        <v>100</v>
      </c>
      <c r="P95" s="67">
        <v>27.752232422225731</v>
      </c>
      <c r="Q95" s="67">
        <v>0</v>
      </c>
      <c r="R95" s="67">
        <v>0</v>
      </c>
    </row>
    <row r="96" spans="1:18" s="62" customFormat="1" ht="15.75" x14ac:dyDescent="0.25">
      <c r="A96" s="57">
        <v>85</v>
      </c>
      <c r="B96" s="190" t="s">
        <v>231</v>
      </c>
      <c r="C96" s="61">
        <v>58.565400000000004</v>
      </c>
      <c r="D96" s="61">
        <v>0</v>
      </c>
      <c r="E96" s="61">
        <v>181.54939999999999</v>
      </c>
      <c r="F96" s="61">
        <v>58.565400000000004</v>
      </c>
      <c r="G96" s="61">
        <v>122.98399999999999</v>
      </c>
      <c r="H96" s="61">
        <v>58.565400000000004</v>
      </c>
      <c r="I96" s="61">
        <v>0</v>
      </c>
      <c r="J96" s="61">
        <v>181.54939999999999</v>
      </c>
      <c r="K96" s="61">
        <v>58.565400000000004</v>
      </c>
      <c r="L96" s="61">
        <v>0</v>
      </c>
      <c r="M96" s="61">
        <v>122.98399999999999</v>
      </c>
      <c r="N96" s="61">
        <v>100</v>
      </c>
      <c r="O96" s="61">
        <v>100</v>
      </c>
      <c r="P96" s="61">
        <v>67.741342025916921</v>
      </c>
      <c r="Q96" s="61">
        <v>0</v>
      </c>
      <c r="R96" s="61">
        <v>0</v>
      </c>
    </row>
    <row r="97" spans="1:18" ht="15.75" x14ac:dyDescent="0.25">
      <c r="A97" s="11">
        <v>86</v>
      </c>
      <c r="B97" s="189" t="s">
        <v>234</v>
      </c>
      <c r="C97" s="66">
        <v>23.177800000000001</v>
      </c>
      <c r="D97" s="66">
        <v>0</v>
      </c>
      <c r="E97" s="66">
        <v>46.322800000000001</v>
      </c>
      <c r="F97" s="66">
        <v>23.177800000000001</v>
      </c>
      <c r="G97" s="66">
        <v>23.145</v>
      </c>
      <c r="H97" s="66">
        <v>23.177800000000001</v>
      </c>
      <c r="I97" s="66">
        <v>0</v>
      </c>
      <c r="J97" s="66">
        <v>46.322800000000001</v>
      </c>
      <c r="K97" s="66">
        <v>23.177800000000001</v>
      </c>
      <c r="L97" s="66">
        <v>0</v>
      </c>
      <c r="M97" s="66">
        <v>23.145</v>
      </c>
      <c r="N97" s="67">
        <v>100</v>
      </c>
      <c r="O97" s="67">
        <v>100</v>
      </c>
      <c r="P97" s="67">
        <v>49.964596267928535</v>
      </c>
      <c r="Q97" s="67">
        <v>0</v>
      </c>
      <c r="R97" s="67">
        <v>0</v>
      </c>
    </row>
    <row r="98" spans="1:18" ht="15.75" x14ac:dyDescent="0.25">
      <c r="A98" s="11">
        <v>87</v>
      </c>
      <c r="B98" s="189" t="s">
        <v>237</v>
      </c>
      <c r="C98" s="66">
        <v>0</v>
      </c>
      <c r="D98" s="66">
        <v>0</v>
      </c>
      <c r="E98" s="66">
        <v>0</v>
      </c>
      <c r="F98" s="66">
        <v>0</v>
      </c>
      <c r="G98" s="66">
        <v>0</v>
      </c>
      <c r="H98" s="66">
        <v>0</v>
      </c>
      <c r="I98" s="66">
        <v>0</v>
      </c>
      <c r="J98" s="66">
        <v>0</v>
      </c>
      <c r="K98" s="66">
        <v>0</v>
      </c>
      <c r="L98" s="66">
        <v>0</v>
      </c>
      <c r="M98" s="66">
        <v>0</v>
      </c>
      <c r="N98" s="67" t="s">
        <v>1094</v>
      </c>
      <c r="O98" s="67" t="s">
        <v>1094</v>
      </c>
      <c r="P98" s="67">
        <v>0</v>
      </c>
      <c r="Q98" s="67">
        <v>0</v>
      </c>
      <c r="R98" s="67">
        <v>0</v>
      </c>
    </row>
    <row r="99" spans="1:18" ht="15.75" x14ac:dyDescent="0.25">
      <c r="A99" s="11">
        <v>88</v>
      </c>
      <c r="B99" s="189" t="s">
        <v>240</v>
      </c>
      <c r="C99" s="66">
        <v>0</v>
      </c>
      <c r="D99" s="66">
        <v>0</v>
      </c>
      <c r="E99" s="66">
        <v>0</v>
      </c>
      <c r="F99" s="66">
        <v>0</v>
      </c>
      <c r="G99" s="66">
        <v>0</v>
      </c>
      <c r="H99" s="66">
        <v>0</v>
      </c>
      <c r="I99" s="66">
        <v>0</v>
      </c>
      <c r="J99" s="66">
        <v>0</v>
      </c>
      <c r="K99" s="66">
        <v>0</v>
      </c>
      <c r="L99" s="66">
        <v>0</v>
      </c>
      <c r="M99" s="66">
        <v>0</v>
      </c>
      <c r="N99" s="67" t="s">
        <v>1094</v>
      </c>
      <c r="O99" s="67" t="s">
        <v>1094</v>
      </c>
      <c r="P99" s="67">
        <v>0</v>
      </c>
      <c r="Q99" s="67">
        <v>0</v>
      </c>
      <c r="R99" s="67">
        <v>0</v>
      </c>
    </row>
    <row r="100" spans="1:18" ht="15.75" x14ac:dyDescent="0.25">
      <c r="A100" s="11">
        <v>89</v>
      </c>
      <c r="B100" s="189" t="s">
        <v>243</v>
      </c>
      <c r="C100" s="66">
        <v>0</v>
      </c>
      <c r="D100" s="66">
        <v>0</v>
      </c>
      <c r="E100" s="66">
        <v>0</v>
      </c>
      <c r="F100" s="66">
        <v>0</v>
      </c>
      <c r="G100" s="66">
        <v>0</v>
      </c>
      <c r="H100" s="66">
        <v>0</v>
      </c>
      <c r="I100" s="66">
        <v>0</v>
      </c>
      <c r="J100" s="66">
        <v>0</v>
      </c>
      <c r="K100" s="66">
        <v>0</v>
      </c>
      <c r="L100" s="66">
        <v>0</v>
      </c>
      <c r="M100" s="66">
        <v>0</v>
      </c>
      <c r="N100" s="67" t="s">
        <v>1094</v>
      </c>
      <c r="O100" s="67" t="s">
        <v>1094</v>
      </c>
      <c r="P100" s="67">
        <v>0</v>
      </c>
      <c r="Q100" s="67">
        <v>0</v>
      </c>
      <c r="R100" s="67">
        <v>0</v>
      </c>
    </row>
    <row r="101" spans="1:18" ht="15.75" x14ac:dyDescent="0.25">
      <c r="A101" s="11">
        <v>90</v>
      </c>
      <c r="B101" s="189" t="s">
        <v>246</v>
      </c>
      <c r="C101" s="66">
        <v>24.207100000000001</v>
      </c>
      <c r="D101" s="66">
        <v>0</v>
      </c>
      <c r="E101" s="66">
        <v>25.9071</v>
      </c>
      <c r="F101" s="66">
        <v>24.207100000000001</v>
      </c>
      <c r="G101" s="66">
        <v>1.7</v>
      </c>
      <c r="H101" s="66">
        <v>24.207100000000001</v>
      </c>
      <c r="I101" s="66">
        <v>0</v>
      </c>
      <c r="J101" s="66">
        <v>25.9071</v>
      </c>
      <c r="K101" s="66">
        <v>24.207100000000001</v>
      </c>
      <c r="L101" s="66">
        <v>0</v>
      </c>
      <c r="M101" s="66">
        <v>1.7</v>
      </c>
      <c r="N101" s="67">
        <v>100</v>
      </c>
      <c r="O101" s="67">
        <v>100</v>
      </c>
      <c r="P101" s="67">
        <v>6.5619077395771814</v>
      </c>
      <c r="Q101" s="67">
        <v>0</v>
      </c>
      <c r="R101" s="67">
        <v>0</v>
      </c>
    </row>
    <row r="102" spans="1:18" ht="15.75" x14ac:dyDescent="0.25">
      <c r="A102" s="11">
        <v>91</v>
      </c>
      <c r="B102" s="189" t="s">
        <v>249</v>
      </c>
      <c r="C102" s="66">
        <v>0</v>
      </c>
      <c r="D102" s="66">
        <v>0</v>
      </c>
      <c r="E102" s="66">
        <v>0</v>
      </c>
      <c r="F102" s="66">
        <v>0</v>
      </c>
      <c r="G102" s="66">
        <v>0</v>
      </c>
      <c r="H102" s="66">
        <v>0</v>
      </c>
      <c r="I102" s="66">
        <v>0</v>
      </c>
      <c r="J102" s="66">
        <v>0</v>
      </c>
      <c r="K102" s="66">
        <v>0</v>
      </c>
      <c r="L102" s="66">
        <v>0</v>
      </c>
      <c r="M102" s="66">
        <v>0</v>
      </c>
      <c r="N102" s="67" t="s">
        <v>1094</v>
      </c>
      <c r="O102" s="67" t="s">
        <v>1094</v>
      </c>
      <c r="P102" s="67">
        <v>0</v>
      </c>
      <c r="Q102" s="67">
        <v>0</v>
      </c>
      <c r="R102" s="67">
        <v>0</v>
      </c>
    </row>
    <row r="103" spans="1:18" ht="15.75" x14ac:dyDescent="0.25">
      <c r="A103" s="11">
        <v>92</v>
      </c>
      <c r="B103" s="189" t="s">
        <v>252</v>
      </c>
      <c r="C103" s="66">
        <v>11.1805</v>
      </c>
      <c r="D103" s="66">
        <v>0</v>
      </c>
      <c r="E103" s="66">
        <v>109.31950000000001</v>
      </c>
      <c r="F103" s="66">
        <v>11.1805</v>
      </c>
      <c r="G103" s="66">
        <v>98.138999999999996</v>
      </c>
      <c r="H103" s="66">
        <v>11.1805</v>
      </c>
      <c r="I103" s="66">
        <v>0</v>
      </c>
      <c r="J103" s="66">
        <v>109.31950000000001</v>
      </c>
      <c r="K103" s="66">
        <v>11.1805</v>
      </c>
      <c r="L103" s="66">
        <v>0</v>
      </c>
      <c r="M103" s="66">
        <v>98.138999999999996</v>
      </c>
      <c r="N103" s="67">
        <v>100</v>
      </c>
      <c r="O103" s="67">
        <v>100</v>
      </c>
      <c r="P103" s="67">
        <v>89.772638916204329</v>
      </c>
      <c r="Q103" s="67">
        <v>0</v>
      </c>
      <c r="R103" s="67">
        <v>0</v>
      </c>
    </row>
    <row r="104" spans="1:18" ht="15.75" x14ac:dyDescent="0.25">
      <c r="A104" s="11">
        <v>93</v>
      </c>
      <c r="B104" s="189" t="s">
        <v>254</v>
      </c>
      <c r="C104" s="66">
        <v>0</v>
      </c>
      <c r="D104" s="66">
        <v>0</v>
      </c>
      <c r="E104" s="66">
        <v>0</v>
      </c>
      <c r="F104" s="66">
        <v>0</v>
      </c>
      <c r="G104" s="66">
        <v>0</v>
      </c>
      <c r="H104" s="66">
        <v>0</v>
      </c>
      <c r="I104" s="66">
        <v>0</v>
      </c>
      <c r="J104" s="66">
        <v>0</v>
      </c>
      <c r="K104" s="66">
        <v>0</v>
      </c>
      <c r="L104" s="66">
        <v>0</v>
      </c>
      <c r="M104" s="66">
        <v>0</v>
      </c>
      <c r="N104" s="67" t="s">
        <v>1094</v>
      </c>
      <c r="O104" s="67" t="s">
        <v>1094</v>
      </c>
      <c r="P104" s="67">
        <v>0</v>
      </c>
      <c r="Q104" s="67">
        <v>0</v>
      </c>
      <c r="R104" s="67">
        <v>0</v>
      </c>
    </row>
    <row r="105" spans="1:18" ht="15.75" x14ac:dyDescent="0.25">
      <c r="A105" s="9">
        <v>94</v>
      </c>
      <c r="B105" s="189" t="s">
        <v>256</v>
      </c>
      <c r="C105" s="66">
        <v>0</v>
      </c>
      <c r="D105" s="66">
        <v>0</v>
      </c>
      <c r="E105" s="66">
        <v>0</v>
      </c>
      <c r="F105" s="66">
        <v>0</v>
      </c>
      <c r="G105" s="66">
        <v>0</v>
      </c>
      <c r="H105" s="66">
        <v>0</v>
      </c>
      <c r="I105" s="66">
        <v>0</v>
      </c>
      <c r="J105" s="66">
        <v>0</v>
      </c>
      <c r="K105" s="66">
        <v>0</v>
      </c>
      <c r="L105" s="66">
        <v>0</v>
      </c>
      <c r="M105" s="66">
        <v>0</v>
      </c>
      <c r="N105" s="67" t="s">
        <v>1094</v>
      </c>
      <c r="O105" s="67" t="s">
        <v>1094</v>
      </c>
      <c r="P105" s="67">
        <v>0</v>
      </c>
      <c r="Q105" s="67">
        <v>0</v>
      </c>
      <c r="R105" s="67">
        <v>0</v>
      </c>
    </row>
  </sheetData>
  <mergeCells count="17">
    <mergeCell ref="N9:O10"/>
    <mergeCell ref="A7:A11"/>
    <mergeCell ref="B7:B11"/>
    <mergeCell ref="C7:R8"/>
    <mergeCell ref="C9:C11"/>
    <mergeCell ref="D9:D11"/>
    <mergeCell ref="E9:G9"/>
    <mergeCell ref="H9:H11"/>
    <mergeCell ref="I9:I11"/>
    <mergeCell ref="E10:E11"/>
    <mergeCell ref="F10:G10"/>
    <mergeCell ref="P9:P11"/>
    <mergeCell ref="Q9:Q11"/>
    <mergeCell ref="R9:R11"/>
    <mergeCell ref="J10:J11"/>
    <mergeCell ref="K10:M10"/>
    <mergeCell ref="J9:M9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IH105"/>
  <sheetViews>
    <sheetView view="pageBreakPreview" zoomScale="60" zoomScaleNormal="70" workbookViewId="0">
      <pane xSplit="2" ySplit="12" topLeftCell="C13" activePane="bottomRight" state="frozen"/>
      <selection activeCell="F34" sqref="F34"/>
      <selection pane="topRight" activeCell="F34" sqref="F34"/>
      <selection pane="bottomLeft" activeCell="F34" sqref="F34"/>
      <selection pane="bottomRight" activeCell="HT9" sqref="HT9:HT11"/>
    </sheetView>
  </sheetViews>
  <sheetFormatPr defaultRowHeight="15" outlineLevelCol="1" x14ac:dyDescent="0.25"/>
  <cols>
    <col min="1" max="1" width="5" customWidth="1"/>
    <col min="2" max="2" width="33.5703125" customWidth="1"/>
    <col min="3" max="4" width="18.7109375" customWidth="1"/>
    <col min="5" max="6" width="18.7109375" customWidth="1" outlineLevel="1"/>
    <col min="7" max="15" width="18.7109375" customWidth="1"/>
    <col min="16" max="18" width="18.7109375" customWidth="1" outlineLevel="1"/>
    <col min="19" max="20" width="18.7109375" customWidth="1"/>
    <col min="21" max="22" width="18.7109375" customWidth="1" outlineLevel="1"/>
    <col min="23" max="31" width="18.7109375" customWidth="1"/>
    <col min="32" max="34" width="18.7109375" customWidth="1" outlineLevel="1"/>
    <col min="35" max="36" width="18.7109375" style="126" customWidth="1"/>
    <col min="37" max="38" width="18.7109375" style="126" customWidth="1" outlineLevel="1"/>
    <col min="39" max="47" width="18.7109375" style="126" customWidth="1"/>
    <col min="48" max="50" width="18.7109375" style="126" customWidth="1" outlineLevel="1"/>
    <col min="51" max="52" width="18.7109375" customWidth="1"/>
    <col min="53" max="54" width="18.7109375" customWidth="1" outlineLevel="1"/>
    <col min="55" max="63" width="18.7109375" customWidth="1"/>
    <col min="64" max="66" width="18.7109375" customWidth="1" outlineLevel="1"/>
    <col min="67" max="68" width="18.7109375" style="126" customWidth="1"/>
    <col min="69" max="70" width="18.7109375" style="126" customWidth="1" outlineLevel="1"/>
    <col min="71" max="79" width="18.7109375" style="126" customWidth="1"/>
    <col min="80" max="82" width="18.7109375" style="126" customWidth="1" outlineLevel="1"/>
    <col min="83" max="84" width="18.7109375" style="126" customWidth="1"/>
    <col min="85" max="86" width="18.7109375" style="126" customWidth="1" outlineLevel="1"/>
    <col min="87" max="95" width="18.7109375" style="126" customWidth="1"/>
    <col min="96" max="98" width="18.7109375" style="126" customWidth="1" outlineLevel="1"/>
    <col min="99" max="100" width="18.7109375" style="126" customWidth="1"/>
    <col min="101" max="102" width="18.7109375" style="126" customWidth="1" outlineLevel="1"/>
    <col min="103" max="111" width="18.7109375" style="126" customWidth="1"/>
    <col min="112" max="114" width="18.7109375" style="126" customWidth="1" outlineLevel="1"/>
    <col min="115" max="116" width="18.7109375" style="126" customWidth="1"/>
    <col min="117" max="118" width="18.7109375" style="126" customWidth="1" outlineLevel="1"/>
    <col min="119" max="127" width="18.7109375" style="126" customWidth="1"/>
    <col min="128" max="130" width="18.7109375" style="126" customWidth="1" outlineLevel="1"/>
    <col min="131" max="132" width="18.7109375" style="126" customWidth="1"/>
    <col min="133" max="134" width="18.7109375" style="126" customWidth="1" outlineLevel="1"/>
    <col min="135" max="143" width="18.7109375" style="126" customWidth="1"/>
    <col min="144" max="146" width="18.7109375" style="126" customWidth="1" outlineLevel="1"/>
    <col min="147" max="148" width="18.7109375" style="126" customWidth="1"/>
    <col min="149" max="150" width="18.7109375" style="126" customWidth="1" outlineLevel="1"/>
    <col min="151" max="159" width="18.7109375" style="126" customWidth="1"/>
    <col min="160" max="162" width="18.7109375" style="126" customWidth="1" outlineLevel="1"/>
    <col min="163" max="164" width="18.7109375" style="126" customWidth="1"/>
    <col min="165" max="166" width="18.7109375" style="126" customWidth="1" outlineLevel="1"/>
    <col min="167" max="175" width="18.7109375" style="126" customWidth="1"/>
    <col min="176" max="178" width="18.7109375" style="126" customWidth="1" outlineLevel="1"/>
    <col min="179" max="180" width="18.7109375" customWidth="1"/>
    <col min="181" max="182" width="18.7109375" customWidth="1" outlineLevel="1"/>
    <col min="183" max="191" width="18.7109375" customWidth="1"/>
    <col min="192" max="194" width="18.7109375" customWidth="1" outlineLevel="1"/>
    <col min="195" max="196" width="18.7109375" style="126" customWidth="1"/>
    <col min="197" max="198" width="18.7109375" style="126" customWidth="1" outlineLevel="1"/>
    <col min="199" max="207" width="18.7109375" style="126" customWidth="1"/>
    <col min="208" max="210" width="18.7109375" style="126" customWidth="1" outlineLevel="1"/>
    <col min="211" max="212" width="18.7109375" customWidth="1"/>
    <col min="213" max="214" width="18.7109375" customWidth="1" outlineLevel="1"/>
    <col min="215" max="223" width="18.7109375" customWidth="1"/>
    <col min="224" max="226" width="18.7109375" customWidth="1" outlineLevel="1"/>
    <col min="227" max="228" width="18.7109375" style="126" customWidth="1"/>
    <col min="229" max="230" width="18.7109375" style="126" customWidth="1" outlineLevel="1"/>
    <col min="231" max="239" width="18.7109375" style="126" customWidth="1"/>
    <col min="240" max="242" width="18.7109375" style="126" customWidth="1" outlineLevel="1"/>
  </cols>
  <sheetData>
    <row r="1" spans="1:242" s="126" customFormat="1" ht="13.5" customHeight="1" x14ac:dyDescent="0.25">
      <c r="B1" s="127"/>
    </row>
    <row r="2" spans="1:242" s="126" customFormat="1" ht="13.5" customHeight="1" x14ac:dyDescent="0.3">
      <c r="C2" s="216"/>
      <c r="D2" s="217"/>
      <c r="E2" s="217"/>
      <c r="F2" s="217"/>
      <c r="G2" s="217"/>
      <c r="H2" s="217"/>
      <c r="I2" s="217"/>
      <c r="J2" s="217"/>
      <c r="K2" s="217"/>
      <c r="L2" s="217"/>
      <c r="T2" s="217"/>
      <c r="U2" s="217"/>
      <c r="V2" s="217"/>
      <c r="W2" s="217"/>
      <c r="X2" s="217"/>
      <c r="Y2" s="217"/>
      <c r="Z2" s="217"/>
      <c r="AA2" s="217"/>
      <c r="AB2" s="217"/>
      <c r="AJ2" s="217"/>
      <c r="AK2" s="217"/>
      <c r="AL2" s="217"/>
      <c r="AM2" s="217"/>
      <c r="AN2" s="217"/>
      <c r="AO2" s="217"/>
      <c r="AP2" s="217"/>
      <c r="AQ2" s="217"/>
      <c r="AR2" s="217"/>
      <c r="AZ2" s="217"/>
      <c r="BA2" s="217"/>
      <c r="BB2" s="217"/>
      <c r="BC2" s="217"/>
      <c r="BD2" s="217"/>
      <c r="BE2" s="217"/>
      <c r="BF2" s="217"/>
      <c r="BG2" s="217"/>
      <c r="BH2" s="217"/>
      <c r="BP2" s="217"/>
      <c r="BQ2" s="217"/>
      <c r="BR2" s="217"/>
      <c r="BS2" s="217"/>
      <c r="BT2" s="217"/>
      <c r="BU2" s="217"/>
      <c r="BV2" s="217"/>
      <c r="BW2" s="217"/>
      <c r="BX2" s="217"/>
      <c r="CF2" s="217"/>
      <c r="CG2" s="217"/>
      <c r="CH2" s="217"/>
      <c r="CI2" s="217"/>
      <c r="CJ2" s="217"/>
      <c r="CK2" s="217"/>
      <c r="CL2" s="217"/>
      <c r="CM2" s="217"/>
      <c r="CN2" s="217"/>
      <c r="CV2" s="217"/>
      <c r="CW2" s="217"/>
      <c r="CX2" s="217"/>
      <c r="CY2" s="217"/>
      <c r="CZ2" s="217"/>
      <c r="DA2" s="217"/>
      <c r="DB2" s="217"/>
      <c r="DC2" s="217"/>
      <c r="DD2" s="217"/>
      <c r="DL2" s="217"/>
      <c r="DM2" s="217"/>
      <c r="DN2" s="217"/>
      <c r="DO2" s="217"/>
      <c r="DP2" s="217"/>
      <c r="DQ2" s="217"/>
      <c r="DR2" s="217"/>
      <c r="DS2" s="217"/>
      <c r="DT2" s="217"/>
      <c r="EB2" s="217"/>
      <c r="EC2" s="217"/>
      <c r="ED2" s="217"/>
      <c r="EE2" s="217"/>
      <c r="EF2" s="217"/>
      <c r="EG2" s="217"/>
      <c r="EH2" s="217"/>
      <c r="EI2" s="217"/>
      <c r="EJ2" s="217"/>
      <c r="ER2" s="217"/>
      <c r="ES2" s="217"/>
      <c r="ET2" s="217"/>
      <c r="EU2" s="217"/>
      <c r="EV2" s="217"/>
      <c r="EW2" s="217"/>
      <c r="EX2" s="217"/>
      <c r="EY2" s="217"/>
      <c r="EZ2" s="217"/>
      <c r="FH2" s="217"/>
      <c r="FI2" s="217"/>
      <c r="FJ2" s="217"/>
      <c r="FK2" s="217"/>
      <c r="FL2" s="217"/>
      <c r="FM2" s="217"/>
      <c r="FN2" s="217"/>
      <c r="FO2" s="217"/>
      <c r="FP2" s="217"/>
      <c r="FX2" s="217"/>
      <c r="FY2" s="217"/>
      <c r="FZ2" s="217"/>
      <c r="GA2" s="217"/>
      <c r="GB2" s="217"/>
      <c r="GC2" s="217"/>
      <c r="GD2" s="217"/>
      <c r="GE2" s="217"/>
      <c r="GF2" s="217"/>
      <c r="GN2" s="217"/>
      <c r="GO2" s="217"/>
      <c r="GP2" s="217"/>
      <c r="GQ2" s="217"/>
      <c r="GR2" s="217"/>
      <c r="GS2" s="217"/>
      <c r="GT2" s="217"/>
      <c r="GU2" s="217"/>
      <c r="GV2" s="217"/>
      <c r="HD2" s="217"/>
      <c r="HE2" s="217"/>
      <c r="HF2" s="217"/>
      <c r="HG2" s="217"/>
      <c r="HH2" s="217"/>
      <c r="HI2" s="217"/>
      <c r="HJ2" s="217"/>
      <c r="HK2" s="217"/>
      <c r="HL2" s="217"/>
      <c r="HT2" s="217"/>
      <c r="HU2" s="217"/>
      <c r="HV2" s="217"/>
      <c r="HW2" s="217"/>
      <c r="HX2" s="217"/>
      <c r="HY2" s="217"/>
      <c r="HZ2" s="217"/>
      <c r="IA2" s="217"/>
      <c r="IB2" s="217"/>
    </row>
    <row r="3" spans="1:242" s="126" customFormat="1" ht="13.5" customHeight="1" x14ac:dyDescent="0.3">
      <c r="A3" s="128"/>
      <c r="B3" s="128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38"/>
      <c r="N3" s="38"/>
      <c r="O3" s="38"/>
      <c r="P3" s="3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38"/>
      <c r="AD3" s="38"/>
      <c r="AE3" s="38"/>
      <c r="AF3" s="38"/>
      <c r="AI3" s="218"/>
      <c r="AJ3" s="218"/>
      <c r="AK3" s="218"/>
      <c r="AL3" s="218"/>
      <c r="AM3" s="218"/>
      <c r="AN3" s="218"/>
      <c r="AO3" s="218"/>
      <c r="AP3" s="218"/>
      <c r="AQ3" s="218"/>
      <c r="AR3" s="218"/>
      <c r="AS3" s="38"/>
      <c r="AT3" s="38"/>
      <c r="AU3" s="38"/>
      <c r="AV3" s="38"/>
      <c r="AY3" s="218"/>
      <c r="AZ3" s="218"/>
      <c r="BA3" s="218"/>
      <c r="BB3" s="218"/>
      <c r="BC3" s="218"/>
      <c r="BD3" s="218"/>
      <c r="BE3" s="218"/>
      <c r="BF3" s="218"/>
      <c r="BG3" s="218"/>
      <c r="BH3" s="218"/>
      <c r="BI3" s="38"/>
      <c r="BJ3" s="38"/>
      <c r="BK3" s="38"/>
      <c r="BL3" s="38"/>
      <c r="BO3" s="218"/>
      <c r="BP3" s="218"/>
      <c r="BQ3" s="218"/>
      <c r="BR3" s="218"/>
      <c r="BS3" s="218"/>
      <c r="BT3" s="218"/>
      <c r="BU3" s="218"/>
      <c r="BV3" s="218"/>
      <c r="BW3" s="218"/>
      <c r="BX3" s="218"/>
      <c r="BY3" s="38"/>
      <c r="BZ3" s="38"/>
      <c r="CA3" s="38"/>
      <c r="CB3" s="38"/>
      <c r="CE3" s="218"/>
      <c r="CF3" s="218"/>
      <c r="CG3" s="218"/>
      <c r="CH3" s="218"/>
      <c r="CI3" s="218"/>
      <c r="CJ3" s="218"/>
      <c r="CK3" s="218"/>
      <c r="CL3" s="218"/>
      <c r="CM3" s="218"/>
      <c r="CN3" s="218"/>
      <c r="CO3" s="38"/>
      <c r="CP3" s="38"/>
      <c r="CQ3" s="38"/>
      <c r="CR3" s="38"/>
      <c r="CU3" s="218"/>
      <c r="CV3" s="218"/>
      <c r="CW3" s="218"/>
      <c r="CX3" s="218"/>
      <c r="CY3" s="218"/>
      <c r="CZ3" s="218"/>
      <c r="DA3" s="218"/>
      <c r="DB3" s="218"/>
      <c r="DC3" s="218"/>
      <c r="DD3" s="218"/>
      <c r="DE3" s="38"/>
      <c r="DF3" s="38"/>
      <c r="DG3" s="38"/>
      <c r="DH3" s="38"/>
      <c r="DK3" s="218"/>
      <c r="DL3" s="218"/>
      <c r="DM3" s="218"/>
      <c r="DN3" s="218"/>
      <c r="DO3" s="218"/>
      <c r="DP3" s="218"/>
      <c r="DQ3" s="218"/>
      <c r="DR3" s="218"/>
      <c r="DS3" s="218"/>
      <c r="DT3" s="218"/>
      <c r="DU3" s="38"/>
      <c r="DV3" s="38"/>
      <c r="DW3" s="38"/>
      <c r="DX3" s="38"/>
      <c r="EA3" s="218"/>
      <c r="EB3" s="218"/>
      <c r="EC3" s="218"/>
      <c r="ED3" s="218"/>
      <c r="EE3" s="218"/>
      <c r="EF3" s="218"/>
      <c r="EG3" s="218"/>
      <c r="EH3" s="218"/>
      <c r="EI3" s="218"/>
      <c r="EJ3" s="218"/>
      <c r="EK3" s="38"/>
      <c r="EL3" s="38"/>
      <c r="EM3" s="38"/>
      <c r="EN3" s="38"/>
      <c r="EQ3" s="218"/>
      <c r="ER3" s="218"/>
      <c r="ES3" s="218"/>
      <c r="ET3" s="218"/>
      <c r="EU3" s="218"/>
      <c r="EV3" s="218"/>
      <c r="EW3" s="218"/>
      <c r="EX3" s="218"/>
      <c r="EY3" s="218"/>
      <c r="EZ3" s="218"/>
      <c r="FA3" s="38"/>
      <c r="FB3" s="38"/>
      <c r="FC3" s="38"/>
      <c r="FD3" s="38"/>
      <c r="FG3" s="218"/>
      <c r="FH3" s="218"/>
      <c r="FI3" s="218"/>
      <c r="FJ3" s="218"/>
      <c r="FK3" s="218"/>
      <c r="FL3" s="218"/>
      <c r="FM3" s="218"/>
      <c r="FN3" s="218"/>
      <c r="FO3" s="218"/>
      <c r="FP3" s="218"/>
      <c r="FQ3" s="38"/>
      <c r="FR3" s="38"/>
      <c r="FS3" s="38"/>
      <c r="FT3" s="38"/>
      <c r="FW3" s="218"/>
      <c r="FX3" s="218"/>
      <c r="FY3" s="218"/>
      <c r="FZ3" s="218"/>
      <c r="GA3" s="218"/>
      <c r="GB3" s="218"/>
      <c r="GC3" s="218"/>
      <c r="GD3" s="218"/>
      <c r="GE3" s="218"/>
      <c r="GF3" s="218"/>
      <c r="GH3" s="38"/>
      <c r="GI3" s="38"/>
      <c r="GJ3" s="38"/>
      <c r="GM3" s="218"/>
      <c r="GN3" s="218"/>
      <c r="GO3" s="218"/>
      <c r="GP3" s="218"/>
      <c r="GQ3" s="218"/>
      <c r="GR3" s="218"/>
      <c r="GS3" s="218"/>
      <c r="GT3" s="218"/>
      <c r="GU3" s="218"/>
      <c r="GV3" s="218"/>
      <c r="GX3" s="38"/>
      <c r="GY3" s="38"/>
      <c r="GZ3" s="38"/>
      <c r="HC3" s="218"/>
      <c r="HD3" s="218"/>
      <c r="HE3" s="218"/>
      <c r="HF3" s="218"/>
      <c r="HG3" s="218"/>
      <c r="HH3" s="218"/>
      <c r="HI3" s="218"/>
      <c r="HJ3" s="218"/>
      <c r="HK3" s="218"/>
      <c r="HL3" s="218"/>
      <c r="HM3" s="38"/>
      <c r="HN3" s="38"/>
      <c r="HO3" s="38"/>
      <c r="HP3" s="38"/>
      <c r="HS3" s="218"/>
      <c r="HT3" s="218"/>
      <c r="HU3" s="218"/>
      <c r="HV3" s="218"/>
      <c r="HW3" s="218"/>
      <c r="HX3" s="218"/>
      <c r="HY3" s="218"/>
      <c r="HZ3" s="218"/>
      <c r="IA3" s="218"/>
      <c r="IB3" s="218"/>
      <c r="IC3" s="38"/>
      <c r="ID3" s="38"/>
      <c r="IE3" s="38"/>
      <c r="IF3" s="38"/>
    </row>
    <row r="4" spans="1:242" s="126" customFormat="1" ht="13.5" customHeight="1" x14ac:dyDescent="0.3">
      <c r="A4" s="128"/>
      <c r="B4" s="128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38"/>
      <c r="N4" s="38"/>
      <c r="O4" s="38"/>
      <c r="P4" s="38"/>
      <c r="T4" s="40"/>
      <c r="U4" s="40"/>
      <c r="V4" s="40"/>
      <c r="W4" s="40"/>
      <c r="X4" s="40"/>
      <c r="Y4" s="40"/>
      <c r="Z4" s="40"/>
      <c r="AA4" s="40"/>
      <c r="AB4" s="40"/>
      <c r="AC4" s="38"/>
      <c r="AD4" s="38"/>
      <c r="AE4" s="38"/>
      <c r="AF4" s="38"/>
      <c r="AJ4" s="40"/>
      <c r="AK4" s="40"/>
      <c r="AL4" s="40"/>
      <c r="AM4" s="40"/>
      <c r="AN4" s="40"/>
      <c r="AO4" s="40"/>
      <c r="AP4" s="40"/>
      <c r="AQ4" s="40"/>
      <c r="AR4" s="40"/>
      <c r="AS4" s="38"/>
      <c r="AT4" s="38"/>
      <c r="AU4" s="38"/>
      <c r="AV4" s="38"/>
      <c r="AZ4" s="40"/>
      <c r="BA4" s="40"/>
      <c r="BB4" s="40"/>
      <c r="BC4" s="40"/>
      <c r="BD4" s="40"/>
      <c r="BE4" s="40"/>
      <c r="BF4" s="40"/>
      <c r="BG4" s="40"/>
      <c r="BH4" s="40"/>
      <c r="BI4" s="38"/>
      <c r="BJ4" s="38"/>
      <c r="BK4" s="38"/>
      <c r="BL4" s="38"/>
      <c r="BP4" s="40"/>
      <c r="BQ4" s="40"/>
      <c r="BR4" s="40"/>
      <c r="BS4" s="40"/>
      <c r="BT4" s="40"/>
      <c r="BU4" s="40"/>
      <c r="BV4" s="40"/>
      <c r="BW4" s="40"/>
      <c r="BX4" s="40"/>
      <c r="BY4" s="38"/>
      <c r="BZ4" s="38"/>
      <c r="CA4" s="38"/>
      <c r="CB4" s="38"/>
      <c r="CF4" s="40"/>
      <c r="CG4" s="40"/>
      <c r="CH4" s="40"/>
      <c r="CI4" s="40"/>
      <c r="CJ4" s="40"/>
      <c r="CK4" s="40"/>
      <c r="CL4" s="40"/>
      <c r="CM4" s="40"/>
      <c r="CN4" s="40"/>
      <c r="CO4" s="38"/>
      <c r="CP4" s="38"/>
      <c r="CQ4" s="38"/>
      <c r="CR4" s="38"/>
      <c r="CV4" s="40"/>
      <c r="CW4" s="40"/>
      <c r="CX4" s="40"/>
      <c r="CY4" s="40"/>
      <c r="CZ4" s="40"/>
      <c r="DA4" s="40"/>
      <c r="DB4" s="40"/>
      <c r="DC4" s="40"/>
      <c r="DD4" s="40"/>
      <c r="DE4" s="38"/>
      <c r="DF4" s="38"/>
      <c r="DG4" s="38"/>
      <c r="DH4" s="38"/>
      <c r="DL4" s="40"/>
      <c r="DM4" s="40"/>
      <c r="DN4" s="40"/>
      <c r="DO4" s="40"/>
      <c r="DP4" s="40"/>
      <c r="DQ4" s="40"/>
      <c r="DR4" s="40"/>
      <c r="DS4" s="40"/>
      <c r="DT4" s="40"/>
      <c r="DU4" s="38"/>
      <c r="DV4" s="38"/>
      <c r="DW4" s="38"/>
      <c r="DX4" s="38"/>
      <c r="EB4" s="40"/>
      <c r="EC4" s="40"/>
      <c r="ED4" s="40"/>
      <c r="EE4" s="40"/>
      <c r="EF4" s="40"/>
      <c r="EG4" s="40"/>
      <c r="EH4" s="40"/>
      <c r="EI4" s="40"/>
      <c r="EJ4" s="40"/>
      <c r="EK4" s="38"/>
      <c r="EL4" s="38"/>
      <c r="EM4" s="38"/>
      <c r="EN4" s="38"/>
      <c r="ER4" s="40"/>
      <c r="ES4" s="40"/>
      <c r="ET4" s="40"/>
      <c r="EU4" s="40"/>
      <c r="EV4" s="40"/>
      <c r="EW4" s="40"/>
      <c r="EX4" s="40"/>
      <c r="EY4" s="40"/>
      <c r="EZ4" s="40"/>
      <c r="FA4" s="38"/>
      <c r="FB4" s="38"/>
      <c r="FC4" s="38"/>
      <c r="FD4" s="38"/>
      <c r="FH4" s="40"/>
      <c r="FI4" s="40"/>
      <c r="FJ4" s="40"/>
      <c r="FK4" s="40"/>
      <c r="FL4" s="40"/>
      <c r="FM4" s="40"/>
      <c r="FN4" s="40"/>
      <c r="FO4" s="40"/>
      <c r="FP4" s="40"/>
      <c r="FQ4" s="38"/>
      <c r="FR4" s="38"/>
      <c r="FS4" s="38"/>
      <c r="FT4" s="38"/>
      <c r="FX4" s="40"/>
      <c r="FY4" s="40"/>
      <c r="FZ4" s="40"/>
      <c r="GA4" s="40"/>
      <c r="GB4" s="40"/>
      <c r="GC4" s="40"/>
      <c r="GD4" s="40"/>
      <c r="GE4" s="40"/>
      <c r="GF4" s="40"/>
      <c r="GH4" s="38"/>
      <c r="GI4" s="38"/>
      <c r="GJ4" s="38"/>
      <c r="GN4" s="40"/>
      <c r="GO4" s="40"/>
      <c r="GP4" s="40"/>
      <c r="GQ4" s="40"/>
      <c r="GR4" s="40"/>
      <c r="GS4" s="40"/>
      <c r="GT4" s="40"/>
      <c r="GU4" s="40"/>
      <c r="GV4" s="40"/>
      <c r="GX4" s="38"/>
      <c r="GY4" s="38"/>
      <c r="GZ4" s="38"/>
      <c r="HD4" s="40"/>
      <c r="HE4" s="40"/>
      <c r="HF4" s="40"/>
      <c r="HG4" s="40"/>
      <c r="HH4" s="40"/>
      <c r="HI4" s="40"/>
      <c r="HJ4" s="40"/>
      <c r="HK4" s="40"/>
      <c r="HL4" s="40"/>
      <c r="HM4" s="38"/>
      <c r="HN4" s="38"/>
      <c r="HO4" s="38"/>
      <c r="HP4" s="38"/>
      <c r="HT4" s="40"/>
      <c r="HU4" s="40"/>
      <c r="HV4" s="40"/>
      <c r="HW4" s="40"/>
      <c r="HX4" s="40"/>
      <c r="HY4" s="40"/>
      <c r="HZ4" s="40"/>
      <c r="IA4" s="40"/>
      <c r="IB4" s="40"/>
      <c r="IC4" s="38"/>
      <c r="ID4" s="38"/>
      <c r="IE4" s="38"/>
      <c r="IF4" s="38"/>
    </row>
    <row r="5" spans="1:242" s="126" customFormat="1" ht="13.5" customHeight="1" x14ac:dyDescent="0.3">
      <c r="A5" s="128"/>
      <c r="B5" s="128"/>
      <c r="D5" s="215"/>
      <c r="E5" s="215"/>
      <c r="F5" s="214"/>
      <c r="G5" s="42"/>
      <c r="H5" s="43"/>
      <c r="I5" s="43"/>
      <c r="T5" s="215"/>
      <c r="U5" s="215"/>
      <c r="V5" s="214"/>
      <c r="W5" s="42"/>
      <c r="X5" s="43"/>
      <c r="Y5" s="43"/>
      <c r="AJ5" s="215"/>
      <c r="AK5" s="215"/>
      <c r="AL5" s="214"/>
      <c r="AM5" s="42"/>
      <c r="AN5" s="43"/>
      <c r="AO5" s="43"/>
      <c r="AZ5" s="215"/>
      <c r="BA5" s="215"/>
      <c r="BB5" s="214"/>
      <c r="BC5" s="42"/>
      <c r="BD5" s="43"/>
      <c r="BE5" s="43"/>
      <c r="BP5" s="215"/>
      <c r="BQ5" s="215"/>
      <c r="BR5" s="214"/>
      <c r="BS5" s="42"/>
      <c r="BT5" s="43"/>
      <c r="BU5" s="43"/>
      <c r="CF5" s="215"/>
      <c r="CG5" s="215"/>
      <c r="CH5" s="214"/>
      <c r="CI5" s="42"/>
      <c r="CJ5" s="43"/>
      <c r="CK5" s="43"/>
      <c r="CV5" s="215"/>
      <c r="CW5" s="215"/>
      <c r="CX5" s="214"/>
      <c r="CY5" s="42"/>
      <c r="CZ5" s="43"/>
      <c r="DA5" s="43"/>
      <c r="DL5" s="215"/>
      <c r="DM5" s="215"/>
      <c r="DN5" s="214"/>
      <c r="DO5" s="42"/>
      <c r="DP5" s="43"/>
      <c r="DQ5" s="43"/>
      <c r="EB5" s="215"/>
      <c r="EC5" s="215"/>
      <c r="ED5" s="214"/>
      <c r="EE5" s="42"/>
      <c r="EF5" s="43"/>
      <c r="EG5" s="43"/>
      <c r="ER5" s="215"/>
      <c r="ES5" s="215"/>
      <c r="ET5" s="214"/>
      <c r="EU5" s="42"/>
      <c r="EV5" s="43"/>
      <c r="EW5" s="43"/>
      <c r="FH5" s="215"/>
      <c r="FI5" s="215"/>
      <c r="FJ5" s="214"/>
      <c r="FK5" s="42"/>
      <c r="FL5" s="43"/>
      <c r="FM5" s="43"/>
      <c r="FX5" s="215"/>
      <c r="FY5" s="215"/>
      <c r="FZ5" s="214"/>
      <c r="GA5" s="42"/>
      <c r="GB5" s="43"/>
      <c r="GC5" s="43"/>
      <c r="GN5" s="215"/>
      <c r="GO5" s="215"/>
      <c r="GP5" s="214"/>
      <c r="GQ5" s="42"/>
      <c r="GR5" s="43"/>
      <c r="GS5" s="43"/>
      <c r="HD5" s="215"/>
      <c r="HE5" s="215"/>
      <c r="HF5" s="214"/>
      <c r="HG5" s="42"/>
      <c r="HH5" s="43"/>
      <c r="HI5" s="43"/>
      <c r="HT5" s="215"/>
      <c r="HU5" s="215"/>
      <c r="HV5" s="214"/>
      <c r="HW5" s="42"/>
      <c r="HX5" s="43"/>
      <c r="HY5" s="43"/>
    </row>
    <row r="6" spans="1:242" ht="15.75" x14ac:dyDescent="0.25">
      <c r="B6" s="44" t="s">
        <v>1093</v>
      </c>
      <c r="C6" s="76"/>
      <c r="Q6" s="76"/>
      <c r="R6" s="76"/>
      <c r="S6" s="76"/>
      <c r="AG6" s="76"/>
      <c r="AH6" s="76"/>
      <c r="AI6" s="76"/>
      <c r="AW6" s="76"/>
      <c r="AX6" s="76"/>
      <c r="AY6" s="76"/>
      <c r="BM6" s="76"/>
      <c r="BN6" s="76"/>
      <c r="BO6" s="76"/>
      <c r="CC6" s="76"/>
      <c r="CD6" s="76"/>
      <c r="CE6" s="76"/>
      <c r="CS6" s="76"/>
      <c r="CT6" s="76"/>
      <c r="CU6" s="76"/>
      <c r="DI6" s="76"/>
      <c r="DJ6" s="76"/>
      <c r="DK6" s="76"/>
      <c r="DY6" s="76"/>
      <c r="DZ6" s="76"/>
      <c r="EA6" s="76"/>
      <c r="EO6" s="76"/>
      <c r="EP6" s="76"/>
      <c r="EQ6" s="76"/>
      <c r="FE6" s="76"/>
      <c r="FF6" s="76"/>
      <c r="FG6" s="76"/>
      <c r="FU6" s="76"/>
      <c r="FV6" s="76"/>
      <c r="FW6" s="76"/>
      <c r="GK6" s="76"/>
      <c r="GL6" s="76"/>
      <c r="GM6" s="76"/>
      <c r="HA6" s="76"/>
      <c r="HB6" s="76"/>
      <c r="HC6" s="76"/>
      <c r="HQ6" s="76"/>
      <c r="HR6" s="76"/>
      <c r="HS6" s="76"/>
      <c r="IG6" s="76"/>
      <c r="IH6" s="76"/>
    </row>
    <row r="7" spans="1:242" ht="15" customHeight="1" x14ac:dyDescent="0.25">
      <c r="A7" s="275" t="s">
        <v>284</v>
      </c>
      <c r="B7" s="275" t="s">
        <v>285</v>
      </c>
      <c r="C7" s="282" t="s">
        <v>1004</v>
      </c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  <c r="S7" s="282" t="s">
        <v>977</v>
      </c>
      <c r="T7" s="283"/>
      <c r="U7" s="283"/>
      <c r="V7" s="283"/>
      <c r="W7" s="283"/>
      <c r="X7" s="283"/>
      <c r="Y7" s="283"/>
      <c r="Z7" s="283"/>
      <c r="AA7" s="283"/>
      <c r="AB7" s="283"/>
      <c r="AC7" s="283"/>
      <c r="AD7" s="283"/>
      <c r="AE7" s="283"/>
      <c r="AF7" s="283"/>
      <c r="AG7" s="283"/>
      <c r="AH7" s="283"/>
      <c r="AI7" s="282" t="s">
        <v>978</v>
      </c>
      <c r="AJ7" s="283"/>
      <c r="AK7" s="283"/>
      <c r="AL7" s="283"/>
      <c r="AM7" s="283"/>
      <c r="AN7" s="283"/>
      <c r="AO7" s="283"/>
      <c r="AP7" s="283"/>
      <c r="AQ7" s="283"/>
      <c r="AR7" s="283"/>
      <c r="AS7" s="283"/>
      <c r="AT7" s="283"/>
      <c r="AU7" s="283"/>
      <c r="AV7" s="283"/>
      <c r="AW7" s="283"/>
      <c r="AX7" s="283"/>
      <c r="AY7" s="282" t="s">
        <v>979</v>
      </c>
      <c r="AZ7" s="283"/>
      <c r="BA7" s="283"/>
      <c r="BB7" s="283"/>
      <c r="BC7" s="283"/>
      <c r="BD7" s="283"/>
      <c r="BE7" s="283"/>
      <c r="BF7" s="283"/>
      <c r="BG7" s="283"/>
      <c r="BH7" s="283"/>
      <c r="BI7" s="283"/>
      <c r="BJ7" s="283"/>
      <c r="BK7" s="283"/>
      <c r="BL7" s="283"/>
      <c r="BM7" s="283"/>
      <c r="BN7" s="283"/>
      <c r="BO7" s="282" t="s">
        <v>993</v>
      </c>
      <c r="BP7" s="283"/>
      <c r="BQ7" s="283"/>
      <c r="BR7" s="283"/>
      <c r="BS7" s="283"/>
      <c r="BT7" s="283"/>
      <c r="BU7" s="283"/>
      <c r="BV7" s="283"/>
      <c r="BW7" s="283"/>
      <c r="BX7" s="283"/>
      <c r="BY7" s="283"/>
      <c r="BZ7" s="283"/>
      <c r="CA7" s="283"/>
      <c r="CB7" s="283"/>
      <c r="CC7" s="283"/>
      <c r="CD7" s="283"/>
      <c r="CE7" s="282" t="s">
        <v>981</v>
      </c>
      <c r="CF7" s="283"/>
      <c r="CG7" s="283"/>
      <c r="CH7" s="283"/>
      <c r="CI7" s="283"/>
      <c r="CJ7" s="283"/>
      <c r="CK7" s="283"/>
      <c r="CL7" s="283"/>
      <c r="CM7" s="283"/>
      <c r="CN7" s="283"/>
      <c r="CO7" s="283"/>
      <c r="CP7" s="283"/>
      <c r="CQ7" s="283"/>
      <c r="CR7" s="283"/>
      <c r="CS7" s="283"/>
      <c r="CT7" s="283"/>
      <c r="CU7" s="282" t="s">
        <v>982</v>
      </c>
      <c r="CV7" s="283"/>
      <c r="CW7" s="283"/>
      <c r="CX7" s="283"/>
      <c r="CY7" s="283"/>
      <c r="CZ7" s="283"/>
      <c r="DA7" s="283"/>
      <c r="DB7" s="283"/>
      <c r="DC7" s="283"/>
      <c r="DD7" s="283"/>
      <c r="DE7" s="283"/>
      <c r="DF7" s="283"/>
      <c r="DG7" s="283"/>
      <c r="DH7" s="283"/>
      <c r="DI7" s="283"/>
      <c r="DJ7" s="283"/>
      <c r="DK7" s="282" t="s">
        <v>983</v>
      </c>
      <c r="DL7" s="283"/>
      <c r="DM7" s="283"/>
      <c r="DN7" s="283"/>
      <c r="DO7" s="283"/>
      <c r="DP7" s="283"/>
      <c r="DQ7" s="283"/>
      <c r="DR7" s="283"/>
      <c r="DS7" s="283"/>
      <c r="DT7" s="283"/>
      <c r="DU7" s="283"/>
      <c r="DV7" s="283"/>
      <c r="DW7" s="283"/>
      <c r="DX7" s="283"/>
      <c r="DY7" s="283"/>
      <c r="DZ7" s="283"/>
      <c r="EA7" s="282" t="s">
        <v>984</v>
      </c>
      <c r="EB7" s="283"/>
      <c r="EC7" s="283"/>
      <c r="ED7" s="283"/>
      <c r="EE7" s="283"/>
      <c r="EF7" s="283"/>
      <c r="EG7" s="283"/>
      <c r="EH7" s="283"/>
      <c r="EI7" s="283"/>
      <c r="EJ7" s="283"/>
      <c r="EK7" s="283"/>
      <c r="EL7" s="283"/>
      <c r="EM7" s="283"/>
      <c r="EN7" s="283"/>
      <c r="EO7" s="283"/>
      <c r="EP7" s="283"/>
      <c r="EQ7" s="282" t="s">
        <v>985</v>
      </c>
      <c r="ER7" s="283"/>
      <c r="ES7" s="283"/>
      <c r="ET7" s="283"/>
      <c r="EU7" s="283"/>
      <c r="EV7" s="283"/>
      <c r="EW7" s="283"/>
      <c r="EX7" s="283"/>
      <c r="EY7" s="283"/>
      <c r="EZ7" s="283"/>
      <c r="FA7" s="283"/>
      <c r="FB7" s="283"/>
      <c r="FC7" s="283"/>
      <c r="FD7" s="283"/>
      <c r="FE7" s="283"/>
      <c r="FF7" s="283"/>
      <c r="FG7" s="282" t="s">
        <v>986</v>
      </c>
      <c r="FH7" s="283"/>
      <c r="FI7" s="283"/>
      <c r="FJ7" s="283"/>
      <c r="FK7" s="283"/>
      <c r="FL7" s="283"/>
      <c r="FM7" s="283"/>
      <c r="FN7" s="283"/>
      <c r="FO7" s="283"/>
      <c r="FP7" s="283"/>
      <c r="FQ7" s="283"/>
      <c r="FR7" s="283"/>
      <c r="FS7" s="283"/>
      <c r="FT7" s="283"/>
      <c r="FU7" s="283"/>
      <c r="FV7" s="283"/>
      <c r="FW7" s="282" t="s">
        <v>988</v>
      </c>
      <c r="FX7" s="283"/>
      <c r="FY7" s="283"/>
      <c r="FZ7" s="283"/>
      <c r="GA7" s="283"/>
      <c r="GB7" s="283"/>
      <c r="GC7" s="283"/>
      <c r="GD7" s="283"/>
      <c r="GE7" s="283"/>
      <c r="GF7" s="283"/>
      <c r="GG7" s="283"/>
      <c r="GH7" s="283"/>
      <c r="GI7" s="283"/>
      <c r="GJ7" s="283"/>
      <c r="GK7" s="283"/>
      <c r="GL7" s="283"/>
      <c r="GM7" s="282" t="s">
        <v>987</v>
      </c>
      <c r="GN7" s="283"/>
      <c r="GO7" s="283"/>
      <c r="GP7" s="283"/>
      <c r="GQ7" s="283"/>
      <c r="GR7" s="283"/>
      <c r="GS7" s="283"/>
      <c r="GT7" s="283"/>
      <c r="GU7" s="283"/>
      <c r="GV7" s="283"/>
      <c r="GW7" s="283"/>
      <c r="GX7" s="283"/>
      <c r="GY7" s="283"/>
      <c r="GZ7" s="283"/>
      <c r="HA7" s="283"/>
      <c r="HB7" s="283"/>
      <c r="HC7" s="282" t="s">
        <v>989</v>
      </c>
      <c r="HD7" s="283"/>
      <c r="HE7" s="283"/>
      <c r="HF7" s="283"/>
      <c r="HG7" s="283"/>
      <c r="HH7" s="283"/>
      <c r="HI7" s="283"/>
      <c r="HJ7" s="283"/>
      <c r="HK7" s="283"/>
      <c r="HL7" s="283"/>
      <c r="HM7" s="283"/>
      <c r="HN7" s="283"/>
      <c r="HO7" s="283"/>
      <c r="HP7" s="283"/>
      <c r="HQ7" s="283"/>
      <c r="HR7" s="283"/>
      <c r="HS7" s="282" t="s">
        <v>991</v>
      </c>
      <c r="HT7" s="283"/>
      <c r="HU7" s="283"/>
      <c r="HV7" s="283"/>
      <c r="HW7" s="283"/>
      <c r="HX7" s="283"/>
      <c r="HY7" s="283"/>
      <c r="HZ7" s="283"/>
      <c r="IA7" s="283"/>
      <c r="IB7" s="283"/>
      <c r="IC7" s="283"/>
      <c r="ID7" s="283"/>
      <c r="IE7" s="283"/>
      <c r="IF7" s="283"/>
      <c r="IG7" s="283"/>
      <c r="IH7" s="283"/>
    </row>
    <row r="8" spans="1:242" ht="15.75" customHeight="1" thickBot="1" x14ac:dyDescent="0.3">
      <c r="A8" s="275"/>
      <c r="B8" s="275"/>
      <c r="C8" s="284"/>
      <c r="D8" s="279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79"/>
      <c r="S8" s="284"/>
      <c r="T8" s="279"/>
      <c r="U8" s="279"/>
      <c r="V8" s="279"/>
      <c r="W8" s="279"/>
      <c r="X8" s="279"/>
      <c r="Y8" s="279"/>
      <c r="Z8" s="279"/>
      <c r="AA8" s="279"/>
      <c r="AB8" s="279"/>
      <c r="AC8" s="279"/>
      <c r="AD8" s="279"/>
      <c r="AE8" s="279"/>
      <c r="AF8" s="279"/>
      <c r="AG8" s="279"/>
      <c r="AH8" s="279"/>
      <c r="AI8" s="284"/>
      <c r="AJ8" s="279"/>
      <c r="AK8" s="279"/>
      <c r="AL8" s="279"/>
      <c r="AM8" s="279"/>
      <c r="AN8" s="279"/>
      <c r="AO8" s="279"/>
      <c r="AP8" s="279"/>
      <c r="AQ8" s="279"/>
      <c r="AR8" s="279"/>
      <c r="AS8" s="279"/>
      <c r="AT8" s="279"/>
      <c r="AU8" s="279"/>
      <c r="AV8" s="279"/>
      <c r="AW8" s="279"/>
      <c r="AX8" s="279"/>
      <c r="AY8" s="284"/>
      <c r="AZ8" s="279"/>
      <c r="BA8" s="279"/>
      <c r="BB8" s="279"/>
      <c r="BC8" s="279"/>
      <c r="BD8" s="279"/>
      <c r="BE8" s="279"/>
      <c r="BF8" s="279"/>
      <c r="BG8" s="279"/>
      <c r="BH8" s="279"/>
      <c r="BI8" s="279"/>
      <c r="BJ8" s="279"/>
      <c r="BK8" s="279"/>
      <c r="BL8" s="279"/>
      <c r="BM8" s="279"/>
      <c r="BN8" s="279"/>
      <c r="BO8" s="284"/>
      <c r="BP8" s="279"/>
      <c r="BQ8" s="279"/>
      <c r="BR8" s="279"/>
      <c r="BS8" s="279"/>
      <c r="BT8" s="279"/>
      <c r="BU8" s="279"/>
      <c r="BV8" s="279"/>
      <c r="BW8" s="279"/>
      <c r="BX8" s="279"/>
      <c r="BY8" s="279"/>
      <c r="BZ8" s="279"/>
      <c r="CA8" s="279"/>
      <c r="CB8" s="279"/>
      <c r="CC8" s="279"/>
      <c r="CD8" s="279"/>
      <c r="CE8" s="284"/>
      <c r="CF8" s="279"/>
      <c r="CG8" s="279"/>
      <c r="CH8" s="279"/>
      <c r="CI8" s="279"/>
      <c r="CJ8" s="279"/>
      <c r="CK8" s="279"/>
      <c r="CL8" s="279"/>
      <c r="CM8" s="279"/>
      <c r="CN8" s="279"/>
      <c r="CO8" s="279"/>
      <c r="CP8" s="279"/>
      <c r="CQ8" s="279"/>
      <c r="CR8" s="279"/>
      <c r="CS8" s="279"/>
      <c r="CT8" s="279"/>
      <c r="CU8" s="284"/>
      <c r="CV8" s="279"/>
      <c r="CW8" s="279"/>
      <c r="CX8" s="279"/>
      <c r="CY8" s="279"/>
      <c r="CZ8" s="279"/>
      <c r="DA8" s="279"/>
      <c r="DB8" s="279"/>
      <c r="DC8" s="279"/>
      <c r="DD8" s="279"/>
      <c r="DE8" s="279"/>
      <c r="DF8" s="279"/>
      <c r="DG8" s="279"/>
      <c r="DH8" s="279"/>
      <c r="DI8" s="279"/>
      <c r="DJ8" s="279"/>
      <c r="DK8" s="284"/>
      <c r="DL8" s="279"/>
      <c r="DM8" s="279"/>
      <c r="DN8" s="279"/>
      <c r="DO8" s="279"/>
      <c r="DP8" s="279"/>
      <c r="DQ8" s="279"/>
      <c r="DR8" s="279"/>
      <c r="DS8" s="279"/>
      <c r="DT8" s="279"/>
      <c r="DU8" s="279"/>
      <c r="DV8" s="279"/>
      <c r="DW8" s="279"/>
      <c r="DX8" s="279"/>
      <c r="DY8" s="279"/>
      <c r="DZ8" s="279"/>
      <c r="EA8" s="284"/>
      <c r="EB8" s="279"/>
      <c r="EC8" s="279"/>
      <c r="ED8" s="279"/>
      <c r="EE8" s="279"/>
      <c r="EF8" s="279"/>
      <c r="EG8" s="279"/>
      <c r="EH8" s="279"/>
      <c r="EI8" s="279"/>
      <c r="EJ8" s="279"/>
      <c r="EK8" s="279"/>
      <c r="EL8" s="279"/>
      <c r="EM8" s="279"/>
      <c r="EN8" s="279"/>
      <c r="EO8" s="279"/>
      <c r="EP8" s="279"/>
      <c r="EQ8" s="284"/>
      <c r="ER8" s="279"/>
      <c r="ES8" s="279"/>
      <c r="ET8" s="279"/>
      <c r="EU8" s="279"/>
      <c r="EV8" s="279"/>
      <c r="EW8" s="279"/>
      <c r="EX8" s="279"/>
      <c r="EY8" s="279"/>
      <c r="EZ8" s="279"/>
      <c r="FA8" s="279"/>
      <c r="FB8" s="279"/>
      <c r="FC8" s="279"/>
      <c r="FD8" s="279"/>
      <c r="FE8" s="279"/>
      <c r="FF8" s="279"/>
      <c r="FG8" s="284"/>
      <c r="FH8" s="279"/>
      <c r="FI8" s="279"/>
      <c r="FJ8" s="279"/>
      <c r="FK8" s="279"/>
      <c r="FL8" s="279"/>
      <c r="FM8" s="279"/>
      <c r="FN8" s="279"/>
      <c r="FO8" s="279"/>
      <c r="FP8" s="279"/>
      <c r="FQ8" s="279"/>
      <c r="FR8" s="279"/>
      <c r="FS8" s="279"/>
      <c r="FT8" s="279"/>
      <c r="FU8" s="279"/>
      <c r="FV8" s="279"/>
      <c r="FW8" s="284"/>
      <c r="FX8" s="279"/>
      <c r="FY8" s="279"/>
      <c r="FZ8" s="279"/>
      <c r="GA8" s="279"/>
      <c r="GB8" s="279"/>
      <c r="GC8" s="279"/>
      <c r="GD8" s="279"/>
      <c r="GE8" s="279"/>
      <c r="GF8" s="279"/>
      <c r="GG8" s="279"/>
      <c r="GH8" s="279"/>
      <c r="GI8" s="279"/>
      <c r="GJ8" s="279"/>
      <c r="GK8" s="279"/>
      <c r="GL8" s="279"/>
      <c r="GM8" s="284"/>
      <c r="GN8" s="279"/>
      <c r="GO8" s="279"/>
      <c r="GP8" s="279"/>
      <c r="GQ8" s="279"/>
      <c r="GR8" s="279"/>
      <c r="GS8" s="279"/>
      <c r="GT8" s="279"/>
      <c r="GU8" s="279"/>
      <c r="GV8" s="279"/>
      <c r="GW8" s="279"/>
      <c r="GX8" s="279"/>
      <c r="GY8" s="279"/>
      <c r="GZ8" s="279"/>
      <c r="HA8" s="279"/>
      <c r="HB8" s="279"/>
      <c r="HC8" s="284"/>
      <c r="HD8" s="279"/>
      <c r="HE8" s="279"/>
      <c r="HF8" s="279"/>
      <c r="HG8" s="279"/>
      <c r="HH8" s="279"/>
      <c r="HI8" s="279"/>
      <c r="HJ8" s="279"/>
      <c r="HK8" s="279"/>
      <c r="HL8" s="279"/>
      <c r="HM8" s="279"/>
      <c r="HN8" s="279"/>
      <c r="HO8" s="279"/>
      <c r="HP8" s="279"/>
      <c r="HQ8" s="279"/>
      <c r="HR8" s="279"/>
      <c r="HS8" s="284"/>
      <c r="HT8" s="279"/>
      <c r="HU8" s="279"/>
      <c r="HV8" s="279"/>
      <c r="HW8" s="279"/>
      <c r="HX8" s="279"/>
      <c r="HY8" s="279"/>
      <c r="HZ8" s="279"/>
      <c r="IA8" s="279"/>
      <c r="IB8" s="279"/>
      <c r="IC8" s="279"/>
      <c r="ID8" s="279"/>
      <c r="IE8" s="279"/>
      <c r="IF8" s="279"/>
      <c r="IG8" s="279"/>
      <c r="IH8" s="279"/>
    </row>
    <row r="9" spans="1:242" ht="15" customHeight="1" x14ac:dyDescent="0.25">
      <c r="A9" s="275"/>
      <c r="B9" s="275"/>
      <c r="C9" s="253" t="s">
        <v>315</v>
      </c>
      <c r="D9" s="254" t="s">
        <v>1096</v>
      </c>
      <c r="E9" s="268" t="s">
        <v>287</v>
      </c>
      <c r="F9" s="268"/>
      <c r="G9" s="268"/>
      <c r="H9" s="268" t="s">
        <v>312</v>
      </c>
      <c r="I9" s="268" t="s">
        <v>262</v>
      </c>
      <c r="J9" s="268" t="s">
        <v>288</v>
      </c>
      <c r="K9" s="268"/>
      <c r="L9" s="268"/>
      <c r="M9" s="268"/>
      <c r="N9" s="281" t="s">
        <v>289</v>
      </c>
      <c r="O9" s="281"/>
      <c r="P9" s="268" t="s">
        <v>290</v>
      </c>
      <c r="Q9" s="268" t="s">
        <v>266</v>
      </c>
      <c r="R9" s="268" t="s">
        <v>291</v>
      </c>
      <c r="S9" s="253" t="s">
        <v>315</v>
      </c>
      <c r="T9" s="254" t="s">
        <v>1096</v>
      </c>
      <c r="U9" s="254" t="s">
        <v>287</v>
      </c>
      <c r="V9" s="254"/>
      <c r="W9" s="254"/>
      <c r="X9" s="254" t="s">
        <v>312</v>
      </c>
      <c r="Y9" s="254" t="s">
        <v>262</v>
      </c>
      <c r="Z9" s="254" t="s">
        <v>288</v>
      </c>
      <c r="AA9" s="254"/>
      <c r="AB9" s="254"/>
      <c r="AC9" s="254"/>
      <c r="AD9" s="269" t="s">
        <v>289</v>
      </c>
      <c r="AE9" s="269"/>
      <c r="AF9" s="254" t="s">
        <v>290</v>
      </c>
      <c r="AG9" s="254" t="s">
        <v>266</v>
      </c>
      <c r="AH9" s="254" t="s">
        <v>291</v>
      </c>
      <c r="AI9" s="253" t="s">
        <v>315</v>
      </c>
      <c r="AJ9" s="254" t="s">
        <v>1096</v>
      </c>
      <c r="AK9" s="254" t="s">
        <v>287</v>
      </c>
      <c r="AL9" s="254"/>
      <c r="AM9" s="254"/>
      <c r="AN9" s="254" t="s">
        <v>312</v>
      </c>
      <c r="AO9" s="254" t="s">
        <v>262</v>
      </c>
      <c r="AP9" s="254" t="s">
        <v>288</v>
      </c>
      <c r="AQ9" s="254"/>
      <c r="AR9" s="254"/>
      <c r="AS9" s="254"/>
      <c r="AT9" s="269" t="s">
        <v>289</v>
      </c>
      <c r="AU9" s="269"/>
      <c r="AV9" s="254" t="s">
        <v>290</v>
      </c>
      <c r="AW9" s="254" t="s">
        <v>266</v>
      </c>
      <c r="AX9" s="254" t="s">
        <v>291</v>
      </c>
      <c r="AY9" s="253" t="s">
        <v>315</v>
      </c>
      <c r="AZ9" s="254" t="s">
        <v>1096</v>
      </c>
      <c r="BA9" s="254" t="s">
        <v>287</v>
      </c>
      <c r="BB9" s="254"/>
      <c r="BC9" s="254"/>
      <c r="BD9" s="254" t="s">
        <v>312</v>
      </c>
      <c r="BE9" s="254" t="s">
        <v>262</v>
      </c>
      <c r="BF9" s="254" t="s">
        <v>288</v>
      </c>
      <c r="BG9" s="254"/>
      <c r="BH9" s="254"/>
      <c r="BI9" s="254"/>
      <c r="BJ9" s="269" t="s">
        <v>289</v>
      </c>
      <c r="BK9" s="269"/>
      <c r="BL9" s="254" t="s">
        <v>290</v>
      </c>
      <c r="BM9" s="254" t="s">
        <v>266</v>
      </c>
      <c r="BN9" s="254" t="s">
        <v>291</v>
      </c>
      <c r="BO9" s="253" t="s">
        <v>315</v>
      </c>
      <c r="BP9" s="254" t="s">
        <v>1096</v>
      </c>
      <c r="BQ9" s="254" t="s">
        <v>287</v>
      </c>
      <c r="BR9" s="254"/>
      <c r="BS9" s="254"/>
      <c r="BT9" s="254" t="s">
        <v>312</v>
      </c>
      <c r="BU9" s="254" t="s">
        <v>262</v>
      </c>
      <c r="BV9" s="254" t="s">
        <v>288</v>
      </c>
      <c r="BW9" s="254"/>
      <c r="BX9" s="254"/>
      <c r="BY9" s="254"/>
      <c r="BZ9" s="269" t="s">
        <v>289</v>
      </c>
      <c r="CA9" s="269"/>
      <c r="CB9" s="254" t="s">
        <v>290</v>
      </c>
      <c r="CC9" s="254" t="s">
        <v>266</v>
      </c>
      <c r="CD9" s="254" t="s">
        <v>291</v>
      </c>
      <c r="CE9" s="253" t="s">
        <v>315</v>
      </c>
      <c r="CF9" s="254" t="s">
        <v>1096</v>
      </c>
      <c r="CG9" s="254" t="s">
        <v>287</v>
      </c>
      <c r="CH9" s="254"/>
      <c r="CI9" s="254"/>
      <c r="CJ9" s="254" t="s">
        <v>312</v>
      </c>
      <c r="CK9" s="254" t="s">
        <v>262</v>
      </c>
      <c r="CL9" s="254" t="s">
        <v>288</v>
      </c>
      <c r="CM9" s="254"/>
      <c r="CN9" s="254"/>
      <c r="CO9" s="254"/>
      <c r="CP9" s="269" t="s">
        <v>289</v>
      </c>
      <c r="CQ9" s="269"/>
      <c r="CR9" s="254" t="s">
        <v>290</v>
      </c>
      <c r="CS9" s="254" t="s">
        <v>266</v>
      </c>
      <c r="CT9" s="254" t="s">
        <v>291</v>
      </c>
      <c r="CU9" s="253" t="s">
        <v>315</v>
      </c>
      <c r="CV9" s="254" t="s">
        <v>1096</v>
      </c>
      <c r="CW9" s="254" t="s">
        <v>287</v>
      </c>
      <c r="CX9" s="254"/>
      <c r="CY9" s="254"/>
      <c r="CZ9" s="254" t="s">
        <v>312</v>
      </c>
      <c r="DA9" s="254" t="s">
        <v>262</v>
      </c>
      <c r="DB9" s="254" t="s">
        <v>288</v>
      </c>
      <c r="DC9" s="254"/>
      <c r="DD9" s="254"/>
      <c r="DE9" s="254"/>
      <c r="DF9" s="269" t="s">
        <v>289</v>
      </c>
      <c r="DG9" s="269"/>
      <c r="DH9" s="254" t="s">
        <v>290</v>
      </c>
      <c r="DI9" s="254" t="s">
        <v>266</v>
      </c>
      <c r="DJ9" s="254" t="s">
        <v>291</v>
      </c>
      <c r="DK9" s="253" t="s">
        <v>315</v>
      </c>
      <c r="DL9" s="254" t="s">
        <v>1096</v>
      </c>
      <c r="DM9" s="254" t="s">
        <v>287</v>
      </c>
      <c r="DN9" s="254"/>
      <c r="DO9" s="254"/>
      <c r="DP9" s="254" t="s">
        <v>312</v>
      </c>
      <c r="DQ9" s="254" t="s">
        <v>262</v>
      </c>
      <c r="DR9" s="254" t="s">
        <v>288</v>
      </c>
      <c r="DS9" s="254"/>
      <c r="DT9" s="254"/>
      <c r="DU9" s="254"/>
      <c r="DV9" s="269" t="s">
        <v>289</v>
      </c>
      <c r="DW9" s="269"/>
      <c r="DX9" s="254" t="s">
        <v>290</v>
      </c>
      <c r="DY9" s="254" t="s">
        <v>266</v>
      </c>
      <c r="DZ9" s="254" t="s">
        <v>291</v>
      </c>
      <c r="EA9" s="253" t="s">
        <v>315</v>
      </c>
      <c r="EB9" s="254" t="s">
        <v>1096</v>
      </c>
      <c r="EC9" s="254" t="s">
        <v>287</v>
      </c>
      <c r="ED9" s="254"/>
      <c r="EE9" s="254"/>
      <c r="EF9" s="254" t="s">
        <v>312</v>
      </c>
      <c r="EG9" s="254" t="s">
        <v>262</v>
      </c>
      <c r="EH9" s="254" t="s">
        <v>288</v>
      </c>
      <c r="EI9" s="254"/>
      <c r="EJ9" s="254"/>
      <c r="EK9" s="254"/>
      <c r="EL9" s="269" t="s">
        <v>289</v>
      </c>
      <c r="EM9" s="269"/>
      <c r="EN9" s="254" t="s">
        <v>290</v>
      </c>
      <c r="EO9" s="254" t="s">
        <v>266</v>
      </c>
      <c r="EP9" s="254" t="s">
        <v>291</v>
      </c>
      <c r="EQ9" s="253" t="s">
        <v>315</v>
      </c>
      <c r="ER9" s="254" t="s">
        <v>1096</v>
      </c>
      <c r="ES9" s="254" t="s">
        <v>287</v>
      </c>
      <c r="ET9" s="254"/>
      <c r="EU9" s="254"/>
      <c r="EV9" s="254" t="s">
        <v>312</v>
      </c>
      <c r="EW9" s="254" t="s">
        <v>262</v>
      </c>
      <c r="EX9" s="254" t="s">
        <v>288</v>
      </c>
      <c r="EY9" s="254"/>
      <c r="EZ9" s="254"/>
      <c r="FA9" s="254"/>
      <c r="FB9" s="269" t="s">
        <v>289</v>
      </c>
      <c r="FC9" s="269"/>
      <c r="FD9" s="254" t="s">
        <v>290</v>
      </c>
      <c r="FE9" s="254" t="s">
        <v>266</v>
      </c>
      <c r="FF9" s="254" t="s">
        <v>291</v>
      </c>
      <c r="FG9" s="253" t="s">
        <v>315</v>
      </c>
      <c r="FH9" s="254" t="s">
        <v>1096</v>
      </c>
      <c r="FI9" s="254" t="s">
        <v>287</v>
      </c>
      <c r="FJ9" s="254"/>
      <c r="FK9" s="254"/>
      <c r="FL9" s="254" t="s">
        <v>312</v>
      </c>
      <c r="FM9" s="254" t="s">
        <v>262</v>
      </c>
      <c r="FN9" s="254" t="s">
        <v>288</v>
      </c>
      <c r="FO9" s="254"/>
      <c r="FP9" s="254"/>
      <c r="FQ9" s="254"/>
      <c r="FR9" s="269" t="s">
        <v>289</v>
      </c>
      <c r="FS9" s="269"/>
      <c r="FT9" s="254" t="s">
        <v>290</v>
      </c>
      <c r="FU9" s="254" t="s">
        <v>266</v>
      </c>
      <c r="FV9" s="254" t="s">
        <v>291</v>
      </c>
      <c r="FW9" s="253" t="s">
        <v>315</v>
      </c>
      <c r="FX9" s="254" t="s">
        <v>1096</v>
      </c>
      <c r="FY9" s="254" t="s">
        <v>287</v>
      </c>
      <c r="FZ9" s="254"/>
      <c r="GA9" s="254"/>
      <c r="GB9" s="254" t="s">
        <v>312</v>
      </c>
      <c r="GC9" s="254" t="s">
        <v>262</v>
      </c>
      <c r="GD9" s="254" t="s">
        <v>288</v>
      </c>
      <c r="GE9" s="254"/>
      <c r="GF9" s="254"/>
      <c r="GG9" s="254"/>
      <c r="GH9" s="269" t="s">
        <v>289</v>
      </c>
      <c r="GI9" s="269"/>
      <c r="GJ9" s="254" t="s">
        <v>290</v>
      </c>
      <c r="GK9" s="254" t="s">
        <v>266</v>
      </c>
      <c r="GL9" s="254" t="s">
        <v>291</v>
      </c>
      <c r="GM9" s="253" t="s">
        <v>315</v>
      </c>
      <c r="GN9" s="254" t="s">
        <v>1096</v>
      </c>
      <c r="GO9" s="254" t="s">
        <v>287</v>
      </c>
      <c r="GP9" s="254"/>
      <c r="GQ9" s="254"/>
      <c r="GR9" s="254" t="s">
        <v>312</v>
      </c>
      <c r="GS9" s="254" t="s">
        <v>262</v>
      </c>
      <c r="GT9" s="254" t="s">
        <v>288</v>
      </c>
      <c r="GU9" s="254"/>
      <c r="GV9" s="254"/>
      <c r="GW9" s="254"/>
      <c r="GX9" s="269" t="s">
        <v>289</v>
      </c>
      <c r="GY9" s="269"/>
      <c r="GZ9" s="254" t="s">
        <v>290</v>
      </c>
      <c r="HA9" s="254" t="s">
        <v>266</v>
      </c>
      <c r="HB9" s="254" t="s">
        <v>291</v>
      </c>
      <c r="HC9" s="253" t="s">
        <v>315</v>
      </c>
      <c r="HD9" s="254" t="s">
        <v>1096</v>
      </c>
      <c r="HE9" s="254" t="s">
        <v>287</v>
      </c>
      <c r="HF9" s="254"/>
      <c r="HG9" s="254"/>
      <c r="HH9" s="254" t="s">
        <v>312</v>
      </c>
      <c r="HI9" s="254" t="s">
        <v>262</v>
      </c>
      <c r="HJ9" s="254" t="s">
        <v>288</v>
      </c>
      <c r="HK9" s="254"/>
      <c r="HL9" s="254"/>
      <c r="HM9" s="254"/>
      <c r="HN9" s="269" t="s">
        <v>289</v>
      </c>
      <c r="HO9" s="269"/>
      <c r="HP9" s="254" t="s">
        <v>290</v>
      </c>
      <c r="HQ9" s="254" t="s">
        <v>266</v>
      </c>
      <c r="HR9" s="254" t="s">
        <v>291</v>
      </c>
      <c r="HS9" s="253" t="s">
        <v>315</v>
      </c>
      <c r="HT9" s="254" t="s">
        <v>1096</v>
      </c>
      <c r="HU9" s="254" t="s">
        <v>287</v>
      </c>
      <c r="HV9" s="254"/>
      <c r="HW9" s="254"/>
      <c r="HX9" s="254" t="s">
        <v>312</v>
      </c>
      <c r="HY9" s="254" t="s">
        <v>262</v>
      </c>
      <c r="HZ9" s="254" t="s">
        <v>288</v>
      </c>
      <c r="IA9" s="254"/>
      <c r="IB9" s="254"/>
      <c r="IC9" s="254"/>
      <c r="ID9" s="269" t="s">
        <v>289</v>
      </c>
      <c r="IE9" s="269"/>
      <c r="IF9" s="254" t="s">
        <v>290</v>
      </c>
      <c r="IG9" s="254" t="s">
        <v>266</v>
      </c>
      <c r="IH9" s="254" t="s">
        <v>291</v>
      </c>
    </row>
    <row r="10" spans="1:242" ht="15" customHeight="1" x14ac:dyDescent="0.25">
      <c r="A10" s="275"/>
      <c r="B10" s="275"/>
      <c r="C10" s="220"/>
      <c r="D10" s="224"/>
      <c r="E10" s="224" t="s">
        <v>292</v>
      </c>
      <c r="F10" s="224" t="s">
        <v>293</v>
      </c>
      <c r="G10" s="224"/>
      <c r="H10" s="224"/>
      <c r="I10" s="224"/>
      <c r="J10" s="224" t="s">
        <v>292</v>
      </c>
      <c r="K10" s="224" t="s">
        <v>294</v>
      </c>
      <c r="L10" s="224"/>
      <c r="M10" s="224"/>
      <c r="N10" s="270"/>
      <c r="O10" s="270"/>
      <c r="P10" s="224"/>
      <c r="Q10" s="224"/>
      <c r="R10" s="224"/>
      <c r="S10" s="220"/>
      <c r="T10" s="224"/>
      <c r="U10" s="224" t="s">
        <v>292</v>
      </c>
      <c r="V10" s="224" t="s">
        <v>293</v>
      </c>
      <c r="W10" s="224"/>
      <c r="X10" s="224"/>
      <c r="Y10" s="224"/>
      <c r="Z10" s="224" t="s">
        <v>292</v>
      </c>
      <c r="AA10" s="224" t="s">
        <v>294</v>
      </c>
      <c r="AB10" s="224"/>
      <c r="AC10" s="224"/>
      <c r="AD10" s="270"/>
      <c r="AE10" s="270"/>
      <c r="AF10" s="224"/>
      <c r="AG10" s="224"/>
      <c r="AH10" s="224"/>
      <c r="AI10" s="220"/>
      <c r="AJ10" s="224"/>
      <c r="AK10" s="224" t="s">
        <v>292</v>
      </c>
      <c r="AL10" s="224" t="s">
        <v>293</v>
      </c>
      <c r="AM10" s="224"/>
      <c r="AN10" s="224"/>
      <c r="AO10" s="224"/>
      <c r="AP10" s="224" t="s">
        <v>292</v>
      </c>
      <c r="AQ10" s="224" t="s">
        <v>294</v>
      </c>
      <c r="AR10" s="224"/>
      <c r="AS10" s="224"/>
      <c r="AT10" s="270"/>
      <c r="AU10" s="270"/>
      <c r="AV10" s="224"/>
      <c r="AW10" s="224"/>
      <c r="AX10" s="224"/>
      <c r="AY10" s="220"/>
      <c r="AZ10" s="224"/>
      <c r="BA10" s="224" t="s">
        <v>292</v>
      </c>
      <c r="BB10" s="224" t="s">
        <v>293</v>
      </c>
      <c r="BC10" s="224"/>
      <c r="BD10" s="224"/>
      <c r="BE10" s="224"/>
      <c r="BF10" s="224" t="s">
        <v>292</v>
      </c>
      <c r="BG10" s="224" t="s">
        <v>294</v>
      </c>
      <c r="BH10" s="224"/>
      <c r="BI10" s="224"/>
      <c r="BJ10" s="270"/>
      <c r="BK10" s="270"/>
      <c r="BL10" s="224"/>
      <c r="BM10" s="224"/>
      <c r="BN10" s="224"/>
      <c r="BO10" s="220"/>
      <c r="BP10" s="224"/>
      <c r="BQ10" s="224" t="s">
        <v>292</v>
      </c>
      <c r="BR10" s="224" t="s">
        <v>293</v>
      </c>
      <c r="BS10" s="224"/>
      <c r="BT10" s="224"/>
      <c r="BU10" s="224"/>
      <c r="BV10" s="224" t="s">
        <v>292</v>
      </c>
      <c r="BW10" s="224" t="s">
        <v>294</v>
      </c>
      <c r="BX10" s="224"/>
      <c r="BY10" s="224"/>
      <c r="BZ10" s="270"/>
      <c r="CA10" s="270"/>
      <c r="CB10" s="224"/>
      <c r="CC10" s="224"/>
      <c r="CD10" s="224"/>
      <c r="CE10" s="220"/>
      <c r="CF10" s="224"/>
      <c r="CG10" s="224" t="s">
        <v>292</v>
      </c>
      <c r="CH10" s="224" t="s">
        <v>293</v>
      </c>
      <c r="CI10" s="224"/>
      <c r="CJ10" s="224"/>
      <c r="CK10" s="224"/>
      <c r="CL10" s="224" t="s">
        <v>292</v>
      </c>
      <c r="CM10" s="224" t="s">
        <v>294</v>
      </c>
      <c r="CN10" s="224"/>
      <c r="CO10" s="224"/>
      <c r="CP10" s="270"/>
      <c r="CQ10" s="270"/>
      <c r="CR10" s="224"/>
      <c r="CS10" s="224"/>
      <c r="CT10" s="224"/>
      <c r="CU10" s="220"/>
      <c r="CV10" s="224"/>
      <c r="CW10" s="224" t="s">
        <v>292</v>
      </c>
      <c r="CX10" s="224" t="s">
        <v>293</v>
      </c>
      <c r="CY10" s="224"/>
      <c r="CZ10" s="224"/>
      <c r="DA10" s="224"/>
      <c r="DB10" s="224" t="s">
        <v>292</v>
      </c>
      <c r="DC10" s="224" t="s">
        <v>294</v>
      </c>
      <c r="DD10" s="224"/>
      <c r="DE10" s="224"/>
      <c r="DF10" s="270"/>
      <c r="DG10" s="270"/>
      <c r="DH10" s="224"/>
      <c r="DI10" s="224"/>
      <c r="DJ10" s="224"/>
      <c r="DK10" s="220"/>
      <c r="DL10" s="224"/>
      <c r="DM10" s="224" t="s">
        <v>292</v>
      </c>
      <c r="DN10" s="224" t="s">
        <v>293</v>
      </c>
      <c r="DO10" s="224"/>
      <c r="DP10" s="224"/>
      <c r="DQ10" s="224"/>
      <c r="DR10" s="224" t="s">
        <v>292</v>
      </c>
      <c r="DS10" s="224" t="s">
        <v>294</v>
      </c>
      <c r="DT10" s="224"/>
      <c r="DU10" s="224"/>
      <c r="DV10" s="270"/>
      <c r="DW10" s="270"/>
      <c r="DX10" s="224"/>
      <c r="DY10" s="224"/>
      <c r="DZ10" s="224"/>
      <c r="EA10" s="220"/>
      <c r="EB10" s="224"/>
      <c r="EC10" s="224" t="s">
        <v>292</v>
      </c>
      <c r="ED10" s="224" t="s">
        <v>293</v>
      </c>
      <c r="EE10" s="224"/>
      <c r="EF10" s="224"/>
      <c r="EG10" s="224"/>
      <c r="EH10" s="224" t="s">
        <v>292</v>
      </c>
      <c r="EI10" s="224" t="s">
        <v>294</v>
      </c>
      <c r="EJ10" s="224"/>
      <c r="EK10" s="224"/>
      <c r="EL10" s="270"/>
      <c r="EM10" s="270"/>
      <c r="EN10" s="224"/>
      <c r="EO10" s="224"/>
      <c r="EP10" s="224"/>
      <c r="EQ10" s="220"/>
      <c r="ER10" s="224"/>
      <c r="ES10" s="224" t="s">
        <v>292</v>
      </c>
      <c r="ET10" s="224" t="s">
        <v>293</v>
      </c>
      <c r="EU10" s="224"/>
      <c r="EV10" s="224"/>
      <c r="EW10" s="224"/>
      <c r="EX10" s="224" t="s">
        <v>292</v>
      </c>
      <c r="EY10" s="224" t="s">
        <v>294</v>
      </c>
      <c r="EZ10" s="224"/>
      <c r="FA10" s="224"/>
      <c r="FB10" s="270"/>
      <c r="FC10" s="270"/>
      <c r="FD10" s="224"/>
      <c r="FE10" s="224"/>
      <c r="FF10" s="224"/>
      <c r="FG10" s="220"/>
      <c r="FH10" s="224"/>
      <c r="FI10" s="224" t="s">
        <v>292</v>
      </c>
      <c r="FJ10" s="224" t="s">
        <v>293</v>
      </c>
      <c r="FK10" s="224"/>
      <c r="FL10" s="224"/>
      <c r="FM10" s="224"/>
      <c r="FN10" s="224" t="s">
        <v>292</v>
      </c>
      <c r="FO10" s="224" t="s">
        <v>294</v>
      </c>
      <c r="FP10" s="224"/>
      <c r="FQ10" s="224"/>
      <c r="FR10" s="270"/>
      <c r="FS10" s="270"/>
      <c r="FT10" s="224"/>
      <c r="FU10" s="224"/>
      <c r="FV10" s="224"/>
      <c r="FW10" s="220"/>
      <c r="FX10" s="224"/>
      <c r="FY10" s="224" t="s">
        <v>292</v>
      </c>
      <c r="FZ10" s="224" t="s">
        <v>293</v>
      </c>
      <c r="GA10" s="224"/>
      <c r="GB10" s="224"/>
      <c r="GC10" s="224"/>
      <c r="GD10" s="224" t="s">
        <v>292</v>
      </c>
      <c r="GE10" s="224" t="s">
        <v>294</v>
      </c>
      <c r="GF10" s="224"/>
      <c r="GG10" s="224"/>
      <c r="GH10" s="270"/>
      <c r="GI10" s="270"/>
      <c r="GJ10" s="224"/>
      <c r="GK10" s="224"/>
      <c r="GL10" s="224"/>
      <c r="GM10" s="220"/>
      <c r="GN10" s="224"/>
      <c r="GO10" s="224" t="s">
        <v>292</v>
      </c>
      <c r="GP10" s="224" t="s">
        <v>293</v>
      </c>
      <c r="GQ10" s="224"/>
      <c r="GR10" s="224"/>
      <c r="GS10" s="224"/>
      <c r="GT10" s="224" t="s">
        <v>292</v>
      </c>
      <c r="GU10" s="224" t="s">
        <v>294</v>
      </c>
      <c r="GV10" s="224"/>
      <c r="GW10" s="224"/>
      <c r="GX10" s="270"/>
      <c r="GY10" s="270"/>
      <c r="GZ10" s="224"/>
      <c r="HA10" s="224"/>
      <c r="HB10" s="224"/>
      <c r="HC10" s="220"/>
      <c r="HD10" s="224"/>
      <c r="HE10" s="224" t="s">
        <v>292</v>
      </c>
      <c r="HF10" s="224" t="s">
        <v>293</v>
      </c>
      <c r="HG10" s="224"/>
      <c r="HH10" s="224"/>
      <c r="HI10" s="224"/>
      <c r="HJ10" s="224" t="s">
        <v>292</v>
      </c>
      <c r="HK10" s="224" t="s">
        <v>294</v>
      </c>
      <c r="HL10" s="224"/>
      <c r="HM10" s="224"/>
      <c r="HN10" s="270"/>
      <c r="HO10" s="270"/>
      <c r="HP10" s="224"/>
      <c r="HQ10" s="224"/>
      <c r="HR10" s="224"/>
      <c r="HS10" s="220"/>
      <c r="HT10" s="224"/>
      <c r="HU10" s="224" t="s">
        <v>292</v>
      </c>
      <c r="HV10" s="224" t="s">
        <v>293</v>
      </c>
      <c r="HW10" s="224"/>
      <c r="HX10" s="224"/>
      <c r="HY10" s="224"/>
      <c r="HZ10" s="224" t="s">
        <v>292</v>
      </c>
      <c r="IA10" s="224" t="s">
        <v>294</v>
      </c>
      <c r="IB10" s="224"/>
      <c r="IC10" s="224"/>
      <c r="ID10" s="270"/>
      <c r="IE10" s="270"/>
      <c r="IF10" s="224"/>
      <c r="IG10" s="224"/>
      <c r="IH10" s="224"/>
    </row>
    <row r="11" spans="1:242" ht="105" x14ac:dyDescent="0.25">
      <c r="A11" s="275"/>
      <c r="B11" s="275"/>
      <c r="C11" s="254"/>
      <c r="D11" s="224"/>
      <c r="E11" s="224"/>
      <c r="F11" s="99" t="s">
        <v>259</v>
      </c>
      <c r="G11" s="99" t="s">
        <v>260</v>
      </c>
      <c r="H11" s="224"/>
      <c r="I11" s="224"/>
      <c r="J11" s="224"/>
      <c r="K11" s="99" t="s">
        <v>264</v>
      </c>
      <c r="L11" s="99" t="s">
        <v>303</v>
      </c>
      <c r="M11" s="99" t="s">
        <v>260</v>
      </c>
      <c r="N11" s="99" t="s">
        <v>965</v>
      </c>
      <c r="O11" s="99" t="s">
        <v>295</v>
      </c>
      <c r="P11" s="224"/>
      <c r="Q11" s="224"/>
      <c r="R11" s="224"/>
      <c r="S11" s="254"/>
      <c r="T11" s="224"/>
      <c r="U11" s="224"/>
      <c r="V11" s="99" t="s">
        <v>259</v>
      </c>
      <c r="W11" s="99" t="s">
        <v>260</v>
      </c>
      <c r="X11" s="224"/>
      <c r="Y11" s="224"/>
      <c r="Z11" s="224"/>
      <c r="AA11" s="99" t="s">
        <v>264</v>
      </c>
      <c r="AB11" s="99" t="s">
        <v>303</v>
      </c>
      <c r="AC11" s="99" t="s">
        <v>260</v>
      </c>
      <c r="AD11" s="99" t="s">
        <v>965</v>
      </c>
      <c r="AE11" s="99" t="s">
        <v>295</v>
      </c>
      <c r="AF11" s="224"/>
      <c r="AG11" s="224"/>
      <c r="AH11" s="224"/>
      <c r="AI11" s="254"/>
      <c r="AJ11" s="224"/>
      <c r="AK11" s="224"/>
      <c r="AL11" s="162" t="s">
        <v>259</v>
      </c>
      <c r="AM11" s="162" t="s">
        <v>260</v>
      </c>
      <c r="AN11" s="224"/>
      <c r="AO11" s="224"/>
      <c r="AP11" s="224"/>
      <c r="AQ11" s="162" t="s">
        <v>264</v>
      </c>
      <c r="AR11" s="162" t="s">
        <v>303</v>
      </c>
      <c r="AS11" s="162" t="s">
        <v>260</v>
      </c>
      <c r="AT11" s="162" t="s">
        <v>965</v>
      </c>
      <c r="AU11" s="162" t="s">
        <v>295</v>
      </c>
      <c r="AV11" s="224"/>
      <c r="AW11" s="224"/>
      <c r="AX11" s="224"/>
      <c r="AY11" s="254"/>
      <c r="AZ11" s="224"/>
      <c r="BA11" s="224"/>
      <c r="BB11" s="99" t="s">
        <v>259</v>
      </c>
      <c r="BC11" s="99" t="s">
        <v>260</v>
      </c>
      <c r="BD11" s="224"/>
      <c r="BE11" s="224"/>
      <c r="BF11" s="224"/>
      <c r="BG11" s="99" t="s">
        <v>264</v>
      </c>
      <c r="BH11" s="99" t="s">
        <v>303</v>
      </c>
      <c r="BI11" s="99" t="s">
        <v>260</v>
      </c>
      <c r="BJ11" s="99" t="s">
        <v>965</v>
      </c>
      <c r="BK11" s="99" t="s">
        <v>295</v>
      </c>
      <c r="BL11" s="224"/>
      <c r="BM11" s="224"/>
      <c r="BN11" s="224"/>
      <c r="BO11" s="254"/>
      <c r="BP11" s="224"/>
      <c r="BQ11" s="224"/>
      <c r="BR11" s="162" t="s">
        <v>259</v>
      </c>
      <c r="BS11" s="162" t="s">
        <v>260</v>
      </c>
      <c r="BT11" s="224"/>
      <c r="BU11" s="224"/>
      <c r="BV11" s="224"/>
      <c r="BW11" s="162" t="s">
        <v>264</v>
      </c>
      <c r="BX11" s="162" t="s">
        <v>303</v>
      </c>
      <c r="BY11" s="162" t="s">
        <v>260</v>
      </c>
      <c r="BZ11" s="162" t="s">
        <v>965</v>
      </c>
      <c r="CA11" s="162" t="s">
        <v>295</v>
      </c>
      <c r="CB11" s="224"/>
      <c r="CC11" s="224"/>
      <c r="CD11" s="224"/>
      <c r="CE11" s="254"/>
      <c r="CF11" s="224"/>
      <c r="CG11" s="224"/>
      <c r="CH11" s="162" t="s">
        <v>259</v>
      </c>
      <c r="CI11" s="162" t="s">
        <v>260</v>
      </c>
      <c r="CJ11" s="224"/>
      <c r="CK11" s="224"/>
      <c r="CL11" s="224"/>
      <c r="CM11" s="162" t="s">
        <v>264</v>
      </c>
      <c r="CN11" s="162" t="s">
        <v>303</v>
      </c>
      <c r="CO11" s="162" t="s">
        <v>260</v>
      </c>
      <c r="CP11" s="162" t="s">
        <v>965</v>
      </c>
      <c r="CQ11" s="162" t="s">
        <v>295</v>
      </c>
      <c r="CR11" s="224"/>
      <c r="CS11" s="224"/>
      <c r="CT11" s="224"/>
      <c r="CU11" s="254"/>
      <c r="CV11" s="224"/>
      <c r="CW11" s="224"/>
      <c r="CX11" s="162" t="s">
        <v>259</v>
      </c>
      <c r="CY11" s="162" t="s">
        <v>260</v>
      </c>
      <c r="CZ11" s="224"/>
      <c r="DA11" s="224"/>
      <c r="DB11" s="224"/>
      <c r="DC11" s="162" t="s">
        <v>264</v>
      </c>
      <c r="DD11" s="162" t="s">
        <v>303</v>
      </c>
      <c r="DE11" s="162" t="s">
        <v>260</v>
      </c>
      <c r="DF11" s="162" t="s">
        <v>965</v>
      </c>
      <c r="DG11" s="162" t="s">
        <v>295</v>
      </c>
      <c r="DH11" s="224"/>
      <c r="DI11" s="224"/>
      <c r="DJ11" s="224"/>
      <c r="DK11" s="254"/>
      <c r="DL11" s="224"/>
      <c r="DM11" s="224"/>
      <c r="DN11" s="162" t="s">
        <v>259</v>
      </c>
      <c r="DO11" s="162" t="s">
        <v>260</v>
      </c>
      <c r="DP11" s="224"/>
      <c r="DQ11" s="224"/>
      <c r="DR11" s="224"/>
      <c r="DS11" s="162" t="s">
        <v>264</v>
      </c>
      <c r="DT11" s="162" t="s">
        <v>303</v>
      </c>
      <c r="DU11" s="162" t="s">
        <v>260</v>
      </c>
      <c r="DV11" s="162" t="s">
        <v>965</v>
      </c>
      <c r="DW11" s="162" t="s">
        <v>295</v>
      </c>
      <c r="DX11" s="224"/>
      <c r="DY11" s="224"/>
      <c r="DZ11" s="224"/>
      <c r="EA11" s="254"/>
      <c r="EB11" s="224"/>
      <c r="EC11" s="224"/>
      <c r="ED11" s="162" t="s">
        <v>259</v>
      </c>
      <c r="EE11" s="162" t="s">
        <v>260</v>
      </c>
      <c r="EF11" s="224"/>
      <c r="EG11" s="224"/>
      <c r="EH11" s="224"/>
      <c r="EI11" s="162" t="s">
        <v>264</v>
      </c>
      <c r="EJ11" s="162" t="s">
        <v>303</v>
      </c>
      <c r="EK11" s="162" t="s">
        <v>260</v>
      </c>
      <c r="EL11" s="162" t="s">
        <v>965</v>
      </c>
      <c r="EM11" s="162" t="s">
        <v>295</v>
      </c>
      <c r="EN11" s="224"/>
      <c r="EO11" s="224"/>
      <c r="EP11" s="224"/>
      <c r="EQ11" s="254"/>
      <c r="ER11" s="224"/>
      <c r="ES11" s="224"/>
      <c r="ET11" s="162" t="s">
        <v>259</v>
      </c>
      <c r="EU11" s="162" t="s">
        <v>260</v>
      </c>
      <c r="EV11" s="224"/>
      <c r="EW11" s="224"/>
      <c r="EX11" s="224"/>
      <c r="EY11" s="162" t="s">
        <v>264</v>
      </c>
      <c r="EZ11" s="162" t="s">
        <v>303</v>
      </c>
      <c r="FA11" s="162" t="s">
        <v>260</v>
      </c>
      <c r="FB11" s="162" t="s">
        <v>965</v>
      </c>
      <c r="FC11" s="162" t="s">
        <v>295</v>
      </c>
      <c r="FD11" s="224"/>
      <c r="FE11" s="224"/>
      <c r="FF11" s="224"/>
      <c r="FG11" s="254"/>
      <c r="FH11" s="224"/>
      <c r="FI11" s="224"/>
      <c r="FJ11" s="162" t="s">
        <v>259</v>
      </c>
      <c r="FK11" s="162" t="s">
        <v>260</v>
      </c>
      <c r="FL11" s="224"/>
      <c r="FM11" s="224"/>
      <c r="FN11" s="224"/>
      <c r="FO11" s="162" t="s">
        <v>264</v>
      </c>
      <c r="FP11" s="162" t="s">
        <v>303</v>
      </c>
      <c r="FQ11" s="162" t="s">
        <v>260</v>
      </c>
      <c r="FR11" s="162" t="s">
        <v>965</v>
      </c>
      <c r="FS11" s="162" t="s">
        <v>295</v>
      </c>
      <c r="FT11" s="224"/>
      <c r="FU11" s="224"/>
      <c r="FV11" s="224"/>
      <c r="FW11" s="254"/>
      <c r="FX11" s="224"/>
      <c r="FY11" s="224"/>
      <c r="FZ11" s="99" t="s">
        <v>259</v>
      </c>
      <c r="GA11" s="99" t="s">
        <v>260</v>
      </c>
      <c r="GB11" s="224"/>
      <c r="GC11" s="224"/>
      <c r="GD11" s="224"/>
      <c r="GE11" s="99" t="s">
        <v>264</v>
      </c>
      <c r="GF11" s="99" t="s">
        <v>303</v>
      </c>
      <c r="GG11" s="99" t="s">
        <v>260</v>
      </c>
      <c r="GH11" s="99" t="s">
        <v>965</v>
      </c>
      <c r="GI11" s="99" t="s">
        <v>295</v>
      </c>
      <c r="GJ11" s="224"/>
      <c r="GK11" s="224"/>
      <c r="GL11" s="224"/>
      <c r="GM11" s="254"/>
      <c r="GN11" s="224"/>
      <c r="GO11" s="224"/>
      <c r="GP11" s="162" t="s">
        <v>259</v>
      </c>
      <c r="GQ11" s="162" t="s">
        <v>260</v>
      </c>
      <c r="GR11" s="224"/>
      <c r="GS11" s="224"/>
      <c r="GT11" s="224"/>
      <c r="GU11" s="162" t="s">
        <v>264</v>
      </c>
      <c r="GV11" s="162" t="s">
        <v>303</v>
      </c>
      <c r="GW11" s="162" t="s">
        <v>260</v>
      </c>
      <c r="GX11" s="162" t="s">
        <v>965</v>
      </c>
      <c r="GY11" s="162" t="s">
        <v>295</v>
      </c>
      <c r="GZ11" s="224"/>
      <c r="HA11" s="224"/>
      <c r="HB11" s="224"/>
      <c r="HC11" s="254"/>
      <c r="HD11" s="224"/>
      <c r="HE11" s="224"/>
      <c r="HF11" s="99" t="s">
        <v>259</v>
      </c>
      <c r="HG11" s="99" t="s">
        <v>260</v>
      </c>
      <c r="HH11" s="224"/>
      <c r="HI11" s="224"/>
      <c r="HJ11" s="224"/>
      <c r="HK11" s="99" t="s">
        <v>264</v>
      </c>
      <c r="HL11" s="99" t="s">
        <v>303</v>
      </c>
      <c r="HM11" s="99" t="s">
        <v>260</v>
      </c>
      <c r="HN11" s="99" t="s">
        <v>965</v>
      </c>
      <c r="HO11" s="99" t="s">
        <v>295</v>
      </c>
      <c r="HP11" s="224"/>
      <c r="HQ11" s="224"/>
      <c r="HR11" s="224"/>
      <c r="HS11" s="254"/>
      <c r="HT11" s="224"/>
      <c r="HU11" s="224"/>
      <c r="HV11" s="162" t="s">
        <v>259</v>
      </c>
      <c r="HW11" s="162" t="s">
        <v>260</v>
      </c>
      <c r="HX11" s="224"/>
      <c r="HY11" s="224"/>
      <c r="HZ11" s="224"/>
      <c r="IA11" s="162" t="s">
        <v>264</v>
      </c>
      <c r="IB11" s="162" t="s">
        <v>303</v>
      </c>
      <c r="IC11" s="162" t="s">
        <v>260</v>
      </c>
      <c r="ID11" s="162" t="s">
        <v>965</v>
      </c>
      <c r="IE11" s="162" t="s">
        <v>295</v>
      </c>
      <c r="IF11" s="224"/>
      <c r="IG11" s="224"/>
      <c r="IH11" s="224"/>
    </row>
    <row r="12" spans="1:242" ht="15.75" x14ac:dyDescent="0.25">
      <c r="A12" s="50" t="s">
        <v>2</v>
      </c>
      <c r="B12" s="195" t="s">
        <v>3</v>
      </c>
      <c r="C12" s="53">
        <v>6786.1063000000004</v>
      </c>
      <c r="D12" s="53">
        <v>0</v>
      </c>
      <c r="E12" s="53">
        <v>13704.046575010001</v>
      </c>
      <c r="F12" s="53">
        <v>6786.1063000000004</v>
      </c>
      <c r="G12" s="53">
        <v>6917.9402750099998</v>
      </c>
      <c r="H12" s="53">
        <v>6665.4157733700004</v>
      </c>
      <c r="I12" s="53">
        <v>140.21904927999998</v>
      </c>
      <c r="J12" s="53">
        <v>13323.891239319999</v>
      </c>
      <c r="K12" s="53">
        <v>6656.4107927499999</v>
      </c>
      <c r="L12" s="53">
        <v>0</v>
      </c>
      <c r="M12" s="53">
        <v>6667.4804465699999</v>
      </c>
      <c r="N12" s="53">
        <v>98.088808198450991</v>
      </c>
      <c r="O12" s="53">
        <v>96.379560700390144</v>
      </c>
      <c r="P12" s="53">
        <v>50.04154061910733</v>
      </c>
      <c r="Q12" s="53">
        <v>139.22912244000003</v>
      </c>
      <c r="R12" s="53">
        <v>9.9949074600000394</v>
      </c>
      <c r="S12" s="53">
        <v>3456.0988000000002</v>
      </c>
      <c r="T12" s="53">
        <v>0</v>
      </c>
      <c r="U12" s="53">
        <v>6668.3661560400005</v>
      </c>
      <c r="V12" s="53">
        <v>3456.0988000000002</v>
      </c>
      <c r="W12" s="53">
        <v>3212.2673560400003</v>
      </c>
      <c r="X12" s="53">
        <v>3451.21515133</v>
      </c>
      <c r="Y12" s="53">
        <v>45.374411959999996</v>
      </c>
      <c r="Z12" s="53">
        <v>6657.7824432700008</v>
      </c>
      <c r="AA12" s="53">
        <v>3449.9654649200002</v>
      </c>
      <c r="AB12" s="53">
        <v>0</v>
      </c>
      <c r="AC12" s="53">
        <v>3207.8169783499998</v>
      </c>
      <c r="AD12" s="53">
        <v>99.822535886994899</v>
      </c>
      <c r="AE12" s="53">
        <v>99.86145680926488</v>
      </c>
      <c r="AF12" s="53">
        <v>48.181462907256936</v>
      </c>
      <c r="AG12" s="53">
        <v>44.979389719999993</v>
      </c>
      <c r="AH12" s="53">
        <v>1.6447086500000281</v>
      </c>
      <c r="AI12" s="53">
        <v>0</v>
      </c>
      <c r="AJ12" s="53">
        <v>0</v>
      </c>
      <c r="AK12" s="53">
        <v>0</v>
      </c>
      <c r="AL12" s="53">
        <v>0</v>
      </c>
      <c r="AM12" s="53">
        <v>0</v>
      </c>
      <c r="AN12" s="53">
        <v>0</v>
      </c>
      <c r="AO12" s="53">
        <v>21.628995930000002</v>
      </c>
      <c r="AP12" s="53">
        <v>0</v>
      </c>
      <c r="AQ12" s="53">
        <v>0</v>
      </c>
      <c r="AR12" s="53">
        <v>0</v>
      </c>
      <c r="AS12" s="53">
        <v>0</v>
      </c>
      <c r="AT12" s="53" t="s">
        <v>1094</v>
      </c>
      <c r="AU12" s="53" t="s">
        <v>1094</v>
      </c>
      <c r="AV12" s="53">
        <v>0</v>
      </c>
      <c r="AW12" s="53">
        <v>21.034091329999995</v>
      </c>
      <c r="AX12" s="53">
        <v>0.59490459999999989</v>
      </c>
      <c r="AY12" s="53">
        <v>1803.9968000000001</v>
      </c>
      <c r="AZ12" s="53">
        <v>0</v>
      </c>
      <c r="BA12" s="53">
        <v>3682.8408908400002</v>
      </c>
      <c r="BB12" s="53">
        <v>1803.9968000000001</v>
      </c>
      <c r="BC12" s="53">
        <v>1878.84409084</v>
      </c>
      <c r="BD12" s="53">
        <v>1770.2269600700004</v>
      </c>
      <c r="BE12" s="53">
        <v>22.817512799999999</v>
      </c>
      <c r="BF12" s="53">
        <v>3602.7268222900002</v>
      </c>
      <c r="BG12" s="53">
        <v>1763.9092499000001</v>
      </c>
      <c r="BH12" s="53">
        <v>0</v>
      </c>
      <c r="BI12" s="53">
        <v>1838.8175723900001</v>
      </c>
      <c r="BJ12" s="53">
        <v>97.777848048289215</v>
      </c>
      <c r="BK12" s="53">
        <v>97.869620015564735</v>
      </c>
      <c r="BL12" s="53">
        <v>51.039605917752965</v>
      </c>
      <c r="BM12" s="53">
        <v>22.817512799999999</v>
      </c>
      <c r="BN12" s="53">
        <v>6.3177101699999954</v>
      </c>
      <c r="BO12" s="53">
        <v>0</v>
      </c>
      <c r="BP12" s="53">
        <v>0</v>
      </c>
      <c r="BQ12" s="53">
        <v>0</v>
      </c>
      <c r="BR12" s="53">
        <v>0</v>
      </c>
      <c r="BS12" s="53">
        <v>0</v>
      </c>
      <c r="BT12" s="53">
        <v>0</v>
      </c>
      <c r="BU12" s="53">
        <v>0.41364883000000002</v>
      </c>
      <c r="BV12" s="53">
        <v>0</v>
      </c>
      <c r="BW12" s="53">
        <v>0</v>
      </c>
      <c r="BX12" s="53">
        <v>0</v>
      </c>
      <c r="BY12" s="53">
        <v>0</v>
      </c>
      <c r="BZ12" s="53" t="s">
        <v>1094</v>
      </c>
      <c r="CA12" s="53" t="s">
        <v>1094</v>
      </c>
      <c r="CB12" s="53">
        <v>0</v>
      </c>
      <c r="CC12" s="53">
        <v>0.41364883000000002</v>
      </c>
      <c r="CD12" s="53">
        <v>0</v>
      </c>
      <c r="CE12" s="53">
        <v>391.80510000000004</v>
      </c>
      <c r="CF12" s="53">
        <v>0</v>
      </c>
      <c r="CG12" s="53">
        <v>935.15532858000006</v>
      </c>
      <c r="CH12" s="53">
        <v>391.80510000000004</v>
      </c>
      <c r="CI12" s="53">
        <v>543.35022858000002</v>
      </c>
      <c r="CJ12" s="53">
        <v>352.02673628000002</v>
      </c>
      <c r="CK12" s="53">
        <v>16.339611919999999</v>
      </c>
      <c r="CL12" s="53">
        <v>752.76509952999993</v>
      </c>
      <c r="CM12" s="53">
        <v>352.02623545000006</v>
      </c>
      <c r="CN12" s="53">
        <v>0</v>
      </c>
      <c r="CO12" s="53">
        <v>400.73886407999998</v>
      </c>
      <c r="CP12" s="53">
        <v>89.847282603008495</v>
      </c>
      <c r="CQ12" s="53">
        <v>73.753325755893613</v>
      </c>
      <c r="CR12" s="53">
        <v>53.235579642335608</v>
      </c>
      <c r="CS12" s="53">
        <v>16.339611919999999</v>
      </c>
      <c r="CT12" s="53">
        <v>5.0083000000339384E-4</v>
      </c>
      <c r="CU12" s="53">
        <v>0</v>
      </c>
      <c r="CV12" s="53">
        <v>0</v>
      </c>
      <c r="CW12" s="53">
        <v>0</v>
      </c>
      <c r="CX12" s="53">
        <v>0</v>
      </c>
      <c r="CY12" s="53">
        <v>0</v>
      </c>
      <c r="CZ12" s="53">
        <v>0</v>
      </c>
      <c r="DA12" s="53">
        <v>0.40224884000000005</v>
      </c>
      <c r="DB12" s="53">
        <v>0</v>
      </c>
      <c r="DC12" s="53">
        <v>0</v>
      </c>
      <c r="DD12" s="53">
        <v>0</v>
      </c>
      <c r="DE12" s="53">
        <v>0</v>
      </c>
      <c r="DF12" s="53" t="s">
        <v>1094</v>
      </c>
      <c r="DG12" s="53" t="s">
        <v>1094</v>
      </c>
      <c r="DH12" s="53">
        <v>0</v>
      </c>
      <c r="DI12" s="53">
        <v>0.40224884000000005</v>
      </c>
      <c r="DJ12" s="53">
        <v>0</v>
      </c>
      <c r="DK12" s="53">
        <v>156.6808</v>
      </c>
      <c r="DL12" s="53">
        <v>0</v>
      </c>
      <c r="DM12" s="53">
        <v>505.68180180999997</v>
      </c>
      <c r="DN12" s="53">
        <v>156.6808</v>
      </c>
      <c r="DO12" s="53">
        <v>349.00100180999999</v>
      </c>
      <c r="DP12" s="53">
        <v>155.40258739999999</v>
      </c>
      <c r="DQ12" s="53">
        <v>7.6059000000000002E-2</v>
      </c>
      <c r="DR12" s="53">
        <v>502.55788302999997</v>
      </c>
      <c r="DS12" s="53">
        <v>155.40258739999999</v>
      </c>
      <c r="DT12" s="53">
        <v>0</v>
      </c>
      <c r="DU12" s="53">
        <v>347.15529563000001</v>
      </c>
      <c r="DV12" s="53">
        <v>99.18419321320799</v>
      </c>
      <c r="DW12" s="53">
        <v>99.47114587911561</v>
      </c>
      <c r="DX12" s="53">
        <v>69.077673906326282</v>
      </c>
      <c r="DY12" s="53">
        <v>7.6059000000000002E-2</v>
      </c>
      <c r="DZ12" s="53">
        <v>7.6327832942979512E-16</v>
      </c>
      <c r="EA12" s="53">
        <v>0</v>
      </c>
      <c r="EB12" s="53">
        <v>0</v>
      </c>
      <c r="EC12" s="53">
        <v>0</v>
      </c>
      <c r="ED12" s="53">
        <v>0</v>
      </c>
      <c r="EE12" s="53">
        <v>0</v>
      </c>
      <c r="EF12" s="53">
        <v>0</v>
      </c>
      <c r="EG12" s="53">
        <v>0</v>
      </c>
      <c r="EH12" s="53">
        <v>0</v>
      </c>
      <c r="EI12" s="53">
        <v>0</v>
      </c>
      <c r="EJ12" s="53">
        <v>0</v>
      </c>
      <c r="EK12" s="53">
        <v>0</v>
      </c>
      <c r="EL12" s="53" t="s">
        <v>1094</v>
      </c>
      <c r="EM12" s="53" t="s">
        <v>1094</v>
      </c>
      <c r="EN12" s="53">
        <v>0</v>
      </c>
      <c r="EO12" s="53">
        <v>0</v>
      </c>
      <c r="EP12" s="53">
        <v>0</v>
      </c>
      <c r="EQ12" s="53">
        <v>117.5278</v>
      </c>
      <c r="ER12" s="53">
        <v>0</v>
      </c>
      <c r="ES12" s="53">
        <v>280.71024426000002</v>
      </c>
      <c r="ET12" s="53">
        <v>117.5278</v>
      </c>
      <c r="EU12" s="53">
        <v>163.18244425999998</v>
      </c>
      <c r="EV12" s="53">
        <v>112.04070273999999</v>
      </c>
      <c r="EW12" s="53">
        <v>22.76736</v>
      </c>
      <c r="EX12" s="53">
        <v>270.00899613000001</v>
      </c>
      <c r="EY12" s="53">
        <v>112.04069747</v>
      </c>
      <c r="EZ12" s="53">
        <v>0</v>
      </c>
      <c r="FA12" s="53">
        <v>157.96829865999999</v>
      </c>
      <c r="FB12" s="53">
        <v>95.331230117470085</v>
      </c>
      <c r="FC12" s="53">
        <v>96.804714120048203</v>
      </c>
      <c r="FD12" s="53">
        <v>58.5048279591187</v>
      </c>
      <c r="FE12" s="53">
        <v>22.76736</v>
      </c>
      <c r="FF12" s="53">
        <v>5.2700000035543759E-6</v>
      </c>
      <c r="FG12" s="53">
        <v>0</v>
      </c>
      <c r="FH12" s="53">
        <v>0</v>
      </c>
      <c r="FI12" s="53">
        <v>0</v>
      </c>
      <c r="FJ12" s="53">
        <v>0</v>
      </c>
      <c r="FK12" s="53">
        <v>0</v>
      </c>
      <c r="FL12" s="53">
        <v>0</v>
      </c>
      <c r="FM12" s="53">
        <v>0</v>
      </c>
      <c r="FN12" s="53">
        <v>0</v>
      </c>
      <c r="FO12" s="53">
        <v>0</v>
      </c>
      <c r="FP12" s="53">
        <v>0</v>
      </c>
      <c r="FQ12" s="53">
        <v>0</v>
      </c>
      <c r="FR12" s="53" t="s">
        <v>1094</v>
      </c>
      <c r="FS12" s="53" t="s">
        <v>1094</v>
      </c>
      <c r="FT12" s="53">
        <v>0</v>
      </c>
      <c r="FU12" s="53">
        <v>0</v>
      </c>
      <c r="FV12" s="53">
        <v>0</v>
      </c>
      <c r="FW12" s="53">
        <v>783.54179999999997</v>
      </c>
      <c r="FX12" s="53">
        <v>0</v>
      </c>
      <c r="FY12" s="53">
        <v>1447.5877647399998</v>
      </c>
      <c r="FZ12" s="53">
        <v>783.54179999999997</v>
      </c>
      <c r="GA12" s="53">
        <v>664.04596474000004</v>
      </c>
      <c r="GB12" s="53">
        <v>748.11057252000001</v>
      </c>
      <c r="GC12" s="53">
        <v>10.391920000000001</v>
      </c>
      <c r="GD12" s="53">
        <v>1354.5353519</v>
      </c>
      <c r="GE12" s="53">
        <v>746.67417773</v>
      </c>
      <c r="GF12" s="53">
        <v>0</v>
      </c>
      <c r="GG12" s="53">
        <v>607.86117417000003</v>
      </c>
      <c r="GH12" s="53">
        <v>95.294747227269809</v>
      </c>
      <c r="GI12" s="53">
        <v>91.539020857991574</v>
      </c>
      <c r="GJ12" s="53">
        <v>44.87599185339505</v>
      </c>
      <c r="GK12" s="53">
        <v>10.391920000000001</v>
      </c>
      <c r="GL12" s="53">
        <v>1.4363947899999889</v>
      </c>
      <c r="GM12" s="53">
        <v>0</v>
      </c>
      <c r="GN12" s="53">
        <v>0</v>
      </c>
      <c r="GO12" s="53">
        <v>0</v>
      </c>
      <c r="GP12" s="53">
        <v>0</v>
      </c>
      <c r="GQ12" s="53">
        <v>0</v>
      </c>
      <c r="GR12" s="53">
        <v>0</v>
      </c>
      <c r="GS12" s="53">
        <v>0</v>
      </c>
      <c r="GT12" s="53">
        <v>0</v>
      </c>
      <c r="GU12" s="53">
        <v>0</v>
      </c>
      <c r="GV12" s="53">
        <v>0</v>
      </c>
      <c r="GW12" s="53">
        <v>0</v>
      </c>
      <c r="GX12" s="53" t="s">
        <v>1094</v>
      </c>
      <c r="GY12" s="53" t="s">
        <v>1094</v>
      </c>
      <c r="GZ12" s="53">
        <v>0</v>
      </c>
      <c r="HA12" s="53">
        <v>0</v>
      </c>
      <c r="HB12" s="53">
        <v>0</v>
      </c>
      <c r="HC12" s="53">
        <v>76.455199999999991</v>
      </c>
      <c r="HD12" s="53">
        <v>0</v>
      </c>
      <c r="HE12" s="53">
        <v>183.70438873999998</v>
      </c>
      <c r="HF12" s="53">
        <v>76.455199999999991</v>
      </c>
      <c r="HG12" s="53">
        <v>107.24918873999998</v>
      </c>
      <c r="HH12" s="53">
        <v>76.393063029999993</v>
      </c>
      <c r="HI12" s="53">
        <v>7.28E-3</v>
      </c>
      <c r="HJ12" s="53">
        <v>183.51464316999997</v>
      </c>
      <c r="HK12" s="53">
        <v>76.392379879999993</v>
      </c>
      <c r="HL12" s="53">
        <v>0</v>
      </c>
      <c r="HM12" s="53">
        <v>107.12226328999999</v>
      </c>
      <c r="HN12" s="53">
        <v>99.917834077996005</v>
      </c>
      <c r="HO12" s="53">
        <v>99.881653696879994</v>
      </c>
      <c r="HP12" s="53">
        <v>58.372597107014833</v>
      </c>
      <c r="HQ12" s="53">
        <v>7.28E-3</v>
      </c>
      <c r="HR12" s="53">
        <v>6.83149999999225E-4</v>
      </c>
      <c r="HS12" s="53">
        <v>0</v>
      </c>
      <c r="HT12" s="53">
        <v>0</v>
      </c>
      <c r="HU12" s="53">
        <v>0</v>
      </c>
      <c r="HV12" s="53">
        <v>0</v>
      </c>
      <c r="HW12" s="53">
        <v>0</v>
      </c>
      <c r="HX12" s="53">
        <v>0</v>
      </c>
      <c r="HY12" s="53">
        <v>0</v>
      </c>
      <c r="HZ12" s="53">
        <v>0</v>
      </c>
      <c r="IA12" s="53">
        <v>0</v>
      </c>
      <c r="IB12" s="53">
        <v>0</v>
      </c>
      <c r="IC12" s="53">
        <v>0</v>
      </c>
      <c r="ID12" s="53" t="s">
        <v>1094</v>
      </c>
      <c r="IE12" s="53" t="s">
        <v>1094</v>
      </c>
      <c r="IF12" s="53">
        <v>0</v>
      </c>
      <c r="IG12" s="53">
        <v>0</v>
      </c>
      <c r="IH12" s="53">
        <v>0</v>
      </c>
    </row>
    <row r="13" spans="1:242" ht="15.75" x14ac:dyDescent="0.25">
      <c r="A13" s="57" t="s">
        <v>6</v>
      </c>
      <c r="B13" s="190" t="s">
        <v>7</v>
      </c>
      <c r="C13" s="61">
        <v>1092.1333</v>
      </c>
      <c r="D13" s="61">
        <v>0</v>
      </c>
      <c r="E13" s="61">
        <v>2223.8410435400001</v>
      </c>
      <c r="F13" s="61">
        <v>1092.1333</v>
      </c>
      <c r="G13" s="61">
        <v>1131.7077435400001</v>
      </c>
      <c r="H13" s="61">
        <v>1058.4404105800002</v>
      </c>
      <c r="I13" s="61">
        <v>7.2429509799999998</v>
      </c>
      <c r="J13" s="61">
        <v>2170.0727870799997</v>
      </c>
      <c r="K13" s="61">
        <v>1057.69350689</v>
      </c>
      <c r="L13" s="61">
        <v>0</v>
      </c>
      <c r="M13" s="61">
        <v>1112.3792801900001</v>
      </c>
      <c r="N13" s="61">
        <v>96.846557731551627</v>
      </c>
      <c r="O13" s="61">
        <v>98.292097632067069</v>
      </c>
      <c r="P13" s="61">
        <v>51.259998596028296</v>
      </c>
      <c r="Q13" s="61">
        <v>7.2185909800000001</v>
      </c>
      <c r="R13" s="61">
        <v>0.77126369000000705</v>
      </c>
      <c r="S13" s="61">
        <v>505.84610000000004</v>
      </c>
      <c r="T13" s="61">
        <v>0</v>
      </c>
      <c r="U13" s="61">
        <v>993.4675972</v>
      </c>
      <c r="V13" s="61">
        <v>505.84610000000004</v>
      </c>
      <c r="W13" s="61">
        <v>487.62149720000002</v>
      </c>
      <c r="X13" s="61">
        <v>505.59354771000005</v>
      </c>
      <c r="Y13" s="61">
        <v>3.3190028399999996</v>
      </c>
      <c r="Z13" s="61">
        <v>992.42030400000021</v>
      </c>
      <c r="AA13" s="61">
        <v>505.20675608000005</v>
      </c>
      <c r="AB13" s="61">
        <v>0</v>
      </c>
      <c r="AC13" s="61">
        <v>487.21354791999994</v>
      </c>
      <c r="AD13" s="61">
        <v>99.873609004794147</v>
      </c>
      <c r="AE13" s="61">
        <v>99.916338946838351</v>
      </c>
      <c r="AF13" s="61">
        <v>49.093468357737251</v>
      </c>
      <c r="AG13" s="61">
        <v>3.3190028399999996</v>
      </c>
      <c r="AH13" s="61">
        <v>0.38679162999999583</v>
      </c>
      <c r="AI13" s="61">
        <v>0</v>
      </c>
      <c r="AJ13" s="61">
        <v>0</v>
      </c>
      <c r="AK13" s="61">
        <v>0</v>
      </c>
      <c r="AL13" s="61">
        <v>0</v>
      </c>
      <c r="AM13" s="61">
        <v>0</v>
      </c>
      <c r="AN13" s="61">
        <v>0</v>
      </c>
      <c r="AO13" s="61">
        <v>3.2189320399999999</v>
      </c>
      <c r="AP13" s="61">
        <v>0</v>
      </c>
      <c r="AQ13" s="61">
        <v>0</v>
      </c>
      <c r="AR13" s="61">
        <v>0</v>
      </c>
      <c r="AS13" s="61">
        <v>0</v>
      </c>
      <c r="AT13" s="61" t="s">
        <v>1094</v>
      </c>
      <c r="AU13" s="61" t="s">
        <v>1094</v>
      </c>
      <c r="AV13" s="61">
        <v>0</v>
      </c>
      <c r="AW13" s="61">
        <v>3.1945720399999997</v>
      </c>
      <c r="AX13" s="61">
        <v>2.4359999999999937E-2</v>
      </c>
      <c r="AY13" s="61">
        <v>392.04019999999991</v>
      </c>
      <c r="AZ13" s="61">
        <v>0</v>
      </c>
      <c r="BA13" s="61">
        <v>753.00267426000005</v>
      </c>
      <c r="BB13" s="61">
        <v>392.04019999999991</v>
      </c>
      <c r="BC13" s="61">
        <v>360.96247425999996</v>
      </c>
      <c r="BD13" s="61">
        <v>380.34127000000012</v>
      </c>
      <c r="BE13" s="61">
        <v>0.70501610000000003</v>
      </c>
      <c r="BF13" s="61">
        <v>731.57436300999996</v>
      </c>
      <c r="BG13" s="61">
        <v>379.98116558000004</v>
      </c>
      <c r="BH13" s="61">
        <v>0</v>
      </c>
      <c r="BI13" s="61">
        <v>351.59319743000003</v>
      </c>
      <c r="BJ13" s="61">
        <v>96.924031152927711</v>
      </c>
      <c r="BK13" s="61">
        <v>97.404362642070296</v>
      </c>
      <c r="BL13" s="61">
        <v>48.059802968409116</v>
      </c>
      <c r="BM13" s="61">
        <v>0.70501610000000003</v>
      </c>
      <c r="BN13" s="61">
        <v>0.36010442000000509</v>
      </c>
      <c r="BO13" s="61">
        <v>0</v>
      </c>
      <c r="BP13" s="61">
        <v>0</v>
      </c>
      <c r="BQ13" s="61">
        <v>0</v>
      </c>
      <c r="BR13" s="61">
        <v>0</v>
      </c>
      <c r="BS13" s="61">
        <v>0</v>
      </c>
      <c r="BT13" s="61">
        <v>0</v>
      </c>
      <c r="BU13" s="61">
        <v>0</v>
      </c>
      <c r="BV13" s="61">
        <v>0</v>
      </c>
      <c r="BW13" s="61">
        <v>0</v>
      </c>
      <c r="BX13" s="61">
        <v>0</v>
      </c>
      <c r="BY13" s="61">
        <v>0</v>
      </c>
      <c r="BZ13" s="61" t="s">
        <v>1094</v>
      </c>
      <c r="CA13" s="61" t="s">
        <v>1094</v>
      </c>
      <c r="CB13" s="61">
        <v>0</v>
      </c>
      <c r="CC13" s="61">
        <v>0</v>
      </c>
      <c r="CD13" s="61">
        <v>0</v>
      </c>
      <c r="CE13" s="61">
        <v>30.85</v>
      </c>
      <c r="CF13" s="61">
        <v>0</v>
      </c>
      <c r="CG13" s="61">
        <v>44.701100000000004</v>
      </c>
      <c r="CH13" s="61">
        <v>30.85</v>
      </c>
      <c r="CI13" s="61">
        <v>13.851100000000001</v>
      </c>
      <c r="CJ13" s="61">
        <v>9.2456407700000014</v>
      </c>
      <c r="CK13" s="61">
        <v>0</v>
      </c>
      <c r="CL13" s="61">
        <v>13.837463589999999</v>
      </c>
      <c r="CM13" s="61">
        <v>9.2456407700000014</v>
      </c>
      <c r="CN13" s="61">
        <v>0</v>
      </c>
      <c r="CO13" s="61">
        <v>4.59182282</v>
      </c>
      <c r="CP13" s="61">
        <v>29.969662139384116</v>
      </c>
      <c r="CQ13" s="61">
        <v>33.151322422045901</v>
      </c>
      <c r="CR13" s="61">
        <v>33.183992067147337</v>
      </c>
      <c r="CS13" s="61">
        <v>0</v>
      </c>
      <c r="CT13" s="61">
        <v>0</v>
      </c>
      <c r="CU13" s="61">
        <v>0</v>
      </c>
      <c r="CV13" s="61">
        <v>0</v>
      </c>
      <c r="CW13" s="61">
        <v>0</v>
      </c>
      <c r="CX13" s="61">
        <v>0</v>
      </c>
      <c r="CY13" s="61">
        <v>0</v>
      </c>
      <c r="CZ13" s="61">
        <v>0</v>
      </c>
      <c r="DA13" s="61">
        <v>0</v>
      </c>
      <c r="DB13" s="61">
        <v>0</v>
      </c>
      <c r="DC13" s="61">
        <v>0</v>
      </c>
      <c r="DD13" s="61">
        <v>0</v>
      </c>
      <c r="DE13" s="61">
        <v>0</v>
      </c>
      <c r="DF13" s="61" t="s">
        <v>1094</v>
      </c>
      <c r="DG13" s="61" t="s">
        <v>1094</v>
      </c>
      <c r="DH13" s="61">
        <v>0</v>
      </c>
      <c r="DI13" s="61">
        <v>0</v>
      </c>
      <c r="DJ13" s="61">
        <v>0</v>
      </c>
      <c r="DK13" s="61">
        <v>24.091999999999999</v>
      </c>
      <c r="DL13" s="61">
        <v>0</v>
      </c>
      <c r="DM13" s="61">
        <v>99.381920830000013</v>
      </c>
      <c r="DN13" s="61">
        <v>24.091999999999999</v>
      </c>
      <c r="DO13" s="61">
        <v>75.28992083</v>
      </c>
      <c r="DP13" s="61">
        <v>23.970422309999996</v>
      </c>
      <c r="DQ13" s="61">
        <v>0</v>
      </c>
      <c r="DR13" s="61">
        <v>99.01352193000001</v>
      </c>
      <c r="DS13" s="61">
        <v>23.970422309999996</v>
      </c>
      <c r="DT13" s="61">
        <v>0</v>
      </c>
      <c r="DU13" s="61">
        <v>75.043099620000007</v>
      </c>
      <c r="DV13" s="61">
        <v>99.495360742155057</v>
      </c>
      <c r="DW13" s="61">
        <v>99.672172307688697</v>
      </c>
      <c r="DX13" s="61">
        <v>75.790758834993795</v>
      </c>
      <c r="DY13" s="61">
        <v>0</v>
      </c>
      <c r="DZ13" s="61">
        <v>0</v>
      </c>
      <c r="EA13" s="61">
        <v>0</v>
      </c>
      <c r="EB13" s="61">
        <v>0</v>
      </c>
      <c r="EC13" s="61">
        <v>0</v>
      </c>
      <c r="ED13" s="61">
        <v>0</v>
      </c>
      <c r="EE13" s="61">
        <v>0</v>
      </c>
      <c r="EF13" s="61">
        <v>0</v>
      </c>
      <c r="EG13" s="61">
        <v>0</v>
      </c>
      <c r="EH13" s="61">
        <v>0</v>
      </c>
      <c r="EI13" s="61">
        <v>0</v>
      </c>
      <c r="EJ13" s="61">
        <v>0</v>
      </c>
      <c r="EK13" s="61">
        <v>0</v>
      </c>
      <c r="EL13" s="61" t="s">
        <v>1094</v>
      </c>
      <c r="EM13" s="61" t="s">
        <v>1094</v>
      </c>
      <c r="EN13" s="61">
        <v>0</v>
      </c>
      <c r="EO13" s="61">
        <v>0</v>
      </c>
      <c r="EP13" s="61">
        <v>0</v>
      </c>
      <c r="EQ13" s="61">
        <v>4.1218999999999992</v>
      </c>
      <c r="ER13" s="61">
        <v>0</v>
      </c>
      <c r="ES13" s="61">
        <v>27.39847082</v>
      </c>
      <c r="ET13" s="61">
        <v>4.1218999999999992</v>
      </c>
      <c r="EU13" s="61">
        <v>23.276570820000003</v>
      </c>
      <c r="EV13" s="61">
        <v>4.1097155699999997</v>
      </c>
      <c r="EW13" s="61">
        <v>0</v>
      </c>
      <c r="EX13" s="61">
        <v>27.34397182</v>
      </c>
      <c r="EY13" s="61">
        <v>4.1097102999999997</v>
      </c>
      <c r="EZ13" s="61">
        <v>0</v>
      </c>
      <c r="FA13" s="61">
        <v>23.234261520000004</v>
      </c>
      <c r="FB13" s="61">
        <v>99.704269875542835</v>
      </c>
      <c r="FC13" s="61">
        <v>99.8182322459473</v>
      </c>
      <c r="FD13" s="61">
        <v>84.970324256280648</v>
      </c>
      <c r="FE13" s="61">
        <v>0</v>
      </c>
      <c r="FF13" s="61">
        <v>5.2700000000016622E-6</v>
      </c>
      <c r="FG13" s="61">
        <v>0</v>
      </c>
      <c r="FH13" s="61">
        <v>0</v>
      </c>
      <c r="FI13" s="61">
        <v>0</v>
      </c>
      <c r="FJ13" s="61">
        <v>0</v>
      </c>
      <c r="FK13" s="61">
        <v>0</v>
      </c>
      <c r="FL13" s="61">
        <v>0</v>
      </c>
      <c r="FM13" s="61">
        <v>0</v>
      </c>
      <c r="FN13" s="61">
        <v>0</v>
      </c>
      <c r="FO13" s="61">
        <v>0</v>
      </c>
      <c r="FP13" s="61">
        <v>0</v>
      </c>
      <c r="FQ13" s="61">
        <v>0</v>
      </c>
      <c r="FR13" s="61" t="s">
        <v>1094</v>
      </c>
      <c r="FS13" s="61" t="s">
        <v>1094</v>
      </c>
      <c r="FT13" s="61">
        <v>0</v>
      </c>
      <c r="FU13" s="61">
        <v>0</v>
      </c>
      <c r="FV13" s="61">
        <v>0</v>
      </c>
      <c r="FW13" s="61">
        <v>120.47359999999998</v>
      </c>
      <c r="FX13" s="61">
        <v>0</v>
      </c>
      <c r="FY13" s="61">
        <v>267.52874456999996</v>
      </c>
      <c r="FZ13" s="61">
        <v>120.47359999999998</v>
      </c>
      <c r="GA13" s="61">
        <v>147.05514456999998</v>
      </c>
      <c r="GB13" s="61">
        <v>120.47359999999998</v>
      </c>
      <c r="GC13" s="61">
        <v>0</v>
      </c>
      <c r="GD13" s="61">
        <v>267.52874456999996</v>
      </c>
      <c r="GE13" s="61">
        <v>120.47359999999998</v>
      </c>
      <c r="GF13" s="61">
        <v>0</v>
      </c>
      <c r="GG13" s="61">
        <v>147.05514456999998</v>
      </c>
      <c r="GH13" s="61">
        <v>100</v>
      </c>
      <c r="GI13" s="61">
        <v>100</v>
      </c>
      <c r="GJ13" s="61">
        <v>54.967979162897919</v>
      </c>
      <c r="GK13" s="61">
        <v>0</v>
      </c>
      <c r="GL13" s="61">
        <v>0</v>
      </c>
      <c r="GM13" s="61">
        <v>0</v>
      </c>
      <c r="GN13" s="61">
        <v>0</v>
      </c>
      <c r="GO13" s="61">
        <v>0</v>
      </c>
      <c r="GP13" s="61">
        <v>0</v>
      </c>
      <c r="GQ13" s="61">
        <v>0</v>
      </c>
      <c r="GR13" s="61">
        <v>0</v>
      </c>
      <c r="GS13" s="61">
        <v>0</v>
      </c>
      <c r="GT13" s="61">
        <v>0</v>
      </c>
      <c r="GU13" s="61">
        <v>0</v>
      </c>
      <c r="GV13" s="61">
        <v>0</v>
      </c>
      <c r="GW13" s="61">
        <v>0</v>
      </c>
      <c r="GX13" s="61" t="s">
        <v>1094</v>
      </c>
      <c r="GY13" s="61" t="s">
        <v>1094</v>
      </c>
      <c r="GZ13" s="61">
        <v>0</v>
      </c>
      <c r="HA13" s="61">
        <v>0</v>
      </c>
      <c r="HB13" s="61">
        <v>0</v>
      </c>
      <c r="HC13" s="61">
        <v>14.7095</v>
      </c>
      <c r="HD13" s="61">
        <v>0</v>
      </c>
      <c r="HE13" s="61">
        <v>38.360535859999992</v>
      </c>
      <c r="HF13" s="61">
        <v>14.7095</v>
      </c>
      <c r="HG13" s="61">
        <v>23.651035859999997</v>
      </c>
      <c r="HH13" s="61">
        <v>14.70621422</v>
      </c>
      <c r="HI13" s="61">
        <v>0</v>
      </c>
      <c r="HJ13" s="61">
        <v>38.354418159999994</v>
      </c>
      <c r="HK13" s="61">
        <v>14.706211849999999</v>
      </c>
      <c r="HL13" s="61">
        <v>0</v>
      </c>
      <c r="HM13" s="61">
        <v>23.648206309999999</v>
      </c>
      <c r="HN13" s="61">
        <v>99.977646079064542</v>
      </c>
      <c r="HO13" s="61">
        <v>99.988036253393943</v>
      </c>
      <c r="HP13" s="61">
        <v>61.657059198105181</v>
      </c>
      <c r="HQ13" s="61">
        <v>0</v>
      </c>
      <c r="HR13" s="61">
        <v>2.3700000000015375E-6</v>
      </c>
      <c r="HS13" s="61">
        <v>0</v>
      </c>
      <c r="HT13" s="61">
        <v>0</v>
      </c>
      <c r="HU13" s="61">
        <v>0</v>
      </c>
      <c r="HV13" s="61">
        <v>0</v>
      </c>
      <c r="HW13" s="61">
        <v>0</v>
      </c>
      <c r="HX13" s="61">
        <v>0</v>
      </c>
      <c r="HY13" s="61">
        <v>0</v>
      </c>
      <c r="HZ13" s="61">
        <v>0</v>
      </c>
      <c r="IA13" s="61">
        <v>0</v>
      </c>
      <c r="IB13" s="61">
        <v>0</v>
      </c>
      <c r="IC13" s="61">
        <v>0</v>
      </c>
      <c r="ID13" s="61" t="s">
        <v>1094</v>
      </c>
      <c r="IE13" s="61" t="s">
        <v>1094</v>
      </c>
      <c r="IF13" s="61">
        <v>0</v>
      </c>
      <c r="IG13" s="61">
        <v>0</v>
      </c>
      <c r="IH13" s="61">
        <v>0</v>
      </c>
    </row>
    <row r="14" spans="1:242" ht="15.75" x14ac:dyDescent="0.25">
      <c r="A14" s="11" t="s">
        <v>9</v>
      </c>
      <c r="B14" s="189" t="s">
        <v>10</v>
      </c>
      <c r="C14" s="66">
        <v>62.203000000000003</v>
      </c>
      <c r="D14" s="66">
        <v>0</v>
      </c>
      <c r="E14" s="66">
        <v>123.04170000000001</v>
      </c>
      <c r="F14" s="66">
        <v>62.203000000000003</v>
      </c>
      <c r="G14" s="66">
        <v>60.838699999999996</v>
      </c>
      <c r="H14" s="66">
        <v>62.203000000000003</v>
      </c>
      <c r="I14" s="66">
        <v>0</v>
      </c>
      <c r="J14" s="66">
        <v>123.04170000000001</v>
      </c>
      <c r="K14" s="66">
        <v>62.203000000000003</v>
      </c>
      <c r="L14" s="66">
        <v>0</v>
      </c>
      <c r="M14" s="66">
        <v>60.838699999999996</v>
      </c>
      <c r="N14" s="67">
        <v>100</v>
      </c>
      <c r="O14" s="67">
        <v>100</v>
      </c>
      <c r="P14" s="67">
        <v>49.445594461064815</v>
      </c>
      <c r="Q14" s="66">
        <v>0</v>
      </c>
      <c r="R14" s="67">
        <v>0</v>
      </c>
      <c r="S14" s="66">
        <v>36.799700000000001</v>
      </c>
      <c r="T14" s="66">
        <v>0</v>
      </c>
      <c r="U14" s="66">
        <v>66.205699999999993</v>
      </c>
      <c r="V14" s="66">
        <v>36.799700000000001</v>
      </c>
      <c r="W14" s="66">
        <v>29.405999999999999</v>
      </c>
      <c r="X14" s="66">
        <v>36.799700000000001</v>
      </c>
      <c r="Y14" s="66">
        <v>0</v>
      </c>
      <c r="Z14" s="66">
        <v>66.205699999999993</v>
      </c>
      <c r="AA14" s="66">
        <v>36.799700000000001</v>
      </c>
      <c r="AB14" s="66">
        <v>0</v>
      </c>
      <c r="AC14" s="66">
        <v>29.405999999999999</v>
      </c>
      <c r="AD14" s="67">
        <v>100</v>
      </c>
      <c r="AE14" s="67">
        <v>100</v>
      </c>
      <c r="AF14" s="67">
        <v>44.416115228749184</v>
      </c>
      <c r="AG14" s="67">
        <v>0</v>
      </c>
      <c r="AH14" s="67">
        <v>0</v>
      </c>
      <c r="AI14" s="66">
        <v>0</v>
      </c>
      <c r="AJ14" s="66">
        <v>0</v>
      </c>
      <c r="AK14" s="66">
        <v>0</v>
      </c>
      <c r="AL14" s="66">
        <v>0</v>
      </c>
      <c r="AM14" s="66">
        <v>0</v>
      </c>
      <c r="AN14" s="66">
        <v>0</v>
      </c>
      <c r="AO14" s="66">
        <v>0</v>
      </c>
      <c r="AP14" s="66">
        <v>0</v>
      </c>
      <c r="AQ14" s="66">
        <v>0</v>
      </c>
      <c r="AR14" s="66">
        <v>0</v>
      </c>
      <c r="AS14" s="66">
        <v>0</v>
      </c>
      <c r="AT14" s="67" t="s">
        <v>1094</v>
      </c>
      <c r="AU14" s="67" t="s">
        <v>1094</v>
      </c>
      <c r="AV14" s="67">
        <v>0</v>
      </c>
      <c r="AW14" s="67">
        <v>0</v>
      </c>
      <c r="AX14" s="67">
        <v>0</v>
      </c>
      <c r="AY14" s="66">
        <v>21.07</v>
      </c>
      <c r="AZ14" s="66">
        <v>0</v>
      </c>
      <c r="BA14" s="66">
        <v>46.07</v>
      </c>
      <c r="BB14" s="66">
        <v>21.07</v>
      </c>
      <c r="BC14" s="66">
        <v>25</v>
      </c>
      <c r="BD14" s="66">
        <v>21.07</v>
      </c>
      <c r="BE14" s="66">
        <v>0</v>
      </c>
      <c r="BF14" s="66">
        <v>46.07</v>
      </c>
      <c r="BG14" s="66">
        <v>21.07</v>
      </c>
      <c r="BH14" s="66">
        <v>0</v>
      </c>
      <c r="BI14" s="66">
        <v>25</v>
      </c>
      <c r="BJ14" s="67">
        <v>100</v>
      </c>
      <c r="BK14" s="67">
        <v>100</v>
      </c>
      <c r="BL14" s="67">
        <v>54.265248534838285</v>
      </c>
      <c r="BM14" s="67">
        <v>0</v>
      </c>
      <c r="BN14" s="67">
        <v>0</v>
      </c>
      <c r="BO14" s="66">
        <v>0</v>
      </c>
      <c r="BP14" s="66">
        <v>0</v>
      </c>
      <c r="BQ14" s="66">
        <v>0</v>
      </c>
      <c r="BR14" s="66">
        <v>0</v>
      </c>
      <c r="BS14" s="66">
        <v>0</v>
      </c>
      <c r="BT14" s="66">
        <v>0</v>
      </c>
      <c r="BU14" s="66">
        <v>0</v>
      </c>
      <c r="BV14" s="66">
        <v>0</v>
      </c>
      <c r="BW14" s="66">
        <v>0</v>
      </c>
      <c r="BX14" s="66">
        <v>0</v>
      </c>
      <c r="BY14" s="66">
        <v>0</v>
      </c>
      <c r="BZ14" s="67" t="s">
        <v>1094</v>
      </c>
      <c r="CA14" s="67" t="s">
        <v>1094</v>
      </c>
      <c r="CB14" s="67">
        <v>0</v>
      </c>
      <c r="CC14" s="67">
        <v>0</v>
      </c>
      <c r="CD14" s="67">
        <v>0</v>
      </c>
      <c r="CE14" s="66">
        <v>0</v>
      </c>
      <c r="CF14" s="66">
        <v>0</v>
      </c>
      <c r="CG14" s="66">
        <v>0</v>
      </c>
      <c r="CH14" s="66">
        <v>0</v>
      </c>
      <c r="CI14" s="66">
        <v>0</v>
      </c>
      <c r="CJ14" s="66">
        <v>0</v>
      </c>
      <c r="CK14" s="66">
        <v>0</v>
      </c>
      <c r="CL14" s="66">
        <v>0</v>
      </c>
      <c r="CM14" s="66">
        <v>0</v>
      </c>
      <c r="CN14" s="66">
        <v>0</v>
      </c>
      <c r="CO14" s="66">
        <v>0</v>
      </c>
      <c r="CP14" s="67" t="s">
        <v>1094</v>
      </c>
      <c r="CQ14" s="67" t="s">
        <v>1094</v>
      </c>
      <c r="CR14" s="67">
        <v>0</v>
      </c>
      <c r="CS14" s="67">
        <v>0</v>
      </c>
      <c r="CT14" s="67">
        <v>0</v>
      </c>
      <c r="CU14" s="66">
        <v>0</v>
      </c>
      <c r="CV14" s="66">
        <v>0</v>
      </c>
      <c r="CW14" s="66">
        <v>0</v>
      </c>
      <c r="CX14" s="66">
        <v>0</v>
      </c>
      <c r="CY14" s="66">
        <v>0</v>
      </c>
      <c r="CZ14" s="66">
        <v>0</v>
      </c>
      <c r="DA14" s="66">
        <v>0</v>
      </c>
      <c r="DB14" s="66">
        <v>0</v>
      </c>
      <c r="DC14" s="66">
        <v>0</v>
      </c>
      <c r="DD14" s="66">
        <v>0</v>
      </c>
      <c r="DE14" s="66">
        <v>0</v>
      </c>
      <c r="DF14" s="67" t="s">
        <v>1094</v>
      </c>
      <c r="DG14" s="67" t="s">
        <v>1094</v>
      </c>
      <c r="DH14" s="67">
        <v>0</v>
      </c>
      <c r="DI14" s="67">
        <v>0</v>
      </c>
      <c r="DJ14" s="67">
        <v>0</v>
      </c>
      <c r="DK14" s="66">
        <v>2.36</v>
      </c>
      <c r="DL14" s="66">
        <v>0</v>
      </c>
      <c r="DM14" s="66">
        <v>6.766</v>
      </c>
      <c r="DN14" s="66">
        <v>2.36</v>
      </c>
      <c r="DO14" s="66">
        <v>4.4059999999999997</v>
      </c>
      <c r="DP14" s="66">
        <v>2.36</v>
      </c>
      <c r="DQ14" s="66">
        <v>0</v>
      </c>
      <c r="DR14" s="66">
        <v>6.766</v>
      </c>
      <c r="DS14" s="66">
        <v>2.36</v>
      </c>
      <c r="DT14" s="66">
        <v>0</v>
      </c>
      <c r="DU14" s="66">
        <v>4.4059999999999997</v>
      </c>
      <c r="DV14" s="67">
        <v>100</v>
      </c>
      <c r="DW14" s="67">
        <v>100</v>
      </c>
      <c r="DX14" s="67">
        <v>65.11971622819982</v>
      </c>
      <c r="DY14" s="67">
        <v>0</v>
      </c>
      <c r="DZ14" s="67">
        <v>0</v>
      </c>
      <c r="EA14" s="66">
        <v>0</v>
      </c>
      <c r="EB14" s="66">
        <v>0</v>
      </c>
      <c r="EC14" s="66">
        <v>0</v>
      </c>
      <c r="ED14" s="66">
        <v>0</v>
      </c>
      <c r="EE14" s="66">
        <v>0</v>
      </c>
      <c r="EF14" s="66">
        <v>0</v>
      </c>
      <c r="EG14" s="66">
        <v>0</v>
      </c>
      <c r="EH14" s="66">
        <v>0</v>
      </c>
      <c r="EI14" s="66">
        <v>0</v>
      </c>
      <c r="EJ14" s="66">
        <v>0</v>
      </c>
      <c r="EK14" s="66">
        <v>0</v>
      </c>
      <c r="EL14" s="67" t="s">
        <v>1094</v>
      </c>
      <c r="EM14" s="67" t="s">
        <v>1094</v>
      </c>
      <c r="EN14" s="67">
        <v>0</v>
      </c>
      <c r="EO14" s="67">
        <v>0</v>
      </c>
      <c r="EP14" s="67">
        <v>0</v>
      </c>
      <c r="EQ14" s="66">
        <v>0</v>
      </c>
      <c r="ER14" s="66">
        <v>0</v>
      </c>
      <c r="ES14" s="66">
        <v>0</v>
      </c>
      <c r="ET14" s="66">
        <v>0</v>
      </c>
      <c r="EU14" s="66">
        <v>0</v>
      </c>
      <c r="EV14" s="66">
        <v>0</v>
      </c>
      <c r="EW14" s="66">
        <v>0</v>
      </c>
      <c r="EX14" s="66">
        <v>0</v>
      </c>
      <c r="EY14" s="66">
        <v>0</v>
      </c>
      <c r="EZ14" s="66">
        <v>0</v>
      </c>
      <c r="FA14" s="66">
        <v>0</v>
      </c>
      <c r="FB14" s="67" t="s">
        <v>1094</v>
      </c>
      <c r="FC14" s="67" t="s">
        <v>1094</v>
      </c>
      <c r="FD14" s="67">
        <v>0</v>
      </c>
      <c r="FE14" s="67">
        <v>0</v>
      </c>
      <c r="FF14" s="67">
        <v>0</v>
      </c>
      <c r="FG14" s="66">
        <v>0</v>
      </c>
      <c r="FH14" s="66">
        <v>0</v>
      </c>
      <c r="FI14" s="66">
        <v>0</v>
      </c>
      <c r="FJ14" s="66">
        <v>0</v>
      </c>
      <c r="FK14" s="66">
        <v>0</v>
      </c>
      <c r="FL14" s="66">
        <v>0</v>
      </c>
      <c r="FM14" s="66">
        <v>0</v>
      </c>
      <c r="FN14" s="66">
        <v>0</v>
      </c>
      <c r="FO14" s="66">
        <v>0</v>
      </c>
      <c r="FP14" s="66">
        <v>0</v>
      </c>
      <c r="FQ14" s="66">
        <v>0</v>
      </c>
      <c r="FR14" s="67" t="s">
        <v>1094</v>
      </c>
      <c r="FS14" s="67" t="s">
        <v>1094</v>
      </c>
      <c r="FT14" s="67">
        <v>0</v>
      </c>
      <c r="FU14" s="67">
        <v>0</v>
      </c>
      <c r="FV14" s="67">
        <v>0</v>
      </c>
      <c r="FW14" s="66">
        <v>0</v>
      </c>
      <c r="FX14" s="66">
        <v>0</v>
      </c>
      <c r="FY14" s="66">
        <v>0</v>
      </c>
      <c r="FZ14" s="66">
        <v>0</v>
      </c>
      <c r="GA14" s="66">
        <v>0</v>
      </c>
      <c r="GB14" s="66">
        <v>0</v>
      </c>
      <c r="GC14" s="66">
        <v>0</v>
      </c>
      <c r="GD14" s="66">
        <v>0</v>
      </c>
      <c r="GE14" s="66">
        <v>0</v>
      </c>
      <c r="GF14" s="66">
        <v>0</v>
      </c>
      <c r="GG14" s="66">
        <v>0</v>
      </c>
      <c r="GH14" s="67" t="s">
        <v>1094</v>
      </c>
      <c r="GI14" s="67" t="s">
        <v>1094</v>
      </c>
      <c r="GJ14" s="67">
        <v>0</v>
      </c>
      <c r="GK14" s="67">
        <v>0</v>
      </c>
      <c r="GL14" s="67">
        <v>0</v>
      </c>
      <c r="GM14" s="66">
        <v>0</v>
      </c>
      <c r="GN14" s="66">
        <v>0</v>
      </c>
      <c r="GO14" s="66">
        <v>0</v>
      </c>
      <c r="GP14" s="66">
        <v>0</v>
      </c>
      <c r="GQ14" s="66">
        <v>0</v>
      </c>
      <c r="GR14" s="66">
        <v>0</v>
      </c>
      <c r="GS14" s="66">
        <v>0</v>
      </c>
      <c r="GT14" s="66">
        <v>0</v>
      </c>
      <c r="GU14" s="66">
        <v>0</v>
      </c>
      <c r="GV14" s="66">
        <v>0</v>
      </c>
      <c r="GW14" s="66">
        <v>0</v>
      </c>
      <c r="GX14" s="67" t="s">
        <v>1094</v>
      </c>
      <c r="GY14" s="67" t="s">
        <v>1094</v>
      </c>
      <c r="GZ14" s="67">
        <v>0</v>
      </c>
      <c r="HA14" s="67">
        <v>0</v>
      </c>
      <c r="HB14" s="67">
        <v>0</v>
      </c>
      <c r="HC14" s="66">
        <v>1.9733000000000001</v>
      </c>
      <c r="HD14" s="66">
        <v>0</v>
      </c>
      <c r="HE14" s="66">
        <v>4</v>
      </c>
      <c r="HF14" s="66">
        <v>1.9733000000000001</v>
      </c>
      <c r="HG14" s="66">
        <v>2.0266999999999999</v>
      </c>
      <c r="HH14" s="66">
        <v>1.9733000000000001</v>
      </c>
      <c r="HI14" s="66">
        <v>0</v>
      </c>
      <c r="HJ14" s="66">
        <v>4</v>
      </c>
      <c r="HK14" s="66">
        <v>1.9733000000000001</v>
      </c>
      <c r="HL14" s="66">
        <v>0</v>
      </c>
      <c r="HM14" s="66">
        <v>2.0266999999999999</v>
      </c>
      <c r="HN14" s="67">
        <v>100</v>
      </c>
      <c r="HO14" s="67">
        <v>100</v>
      </c>
      <c r="HP14" s="67">
        <v>50.667499999999997</v>
      </c>
      <c r="HQ14" s="67">
        <v>0</v>
      </c>
      <c r="HR14" s="67">
        <v>0</v>
      </c>
      <c r="HS14" s="66">
        <v>0</v>
      </c>
      <c r="HT14" s="66">
        <v>0</v>
      </c>
      <c r="HU14" s="66">
        <v>0</v>
      </c>
      <c r="HV14" s="66">
        <v>0</v>
      </c>
      <c r="HW14" s="66">
        <v>0</v>
      </c>
      <c r="HX14" s="66">
        <v>0</v>
      </c>
      <c r="HY14" s="66">
        <v>0</v>
      </c>
      <c r="HZ14" s="66">
        <v>0</v>
      </c>
      <c r="IA14" s="66">
        <v>0</v>
      </c>
      <c r="IB14" s="66">
        <v>0</v>
      </c>
      <c r="IC14" s="66">
        <v>0</v>
      </c>
      <c r="ID14" s="67" t="s">
        <v>1094</v>
      </c>
      <c r="IE14" s="67" t="s">
        <v>1094</v>
      </c>
      <c r="IF14" s="67">
        <v>0</v>
      </c>
      <c r="IG14" s="67">
        <v>0</v>
      </c>
      <c r="IH14" s="67">
        <v>0</v>
      </c>
    </row>
    <row r="15" spans="1:242" ht="15.75" x14ac:dyDescent="0.25">
      <c r="A15" s="11" t="s">
        <v>12</v>
      </c>
      <c r="B15" s="189" t="s">
        <v>13</v>
      </c>
      <c r="C15" s="66">
        <v>69.731099999999998</v>
      </c>
      <c r="D15" s="66">
        <v>0</v>
      </c>
      <c r="E15" s="66">
        <v>116.16723499999999</v>
      </c>
      <c r="F15" s="66">
        <v>69.731099999999998</v>
      </c>
      <c r="G15" s="66">
        <v>46.436135</v>
      </c>
      <c r="H15" s="66">
        <v>69.716634439999993</v>
      </c>
      <c r="I15" s="66">
        <v>0.92782321999999995</v>
      </c>
      <c r="J15" s="66">
        <v>116.14177094999999</v>
      </c>
      <c r="K15" s="66">
        <v>69.716634439999993</v>
      </c>
      <c r="L15" s="66">
        <v>0</v>
      </c>
      <c r="M15" s="66">
        <v>46.425136510000002</v>
      </c>
      <c r="N15" s="67">
        <v>99.979255224713214</v>
      </c>
      <c r="O15" s="67">
        <v>99.976314803116153</v>
      </c>
      <c r="P15" s="67">
        <v>39.972816093863777</v>
      </c>
      <c r="Q15" s="66">
        <v>0.92782321999999995</v>
      </c>
      <c r="R15" s="67">
        <v>-6.5503158452884236E-15</v>
      </c>
      <c r="S15" s="66">
        <v>18.512899999999998</v>
      </c>
      <c r="T15" s="66">
        <v>0</v>
      </c>
      <c r="U15" s="66">
        <v>26.446999999999999</v>
      </c>
      <c r="V15" s="66">
        <v>18.512899999999998</v>
      </c>
      <c r="W15" s="66">
        <v>7.9340999999999999</v>
      </c>
      <c r="X15" s="66">
        <v>18.512899999999998</v>
      </c>
      <c r="Y15" s="66">
        <v>0</v>
      </c>
      <c r="Z15" s="66">
        <v>26.446999999999999</v>
      </c>
      <c r="AA15" s="66">
        <v>18.512899999999998</v>
      </c>
      <c r="AB15" s="66">
        <v>0</v>
      </c>
      <c r="AC15" s="66">
        <v>7.9340999999999999</v>
      </c>
      <c r="AD15" s="67">
        <v>100</v>
      </c>
      <c r="AE15" s="67">
        <v>100</v>
      </c>
      <c r="AF15" s="67">
        <v>30</v>
      </c>
      <c r="AG15" s="67">
        <v>0</v>
      </c>
      <c r="AH15" s="67">
        <v>0</v>
      </c>
      <c r="AI15" s="66">
        <v>0</v>
      </c>
      <c r="AJ15" s="66">
        <v>0</v>
      </c>
      <c r="AK15" s="66">
        <v>0</v>
      </c>
      <c r="AL15" s="66">
        <v>0</v>
      </c>
      <c r="AM15" s="66">
        <v>0</v>
      </c>
      <c r="AN15" s="66">
        <v>0</v>
      </c>
      <c r="AO15" s="66">
        <v>0.92782321999999995</v>
      </c>
      <c r="AP15" s="66">
        <v>0</v>
      </c>
      <c r="AQ15" s="66">
        <v>0</v>
      </c>
      <c r="AR15" s="66">
        <v>0</v>
      </c>
      <c r="AS15" s="66">
        <v>0</v>
      </c>
      <c r="AT15" s="67" t="s">
        <v>1094</v>
      </c>
      <c r="AU15" s="67" t="s">
        <v>1094</v>
      </c>
      <c r="AV15" s="67">
        <v>0</v>
      </c>
      <c r="AW15" s="67">
        <v>0.92782321999999995</v>
      </c>
      <c r="AX15" s="67">
        <v>0</v>
      </c>
      <c r="AY15" s="66">
        <v>43.987000000000002</v>
      </c>
      <c r="AZ15" s="66">
        <v>0</v>
      </c>
      <c r="BA15" s="66">
        <v>79.389949999999999</v>
      </c>
      <c r="BB15" s="66">
        <v>43.987000000000002</v>
      </c>
      <c r="BC15" s="66">
        <v>35.402949999999997</v>
      </c>
      <c r="BD15" s="66">
        <v>43.972534439999997</v>
      </c>
      <c r="BE15" s="66">
        <v>0</v>
      </c>
      <c r="BF15" s="66">
        <v>79.364485950000002</v>
      </c>
      <c r="BG15" s="66">
        <v>43.972534439999997</v>
      </c>
      <c r="BH15" s="66">
        <v>0</v>
      </c>
      <c r="BI15" s="66">
        <v>35.391951509999998</v>
      </c>
      <c r="BJ15" s="67">
        <v>99.967114010957772</v>
      </c>
      <c r="BK15" s="67">
        <v>99.968933408091701</v>
      </c>
      <c r="BL15" s="67">
        <v>44.59419233471391</v>
      </c>
      <c r="BM15" s="67">
        <v>0</v>
      </c>
      <c r="BN15" s="67">
        <v>0</v>
      </c>
      <c r="BO15" s="66">
        <v>0</v>
      </c>
      <c r="BP15" s="66">
        <v>0</v>
      </c>
      <c r="BQ15" s="66">
        <v>0</v>
      </c>
      <c r="BR15" s="66">
        <v>0</v>
      </c>
      <c r="BS15" s="66">
        <v>0</v>
      </c>
      <c r="BT15" s="66">
        <v>0</v>
      </c>
      <c r="BU15" s="66">
        <v>0</v>
      </c>
      <c r="BV15" s="66">
        <v>0</v>
      </c>
      <c r="BW15" s="66">
        <v>0</v>
      </c>
      <c r="BX15" s="66">
        <v>0</v>
      </c>
      <c r="BY15" s="66">
        <v>0</v>
      </c>
      <c r="BZ15" s="67" t="s">
        <v>1094</v>
      </c>
      <c r="CA15" s="67" t="s">
        <v>1094</v>
      </c>
      <c r="CB15" s="67">
        <v>0</v>
      </c>
      <c r="CC15" s="67">
        <v>0</v>
      </c>
      <c r="CD15" s="67">
        <v>0</v>
      </c>
      <c r="CE15" s="66">
        <v>0</v>
      </c>
      <c r="CF15" s="66">
        <v>0</v>
      </c>
      <c r="CG15" s="66">
        <v>0</v>
      </c>
      <c r="CH15" s="66">
        <v>0</v>
      </c>
      <c r="CI15" s="66">
        <v>0</v>
      </c>
      <c r="CJ15" s="66">
        <v>0</v>
      </c>
      <c r="CK15" s="66">
        <v>0</v>
      </c>
      <c r="CL15" s="66">
        <v>0</v>
      </c>
      <c r="CM15" s="66">
        <v>0</v>
      </c>
      <c r="CN15" s="66">
        <v>0</v>
      </c>
      <c r="CO15" s="66">
        <v>0</v>
      </c>
      <c r="CP15" s="67" t="s">
        <v>1094</v>
      </c>
      <c r="CQ15" s="67" t="s">
        <v>1094</v>
      </c>
      <c r="CR15" s="67">
        <v>0</v>
      </c>
      <c r="CS15" s="67">
        <v>0</v>
      </c>
      <c r="CT15" s="67">
        <v>0</v>
      </c>
      <c r="CU15" s="66">
        <v>0</v>
      </c>
      <c r="CV15" s="66">
        <v>0</v>
      </c>
      <c r="CW15" s="66">
        <v>0</v>
      </c>
      <c r="CX15" s="66">
        <v>0</v>
      </c>
      <c r="CY15" s="66">
        <v>0</v>
      </c>
      <c r="CZ15" s="66">
        <v>0</v>
      </c>
      <c r="DA15" s="66">
        <v>0</v>
      </c>
      <c r="DB15" s="66">
        <v>0</v>
      </c>
      <c r="DC15" s="66">
        <v>0</v>
      </c>
      <c r="DD15" s="66">
        <v>0</v>
      </c>
      <c r="DE15" s="66">
        <v>0</v>
      </c>
      <c r="DF15" s="67" t="s">
        <v>1094</v>
      </c>
      <c r="DG15" s="67" t="s">
        <v>1094</v>
      </c>
      <c r="DH15" s="67">
        <v>0</v>
      </c>
      <c r="DI15" s="67">
        <v>0</v>
      </c>
      <c r="DJ15" s="67">
        <v>0</v>
      </c>
      <c r="DK15" s="66">
        <v>0</v>
      </c>
      <c r="DL15" s="66">
        <v>0</v>
      </c>
      <c r="DM15" s="66">
        <v>0</v>
      </c>
      <c r="DN15" s="66">
        <v>0</v>
      </c>
      <c r="DO15" s="66">
        <v>0</v>
      </c>
      <c r="DP15" s="66">
        <v>0</v>
      </c>
      <c r="DQ15" s="66">
        <v>0</v>
      </c>
      <c r="DR15" s="66">
        <v>0</v>
      </c>
      <c r="DS15" s="66">
        <v>0</v>
      </c>
      <c r="DT15" s="66">
        <v>0</v>
      </c>
      <c r="DU15" s="66">
        <v>0</v>
      </c>
      <c r="DV15" s="67" t="s">
        <v>1094</v>
      </c>
      <c r="DW15" s="67" t="s">
        <v>1094</v>
      </c>
      <c r="DX15" s="67">
        <v>0</v>
      </c>
      <c r="DY15" s="67">
        <v>0</v>
      </c>
      <c r="DZ15" s="67">
        <v>0</v>
      </c>
      <c r="EA15" s="66">
        <v>0</v>
      </c>
      <c r="EB15" s="66">
        <v>0</v>
      </c>
      <c r="EC15" s="66">
        <v>0</v>
      </c>
      <c r="ED15" s="66">
        <v>0</v>
      </c>
      <c r="EE15" s="66">
        <v>0</v>
      </c>
      <c r="EF15" s="66">
        <v>0</v>
      </c>
      <c r="EG15" s="66">
        <v>0</v>
      </c>
      <c r="EH15" s="66">
        <v>0</v>
      </c>
      <c r="EI15" s="66">
        <v>0</v>
      </c>
      <c r="EJ15" s="66">
        <v>0</v>
      </c>
      <c r="EK15" s="66">
        <v>0</v>
      </c>
      <c r="EL15" s="67" t="s">
        <v>1094</v>
      </c>
      <c r="EM15" s="67" t="s">
        <v>1094</v>
      </c>
      <c r="EN15" s="67">
        <v>0</v>
      </c>
      <c r="EO15" s="67">
        <v>0</v>
      </c>
      <c r="EP15" s="67">
        <v>0</v>
      </c>
      <c r="EQ15" s="66">
        <v>0</v>
      </c>
      <c r="ER15" s="66">
        <v>0</v>
      </c>
      <c r="ES15" s="66">
        <v>0</v>
      </c>
      <c r="ET15" s="66">
        <v>0</v>
      </c>
      <c r="EU15" s="66">
        <v>0</v>
      </c>
      <c r="EV15" s="66">
        <v>0</v>
      </c>
      <c r="EW15" s="66">
        <v>0</v>
      </c>
      <c r="EX15" s="66">
        <v>0</v>
      </c>
      <c r="EY15" s="66">
        <v>0</v>
      </c>
      <c r="EZ15" s="66">
        <v>0</v>
      </c>
      <c r="FA15" s="66">
        <v>0</v>
      </c>
      <c r="FB15" s="67" t="s">
        <v>1094</v>
      </c>
      <c r="FC15" s="67" t="s">
        <v>1094</v>
      </c>
      <c r="FD15" s="67">
        <v>0</v>
      </c>
      <c r="FE15" s="67">
        <v>0</v>
      </c>
      <c r="FF15" s="67">
        <v>0</v>
      </c>
      <c r="FG15" s="66">
        <v>0</v>
      </c>
      <c r="FH15" s="66">
        <v>0</v>
      </c>
      <c r="FI15" s="66">
        <v>0</v>
      </c>
      <c r="FJ15" s="66">
        <v>0</v>
      </c>
      <c r="FK15" s="66">
        <v>0</v>
      </c>
      <c r="FL15" s="66">
        <v>0</v>
      </c>
      <c r="FM15" s="66">
        <v>0</v>
      </c>
      <c r="FN15" s="66">
        <v>0</v>
      </c>
      <c r="FO15" s="66">
        <v>0</v>
      </c>
      <c r="FP15" s="66">
        <v>0</v>
      </c>
      <c r="FQ15" s="66">
        <v>0</v>
      </c>
      <c r="FR15" s="67" t="s">
        <v>1094</v>
      </c>
      <c r="FS15" s="67" t="s">
        <v>1094</v>
      </c>
      <c r="FT15" s="67">
        <v>0</v>
      </c>
      <c r="FU15" s="67">
        <v>0</v>
      </c>
      <c r="FV15" s="67">
        <v>0</v>
      </c>
      <c r="FW15" s="66">
        <v>6.0597000000000003</v>
      </c>
      <c r="FX15" s="66">
        <v>0</v>
      </c>
      <c r="FY15" s="66">
        <v>8.6567139999999991</v>
      </c>
      <c r="FZ15" s="66">
        <v>6.0597000000000003</v>
      </c>
      <c r="GA15" s="66">
        <v>2.5970140000000002</v>
      </c>
      <c r="GB15" s="66">
        <v>6.0597000000000003</v>
      </c>
      <c r="GC15" s="66">
        <v>0</v>
      </c>
      <c r="GD15" s="66">
        <v>8.6567139999999991</v>
      </c>
      <c r="GE15" s="66">
        <v>6.0597000000000003</v>
      </c>
      <c r="GF15" s="66">
        <v>0</v>
      </c>
      <c r="GG15" s="66">
        <v>2.5970140000000002</v>
      </c>
      <c r="GH15" s="67">
        <v>100</v>
      </c>
      <c r="GI15" s="67">
        <v>100</v>
      </c>
      <c r="GJ15" s="67">
        <v>29.999997689654535</v>
      </c>
      <c r="GK15" s="67">
        <v>0</v>
      </c>
      <c r="GL15" s="67">
        <v>0</v>
      </c>
      <c r="GM15" s="66">
        <v>0</v>
      </c>
      <c r="GN15" s="66">
        <v>0</v>
      </c>
      <c r="GO15" s="66">
        <v>0</v>
      </c>
      <c r="GP15" s="66">
        <v>0</v>
      </c>
      <c r="GQ15" s="66">
        <v>0</v>
      </c>
      <c r="GR15" s="66">
        <v>0</v>
      </c>
      <c r="GS15" s="66">
        <v>0</v>
      </c>
      <c r="GT15" s="66">
        <v>0</v>
      </c>
      <c r="GU15" s="66">
        <v>0</v>
      </c>
      <c r="GV15" s="66">
        <v>0</v>
      </c>
      <c r="GW15" s="66">
        <v>0</v>
      </c>
      <c r="GX15" s="67" t="s">
        <v>1094</v>
      </c>
      <c r="GY15" s="67" t="s">
        <v>1094</v>
      </c>
      <c r="GZ15" s="67">
        <v>0</v>
      </c>
      <c r="HA15" s="67">
        <v>0</v>
      </c>
      <c r="HB15" s="67">
        <v>0</v>
      </c>
      <c r="HC15" s="66">
        <v>1.1715</v>
      </c>
      <c r="HD15" s="66">
        <v>0</v>
      </c>
      <c r="HE15" s="66">
        <v>1.6735709999999999</v>
      </c>
      <c r="HF15" s="66">
        <v>1.1715</v>
      </c>
      <c r="HG15" s="66">
        <v>0.50207100000000005</v>
      </c>
      <c r="HH15" s="66">
        <v>1.1715</v>
      </c>
      <c r="HI15" s="66">
        <v>0</v>
      </c>
      <c r="HJ15" s="66">
        <v>1.6735709999999999</v>
      </c>
      <c r="HK15" s="66">
        <v>1.1715</v>
      </c>
      <c r="HL15" s="66">
        <v>0</v>
      </c>
      <c r="HM15" s="66">
        <v>0.50207100000000005</v>
      </c>
      <c r="HN15" s="67">
        <v>100</v>
      </c>
      <c r="HO15" s="67">
        <v>100</v>
      </c>
      <c r="HP15" s="67">
        <v>29.999982074259179</v>
      </c>
      <c r="HQ15" s="67">
        <v>0</v>
      </c>
      <c r="HR15" s="67">
        <v>0</v>
      </c>
      <c r="HS15" s="66">
        <v>0</v>
      </c>
      <c r="HT15" s="66">
        <v>0</v>
      </c>
      <c r="HU15" s="66">
        <v>0</v>
      </c>
      <c r="HV15" s="66">
        <v>0</v>
      </c>
      <c r="HW15" s="66">
        <v>0</v>
      </c>
      <c r="HX15" s="66">
        <v>0</v>
      </c>
      <c r="HY15" s="66">
        <v>0</v>
      </c>
      <c r="HZ15" s="66">
        <v>0</v>
      </c>
      <c r="IA15" s="66">
        <v>0</v>
      </c>
      <c r="IB15" s="66">
        <v>0</v>
      </c>
      <c r="IC15" s="66">
        <v>0</v>
      </c>
      <c r="ID15" s="67" t="s">
        <v>1094</v>
      </c>
      <c r="IE15" s="67" t="s">
        <v>1094</v>
      </c>
      <c r="IF15" s="67">
        <v>0</v>
      </c>
      <c r="IG15" s="67">
        <v>0</v>
      </c>
      <c r="IH15" s="67">
        <v>0</v>
      </c>
    </row>
    <row r="16" spans="1:242" ht="15.75" x14ac:dyDescent="0.25">
      <c r="A16" s="11" t="s">
        <v>15</v>
      </c>
      <c r="B16" s="189" t="s">
        <v>16</v>
      </c>
      <c r="C16" s="66">
        <v>50.557299999999998</v>
      </c>
      <c r="D16" s="66">
        <v>0</v>
      </c>
      <c r="E16" s="66">
        <v>115.6473</v>
      </c>
      <c r="F16" s="66">
        <v>50.557299999999998</v>
      </c>
      <c r="G16" s="66">
        <v>65.09</v>
      </c>
      <c r="H16" s="66">
        <v>47.499760070000001</v>
      </c>
      <c r="I16" s="66">
        <v>0</v>
      </c>
      <c r="J16" s="66">
        <v>110.943296</v>
      </c>
      <c r="K16" s="66">
        <v>47.499760070000001</v>
      </c>
      <c r="L16" s="66">
        <v>0</v>
      </c>
      <c r="M16" s="66">
        <v>63.443535930000003</v>
      </c>
      <c r="N16" s="67">
        <v>93.952327497710513</v>
      </c>
      <c r="O16" s="67">
        <v>97.470480765094479</v>
      </c>
      <c r="P16" s="67">
        <v>57.185551734464426</v>
      </c>
      <c r="Q16" s="66">
        <v>0</v>
      </c>
      <c r="R16" s="67">
        <v>0</v>
      </c>
      <c r="S16" s="66">
        <v>17.1938</v>
      </c>
      <c r="T16" s="66">
        <v>0</v>
      </c>
      <c r="U16" s="66">
        <v>50.3108</v>
      </c>
      <c r="V16" s="66">
        <v>17.1938</v>
      </c>
      <c r="W16" s="66">
        <v>33.116999999999997</v>
      </c>
      <c r="X16" s="66">
        <v>17.19379855</v>
      </c>
      <c r="Y16" s="66">
        <v>0</v>
      </c>
      <c r="Z16" s="66">
        <v>50.310796000000003</v>
      </c>
      <c r="AA16" s="66">
        <v>17.19379855</v>
      </c>
      <c r="AB16" s="66">
        <v>0</v>
      </c>
      <c r="AC16" s="66">
        <v>33.11699745</v>
      </c>
      <c r="AD16" s="67">
        <v>99.999991566727545</v>
      </c>
      <c r="AE16" s="67">
        <v>99.999992300027188</v>
      </c>
      <c r="AF16" s="67">
        <v>65.824833004033565</v>
      </c>
      <c r="AG16" s="67">
        <v>0</v>
      </c>
      <c r="AH16" s="67">
        <v>0</v>
      </c>
      <c r="AI16" s="66">
        <v>0</v>
      </c>
      <c r="AJ16" s="66">
        <v>0</v>
      </c>
      <c r="AK16" s="66">
        <v>0</v>
      </c>
      <c r="AL16" s="66">
        <v>0</v>
      </c>
      <c r="AM16" s="66">
        <v>0</v>
      </c>
      <c r="AN16" s="66">
        <v>0</v>
      </c>
      <c r="AO16" s="66">
        <v>0</v>
      </c>
      <c r="AP16" s="66">
        <v>0</v>
      </c>
      <c r="AQ16" s="66">
        <v>0</v>
      </c>
      <c r="AR16" s="66">
        <v>0</v>
      </c>
      <c r="AS16" s="66">
        <v>0</v>
      </c>
      <c r="AT16" s="67" t="s">
        <v>1094</v>
      </c>
      <c r="AU16" s="67" t="s">
        <v>1094</v>
      </c>
      <c r="AV16" s="67">
        <v>0</v>
      </c>
      <c r="AW16" s="67">
        <v>0</v>
      </c>
      <c r="AX16" s="67">
        <v>0</v>
      </c>
      <c r="AY16" s="66">
        <v>31.138999999999999</v>
      </c>
      <c r="AZ16" s="66">
        <v>0</v>
      </c>
      <c r="BA16" s="66">
        <v>52.481999999999999</v>
      </c>
      <c r="BB16" s="66">
        <v>31.138999999999999</v>
      </c>
      <c r="BC16" s="66">
        <v>21.343</v>
      </c>
      <c r="BD16" s="66">
        <v>28.081461520000001</v>
      </c>
      <c r="BE16" s="66">
        <v>0</v>
      </c>
      <c r="BF16" s="66">
        <v>47.777999999999999</v>
      </c>
      <c r="BG16" s="66">
        <v>28.081461520000001</v>
      </c>
      <c r="BH16" s="66">
        <v>0</v>
      </c>
      <c r="BI16" s="66">
        <v>19.696538480000001</v>
      </c>
      <c r="BJ16" s="67">
        <v>90.180999775201514</v>
      </c>
      <c r="BK16" s="67">
        <v>92.285707163941339</v>
      </c>
      <c r="BL16" s="67">
        <v>41.225121352923942</v>
      </c>
      <c r="BM16" s="67">
        <v>0</v>
      </c>
      <c r="BN16" s="67">
        <v>0</v>
      </c>
      <c r="BO16" s="66">
        <v>0</v>
      </c>
      <c r="BP16" s="66">
        <v>0</v>
      </c>
      <c r="BQ16" s="66">
        <v>0</v>
      </c>
      <c r="BR16" s="66">
        <v>0</v>
      </c>
      <c r="BS16" s="66">
        <v>0</v>
      </c>
      <c r="BT16" s="66">
        <v>0</v>
      </c>
      <c r="BU16" s="66">
        <v>0</v>
      </c>
      <c r="BV16" s="66">
        <v>0</v>
      </c>
      <c r="BW16" s="66">
        <v>0</v>
      </c>
      <c r="BX16" s="66">
        <v>0</v>
      </c>
      <c r="BY16" s="66">
        <v>0</v>
      </c>
      <c r="BZ16" s="67" t="s">
        <v>1094</v>
      </c>
      <c r="CA16" s="67" t="s">
        <v>1094</v>
      </c>
      <c r="CB16" s="67">
        <v>0</v>
      </c>
      <c r="CC16" s="67">
        <v>0</v>
      </c>
      <c r="CD16" s="67">
        <v>0</v>
      </c>
      <c r="CE16" s="66">
        <v>0</v>
      </c>
      <c r="CF16" s="66">
        <v>0</v>
      </c>
      <c r="CG16" s="66">
        <v>0</v>
      </c>
      <c r="CH16" s="66">
        <v>0</v>
      </c>
      <c r="CI16" s="66">
        <v>0</v>
      </c>
      <c r="CJ16" s="66">
        <v>0</v>
      </c>
      <c r="CK16" s="66">
        <v>0</v>
      </c>
      <c r="CL16" s="66">
        <v>0</v>
      </c>
      <c r="CM16" s="66">
        <v>0</v>
      </c>
      <c r="CN16" s="66">
        <v>0</v>
      </c>
      <c r="CO16" s="66">
        <v>0</v>
      </c>
      <c r="CP16" s="67" t="s">
        <v>1094</v>
      </c>
      <c r="CQ16" s="67" t="s">
        <v>1094</v>
      </c>
      <c r="CR16" s="67">
        <v>0</v>
      </c>
      <c r="CS16" s="67">
        <v>0</v>
      </c>
      <c r="CT16" s="67">
        <v>0</v>
      </c>
      <c r="CU16" s="66">
        <v>0</v>
      </c>
      <c r="CV16" s="66">
        <v>0</v>
      </c>
      <c r="CW16" s="66">
        <v>0</v>
      </c>
      <c r="CX16" s="66">
        <v>0</v>
      </c>
      <c r="CY16" s="66">
        <v>0</v>
      </c>
      <c r="CZ16" s="66">
        <v>0</v>
      </c>
      <c r="DA16" s="66">
        <v>0</v>
      </c>
      <c r="DB16" s="66">
        <v>0</v>
      </c>
      <c r="DC16" s="66">
        <v>0</v>
      </c>
      <c r="DD16" s="66">
        <v>0</v>
      </c>
      <c r="DE16" s="66">
        <v>0</v>
      </c>
      <c r="DF16" s="67" t="s">
        <v>1094</v>
      </c>
      <c r="DG16" s="67" t="s">
        <v>1094</v>
      </c>
      <c r="DH16" s="67">
        <v>0</v>
      </c>
      <c r="DI16" s="67">
        <v>0</v>
      </c>
      <c r="DJ16" s="67">
        <v>0</v>
      </c>
      <c r="DK16" s="66">
        <v>1.7769999999999999</v>
      </c>
      <c r="DL16" s="66">
        <v>0</v>
      </c>
      <c r="DM16" s="66">
        <v>11.776999999999999</v>
      </c>
      <c r="DN16" s="66">
        <v>1.7769999999999999</v>
      </c>
      <c r="DO16" s="66">
        <v>10</v>
      </c>
      <c r="DP16" s="66">
        <v>1.7769999999999999</v>
      </c>
      <c r="DQ16" s="66">
        <v>0</v>
      </c>
      <c r="DR16" s="66">
        <v>11.776999999999999</v>
      </c>
      <c r="DS16" s="66">
        <v>1.7769999999999999</v>
      </c>
      <c r="DT16" s="66">
        <v>0</v>
      </c>
      <c r="DU16" s="66">
        <v>10</v>
      </c>
      <c r="DV16" s="67">
        <v>100</v>
      </c>
      <c r="DW16" s="67">
        <v>100</v>
      </c>
      <c r="DX16" s="67">
        <v>84.911267725227148</v>
      </c>
      <c r="DY16" s="67">
        <v>0</v>
      </c>
      <c r="DZ16" s="67">
        <v>0</v>
      </c>
      <c r="EA16" s="66">
        <v>0</v>
      </c>
      <c r="EB16" s="66">
        <v>0</v>
      </c>
      <c r="EC16" s="66">
        <v>0</v>
      </c>
      <c r="ED16" s="66">
        <v>0</v>
      </c>
      <c r="EE16" s="66">
        <v>0</v>
      </c>
      <c r="EF16" s="66">
        <v>0</v>
      </c>
      <c r="EG16" s="66">
        <v>0</v>
      </c>
      <c r="EH16" s="66">
        <v>0</v>
      </c>
      <c r="EI16" s="66">
        <v>0</v>
      </c>
      <c r="EJ16" s="66">
        <v>0</v>
      </c>
      <c r="EK16" s="66">
        <v>0</v>
      </c>
      <c r="EL16" s="67" t="s">
        <v>1094</v>
      </c>
      <c r="EM16" s="67" t="s">
        <v>1094</v>
      </c>
      <c r="EN16" s="67">
        <v>0</v>
      </c>
      <c r="EO16" s="67">
        <v>0</v>
      </c>
      <c r="EP16" s="67">
        <v>0</v>
      </c>
      <c r="EQ16" s="66">
        <v>0</v>
      </c>
      <c r="ER16" s="66">
        <v>0</v>
      </c>
      <c r="ES16" s="66">
        <v>0</v>
      </c>
      <c r="ET16" s="66">
        <v>0</v>
      </c>
      <c r="EU16" s="66">
        <v>0</v>
      </c>
      <c r="EV16" s="66">
        <v>0</v>
      </c>
      <c r="EW16" s="66">
        <v>0</v>
      </c>
      <c r="EX16" s="66">
        <v>0</v>
      </c>
      <c r="EY16" s="66">
        <v>0</v>
      </c>
      <c r="EZ16" s="66">
        <v>0</v>
      </c>
      <c r="FA16" s="66">
        <v>0</v>
      </c>
      <c r="FB16" s="67" t="s">
        <v>1094</v>
      </c>
      <c r="FC16" s="67" t="s">
        <v>1094</v>
      </c>
      <c r="FD16" s="67">
        <v>0</v>
      </c>
      <c r="FE16" s="67">
        <v>0</v>
      </c>
      <c r="FF16" s="67">
        <v>0</v>
      </c>
      <c r="FG16" s="66">
        <v>0</v>
      </c>
      <c r="FH16" s="66">
        <v>0</v>
      </c>
      <c r="FI16" s="66">
        <v>0</v>
      </c>
      <c r="FJ16" s="66">
        <v>0</v>
      </c>
      <c r="FK16" s="66">
        <v>0</v>
      </c>
      <c r="FL16" s="66">
        <v>0</v>
      </c>
      <c r="FM16" s="66">
        <v>0</v>
      </c>
      <c r="FN16" s="66">
        <v>0</v>
      </c>
      <c r="FO16" s="66">
        <v>0</v>
      </c>
      <c r="FP16" s="66">
        <v>0</v>
      </c>
      <c r="FQ16" s="66">
        <v>0</v>
      </c>
      <c r="FR16" s="67" t="s">
        <v>1094</v>
      </c>
      <c r="FS16" s="67" t="s">
        <v>1094</v>
      </c>
      <c r="FT16" s="67">
        <v>0</v>
      </c>
      <c r="FU16" s="67">
        <v>0</v>
      </c>
      <c r="FV16" s="67">
        <v>0</v>
      </c>
      <c r="FW16" s="66">
        <v>0</v>
      </c>
      <c r="FX16" s="66">
        <v>0</v>
      </c>
      <c r="FY16" s="66">
        <v>0</v>
      </c>
      <c r="FZ16" s="66">
        <v>0</v>
      </c>
      <c r="GA16" s="66">
        <v>0</v>
      </c>
      <c r="GB16" s="66">
        <v>0</v>
      </c>
      <c r="GC16" s="66">
        <v>0</v>
      </c>
      <c r="GD16" s="66">
        <v>0</v>
      </c>
      <c r="GE16" s="66">
        <v>0</v>
      </c>
      <c r="GF16" s="66">
        <v>0</v>
      </c>
      <c r="GG16" s="66">
        <v>0</v>
      </c>
      <c r="GH16" s="67" t="s">
        <v>1094</v>
      </c>
      <c r="GI16" s="67" t="s">
        <v>1094</v>
      </c>
      <c r="GJ16" s="67">
        <v>0</v>
      </c>
      <c r="GK16" s="67">
        <v>0</v>
      </c>
      <c r="GL16" s="67">
        <v>0</v>
      </c>
      <c r="GM16" s="66">
        <v>0</v>
      </c>
      <c r="GN16" s="66">
        <v>0</v>
      </c>
      <c r="GO16" s="66">
        <v>0</v>
      </c>
      <c r="GP16" s="66">
        <v>0</v>
      </c>
      <c r="GQ16" s="66">
        <v>0</v>
      </c>
      <c r="GR16" s="66">
        <v>0</v>
      </c>
      <c r="GS16" s="66">
        <v>0</v>
      </c>
      <c r="GT16" s="66">
        <v>0</v>
      </c>
      <c r="GU16" s="66">
        <v>0</v>
      </c>
      <c r="GV16" s="66">
        <v>0</v>
      </c>
      <c r="GW16" s="66">
        <v>0</v>
      </c>
      <c r="GX16" s="67" t="s">
        <v>1094</v>
      </c>
      <c r="GY16" s="67" t="s">
        <v>1094</v>
      </c>
      <c r="GZ16" s="67">
        <v>0</v>
      </c>
      <c r="HA16" s="67">
        <v>0</v>
      </c>
      <c r="HB16" s="67">
        <v>0</v>
      </c>
      <c r="HC16" s="66">
        <v>0.44750000000000001</v>
      </c>
      <c r="HD16" s="66">
        <v>0</v>
      </c>
      <c r="HE16" s="66">
        <v>1.0774999999999999</v>
      </c>
      <c r="HF16" s="66">
        <v>0.44750000000000001</v>
      </c>
      <c r="HG16" s="66">
        <v>0.63</v>
      </c>
      <c r="HH16" s="66">
        <v>0.44750000000000001</v>
      </c>
      <c r="HI16" s="66">
        <v>0</v>
      </c>
      <c r="HJ16" s="66">
        <v>1.0774999999999999</v>
      </c>
      <c r="HK16" s="66">
        <v>0.44750000000000001</v>
      </c>
      <c r="HL16" s="66">
        <v>0</v>
      </c>
      <c r="HM16" s="66">
        <v>0.63</v>
      </c>
      <c r="HN16" s="67">
        <v>100</v>
      </c>
      <c r="HO16" s="67">
        <v>100</v>
      </c>
      <c r="HP16" s="67">
        <v>58.46867749419954</v>
      </c>
      <c r="HQ16" s="67">
        <v>0</v>
      </c>
      <c r="HR16" s="67">
        <v>0</v>
      </c>
      <c r="HS16" s="66">
        <v>0</v>
      </c>
      <c r="HT16" s="66">
        <v>0</v>
      </c>
      <c r="HU16" s="66">
        <v>0</v>
      </c>
      <c r="HV16" s="66">
        <v>0</v>
      </c>
      <c r="HW16" s="66">
        <v>0</v>
      </c>
      <c r="HX16" s="66">
        <v>0</v>
      </c>
      <c r="HY16" s="66">
        <v>0</v>
      </c>
      <c r="HZ16" s="66">
        <v>0</v>
      </c>
      <c r="IA16" s="66">
        <v>0</v>
      </c>
      <c r="IB16" s="66">
        <v>0</v>
      </c>
      <c r="IC16" s="66">
        <v>0</v>
      </c>
      <c r="ID16" s="67" t="s">
        <v>1094</v>
      </c>
      <c r="IE16" s="67" t="s">
        <v>1094</v>
      </c>
      <c r="IF16" s="67">
        <v>0</v>
      </c>
      <c r="IG16" s="67">
        <v>0</v>
      </c>
      <c r="IH16" s="67">
        <v>0</v>
      </c>
    </row>
    <row r="17" spans="1:242" ht="15.75" x14ac:dyDescent="0.25">
      <c r="A17" s="11" t="s">
        <v>18</v>
      </c>
      <c r="B17" s="189" t="s">
        <v>19</v>
      </c>
      <c r="C17" s="66">
        <v>111.0988</v>
      </c>
      <c r="D17" s="66">
        <v>0</v>
      </c>
      <c r="E17" s="66">
        <v>209.29809999999998</v>
      </c>
      <c r="F17" s="66">
        <v>111.0988</v>
      </c>
      <c r="G17" s="66">
        <v>98.199300000000008</v>
      </c>
      <c r="H17" s="66">
        <v>111.08051234999999</v>
      </c>
      <c r="I17" s="66">
        <v>0</v>
      </c>
      <c r="J17" s="66">
        <v>209.26519216</v>
      </c>
      <c r="K17" s="66">
        <v>111.08050708</v>
      </c>
      <c r="L17" s="66">
        <v>0</v>
      </c>
      <c r="M17" s="66">
        <v>98.184685080000008</v>
      </c>
      <c r="N17" s="67">
        <v>99.983534547627883</v>
      </c>
      <c r="O17" s="67">
        <v>99.985117083319324</v>
      </c>
      <c r="P17" s="67">
        <v>46.918784756582909</v>
      </c>
      <c r="Q17" s="66">
        <v>0</v>
      </c>
      <c r="R17" s="67">
        <v>5.2699999883998316E-6</v>
      </c>
      <c r="S17" s="66">
        <v>69.249799999999993</v>
      </c>
      <c r="T17" s="66">
        <v>0</v>
      </c>
      <c r="U17" s="66">
        <v>115.43559999999999</v>
      </c>
      <c r="V17" s="66">
        <v>69.249799999999993</v>
      </c>
      <c r="W17" s="66">
        <v>46.1858</v>
      </c>
      <c r="X17" s="66">
        <v>69.249799999999993</v>
      </c>
      <c r="Y17" s="66">
        <v>0</v>
      </c>
      <c r="Z17" s="66">
        <v>115.43557259000001</v>
      </c>
      <c r="AA17" s="66">
        <v>69.249799999999993</v>
      </c>
      <c r="AB17" s="66">
        <v>0</v>
      </c>
      <c r="AC17" s="66">
        <v>46.185772590000006</v>
      </c>
      <c r="AD17" s="67">
        <v>100</v>
      </c>
      <c r="AE17" s="67">
        <v>99.999940652754759</v>
      </c>
      <c r="AF17" s="67">
        <v>40.009999997176784</v>
      </c>
      <c r="AG17" s="67">
        <v>0</v>
      </c>
      <c r="AH17" s="67">
        <v>0</v>
      </c>
      <c r="AI17" s="66">
        <v>0</v>
      </c>
      <c r="AJ17" s="66">
        <v>0</v>
      </c>
      <c r="AK17" s="66">
        <v>0</v>
      </c>
      <c r="AL17" s="66">
        <v>0</v>
      </c>
      <c r="AM17" s="66">
        <v>0</v>
      </c>
      <c r="AN17" s="66">
        <v>0</v>
      </c>
      <c r="AO17" s="66">
        <v>0</v>
      </c>
      <c r="AP17" s="66">
        <v>0</v>
      </c>
      <c r="AQ17" s="66">
        <v>0</v>
      </c>
      <c r="AR17" s="66">
        <v>0</v>
      </c>
      <c r="AS17" s="66">
        <v>0</v>
      </c>
      <c r="AT17" s="67" t="s">
        <v>1094</v>
      </c>
      <c r="AU17" s="67" t="s">
        <v>1094</v>
      </c>
      <c r="AV17" s="67">
        <v>0</v>
      </c>
      <c r="AW17" s="67">
        <v>0</v>
      </c>
      <c r="AX17" s="67">
        <v>0</v>
      </c>
      <c r="AY17" s="66">
        <v>29.983000000000001</v>
      </c>
      <c r="AZ17" s="66">
        <v>0</v>
      </c>
      <c r="BA17" s="66">
        <v>70.305199999999999</v>
      </c>
      <c r="BB17" s="66">
        <v>29.983000000000001</v>
      </c>
      <c r="BC17" s="66">
        <v>40.322200000000002</v>
      </c>
      <c r="BD17" s="66">
        <v>29.97572293</v>
      </c>
      <c r="BE17" s="66">
        <v>0</v>
      </c>
      <c r="BF17" s="66">
        <v>70.294213339999999</v>
      </c>
      <c r="BG17" s="66">
        <v>29.97572293</v>
      </c>
      <c r="BH17" s="66">
        <v>0</v>
      </c>
      <c r="BI17" s="66">
        <v>40.318490409999995</v>
      </c>
      <c r="BJ17" s="67">
        <v>99.975729346629748</v>
      </c>
      <c r="BK17" s="67">
        <v>99.9908001299532</v>
      </c>
      <c r="BL17" s="67">
        <v>57.356770200965158</v>
      </c>
      <c r="BM17" s="67">
        <v>0</v>
      </c>
      <c r="BN17" s="67">
        <v>0</v>
      </c>
      <c r="BO17" s="66">
        <v>0</v>
      </c>
      <c r="BP17" s="66">
        <v>0</v>
      </c>
      <c r="BQ17" s="66">
        <v>0</v>
      </c>
      <c r="BR17" s="66">
        <v>0</v>
      </c>
      <c r="BS17" s="66">
        <v>0</v>
      </c>
      <c r="BT17" s="66">
        <v>0</v>
      </c>
      <c r="BU17" s="66">
        <v>0</v>
      </c>
      <c r="BV17" s="66">
        <v>0</v>
      </c>
      <c r="BW17" s="66">
        <v>0</v>
      </c>
      <c r="BX17" s="66">
        <v>0</v>
      </c>
      <c r="BY17" s="66">
        <v>0</v>
      </c>
      <c r="BZ17" s="67" t="s">
        <v>1094</v>
      </c>
      <c r="CA17" s="67" t="s">
        <v>1094</v>
      </c>
      <c r="CB17" s="67">
        <v>0</v>
      </c>
      <c r="CC17" s="67">
        <v>0</v>
      </c>
      <c r="CD17" s="67">
        <v>0</v>
      </c>
      <c r="CE17" s="66">
        <v>7.6550000000000002</v>
      </c>
      <c r="CF17" s="66">
        <v>0</v>
      </c>
      <c r="CG17" s="66">
        <v>11.565099999999999</v>
      </c>
      <c r="CH17" s="66">
        <v>7.6550000000000002</v>
      </c>
      <c r="CI17" s="66">
        <v>3.9100999999999999</v>
      </c>
      <c r="CJ17" s="66">
        <v>7.6549999400000006</v>
      </c>
      <c r="CK17" s="66">
        <v>0</v>
      </c>
      <c r="CL17" s="66">
        <v>11.56509994</v>
      </c>
      <c r="CM17" s="66">
        <v>7.6549999400000006</v>
      </c>
      <c r="CN17" s="66">
        <v>0</v>
      </c>
      <c r="CO17" s="66">
        <v>3.9100999999999999</v>
      </c>
      <c r="CP17" s="67">
        <v>99.99999921619856</v>
      </c>
      <c r="CQ17" s="67">
        <v>100</v>
      </c>
      <c r="CR17" s="67">
        <v>33.809478692667483</v>
      </c>
      <c r="CS17" s="67">
        <v>0</v>
      </c>
      <c r="CT17" s="67">
        <v>0</v>
      </c>
      <c r="CU17" s="66">
        <v>0</v>
      </c>
      <c r="CV17" s="66">
        <v>0</v>
      </c>
      <c r="CW17" s="66">
        <v>0</v>
      </c>
      <c r="CX17" s="66">
        <v>0</v>
      </c>
      <c r="CY17" s="66">
        <v>0</v>
      </c>
      <c r="CZ17" s="66">
        <v>0</v>
      </c>
      <c r="DA17" s="66">
        <v>0</v>
      </c>
      <c r="DB17" s="66">
        <v>0</v>
      </c>
      <c r="DC17" s="66">
        <v>0</v>
      </c>
      <c r="DD17" s="66">
        <v>0</v>
      </c>
      <c r="DE17" s="66">
        <v>0</v>
      </c>
      <c r="DF17" s="67" t="s">
        <v>1094</v>
      </c>
      <c r="DG17" s="67" t="s">
        <v>1094</v>
      </c>
      <c r="DH17" s="67">
        <v>0</v>
      </c>
      <c r="DI17" s="67">
        <v>0</v>
      </c>
      <c r="DJ17" s="67">
        <v>0</v>
      </c>
      <c r="DK17" s="66">
        <v>3.98</v>
      </c>
      <c r="DL17" s="66">
        <v>0</v>
      </c>
      <c r="DM17" s="66">
        <v>7.6486000000000001</v>
      </c>
      <c r="DN17" s="66">
        <v>3.98</v>
      </c>
      <c r="DO17" s="66">
        <v>3.6686000000000001</v>
      </c>
      <c r="DP17" s="66">
        <v>3.9689894799999998</v>
      </c>
      <c r="DQ17" s="66">
        <v>0</v>
      </c>
      <c r="DR17" s="66">
        <v>7.6268052900000001</v>
      </c>
      <c r="DS17" s="66">
        <v>3.9689894799999998</v>
      </c>
      <c r="DT17" s="66">
        <v>0</v>
      </c>
      <c r="DU17" s="66">
        <v>3.6578158100000002</v>
      </c>
      <c r="DV17" s="67">
        <v>99.72335376884422</v>
      </c>
      <c r="DW17" s="67">
        <v>99.7060407239819</v>
      </c>
      <c r="DX17" s="67">
        <v>47.959999907117073</v>
      </c>
      <c r="DY17" s="67">
        <v>0</v>
      </c>
      <c r="DZ17" s="67">
        <v>0</v>
      </c>
      <c r="EA17" s="66">
        <v>0</v>
      </c>
      <c r="EB17" s="66">
        <v>0</v>
      </c>
      <c r="EC17" s="66">
        <v>0</v>
      </c>
      <c r="ED17" s="66">
        <v>0</v>
      </c>
      <c r="EE17" s="66">
        <v>0</v>
      </c>
      <c r="EF17" s="66">
        <v>0</v>
      </c>
      <c r="EG17" s="66">
        <v>0</v>
      </c>
      <c r="EH17" s="66">
        <v>0</v>
      </c>
      <c r="EI17" s="66">
        <v>0</v>
      </c>
      <c r="EJ17" s="66">
        <v>0</v>
      </c>
      <c r="EK17" s="66">
        <v>0</v>
      </c>
      <c r="EL17" s="67" t="s">
        <v>1094</v>
      </c>
      <c r="EM17" s="67" t="s">
        <v>1094</v>
      </c>
      <c r="EN17" s="67">
        <v>0</v>
      </c>
      <c r="EO17" s="67">
        <v>0</v>
      </c>
      <c r="EP17" s="67">
        <v>0</v>
      </c>
      <c r="EQ17" s="66">
        <v>0.23100000000000001</v>
      </c>
      <c r="ER17" s="66">
        <v>0</v>
      </c>
      <c r="ES17" s="66">
        <v>4.3436000000000003</v>
      </c>
      <c r="ET17" s="66">
        <v>0.23100000000000001</v>
      </c>
      <c r="EU17" s="66">
        <v>4.1125999999999996</v>
      </c>
      <c r="EV17" s="66">
        <v>0.23100000000000001</v>
      </c>
      <c r="EW17" s="66">
        <v>0</v>
      </c>
      <c r="EX17" s="66">
        <v>4.3435009999999998</v>
      </c>
      <c r="EY17" s="66">
        <v>0.23099473000000001</v>
      </c>
      <c r="EZ17" s="66">
        <v>0</v>
      </c>
      <c r="FA17" s="66">
        <v>4.1125062699999999</v>
      </c>
      <c r="FB17" s="67">
        <v>99.997718614718607</v>
      </c>
      <c r="FC17" s="67">
        <v>99.997720906482527</v>
      </c>
      <c r="FD17" s="67">
        <v>94.681830854879507</v>
      </c>
      <c r="FE17" s="67">
        <v>0</v>
      </c>
      <c r="FF17" s="67">
        <v>5.2700000000016622E-6</v>
      </c>
      <c r="FG17" s="66">
        <v>0</v>
      </c>
      <c r="FH17" s="66">
        <v>0</v>
      </c>
      <c r="FI17" s="66">
        <v>0</v>
      </c>
      <c r="FJ17" s="66">
        <v>0</v>
      </c>
      <c r="FK17" s="66">
        <v>0</v>
      </c>
      <c r="FL17" s="66">
        <v>0</v>
      </c>
      <c r="FM17" s="66">
        <v>0</v>
      </c>
      <c r="FN17" s="66">
        <v>0</v>
      </c>
      <c r="FO17" s="66">
        <v>0</v>
      </c>
      <c r="FP17" s="66">
        <v>0</v>
      </c>
      <c r="FQ17" s="66">
        <v>0</v>
      </c>
      <c r="FR17" s="67" t="s">
        <v>1094</v>
      </c>
      <c r="FS17" s="67" t="s">
        <v>1094</v>
      </c>
      <c r="FT17" s="67">
        <v>0</v>
      </c>
      <c r="FU17" s="67">
        <v>0</v>
      </c>
      <c r="FV17" s="67">
        <v>0</v>
      </c>
      <c r="FW17" s="66">
        <v>0</v>
      </c>
      <c r="FX17" s="66">
        <v>0</v>
      </c>
      <c r="FY17" s="66">
        <v>0</v>
      </c>
      <c r="FZ17" s="66">
        <v>0</v>
      </c>
      <c r="GA17" s="66">
        <v>0</v>
      </c>
      <c r="GB17" s="66">
        <v>0</v>
      </c>
      <c r="GC17" s="66">
        <v>0</v>
      </c>
      <c r="GD17" s="66">
        <v>0</v>
      </c>
      <c r="GE17" s="66">
        <v>0</v>
      </c>
      <c r="GF17" s="66">
        <v>0</v>
      </c>
      <c r="GG17" s="66">
        <v>0</v>
      </c>
      <c r="GH17" s="67" t="s">
        <v>1094</v>
      </c>
      <c r="GI17" s="67" t="s">
        <v>1094</v>
      </c>
      <c r="GJ17" s="67">
        <v>0</v>
      </c>
      <c r="GK17" s="67">
        <v>0</v>
      </c>
      <c r="GL17" s="67">
        <v>0</v>
      </c>
      <c r="GM17" s="66">
        <v>0</v>
      </c>
      <c r="GN17" s="66">
        <v>0</v>
      </c>
      <c r="GO17" s="66">
        <v>0</v>
      </c>
      <c r="GP17" s="66">
        <v>0</v>
      </c>
      <c r="GQ17" s="66">
        <v>0</v>
      </c>
      <c r="GR17" s="66">
        <v>0</v>
      </c>
      <c r="GS17" s="66">
        <v>0</v>
      </c>
      <c r="GT17" s="66">
        <v>0</v>
      </c>
      <c r="GU17" s="66">
        <v>0</v>
      </c>
      <c r="GV17" s="66">
        <v>0</v>
      </c>
      <c r="GW17" s="66">
        <v>0</v>
      </c>
      <c r="GX17" s="67" t="s">
        <v>1094</v>
      </c>
      <c r="GY17" s="67" t="s">
        <v>1094</v>
      </c>
      <c r="GZ17" s="67">
        <v>0</v>
      </c>
      <c r="HA17" s="67">
        <v>0</v>
      </c>
      <c r="HB17" s="67">
        <v>0</v>
      </c>
      <c r="HC17" s="66">
        <v>0</v>
      </c>
      <c r="HD17" s="66">
        <v>0</v>
      </c>
      <c r="HE17" s="66">
        <v>0</v>
      </c>
      <c r="HF17" s="66">
        <v>0</v>
      </c>
      <c r="HG17" s="66">
        <v>0</v>
      </c>
      <c r="HH17" s="66">
        <v>0</v>
      </c>
      <c r="HI17" s="66">
        <v>0</v>
      </c>
      <c r="HJ17" s="66">
        <v>0</v>
      </c>
      <c r="HK17" s="66">
        <v>0</v>
      </c>
      <c r="HL17" s="66">
        <v>0</v>
      </c>
      <c r="HM17" s="66">
        <v>0</v>
      </c>
      <c r="HN17" s="67" t="s">
        <v>1094</v>
      </c>
      <c r="HO17" s="67" t="s">
        <v>1094</v>
      </c>
      <c r="HP17" s="67">
        <v>0</v>
      </c>
      <c r="HQ17" s="67">
        <v>0</v>
      </c>
      <c r="HR17" s="67">
        <v>0</v>
      </c>
      <c r="HS17" s="66">
        <v>0</v>
      </c>
      <c r="HT17" s="66">
        <v>0</v>
      </c>
      <c r="HU17" s="66">
        <v>0</v>
      </c>
      <c r="HV17" s="66">
        <v>0</v>
      </c>
      <c r="HW17" s="66">
        <v>0</v>
      </c>
      <c r="HX17" s="66">
        <v>0</v>
      </c>
      <c r="HY17" s="66">
        <v>0</v>
      </c>
      <c r="HZ17" s="66">
        <v>0</v>
      </c>
      <c r="IA17" s="66">
        <v>0</v>
      </c>
      <c r="IB17" s="66">
        <v>0</v>
      </c>
      <c r="IC17" s="66">
        <v>0</v>
      </c>
      <c r="ID17" s="67" t="s">
        <v>1094</v>
      </c>
      <c r="IE17" s="67" t="s">
        <v>1094</v>
      </c>
      <c r="IF17" s="67">
        <v>0</v>
      </c>
      <c r="IG17" s="67">
        <v>0</v>
      </c>
      <c r="IH17" s="67">
        <v>0</v>
      </c>
    </row>
    <row r="18" spans="1:242" ht="15.75" x14ac:dyDescent="0.25">
      <c r="A18" s="11" t="s">
        <v>21</v>
      </c>
      <c r="B18" s="189" t="s">
        <v>22</v>
      </c>
      <c r="C18" s="66">
        <v>17.413399999999999</v>
      </c>
      <c r="D18" s="66">
        <v>0</v>
      </c>
      <c r="E18" s="66">
        <v>37.513400000000004</v>
      </c>
      <c r="F18" s="66">
        <v>17.413399999999999</v>
      </c>
      <c r="G18" s="66">
        <v>20.100000000000001</v>
      </c>
      <c r="H18" s="66">
        <v>13.173663179999998</v>
      </c>
      <c r="I18" s="66">
        <v>0</v>
      </c>
      <c r="J18" s="66">
        <v>28.407971100000001</v>
      </c>
      <c r="K18" s="66">
        <v>13.173663179999998</v>
      </c>
      <c r="L18" s="66">
        <v>0</v>
      </c>
      <c r="M18" s="66">
        <v>15.234307920000003</v>
      </c>
      <c r="N18" s="67">
        <v>75.652446851275442</v>
      </c>
      <c r="O18" s="67">
        <v>75.792576716417912</v>
      </c>
      <c r="P18" s="67">
        <v>53.626877704053996</v>
      </c>
      <c r="Q18" s="66">
        <v>0</v>
      </c>
      <c r="R18" s="67">
        <v>0</v>
      </c>
      <c r="S18" s="66">
        <v>5.1254</v>
      </c>
      <c r="T18" s="66">
        <v>0</v>
      </c>
      <c r="U18" s="66">
        <v>11.125400000000001</v>
      </c>
      <c r="V18" s="66">
        <v>5.1254</v>
      </c>
      <c r="W18" s="66">
        <v>6</v>
      </c>
      <c r="X18" s="66">
        <v>5.0993104699999998</v>
      </c>
      <c r="Y18" s="66">
        <v>0</v>
      </c>
      <c r="Z18" s="66">
        <v>11.068614</v>
      </c>
      <c r="AA18" s="66">
        <v>5.0993104699999998</v>
      </c>
      <c r="AB18" s="66">
        <v>0</v>
      </c>
      <c r="AC18" s="66">
        <v>5.9693035300000004</v>
      </c>
      <c r="AD18" s="67">
        <v>99.490975728723612</v>
      </c>
      <c r="AE18" s="67">
        <v>99.488392166666671</v>
      </c>
      <c r="AF18" s="67">
        <v>53.92999999819309</v>
      </c>
      <c r="AG18" s="67">
        <v>0</v>
      </c>
      <c r="AH18" s="67">
        <v>0</v>
      </c>
      <c r="AI18" s="66">
        <v>0</v>
      </c>
      <c r="AJ18" s="66">
        <v>0</v>
      </c>
      <c r="AK18" s="66">
        <v>0</v>
      </c>
      <c r="AL18" s="66">
        <v>0</v>
      </c>
      <c r="AM18" s="66">
        <v>0</v>
      </c>
      <c r="AN18" s="66">
        <v>0</v>
      </c>
      <c r="AO18" s="66">
        <v>0</v>
      </c>
      <c r="AP18" s="66">
        <v>0</v>
      </c>
      <c r="AQ18" s="66">
        <v>0</v>
      </c>
      <c r="AR18" s="66">
        <v>0</v>
      </c>
      <c r="AS18" s="66">
        <v>0</v>
      </c>
      <c r="AT18" s="67" t="s">
        <v>1094</v>
      </c>
      <c r="AU18" s="67" t="s">
        <v>1094</v>
      </c>
      <c r="AV18" s="67">
        <v>0</v>
      </c>
      <c r="AW18" s="67">
        <v>0</v>
      </c>
      <c r="AX18" s="67">
        <v>0</v>
      </c>
      <c r="AY18" s="66">
        <v>12.288</v>
      </c>
      <c r="AZ18" s="66">
        <v>0</v>
      </c>
      <c r="BA18" s="66">
        <v>26.388000000000002</v>
      </c>
      <c r="BB18" s="66">
        <v>12.288</v>
      </c>
      <c r="BC18" s="66">
        <v>14.1</v>
      </c>
      <c r="BD18" s="66">
        <v>8.0743527099999994</v>
      </c>
      <c r="BE18" s="66">
        <v>0</v>
      </c>
      <c r="BF18" s="66">
        <v>17.339357100000001</v>
      </c>
      <c r="BG18" s="66">
        <v>8.0743527099999994</v>
      </c>
      <c r="BH18" s="66">
        <v>0</v>
      </c>
      <c r="BI18" s="66">
        <v>9.2650043900000014</v>
      </c>
      <c r="BJ18" s="67">
        <v>65.70925056966145</v>
      </c>
      <c r="BK18" s="67">
        <v>65.709250992907812</v>
      </c>
      <c r="BL18" s="67">
        <v>53.433378968820023</v>
      </c>
      <c r="BM18" s="67">
        <v>0</v>
      </c>
      <c r="BN18" s="67">
        <v>0</v>
      </c>
      <c r="BO18" s="66">
        <v>0</v>
      </c>
      <c r="BP18" s="66">
        <v>0</v>
      </c>
      <c r="BQ18" s="66">
        <v>0</v>
      </c>
      <c r="BR18" s="66">
        <v>0</v>
      </c>
      <c r="BS18" s="66">
        <v>0</v>
      </c>
      <c r="BT18" s="66">
        <v>0</v>
      </c>
      <c r="BU18" s="66">
        <v>0</v>
      </c>
      <c r="BV18" s="66">
        <v>0</v>
      </c>
      <c r="BW18" s="66">
        <v>0</v>
      </c>
      <c r="BX18" s="66">
        <v>0</v>
      </c>
      <c r="BY18" s="66">
        <v>0</v>
      </c>
      <c r="BZ18" s="67" t="s">
        <v>1094</v>
      </c>
      <c r="CA18" s="67" t="s">
        <v>1094</v>
      </c>
      <c r="CB18" s="67">
        <v>0</v>
      </c>
      <c r="CC18" s="67">
        <v>0</v>
      </c>
      <c r="CD18" s="67">
        <v>0</v>
      </c>
      <c r="CE18" s="66">
        <v>0</v>
      </c>
      <c r="CF18" s="66">
        <v>0</v>
      </c>
      <c r="CG18" s="66">
        <v>0</v>
      </c>
      <c r="CH18" s="66">
        <v>0</v>
      </c>
      <c r="CI18" s="66">
        <v>0</v>
      </c>
      <c r="CJ18" s="66">
        <v>0</v>
      </c>
      <c r="CK18" s="66">
        <v>0</v>
      </c>
      <c r="CL18" s="66">
        <v>0</v>
      </c>
      <c r="CM18" s="66">
        <v>0</v>
      </c>
      <c r="CN18" s="66">
        <v>0</v>
      </c>
      <c r="CO18" s="66">
        <v>0</v>
      </c>
      <c r="CP18" s="67" t="s">
        <v>1094</v>
      </c>
      <c r="CQ18" s="67" t="s">
        <v>1094</v>
      </c>
      <c r="CR18" s="67">
        <v>0</v>
      </c>
      <c r="CS18" s="67">
        <v>0</v>
      </c>
      <c r="CT18" s="67">
        <v>0</v>
      </c>
      <c r="CU18" s="66">
        <v>0</v>
      </c>
      <c r="CV18" s="66">
        <v>0</v>
      </c>
      <c r="CW18" s="66">
        <v>0</v>
      </c>
      <c r="CX18" s="66">
        <v>0</v>
      </c>
      <c r="CY18" s="66">
        <v>0</v>
      </c>
      <c r="CZ18" s="66">
        <v>0</v>
      </c>
      <c r="DA18" s="66">
        <v>0</v>
      </c>
      <c r="DB18" s="66">
        <v>0</v>
      </c>
      <c r="DC18" s="66">
        <v>0</v>
      </c>
      <c r="DD18" s="66">
        <v>0</v>
      </c>
      <c r="DE18" s="66">
        <v>0</v>
      </c>
      <c r="DF18" s="67" t="s">
        <v>1094</v>
      </c>
      <c r="DG18" s="67" t="s">
        <v>1094</v>
      </c>
      <c r="DH18" s="67">
        <v>0</v>
      </c>
      <c r="DI18" s="67">
        <v>0</v>
      </c>
      <c r="DJ18" s="67">
        <v>0</v>
      </c>
      <c r="DK18" s="66">
        <v>0</v>
      </c>
      <c r="DL18" s="66">
        <v>0</v>
      </c>
      <c r="DM18" s="66">
        <v>0</v>
      </c>
      <c r="DN18" s="66">
        <v>0</v>
      </c>
      <c r="DO18" s="66">
        <v>0</v>
      </c>
      <c r="DP18" s="66">
        <v>0</v>
      </c>
      <c r="DQ18" s="66">
        <v>0</v>
      </c>
      <c r="DR18" s="66">
        <v>0</v>
      </c>
      <c r="DS18" s="66">
        <v>0</v>
      </c>
      <c r="DT18" s="66">
        <v>0</v>
      </c>
      <c r="DU18" s="66">
        <v>0</v>
      </c>
      <c r="DV18" s="67" t="s">
        <v>1094</v>
      </c>
      <c r="DW18" s="67" t="s">
        <v>1094</v>
      </c>
      <c r="DX18" s="67">
        <v>0</v>
      </c>
      <c r="DY18" s="67">
        <v>0</v>
      </c>
      <c r="DZ18" s="67">
        <v>0</v>
      </c>
      <c r="EA18" s="66">
        <v>0</v>
      </c>
      <c r="EB18" s="66">
        <v>0</v>
      </c>
      <c r="EC18" s="66">
        <v>0</v>
      </c>
      <c r="ED18" s="66">
        <v>0</v>
      </c>
      <c r="EE18" s="66">
        <v>0</v>
      </c>
      <c r="EF18" s="66">
        <v>0</v>
      </c>
      <c r="EG18" s="66">
        <v>0</v>
      </c>
      <c r="EH18" s="66">
        <v>0</v>
      </c>
      <c r="EI18" s="66">
        <v>0</v>
      </c>
      <c r="EJ18" s="66">
        <v>0</v>
      </c>
      <c r="EK18" s="66">
        <v>0</v>
      </c>
      <c r="EL18" s="67" t="s">
        <v>1094</v>
      </c>
      <c r="EM18" s="67" t="s">
        <v>1094</v>
      </c>
      <c r="EN18" s="67">
        <v>0</v>
      </c>
      <c r="EO18" s="67">
        <v>0</v>
      </c>
      <c r="EP18" s="67">
        <v>0</v>
      </c>
      <c r="EQ18" s="66">
        <v>0</v>
      </c>
      <c r="ER18" s="66">
        <v>0</v>
      </c>
      <c r="ES18" s="66">
        <v>0</v>
      </c>
      <c r="ET18" s="66">
        <v>0</v>
      </c>
      <c r="EU18" s="66">
        <v>0</v>
      </c>
      <c r="EV18" s="66">
        <v>0</v>
      </c>
      <c r="EW18" s="66">
        <v>0</v>
      </c>
      <c r="EX18" s="66">
        <v>0</v>
      </c>
      <c r="EY18" s="66">
        <v>0</v>
      </c>
      <c r="EZ18" s="66">
        <v>0</v>
      </c>
      <c r="FA18" s="66">
        <v>0</v>
      </c>
      <c r="FB18" s="67" t="s">
        <v>1094</v>
      </c>
      <c r="FC18" s="67" t="s">
        <v>1094</v>
      </c>
      <c r="FD18" s="67">
        <v>0</v>
      </c>
      <c r="FE18" s="67">
        <v>0</v>
      </c>
      <c r="FF18" s="67">
        <v>0</v>
      </c>
      <c r="FG18" s="66">
        <v>0</v>
      </c>
      <c r="FH18" s="66">
        <v>0</v>
      </c>
      <c r="FI18" s="66">
        <v>0</v>
      </c>
      <c r="FJ18" s="66">
        <v>0</v>
      </c>
      <c r="FK18" s="66">
        <v>0</v>
      </c>
      <c r="FL18" s="66">
        <v>0</v>
      </c>
      <c r="FM18" s="66">
        <v>0</v>
      </c>
      <c r="FN18" s="66">
        <v>0</v>
      </c>
      <c r="FO18" s="66">
        <v>0</v>
      </c>
      <c r="FP18" s="66">
        <v>0</v>
      </c>
      <c r="FQ18" s="66">
        <v>0</v>
      </c>
      <c r="FR18" s="67" t="s">
        <v>1094</v>
      </c>
      <c r="FS18" s="67" t="s">
        <v>1094</v>
      </c>
      <c r="FT18" s="67">
        <v>0</v>
      </c>
      <c r="FU18" s="67">
        <v>0</v>
      </c>
      <c r="FV18" s="67">
        <v>0</v>
      </c>
      <c r="FW18" s="66">
        <v>0</v>
      </c>
      <c r="FX18" s="66">
        <v>0</v>
      </c>
      <c r="FY18" s="66">
        <v>0</v>
      </c>
      <c r="FZ18" s="66">
        <v>0</v>
      </c>
      <c r="GA18" s="66">
        <v>0</v>
      </c>
      <c r="GB18" s="66">
        <v>0</v>
      </c>
      <c r="GC18" s="66">
        <v>0</v>
      </c>
      <c r="GD18" s="66">
        <v>0</v>
      </c>
      <c r="GE18" s="66">
        <v>0</v>
      </c>
      <c r="GF18" s="66">
        <v>0</v>
      </c>
      <c r="GG18" s="66">
        <v>0</v>
      </c>
      <c r="GH18" s="67" t="s">
        <v>1094</v>
      </c>
      <c r="GI18" s="67" t="s">
        <v>1094</v>
      </c>
      <c r="GJ18" s="67">
        <v>0</v>
      </c>
      <c r="GK18" s="67">
        <v>0</v>
      </c>
      <c r="GL18" s="67">
        <v>0</v>
      </c>
      <c r="GM18" s="66">
        <v>0</v>
      </c>
      <c r="GN18" s="66">
        <v>0</v>
      </c>
      <c r="GO18" s="66">
        <v>0</v>
      </c>
      <c r="GP18" s="66">
        <v>0</v>
      </c>
      <c r="GQ18" s="66">
        <v>0</v>
      </c>
      <c r="GR18" s="66">
        <v>0</v>
      </c>
      <c r="GS18" s="66">
        <v>0</v>
      </c>
      <c r="GT18" s="66">
        <v>0</v>
      </c>
      <c r="GU18" s="66">
        <v>0</v>
      </c>
      <c r="GV18" s="66">
        <v>0</v>
      </c>
      <c r="GW18" s="66">
        <v>0</v>
      </c>
      <c r="GX18" s="67" t="s">
        <v>1094</v>
      </c>
      <c r="GY18" s="67" t="s">
        <v>1094</v>
      </c>
      <c r="GZ18" s="67">
        <v>0</v>
      </c>
      <c r="HA18" s="67">
        <v>0</v>
      </c>
      <c r="HB18" s="67">
        <v>0</v>
      </c>
      <c r="HC18" s="66">
        <v>0</v>
      </c>
      <c r="HD18" s="66">
        <v>0</v>
      </c>
      <c r="HE18" s="66">
        <v>0</v>
      </c>
      <c r="HF18" s="66">
        <v>0</v>
      </c>
      <c r="HG18" s="66">
        <v>0</v>
      </c>
      <c r="HH18" s="66">
        <v>0</v>
      </c>
      <c r="HI18" s="66">
        <v>0</v>
      </c>
      <c r="HJ18" s="66">
        <v>0</v>
      </c>
      <c r="HK18" s="66">
        <v>0</v>
      </c>
      <c r="HL18" s="66">
        <v>0</v>
      </c>
      <c r="HM18" s="66">
        <v>0</v>
      </c>
      <c r="HN18" s="67" t="s">
        <v>1094</v>
      </c>
      <c r="HO18" s="67" t="s">
        <v>1094</v>
      </c>
      <c r="HP18" s="67">
        <v>0</v>
      </c>
      <c r="HQ18" s="67">
        <v>0</v>
      </c>
      <c r="HR18" s="67">
        <v>0</v>
      </c>
      <c r="HS18" s="66">
        <v>0</v>
      </c>
      <c r="HT18" s="66">
        <v>0</v>
      </c>
      <c r="HU18" s="66">
        <v>0</v>
      </c>
      <c r="HV18" s="66">
        <v>0</v>
      </c>
      <c r="HW18" s="66">
        <v>0</v>
      </c>
      <c r="HX18" s="66">
        <v>0</v>
      </c>
      <c r="HY18" s="66">
        <v>0</v>
      </c>
      <c r="HZ18" s="66">
        <v>0</v>
      </c>
      <c r="IA18" s="66">
        <v>0</v>
      </c>
      <c r="IB18" s="66">
        <v>0</v>
      </c>
      <c r="IC18" s="66">
        <v>0</v>
      </c>
      <c r="ID18" s="67" t="s">
        <v>1094</v>
      </c>
      <c r="IE18" s="67" t="s">
        <v>1094</v>
      </c>
      <c r="IF18" s="67">
        <v>0</v>
      </c>
      <c r="IG18" s="67">
        <v>0</v>
      </c>
      <c r="IH18" s="67">
        <v>0</v>
      </c>
    </row>
    <row r="19" spans="1:242" ht="15.75" x14ac:dyDescent="0.25">
      <c r="A19" s="11" t="s">
        <v>24</v>
      </c>
      <c r="B19" s="189" t="s">
        <v>25</v>
      </c>
      <c r="C19" s="66">
        <v>54.007599999999996</v>
      </c>
      <c r="D19" s="66">
        <v>0</v>
      </c>
      <c r="E19" s="66">
        <v>107.0076</v>
      </c>
      <c r="F19" s="66">
        <v>54.007599999999996</v>
      </c>
      <c r="G19" s="66">
        <v>53</v>
      </c>
      <c r="H19" s="66">
        <v>54.007599999999996</v>
      </c>
      <c r="I19" s="66">
        <v>2.7839799999999998E-2</v>
      </c>
      <c r="J19" s="66">
        <v>107.0076</v>
      </c>
      <c r="K19" s="66">
        <v>54.007599999999996</v>
      </c>
      <c r="L19" s="66">
        <v>0</v>
      </c>
      <c r="M19" s="66">
        <v>53</v>
      </c>
      <c r="N19" s="67">
        <v>100</v>
      </c>
      <c r="O19" s="67">
        <v>100</v>
      </c>
      <c r="P19" s="67">
        <v>49.529192319050239</v>
      </c>
      <c r="Q19" s="66">
        <v>2.7839799999999998E-2</v>
      </c>
      <c r="R19" s="67">
        <v>2.4147350785597155E-15</v>
      </c>
      <c r="S19" s="66">
        <v>44.345700000000001</v>
      </c>
      <c r="T19" s="66">
        <v>0</v>
      </c>
      <c r="U19" s="66">
        <v>84.345699999999994</v>
      </c>
      <c r="V19" s="66">
        <v>44.345700000000001</v>
      </c>
      <c r="W19" s="66">
        <v>40</v>
      </c>
      <c r="X19" s="66">
        <v>44.345700000000001</v>
      </c>
      <c r="Y19" s="66">
        <v>0</v>
      </c>
      <c r="Z19" s="66">
        <v>84.345699999999994</v>
      </c>
      <c r="AA19" s="66">
        <v>44.345700000000001</v>
      </c>
      <c r="AB19" s="66">
        <v>0</v>
      </c>
      <c r="AC19" s="66">
        <v>40</v>
      </c>
      <c r="AD19" s="67">
        <v>100</v>
      </c>
      <c r="AE19" s="67">
        <v>100</v>
      </c>
      <c r="AF19" s="67">
        <v>47.423875787384539</v>
      </c>
      <c r="AG19" s="67">
        <v>0</v>
      </c>
      <c r="AH19" s="67">
        <v>0</v>
      </c>
      <c r="AI19" s="66">
        <v>0</v>
      </c>
      <c r="AJ19" s="66">
        <v>0</v>
      </c>
      <c r="AK19" s="66">
        <v>0</v>
      </c>
      <c r="AL19" s="66">
        <v>0</v>
      </c>
      <c r="AM19" s="66">
        <v>0</v>
      </c>
      <c r="AN19" s="66">
        <v>0</v>
      </c>
      <c r="AO19" s="66">
        <v>0</v>
      </c>
      <c r="AP19" s="66">
        <v>0</v>
      </c>
      <c r="AQ19" s="66">
        <v>0</v>
      </c>
      <c r="AR19" s="66">
        <v>0</v>
      </c>
      <c r="AS19" s="66">
        <v>0</v>
      </c>
      <c r="AT19" s="67" t="s">
        <v>1094</v>
      </c>
      <c r="AU19" s="67" t="s">
        <v>1094</v>
      </c>
      <c r="AV19" s="67">
        <v>0</v>
      </c>
      <c r="AW19" s="67">
        <v>0</v>
      </c>
      <c r="AX19" s="67">
        <v>0</v>
      </c>
      <c r="AY19" s="66">
        <v>7</v>
      </c>
      <c r="AZ19" s="66">
        <v>0</v>
      </c>
      <c r="BA19" s="66">
        <v>10</v>
      </c>
      <c r="BB19" s="66">
        <v>7</v>
      </c>
      <c r="BC19" s="66">
        <v>3</v>
      </c>
      <c r="BD19" s="66">
        <v>7</v>
      </c>
      <c r="BE19" s="66">
        <v>2.7839799999999998E-2</v>
      </c>
      <c r="BF19" s="66">
        <v>10</v>
      </c>
      <c r="BG19" s="66">
        <v>7</v>
      </c>
      <c r="BH19" s="66">
        <v>0</v>
      </c>
      <c r="BI19" s="66">
        <v>3</v>
      </c>
      <c r="BJ19" s="67">
        <v>100</v>
      </c>
      <c r="BK19" s="67">
        <v>100</v>
      </c>
      <c r="BL19" s="67">
        <v>30</v>
      </c>
      <c r="BM19" s="67">
        <v>2.7839799999999998E-2</v>
      </c>
      <c r="BN19" s="67">
        <v>-2.4980018054066022E-16</v>
      </c>
      <c r="BO19" s="66">
        <v>0</v>
      </c>
      <c r="BP19" s="66">
        <v>0</v>
      </c>
      <c r="BQ19" s="66">
        <v>0</v>
      </c>
      <c r="BR19" s="66">
        <v>0</v>
      </c>
      <c r="BS19" s="66">
        <v>0</v>
      </c>
      <c r="BT19" s="66">
        <v>0</v>
      </c>
      <c r="BU19" s="66">
        <v>0</v>
      </c>
      <c r="BV19" s="66">
        <v>0</v>
      </c>
      <c r="BW19" s="66">
        <v>0</v>
      </c>
      <c r="BX19" s="66">
        <v>0</v>
      </c>
      <c r="BY19" s="66">
        <v>0</v>
      </c>
      <c r="BZ19" s="67" t="s">
        <v>1094</v>
      </c>
      <c r="CA19" s="67" t="s">
        <v>1094</v>
      </c>
      <c r="CB19" s="67">
        <v>0</v>
      </c>
      <c r="CC19" s="67">
        <v>0</v>
      </c>
      <c r="CD19" s="67">
        <v>0</v>
      </c>
      <c r="CE19" s="66">
        <v>0</v>
      </c>
      <c r="CF19" s="66">
        <v>0</v>
      </c>
      <c r="CG19" s="66">
        <v>0</v>
      </c>
      <c r="CH19" s="66">
        <v>0</v>
      </c>
      <c r="CI19" s="66">
        <v>0</v>
      </c>
      <c r="CJ19" s="66">
        <v>0</v>
      </c>
      <c r="CK19" s="66">
        <v>0</v>
      </c>
      <c r="CL19" s="66">
        <v>0</v>
      </c>
      <c r="CM19" s="66">
        <v>0</v>
      </c>
      <c r="CN19" s="66">
        <v>0</v>
      </c>
      <c r="CO19" s="66">
        <v>0</v>
      </c>
      <c r="CP19" s="67" t="s">
        <v>1094</v>
      </c>
      <c r="CQ19" s="67" t="s">
        <v>1094</v>
      </c>
      <c r="CR19" s="67">
        <v>0</v>
      </c>
      <c r="CS19" s="67">
        <v>0</v>
      </c>
      <c r="CT19" s="67">
        <v>0</v>
      </c>
      <c r="CU19" s="66">
        <v>0</v>
      </c>
      <c r="CV19" s="66">
        <v>0</v>
      </c>
      <c r="CW19" s="66">
        <v>0</v>
      </c>
      <c r="CX19" s="66">
        <v>0</v>
      </c>
      <c r="CY19" s="66">
        <v>0</v>
      </c>
      <c r="CZ19" s="66">
        <v>0</v>
      </c>
      <c r="DA19" s="66">
        <v>0</v>
      </c>
      <c r="DB19" s="66">
        <v>0</v>
      </c>
      <c r="DC19" s="66">
        <v>0</v>
      </c>
      <c r="DD19" s="66">
        <v>0</v>
      </c>
      <c r="DE19" s="66">
        <v>0</v>
      </c>
      <c r="DF19" s="67" t="s">
        <v>1094</v>
      </c>
      <c r="DG19" s="67" t="s">
        <v>1094</v>
      </c>
      <c r="DH19" s="67">
        <v>0</v>
      </c>
      <c r="DI19" s="67">
        <v>0</v>
      </c>
      <c r="DJ19" s="67">
        <v>0</v>
      </c>
      <c r="DK19" s="66">
        <v>0</v>
      </c>
      <c r="DL19" s="66">
        <v>0</v>
      </c>
      <c r="DM19" s="66">
        <v>0</v>
      </c>
      <c r="DN19" s="66">
        <v>0</v>
      </c>
      <c r="DO19" s="66">
        <v>0</v>
      </c>
      <c r="DP19" s="66">
        <v>0</v>
      </c>
      <c r="DQ19" s="66">
        <v>0</v>
      </c>
      <c r="DR19" s="66">
        <v>0</v>
      </c>
      <c r="DS19" s="66">
        <v>0</v>
      </c>
      <c r="DT19" s="66">
        <v>0</v>
      </c>
      <c r="DU19" s="66">
        <v>0</v>
      </c>
      <c r="DV19" s="67" t="s">
        <v>1094</v>
      </c>
      <c r="DW19" s="67" t="s">
        <v>1094</v>
      </c>
      <c r="DX19" s="67">
        <v>0</v>
      </c>
      <c r="DY19" s="67">
        <v>0</v>
      </c>
      <c r="DZ19" s="67">
        <v>0</v>
      </c>
      <c r="EA19" s="66">
        <v>0</v>
      </c>
      <c r="EB19" s="66">
        <v>0</v>
      </c>
      <c r="EC19" s="66">
        <v>0</v>
      </c>
      <c r="ED19" s="66">
        <v>0</v>
      </c>
      <c r="EE19" s="66">
        <v>0</v>
      </c>
      <c r="EF19" s="66">
        <v>0</v>
      </c>
      <c r="EG19" s="66">
        <v>0</v>
      </c>
      <c r="EH19" s="66">
        <v>0</v>
      </c>
      <c r="EI19" s="66">
        <v>0</v>
      </c>
      <c r="EJ19" s="66">
        <v>0</v>
      </c>
      <c r="EK19" s="66">
        <v>0</v>
      </c>
      <c r="EL19" s="67" t="s">
        <v>1094</v>
      </c>
      <c r="EM19" s="67" t="s">
        <v>1094</v>
      </c>
      <c r="EN19" s="67">
        <v>0</v>
      </c>
      <c r="EO19" s="67">
        <v>0</v>
      </c>
      <c r="EP19" s="67">
        <v>0</v>
      </c>
      <c r="EQ19" s="66">
        <v>0.50549999999999995</v>
      </c>
      <c r="ER19" s="66">
        <v>0</v>
      </c>
      <c r="ES19" s="66">
        <v>6.5054999999999996</v>
      </c>
      <c r="ET19" s="66">
        <v>0.50549999999999995</v>
      </c>
      <c r="EU19" s="66">
        <v>6</v>
      </c>
      <c r="EV19" s="66">
        <v>0.50549999999999995</v>
      </c>
      <c r="EW19" s="66">
        <v>0</v>
      </c>
      <c r="EX19" s="66">
        <v>6.5054999999999996</v>
      </c>
      <c r="EY19" s="66">
        <v>0.50549999999999995</v>
      </c>
      <c r="EZ19" s="66">
        <v>0</v>
      </c>
      <c r="FA19" s="66">
        <v>6</v>
      </c>
      <c r="FB19" s="67">
        <v>100</v>
      </c>
      <c r="FC19" s="67">
        <v>100</v>
      </c>
      <c r="FD19" s="67">
        <v>92.229651833064338</v>
      </c>
      <c r="FE19" s="67">
        <v>0</v>
      </c>
      <c r="FF19" s="67">
        <v>0</v>
      </c>
      <c r="FG19" s="66">
        <v>0</v>
      </c>
      <c r="FH19" s="66">
        <v>0</v>
      </c>
      <c r="FI19" s="66">
        <v>0</v>
      </c>
      <c r="FJ19" s="66">
        <v>0</v>
      </c>
      <c r="FK19" s="66">
        <v>0</v>
      </c>
      <c r="FL19" s="66">
        <v>0</v>
      </c>
      <c r="FM19" s="66">
        <v>0</v>
      </c>
      <c r="FN19" s="66">
        <v>0</v>
      </c>
      <c r="FO19" s="66">
        <v>0</v>
      </c>
      <c r="FP19" s="66">
        <v>0</v>
      </c>
      <c r="FQ19" s="66">
        <v>0</v>
      </c>
      <c r="FR19" s="67" t="s">
        <v>1094</v>
      </c>
      <c r="FS19" s="67" t="s">
        <v>1094</v>
      </c>
      <c r="FT19" s="67">
        <v>0</v>
      </c>
      <c r="FU19" s="67">
        <v>0</v>
      </c>
      <c r="FV19" s="67">
        <v>0</v>
      </c>
      <c r="FW19" s="66">
        <v>0</v>
      </c>
      <c r="FX19" s="66">
        <v>0</v>
      </c>
      <c r="FY19" s="66">
        <v>0</v>
      </c>
      <c r="FZ19" s="66">
        <v>0</v>
      </c>
      <c r="GA19" s="66">
        <v>0</v>
      </c>
      <c r="GB19" s="66">
        <v>0</v>
      </c>
      <c r="GC19" s="66">
        <v>0</v>
      </c>
      <c r="GD19" s="66">
        <v>0</v>
      </c>
      <c r="GE19" s="66">
        <v>0</v>
      </c>
      <c r="GF19" s="66">
        <v>0</v>
      </c>
      <c r="GG19" s="66">
        <v>0</v>
      </c>
      <c r="GH19" s="67" t="s">
        <v>1094</v>
      </c>
      <c r="GI19" s="67" t="s">
        <v>1094</v>
      </c>
      <c r="GJ19" s="67">
        <v>0</v>
      </c>
      <c r="GK19" s="67">
        <v>0</v>
      </c>
      <c r="GL19" s="67">
        <v>0</v>
      </c>
      <c r="GM19" s="66">
        <v>0</v>
      </c>
      <c r="GN19" s="66">
        <v>0</v>
      </c>
      <c r="GO19" s="66">
        <v>0</v>
      </c>
      <c r="GP19" s="66">
        <v>0</v>
      </c>
      <c r="GQ19" s="66">
        <v>0</v>
      </c>
      <c r="GR19" s="66">
        <v>0</v>
      </c>
      <c r="GS19" s="66">
        <v>0</v>
      </c>
      <c r="GT19" s="66">
        <v>0</v>
      </c>
      <c r="GU19" s="66">
        <v>0</v>
      </c>
      <c r="GV19" s="66">
        <v>0</v>
      </c>
      <c r="GW19" s="66">
        <v>0</v>
      </c>
      <c r="GX19" s="67" t="s">
        <v>1094</v>
      </c>
      <c r="GY19" s="67" t="s">
        <v>1094</v>
      </c>
      <c r="GZ19" s="67">
        <v>0</v>
      </c>
      <c r="HA19" s="67">
        <v>0</v>
      </c>
      <c r="HB19" s="67">
        <v>0</v>
      </c>
      <c r="HC19" s="66">
        <v>2.1564000000000001</v>
      </c>
      <c r="HD19" s="66">
        <v>0</v>
      </c>
      <c r="HE19" s="66">
        <v>6.1563999999999997</v>
      </c>
      <c r="HF19" s="66">
        <v>2.1564000000000001</v>
      </c>
      <c r="HG19" s="66">
        <v>4</v>
      </c>
      <c r="HH19" s="66">
        <v>2.1564000000000001</v>
      </c>
      <c r="HI19" s="66">
        <v>0</v>
      </c>
      <c r="HJ19" s="66">
        <v>6.1563999999999997</v>
      </c>
      <c r="HK19" s="66">
        <v>2.1564000000000001</v>
      </c>
      <c r="HL19" s="66">
        <v>0</v>
      </c>
      <c r="HM19" s="66">
        <v>4</v>
      </c>
      <c r="HN19" s="67">
        <v>100</v>
      </c>
      <c r="HO19" s="67">
        <v>100</v>
      </c>
      <c r="HP19" s="67">
        <v>64.973036189981158</v>
      </c>
      <c r="HQ19" s="67">
        <v>0</v>
      </c>
      <c r="HR19" s="67">
        <v>0</v>
      </c>
      <c r="HS19" s="66">
        <v>0</v>
      </c>
      <c r="HT19" s="66">
        <v>0</v>
      </c>
      <c r="HU19" s="66">
        <v>0</v>
      </c>
      <c r="HV19" s="66">
        <v>0</v>
      </c>
      <c r="HW19" s="66">
        <v>0</v>
      </c>
      <c r="HX19" s="66">
        <v>0</v>
      </c>
      <c r="HY19" s="66">
        <v>0</v>
      </c>
      <c r="HZ19" s="66">
        <v>0</v>
      </c>
      <c r="IA19" s="66">
        <v>0</v>
      </c>
      <c r="IB19" s="66">
        <v>0</v>
      </c>
      <c r="IC19" s="66">
        <v>0</v>
      </c>
      <c r="ID19" s="67" t="s">
        <v>1094</v>
      </c>
      <c r="IE19" s="67" t="s">
        <v>1094</v>
      </c>
      <c r="IF19" s="67">
        <v>0</v>
      </c>
      <c r="IG19" s="67">
        <v>0</v>
      </c>
      <c r="IH19" s="67">
        <v>0</v>
      </c>
    </row>
    <row r="20" spans="1:242" ht="15.75" x14ac:dyDescent="0.25">
      <c r="A20" s="11" t="s">
        <v>27</v>
      </c>
      <c r="B20" s="189" t="s">
        <v>28</v>
      </c>
      <c r="C20" s="66">
        <v>14.465</v>
      </c>
      <c r="D20" s="66">
        <v>0</v>
      </c>
      <c r="E20" s="66">
        <v>28.856899999999996</v>
      </c>
      <c r="F20" s="66">
        <v>14.465</v>
      </c>
      <c r="G20" s="66">
        <v>14.3919</v>
      </c>
      <c r="H20" s="66">
        <v>14.46499949</v>
      </c>
      <c r="I20" s="66">
        <v>0.15160000000000001</v>
      </c>
      <c r="J20" s="66">
        <v>28.856888699999999</v>
      </c>
      <c r="K20" s="66">
        <v>14.464997120000001</v>
      </c>
      <c r="L20" s="66">
        <v>0</v>
      </c>
      <c r="M20" s="66">
        <v>14.391891579999999</v>
      </c>
      <c r="N20" s="67">
        <v>99.999980089872125</v>
      </c>
      <c r="O20" s="67">
        <v>99.999941494868636</v>
      </c>
      <c r="P20" s="67">
        <v>49.873330869519556</v>
      </c>
      <c r="Q20" s="66">
        <v>0.15160000000000001</v>
      </c>
      <c r="R20" s="67">
        <v>2.3699999990856035E-6</v>
      </c>
      <c r="S20" s="66">
        <v>10.9115</v>
      </c>
      <c r="T20" s="66">
        <v>0</v>
      </c>
      <c r="U20" s="66">
        <v>21.427499999999998</v>
      </c>
      <c r="V20" s="66">
        <v>10.9115</v>
      </c>
      <c r="W20" s="66">
        <v>10.516</v>
      </c>
      <c r="X20" s="66">
        <v>10.911499490000001</v>
      </c>
      <c r="Y20" s="66">
        <v>0.15160000000000001</v>
      </c>
      <c r="Z20" s="66">
        <v>21.427499000000001</v>
      </c>
      <c r="AA20" s="66">
        <v>10.911499490000001</v>
      </c>
      <c r="AB20" s="66">
        <v>0</v>
      </c>
      <c r="AC20" s="66">
        <v>10.51599951</v>
      </c>
      <c r="AD20" s="67">
        <v>99.999995326032177</v>
      </c>
      <c r="AE20" s="67">
        <v>99.999995340433628</v>
      </c>
      <c r="AF20" s="67">
        <v>49.077120526291942</v>
      </c>
      <c r="AG20" s="67">
        <v>0.15160000000000001</v>
      </c>
      <c r="AH20" s="67">
        <v>1.6653345369377348E-16</v>
      </c>
      <c r="AI20" s="66">
        <v>0</v>
      </c>
      <c r="AJ20" s="66">
        <v>0</v>
      </c>
      <c r="AK20" s="66">
        <v>0</v>
      </c>
      <c r="AL20" s="66">
        <v>0</v>
      </c>
      <c r="AM20" s="66">
        <v>0</v>
      </c>
      <c r="AN20" s="66">
        <v>0</v>
      </c>
      <c r="AO20" s="66">
        <v>0</v>
      </c>
      <c r="AP20" s="66">
        <v>0</v>
      </c>
      <c r="AQ20" s="66">
        <v>0</v>
      </c>
      <c r="AR20" s="66">
        <v>0</v>
      </c>
      <c r="AS20" s="66">
        <v>0</v>
      </c>
      <c r="AT20" s="67" t="s">
        <v>1094</v>
      </c>
      <c r="AU20" s="67" t="s">
        <v>1094</v>
      </c>
      <c r="AV20" s="67">
        <v>0</v>
      </c>
      <c r="AW20" s="67">
        <v>0</v>
      </c>
      <c r="AX20" s="67">
        <v>0</v>
      </c>
      <c r="AY20" s="66">
        <v>2.8</v>
      </c>
      <c r="AZ20" s="66">
        <v>0</v>
      </c>
      <c r="BA20" s="66">
        <v>5.8010000000000002</v>
      </c>
      <c r="BB20" s="66">
        <v>2.8</v>
      </c>
      <c r="BC20" s="66">
        <v>3.0009999999999999</v>
      </c>
      <c r="BD20" s="66">
        <v>2.8</v>
      </c>
      <c r="BE20" s="66">
        <v>0</v>
      </c>
      <c r="BF20" s="66">
        <v>5.8010000000000002</v>
      </c>
      <c r="BG20" s="66">
        <v>2.8</v>
      </c>
      <c r="BH20" s="66">
        <v>0</v>
      </c>
      <c r="BI20" s="66">
        <v>3.0009999999999999</v>
      </c>
      <c r="BJ20" s="67">
        <v>100</v>
      </c>
      <c r="BK20" s="67">
        <v>100</v>
      </c>
      <c r="BL20" s="67">
        <v>51.73245992070332</v>
      </c>
      <c r="BM20" s="67">
        <v>0</v>
      </c>
      <c r="BN20" s="67">
        <v>0</v>
      </c>
      <c r="BO20" s="66">
        <v>0</v>
      </c>
      <c r="BP20" s="66">
        <v>0</v>
      </c>
      <c r="BQ20" s="66">
        <v>0</v>
      </c>
      <c r="BR20" s="66">
        <v>0</v>
      </c>
      <c r="BS20" s="66">
        <v>0</v>
      </c>
      <c r="BT20" s="66">
        <v>0</v>
      </c>
      <c r="BU20" s="66">
        <v>0</v>
      </c>
      <c r="BV20" s="66">
        <v>0</v>
      </c>
      <c r="BW20" s="66">
        <v>0</v>
      </c>
      <c r="BX20" s="66">
        <v>0</v>
      </c>
      <c r="BY20" s="66">
        <v>0</v>
      </c>
      <c r="BZ20" s="67" t="s">
        <v>1094</v>
      </c>
      <c r="CA20" s="67" t="s">
        <v>1094</v>
      </c>
      <c r="CB20" s="67">
        <v>0</v>
      </c>
      <c r="CC20" s="67">
        <v>0</v>
      </c>
      <c r="CD20" s="67">
        <v>0</v>
      </c>
      <c r="CE20" s="66">
        <v>0</v>
      </c>
      <c r="CF20" s="66">
        <v>0</v>
      </c>
      <c r="CG20" s="66">
        <v>0</v>
      </c>
      <c r="CH20" s="66">
        <v>0</v>
      </c>
      <c r="CI20" s="66">
        <v>0</v>
      </c>
      <c r="CJ20" s="66">
        <v>0</v>
      </c>
      <c r="CK20" s="66">
        <v>0</v>
      </c>
      <c r="CL20" s="66">
        <v>0</v>
      </c>
      <c r="CM20" s="66">
        <v>0</v>
      </c>
      <c r="CN20" s="66">
        <v>0</v>
      </c>
      <c r="CO20" s="66">
        <v>0</v>
      </c>
      <c r="CP20" s="67" t="s">
        <v>1094</v>
      </c>
      <c r="CQ20" s="67" t="s">
        <v>1094</v>
      </c>
      <c r="CR20" s="67">
        <v>0</v>
      </c>
      <c r="CS20" s="67">
        <v>0</v>
      </c>
      <c r="CT20" s="67">
        <v>0</v>
      </c>
      <c r="CU20" s="66">
        <v>0</v>
      </c>
      <c r="CV20" s="66">
        <v>0</v>
      </c>
      <c r="CW20" s="66">
        <v>0</v>
      </c>
      <c r="CX20" s="66">
        <v>0</v>
      </c>
      <c r="CY20" s="66">
        <v>0</v>
      </c>
      <c r="CZ20" s="66">
        <v>0</v>
      </c>
      <c r="DA20" s="66">
        <v>0</v>
      </c>
      <c r="DB20" s="66">
        <v>0</v>
      </c>
      <c r="DC20" s="66">
        <v>0</v>
      </c>
      <c r="DD20" s="66">
        <v>0</v>
      </c>
      <c r="DE20" s="66">
        <v>0</v>
      </c>
      <c r="DF20" s="67" t="s">
        <v>1094</v>
      </c>
      <c r="DG20" s="67" t="s">
        <v>1094</v>
      </c>
      <c r="DH20" s="67">
        <v>0</v>
      </c>
      <c r="DI20" s="67">
        <v>0</v>
      </c>
      <c r="DJ20" s="67">
        <v>0</v>
      </c>
      <c r="DK20" s="66">
        <v>0.6</v>
      </c>
      <c r="DL20" s="66">
        <v>0</v>
      </c>
      <c r="DM20" s="66">
        <v>0.96199999999999997</v>
      </c>
      <c r="DN20" s="66">
        <v>0.6</v>
      </c>
      <c r="DO20" s="66">
        <v>0.36199999999999999</v>
      </c>
      <c r="DP20" s="66">
        <v>0.6</v>
      </c>
      <c r="DQ20" s="66">
        <v>0</v>
      </c>
      <c r="DR20" s="66">
        <v>0.96199999999999997</v>
      </c>
      <c r="DS20" s="66">
        <v>0.6</v>
      </c>
      <c r="DT20" s="66">
        <v>0</v>
      </c>
      <c r="DU20" s="66">
        <v>0.36199999999999999</v>
      </c>
      <c r="DV20" s="67">
        <v>100</v>
      </c>
      <c r="DW20" s="67">
        <v>100</v>
      </c>
      <c r="DX20" s="67">
        <v>37.629937629937629</v>
      </c>
      <c r="DY20" s="67">
        <v>0</v>
      </c>
      <c r="DZ20" s="67">
        <v>0</v>
      </c>
      <c r="EA20" s="66">
        <v>0</v>
      </c>
      <c r="EB20" s="66">
        <v>0</v>
      </c>
      <c r="EC20" s="66">
        <v>0</v>
      </c>
      <c r="ED20" s="66">
        <v>0</v>
      </c>
      <c r="EE20" s="66">
        <v>0</v>
      </c>
      <c r="EF20" s="66">
        <v>0</v>
      </c>
      <c r="EG20" s="66">
        <v>0</v>
      </c>
      <c r="EH20" s="66">
        <v>0</v>
      </c>
      <c r="EI20" s="66">
        <v>0</v>
      </c>
      <c r="EJ20" s="66">
        <v>0</v>
      </c>
      <c r="EK20" s="66">
        <v>0</v>
      </c>
      <c r="EL20" s="67" t="s">
        <v>1094</v>
      </c>
      <c r="EM20" s="67" t="s">
        <v>1094</v>
      </c>
      <c r="EN20" s="67">
        <v>0</v>
      </c>
      <c r="EO20" s="67">
        <v>0</v>
      </c>
      <c r="EP20" s="67">
        <v>0</v>
      </c>
      <c r="EQ20" s="66">
        <v>0</v>
      </c>
      <c r="ER20" s="66">
        <v>0</v>
      </c>
      <c r="ES20" s="66">
        <v>0</v>
      </c>
      <c r="ET20" s="66">
        <v>0</v>
      </c>
      <c r="EU20" s="66">
        <v>0</v>
      </c>
      <c r="EV20" s="66">
        <v>0</v>
      </c>
      <c r="EW20" s="66">
        <v>0</v>
      </c>
      <c r="EX20" s="66">
        <v>0</v>
      </c>
      <c r="EY20" s="66">
        <v>0</v>
      </c>
      <c r="EZ20" s="66">
        <v>0</v>
      </c>
      <c r="FA20" s="66">
        <v>0</v>
      </c>
      <c r="FB20" s="67" t="s">
        <v>1094</v>
      </c>
      <c r="FC20" s="67" t="s">
        <v>1094</v>
      </c>
      <c r="FD20" s="67">
        <v>0</v>
      </c>
      <c r="FE20" s="67">
        <v>0</v>
      </c>
      <c r="FF20" s="67">
        <v>0</v>
      </c>
      <c r="FG20" s="66">
        <v>0</v>
      </c>
      <c r="FH20" s="66">
        <v>0</v>
      </c>
      <c r="FI20" s="66">
        <v>0</v>
      </c>
      <c r="FJ20" s="66">
        <v>0</v>
      </c>
      <c r="FK20" s="66">
        <v>0</v>
      </c>
      <c r="FL20" s="66">
        <v>0</v>
      </c>
      <c r="FM20" s="66">
        <v>0</v>
      </c>
      <c r="FN20" s="66">
        <v>0</v>
      </c>
      <c r="FO20" s="66">
        <v>0</v>
      </c>
      <c r="FP20" s="66">
        <v>0</v>
      </c>
      <c r="FQ20" s="66">
        <v>0</v>
      </c>
      <c r="FR20" s="67" t="s">
        <v>1094</v>
      </c>
      <c r="FS20" s="67" t="s">
        <v>1094</v>
      </c>
      <c r="FT20" s="67">
        <v>0</v>
      </c>
      <c r="FU20" s="67">
        <v>0</v>
      </c>
      <c r="FV20" s="67">
        <v>0</v>
      </c>
      <c r="FW20" s="66">
        <v>0</v>
      </c>
      <c r="FX20" s="66">
        <v>0</v>
      </c>
      <c r="FY20" s="66">
        <v>0</v>
      </c>
      <c r="FZ20" s="66">
        <v>0</v>
      </c>
      <c r="GA20" s="66">
        <v>0</v>
      </c>
      <c r="GB20" s="66">
        <v>0</v>
      </c>
      <c r="GC20" s="66">
        <v>0</v>
      </c>
      <c r="GD20" s="66">
        <v>0</v>
      </c>
      <c r="GE20" s="66">
        <v>0</v>
      </c>
      <c r="GF20" s="66">
        <v>0</v>
      </c>
      <c r="GG20" s="66">
        <v>0</v>
      </c>
      <c r="GH20" s="67" t="s">
        <v>1094</v>
      </c>
      <c r="GI20" s="67" t="s">
        <v>1094</v>
      </c>
      <c r="GJ20" s="67">
        <v>0</v>
      </c>
      <c r="GK20" s="67">
        <v>0</v>
      </c>
      <c r="GL20" s="67">
        <v>0</v>
      </c>
      <c r="GM20" s="66">
        <v>0</v>
      </c>
      <c r="GN20" s="66">
        <v>0</v>
      </c>
      <c r="GO20" s="66">
        <v>0</v>
      </c>
      <c r="GP20" s="66">
        <v>0</v>
      </c>
      <c r="GQ20" s="66">
        <v>0</v>
      </c>
      <c r="GR20" s="66">
        <v>0</v>
      </c>
      <c r="GS20" s="66">
        <v>0</v>
      </c>
      <c r="GT20" s="66">
        <v>0</v>
      </c>
      <c r="GU20" s="66">
        <v>0</v>
      </c>
      <c r="GV20" s="66">
        <v>0</v>
      </c>
      <c r="GW20" s="66">
        <v>0</v>
      </c>
      <c r="GX20" s="67" t="s">
        <v>1094</v>
      </c>
      <c r="GY20" s="67" t="s">
        <v>1094</v>
      </c>
      <c r="GZ20" s="67">
        <v>0</v>
      </c>
      <c r="HA20" s="67">
        <v>0</v>
      </c>
      <c r="HB20" s="67">
        <v>0</v>
      </c>
      <c r="HC20" s="66">
        <v>0.1535</v>
      </c>
      <c r="HD20" s="66">
        <v>0</v>
      </c>
      <c r="HE20" s="66">
        <v>0.66639999999999999</v>
      </c>
      <c r="HF20" s="66">
        <v>0.1535</v>
      </c>
      <c r="HG20" s="66">
        <v>0.51290000000000002</v>
      </c>
      <c r="HH20" s="66">
        <v>0.1535</v>
      </c>
      <c r="HI20" s="66">
        <v>0</v>
      </c>
      <c r="HJ20" s="66">
        <v>0.66638969999999997</v>
      </c>
      <c r="HK20" s="66">
        <v>0.15349763</v>
      </c>
      <c r="HL20" s="66">
        <v>0</v>
      </c>
      <c r="HM20" s="66">
        <v>0.51289207000000003</v>
      </c>
      <c r="HN20" s="67">
        <v>99.998456026058633</v>
      </c>
      <c r="HO20" s="67">
        <v>99.998453889647109</v>
      </c>
      <c r="HP20" s="67">
        <v>76.965785935767016</v>
      </c>
      <c r="HQ20" s="67">
        <v>0</v>
      </c>
      <c r="HR20" s="67">
        <v>2.3700000000015375E-6</v>
      </c>
      <c r="HS20" s="66">
        <v>0</v>
      </c>
      <c r="HT20" s="66">
        <v>0</v>
      </c>
      <c r="HU20" s="66">
        <v>0</v>
      </c>
      <c r="HV20" s="66">
        <v>0</v>
      </c>
      <c r="HW20" s="66">
        <v>0</v>
      </c>
      <c r="HX20" s="66">
        <v>0</v>
      </c>
      <c r="HY20" s="66">
        <v>0</v>
      </c>
      <c r="HZ20" s="66">
        <v>0</v>
      </c>
      <c r="IA20" s="66">
        <v>0</v>
      </c>
      <c r="IB20" s="66">
        <v>0</v>
      </c>
      <c r="IC20" s="66">
        <v>0</v>
      </c>
      <c r="ID20" s="67" t="s">
        <v>1094</v>
      </c>
      <c r="IE20" s="67" t="s">
        <v>1094</v>
      </c>
      <c r="IF20" s="67">
        <v>0</v>
      </c>
      <c r="IG20" s="67">
        <v>0</v>
      </c>
      <c r="IH20" s="67">
        <v>0</v>
      </c>
    </row>
    <row r="21" spans="1:242" ht="15.75" x14ac:dyDescent="0.25">
      <c r="A21" s="11" t="s">
        <v>30</v>
      </c>
      <c r="B21" s="189" t="s">
        <v>31</v>
      </c>
      <c r="C21" s="66">
        <v>71.758300000000006</v>
      </c>
      <c r="D21" s="66">
        <v>0</v>
      </c>
      <c r="E21" s="66">
        <v>173.41931499999998</v>
      </c>
      <c r="F21" s="66">
        <v>71.758300000000006</v>
      </c>
      <c r="G21" s="66">
        <v>101.66101500000001</v>
      </c>
      <c r="H21" s="66">
        <v>71.758300000000006</v>
      </c>
      <c r="I21" s="66">
        <v>1.2490168500000001</v>
      </c>
      <c r="J21" s="66">
        <v>172.96115498</v>
      </c>
      <c r="K21" s="66">
        <v>71.49884729</v>
      </c>
      <c r="L21" s="66">
        <v>0</v>
      </c>
      <c r="M21" s="66">
        <v>101.46230769</v>
      </c>
      <c r="N21" s="67">
        <v>99.638435261147478</v>
      </c>
      <c r="O21" s="67">
        <v>99.804539321194056</v>
      </c>
      <c r="P21" s="67">
        <v>58.661904577205433</v>
      </c>
      <c r="Q21" s="66">
        <v>1.2490168500000001</v>
      </c>
      <c r="R21" s="67">
        <v>0.2594527100000088</v>
      </c>
      <c r="S21" s="66">
        <v>32.743099999999998</v>
      </c>
      <c r="T21" s="66">
        <v>0</v>
      </c>
      <c r="U21" s="66">
        <v>57.820099999999996</v>
      </c>
      <c r="V21" s="66">
        <v>32.743099999999998</v>
      </c>
      <c r="W21" s="66">
        <v>25.077000000000002</v>
      </c>
      <c r="X21" s="66">
        <v>32.743099999999998</v>
      </c>
      <c r="Y21" s="66">
        <v>0.77822000000000002</v>
      </c>
      <c r="Z21" s="66">
        <v>57.361939979999995</v>
      </c>
      <c r="AA21" s="66">
        <v>32.48364729</v>
      </c>
      <c r="AB21" s="66">
        <v>0</v>
      </c>
      <c r="AC21" s="66">
        <v>24.878292690000002</v>
      </c>
      <c r="AD21" s="67">
        <v>99.207611038661597</v>
      </c>
      <c r="AE21" s="67">
        <v>99.20761131714319</v>
      </c>
      <c r="AF21" s="67">
        <v>43.37073100852961</v>
      </c>
      <c r="AG21" s="67">
        <v>0.77822000000000002</v>
      </c>
      <c r="AH21" s="67">
        <v>0.25945270999999537</v>
      </c>
      <c r="AI21" s="66">
        <v>0</v>
      </c>
      <c r="AJ21" s="66">
        <v>0</v>
      </c>
      <c r="AK21" s="66">
        <v>0</v>
      </c>
      <c r="AL21" s="66">
        <v>0</v>
      </c>
      <c r="AM21" s="66">
        <v>0</v>
      </c>
      <c r="AN21" s="66">
        <v>0</v>
      </c>
      <c r="AO21" s="66">
        <v>0.47079684999999999</v>
      </c>
      <c r="AP21" s="66">
        <v>0</v>
      </c>
      <c r="AQ21" s="66">
        <v>0</v>
      </c>
      <c r="AR21" s="66">
        <v>0</v>
      </c>
      <c r="AS21" s="66">
        <v>0</v>
      </c>
      <c r="AT21" s="67" t="s">
        <v>1094</v>
      </c>
      <c r="AU21" s="67" t="s">
        <v>1094</v>
      </c>
      <c r="AV21" s="67">
        <v>0</v>
      </c>
      <c r="AW21" s="67">
        <v>0.47079684999999999</v>
      </c>
      <c r="AX21" s="67">
        <v>0</v>
      </c>
      <c r="AY21" s="66">
        <v>35.746000000000002</v>
      </c>
      <c r="AZ21" s="66">
        <v>0</v>
      </c>
      <c r="BA21" s="66">
        <v>102.060265</v>
      </c>
      <c r="BB21" s="66">
        <v>35.746000000000002</v>
      </c>
      <c r="BC21" s="66">
        <v>66.314265000000006</v>
      </c>
      <c r="BD21" s="66">
        <v>35.746000000000002</v>
      </c>
      <c r="BE21" s="66">
        <v>0</v>
      </c>
      <c r="BF21" s="66">
        <v>102.060265</v>
      </c>
      <c r="BG21" s="66">
        <v>35.746000000000002</v>
      </c>
      <c r="BH21" s="66">
        <v>0</v>
      </c>
      <c r="BI21" s="66">
        <v>66.314265000000006</v>
      </c>
      <c r="BJ21" s="67">
        <v>100</v>
      </c>
      <c r="BK21" s="67">
        <v>100</v>
      </c>
      <c r="BL21" s="67">
        <v>64.975595546415647</v>
      </c>
      <c r="BM21" s="67">
        <v>0</v>
      </c>
      <c r="BN21" s="67">
        <v>0</v>
      </c>
      <c r="BO21" s="66">
        <v>0</v>
      </c>
      <c r="BP21" s="66">
        <v>0</v>
      </c>
      <c r="BQ21" s="66">
        <v>0</v>
      </c>
      <c r="BR21" s="66">
        <v>0</v>
      </c>
      <c r="BS21" s="66">
        <v>0</v>
      </c>
      <c r="BT21" s="66">
        <v>0</v>
      </c>
      <c r="BU21" s="66">
        <v>0</v>
      </c>
      <c r="BV21" s="66">
        <v>0</v>
      </c>
      <c r="BW21" s="66">
        <v>0</v>
      </c>
      <c r="BX21" s="66">
        <v>0</v>
      </c>
      <c r="BY21" s="66">
        <v>0</v>
      </c>
      <c r="BZ21" s="67" t="s">
        <v>1094</v>
      </c>
      <c r="CA21" s="67" t="s">
        <v>1094</v>
      </c>
      <c r="CB21" s="67">
        <v>0</v>
      </c>
      <c r="CC21" s="67">
        <v>0</v>
      </c>
      <c r="CD21" s="67">
        <v>0</v>
      </c>
      <c r="CE21" s="66">
        <v>0</v>
      </c>
      <c r="CF21" s="66">
        <v>0</v>
      </c>
      <c r="CG21" s="66">
        <v>0</v>
      </c>
      <c r="CH21" s="66">
        <v>0</v>
      </c>
      <c r="CI21" s="66">
        <v>0</v>
      </c>
      <c r="CJ21" s="66">
        <v>0</v>
      </c>
      <c r="CK21" s="66">
        <v>0</v>
      </c>
      <c r="CL21" s="66">
        <v>0</v>
      </c>
      <c r="CM21" s="66">
        <v>0</v>
      </c>
      <c r="CN21" s="66">
        <v>0</v>
      </c>
      <c r="CO21" s="66">
        <v>0</v>
      </c>
      <c r="CP21" s="67" t="s">
        <v>1094</v>
      </c>
      <c r="CQ21" s="67" t="s">
        <v>1094</v>
      </c>
      <c r="CR21" s="67">
        <v>0</v>
      </c>
      <c r="CS21" s="67">
        <v>0</v>
      </c>
      <c r="CT21" s="67">
        <v>0</v>
      </c>
      <c r="CU21" s="66">
        <v>0</v>
      </c>
      <c r="CV21" s="66">
        <v>0</v>
      </c>
      <c r="CW21" s="66">
        <v>0</v>
      </c>
      <c r="CX21" s="66">
        <v>0</v>
      </c>
      <c r="CY21" s="66">
        <v>0</v>
      </c>
      <c r="CZ21" s="66">
        <v>0</v>
      </c>
      <c r="DA21" s="66">
        <v>0</v>
      </c>
      <c r="DB21" s="66">
        <v>0</v>
      </c>
      <c r="DC21" s="66">
        <v>0</v>
      </c>
      <c r="DD21" s="66">
        <v>0</v>
      </c>
      <c r="DE21" s="66">
        <v>0</v>
      </c>
      <c r="DF21" s="67" t="s">
        <v>1094</v>
      </c>
      <c r="DG21" s="67" t="s">
        <v>1094</v>
      </c>
      <c r="DH21" s="67">
        <v>0</v>
      </c>
      <c r="DI21" s="67">
        <v>0</v>
      </c>
      <c r="DJ21" s="67">
        <v>0</v>
      </c>
      <c r="DK21" s="66">
        <v>0.84099999999999997</v>
      </c>
      <c r="DL21" s="66">
        <v>0</v>
      </c>
      <c r="DM21" s="66">
        <v>7.1107500000000003</v>
      </c>
      <c r="DN21" s="66">
        <v>0.84099999999999997</v>
      </c>
      <c r="DO21" s="66">
        <v>6.2697500000000002</v>
      </c>
      <c r="DP21" s="66">
        <v>0.84099999999999997</v>
      </c>
      <c r="DQ21" s="66">
        <v>0</v>
      </c>
      <c r="DR21" s="66">
        <v>7.1107500000000003</v>
      </c>
      <c r="DS21" s="66">
        <v>0.84099999999999997</v>
      </c>
      <c r="DT21" s="66">
        <v>0</v>
      </c>
      <c r="DU21" s="66">
        <v>6.2697500000000002</v>
      </c>
      <c r="DV21" s="67">
        <v>100</v>
      </c>
      <c r="DW21" s="67">
        <v>100</v>
      </c>
      <c r="DX21" s="67">
        <v>88.172836901873922</v>
      </c>
      <c r="DY21" s="67">
        <v>0</v>
      </c>
      <c r="DZ21" s="67">
        <v>0</v>
      </c>
      <c r="EA21" s="66">
        <v>0</v>
      </c>
      <c r="EB21" s="66">
        <v>0</v>
      </c>
      <c r="EC21" s="66">
        <v>0</v>
      </c>
      <c r="ED21" s="66">
        <v>0</v>
      </c>
      <c r="EE21" s="66">
        <v>0</v>
      </c>
      <c r="EF21" s="66">
        <v>0</v>
      </c>
      <c r="EG21" s="66">
        <v>0</v>
      </c>
      <c r="EH21" s="66">
        <v>0</v>
      </c>
      <c r="EI21" s="66">
        <v>0</v>
      </c>
      <c r="EJ21" s="66">
        <v>0</v>
      </c>
      <c r="EK21" s="66">
        <v>0</v>
      </c>
      <c r="EL21" s="67" t="s">
        <v>1094</v>
      </c>
      <c r="EM21" s="67" t="s">
        <v>1094</v>
      </c>
      <c r="EN21" s="67">
        <v>0</v>
      </c>
      <c r="EO21" s="67">
        <v>0</v>
      </c>
      <c r="EP21" s="67">
        <v>0</v>
      </c>
      <c r="EQ21" s="66">
        <v>2.0859999999999999</v>
      </c>
      <c r="ER21" s="66">
        <v>0</v>
      </c>
      <c r="ES21" s="66">
        <v>5.9255000000000004</v>
      </c>
      <c r="ET21" s="66">
        <v>2.0859999999999999</v>
      </c>
      <c r="EU21" s="66">
        <v>3.8395000000000001</v>
      </c>
      <c r="EV21" s="66">
        <v>2.0859999999999999</v>
      </c>
      <c r="EW21" s="66">
        <v>0</v>
      </c>
      <c r="EX21" s="66">
        <v>5.9255000000000004</v>
      </c>
      <c r="EY21" s="66">
        <v>2.0859999999999999</v>
      </c>
      <c r="EZ21" s="66">
        <v>0</v>
      </c>
      <c r="FA21" s="66">
        <v>3.8395000000000001</v>
      </c>
      <c r="FB21" s="67">
        <v>100</v>
      </c>
      <c r="FC21" s="67">
        <v>100</v>
      </c>
      <c r="FD21" s="67">
        <v>64.796219728292968</v>
      </c>
      <c r="FE21" s="67">
        <v>0</v>
      </c>
      <c r="FF21" s="67">
        <v>0</v>
      </c>
      <c r="FG21" s="66">
        <v>0</v>
      </c>
      <c r="FH21" s="66">
        <v>0</v>
      </c>
      <c r="FI21" s="66">
        <v>0</v>
      </c>
      <c r="FJ21" s="66">
        <v>0</v>
      </c>
      <c r="FK21" s="66">
        <v>0</v>
      </c>
      <c r="FL21" s="66">
        <v>0</v>
      </c>
      <c r="FM21" s="66">
        <v>0</v>
      </c>
      <c r="FN21" s="66">
        <v>0</v>
      </c>
      <c r="FO21" s="66">
        <v>0</v>
      </c>
      <c r="FP21" s="66">
        <v>0</v>
      </c>
      <c r="FQ21" s="66">
        <v>0</v>
      </c>
      <c r="FR21" s="67" t="s">
        <v>1094</v>
      </c>
      <c r="FS21" s="67" t="s">
        <v>1094</v>
      </c>
      <c r="FT21" s="67">
        <v>0</v>
      </c>
      <c r="FU21" s="67">
        <v>0</v>
      </c>
      <c r="FV21" s="67">
        <v>0</v>
      </c>
      <c r="FW21" s="66">
        <v>0</v>
      </c>
      <c r="FX21" s="66">
        <v>0</v>
      </c>
      <c r="FY21" s="66">
        <v>0</v>
      </c>
      <c r="FZ21" s="66">
        <v>0</v>
      </c>
      <c r="GA21" s="66">
        <v>0</v>
      </c>
      <c r="GB21" s="66">
        <v>0</v>
      </c>
      <c r="GC21" s="66">
        <v>0</v>
      </c>
      <c r="GD21" s="66">
        <v>0</v>
      </c>
      <c r="GE21" s="66">
        <v>0</v>
      </c>
      <c r="GF21" s="66">
        <v>0</v>
      </c>
      <c r="GG21" s="66">
        <v>0</v>
      </c>
      <c r="GH21" s="67" t="s">
        <v>1094</v>
      </c>
      <c r="GI21" s="67" t="s">
        <v>1094</v>
      </c>
      <c r="GJ21" s="67">
        <v>0</v>
      </c>
      <c r="GK21" s="67">
        <v>0</v>
      </c>
      <c r="GL21" s="67">
        <v>0</v>
      </c>
      <c r="GM21" s="66">
        <v>0</v>
      </c>
      <c r="GN21" s="66">
        <v>0</v>
      </c>
      <c r="GO21" s="66">
        <v>0</v>
      </c>
      <c r="GP21" s="66">
        <v>0</v>
      </c>
      <c r="GQ21" s="66">
        <v>0</v>
      </c>
      <c r="GR21" s="66">
        <v>0</v>
      </c>
      <c r="GS21" s="66">
        <v>0</v>
      </c>
      <c r="GT21" s="66">
        <v>0</v>
      </c>
      <c r="GU21" s="66">
        <v>0</v>
      </c>
      <c r="GV21" s="66">
        <v>0</v>
      </c>
      <c r="GW21" s="66">
        <v>0</v>
      </c>
      <c r="GX21" s="67" t="s">
        <v>1094</v>
      </c>
      <c r="GY21" s="67" t="s">
        <v>1094</v>
      </c>
      <c r="GZ21" s="67">
        <v>0</v>
      </c>
      <c r="HA21" s="67">
        <v>0</v>
      </c>
      <c r="HB21" s="67">
        <v>0</v>
      </c>
      <c r="HC21" s="66">
        <v>0.3422</v>
      </c>
      <c r="HD21" s="66">
        <v>0</v>
      </c>
      <c r="HE21" s="66">
        <v>0.50270000000000004</v>
      </c>
      <c r="HF21" s="66">
        <v>0.3422</v>
      </c>
      <c r="HG21" s="66">
        <v>0.1605</v>
      </c>
      <c r="HH21" s="66">
        <v>0.3422</v>
      </c>
      <c r="HI21" s="66">
        <v>0</v>
      </c>
      <c r="HJ21" s="66">
        <v>0.50270000000000004</v>
      </c>
      <c r="HK21" s="66">
        <v>0.3422</v>
      </c>
      <c r="HL21" s="66">
        <v>0</v>
      </c>
      <c r="HM21" s="66">
        <v>0.1605</v>
      </c>
      <c r="HN21" s="67">
        <v>100</v>
      </c>
      <c r="HO21" s="67">
        <v>100</v>
      </c>
      <c r="HP21" s="67">
        <v>31.927591008553808</v>
      </c>
      <c r="HQ21" s="67">
        <v>0</v>
      </c>
      <c r="HR21" s="67">
        <v>0</v>
      </c>
      <c r="HS21" s="66">
        <v>0</v>
      </c>
      <c r="HT21" s="66">
        <v>0</v>
      </c>
      <c r="HU21" s="66">
        <v>0</v>
      </c>
      <c r="HV21" s="66">
        <v>0</v>
      </c>
      <c r="HW21" s="66">
        <v>0</v>
      </c>
      <c r="HX21" s="66">
        <v>0</v>
      </c>
      <c r="HY21" s="66">
        <v>0</v>
      </c>
      <c r="HZ21" s="66">
        <v>0</v>
      </c>
      <c r="IA21" s="66">
        <v>0</v>
      </c>
      <c r="IB21" s="66">
        <v>0</v>
      </c>
      <c r="IC21" s="66">
        <v>0</v>
      </c>
      <c r="ID21" s="67" t="s">
        <v>1094</v>
      </c>
      <c r="IE21" s="67" t="s">
        <v>1094</v>
      </c>
      <c r="IF21" s="67">
        <v>0</v>
      </c>
      <c r="IG21" s="67">
        <v>0</v>
      </c>
      <c r="IH21" s="67">
        <v>0</v>
      </c>
    </row>
    <row r="22" spans="1:242" ht="15.75" x14ac:dyDescent="0.25">
      <c r="A22" s="11" t="s">
        <v>33</v>
      </c>
      <c r="B22" s="189" t="s">
        <v>34</v>
      </c>
      <c r="C22" s="66">
        <v>159.21940000000001</v>
      </c>
      <c r="D22" s="66">
        <v>0</v>
      </c>
      <c r="E22" s="66">
        <v>360.51391667999997</v>
      </c>
      <c r="F22" s="66">
        <v>159.21940000000001</v>
      </c>
      <c r="G22" s="66">
        <v>201.29451668000002</v>
      </c>
      <c r="H22" s="66">
        <v>159.21921545000001</v>
      </c>
      <c r="I22" s="66">
        <v>0</v>
      </c>
      <c r="J22" s="66">
        <v>360.51344423</v>
      </c>
      <c r="K22" s="66">
        <v>159.21921545000001</v>
      </c>
      <c r="L22" s="66">
        <v>0</v>
      </c>
      <c r="M22" s="66">
        <v>201.29422878000003</v>
      </c>
      <c r="N22" s="67">
        <v>99.999884090757789</v>
      </c>
      <c r="O22" s="67">
        <v>99.999856975736478</v>
      </c>
      <c r="P22" s="67">
        <v>55.8354291640726</v>
      </c>
      <c r="Q22" s="66">
        <v>0</v>
      </c>
      <c r="R22" s="67">
        <v>0</v>
      </c>
      <c r="S22" s="66">
        <v>95.755399999999995</v>
      </c>
      <c r="T22" s="66">
        <v>0</v>
      </c>
      <c r="U22" s="66">
        <v>183.75628477000001</v>
      </c>
      <c r="V22" s="66">
        <v>95.755399999999995</v>
      </c>
      <c r="W22" s="66">
        <v>88.000884769999999</v>
      </c>
      <c r="X22" s="66">
        <v>95.755399670000003</v>
      </c>
      <c r="Y22" s="66">
        <v>0</v>
      </c>
      <c r="Z22" s="66">
        <v>183.75628444</v>
      </c>
      <c r="AA22" s="66">
        <v>95.755399670000003</v>
      </c>
      <c r="AB22" s="66">
        <v>0</v>
      </c>
      <c r="AC22" s="66">
        <v>88.000884769999999</v>
      </c>
      <c r="AD22" s="67">
        <v>99.999999655371923</v>
      </c>
      <c r="AE22" s="67">
        <v>100</v>
      </c>
      <c r="AF22" s="67">
        <v>47.890000082546294</v>
      </c>
      <c r="AG22" s="67">
        <v>0</v>
      </c>
      <c r="AH22" s="67">
        <v>0</v>
      </c>
      <c r="AI22" s="66">
        <v>0</v>
      </c>
      <c r="AJ22" s="66">
        <v>0</v>
      </c>
      <c r="AK22" s="66">
        <v>0</v>
      </c>
      <c r="AL22" s="66">
        <v>0</v>
      </c>
      <c r="AM22" s="66">
        <v>0</v>
      </c>
      <c r="AN22" s="66">
        <v>0</v>
      </c>
      <c r="AO22" s="66">
        <v>0</v>
      </c>
      <c r="AP22" s="66">
        <v>0</v>
      </c>
      <c r="AQ22" s="66">
        <v>0</v>
      </c>
      <c r="AR22" s="66">
        <v>0</v>
      </c>
      <c r="AS22" s="66">
        <v>0</v>
      </c>
      <c r="AT22" s="67" t="s">
        <v>1094</v>
      </c>
      <c r="AU22" s="67" t="s">
        <v>1094</v>
      </c>
      <c r="AV22" s="67">
        <v>0</v>
      </c>
      <c r="AW22" s="67">
        <v>0</v>
      </c>
      <c r="AX22" s="67">
        <v>0</v>
      </c>
      <c r="AY22" s="66">
        <v>23.213000000000001</v>
      </c>
      <c r="AZ22" s="66">
        <v>0</v>
      </c>
      <c r="BA22" s="66">
        <v>54.310763080000001</v>
      </c>
      <c r="BB22" s="66">
        <v>23.213000000000001</v>
      </c>
      <c r="BC22" s="66">
        <v>31.097763079999996</v>
      </c>
      <c r="BD22" s="66">
        <v>23.212816190000002</v>
      </c>
      <c r="BE22" s="66">
        <v>0</v>
      </c>
      <c r="BF22" s="66">
        <v>54.310291369999995</v>
      </c>
      <c r="BG22" s="66">
        <v>23.212816190000002</v>
      </c>
      <c r="BH22" s="66">
        <v>0</v>
      </c>
      <c r="BI22" s="66">
        <v>31.09747518</v>
      </c>
      <c r="BJ22" s="67">
        <v>99.999208159221126</v>
      </c>
      <c r="BK22" s="67">
        <v>99.999074209938328</v>
      </c>
      <c r="BL22" s="67">
        <v>57.258899548415378</v>
      </c>
      <c r="BM22" s="67">
        <v>0</v>
      </c>
      <c r="BN22" s="67">
        <v>0</v>
      </c>
      <c r="BO22" s="66">
        <v>0</v>
      </c>
      <c r="BP22" s="66">
        <v>0</v>
      </c>
      <c r="BQ22" s="66">
        <v>0</v>
      </c>
      <c r="BR22" s="66">
        <v>0</v>
      </c>
      <c r="BS22" s="66">
        <v>0</v>
      </c>
      <c r="BT22" s="66">
        <v>0</v>
      </c>
      <c r="BU22" s="66">
        <v>0</v>
      </c>
      <c r="BV22" s="66">
        <v>0</v>
      </c>
      <c r="BW22" s="66">
        <v>0</v>
      </c>
      <c r="BX22" s="66">
        <v>0</v>
      </c>
      <c r="BY22" s="66">
        <v>0</v>
      </c>
      <c r="BZ22" s="67" t="s">
        <v>1094</v>
      </c>
      <c r="CA22" s="67" t="s">
        <v>1094</v>
      </c>
      <c r="CB22" s="67">
        <v>0</v>
      </c>
      <c r="CC22" s="67">
        <v>0</v>
      </c>
      <c r="CD22" s="67">
        <v>0</v>
      </c>
      <c r="CE22" s="66">
        <v>0</v>
      </c>
      <c r="CF22" s="66">
        <v>0</v>
      </c>
      <c r="CG22" s="66">
        <v>0</v>
      </c>
      <c r="CH22" s="66">
        <v>0</v>
      </c>
      <c r="CI22" s="66">
        <v>0</v>
      </c>
      <c r="CJ22" s="66">
        <v>0</v>
      </c>
      <c r="CK22" s="66">
        <v>0</v>
      </c>
      <c r="CL22" s="66">
        <v>0</v>
      </c>
      <c r="CM22" s="66">
        <v>0</v>
      </c>
      <c r="CN22" s="66">
        <v>0</v>
      </c>
      <c r="CO22" s="66">
        <v>0</v>
      </c>
      <c r="CP22" s="67" t="s">
        <v>1094</v>
      </c>
      <c r="CQ22" s="67" t="s">
        <v>1094</v>
      </c>
      <c r="CR22" s="67">
        <v>0</v>
      </c>
      <c r="CS22" s="67">
        <v>0</v>
      </c>
      <c r="CT22" s="67">
        <v>0</v>
      </c>
      <c r="CU22" s="66">
        <v>0</v>
      </c>
      <c r="CV22" s="66">
        <v>0</v>
      </c>
      <c r="CW22" s="66">
        <v>0</v>
      </c>
      <c r="CX22" s="66">
        <v>0</v>
      </c>
      <c r="CY22" s="66">
        <v>0</v>
      </c>
      <c r="CZ22" s="66">
        <v>0</v>
      </c>
      <c r="DA22" s="66">
        <v>0</v>
      </c>
      <c r="DB22" s="66">
        <v>0</v>
      </c>
      <c r="DC22" s="66">
        <v>0</v>
      </c>
      <c r="DD22" s="66">
        <v>0</v>
      </c>
      <c r="DE22" s="66">
        <v>0</v>
      </c>
      <c r="DF22" s="67" t="s">
        <v>1094</v>
      </c>
      <c r="DG22" s="67" t="s">
        <v>1094</v>
      </c>
      <c r="DH22" s="67">
        <v>0</v>
      </c>
      <c r="DI22" s="67">
        <v>0</v>
      </c>
      <c r="DJ22" s="67">
        <v>0</v>
      </c>
      <c r="DK22" s="66">
        <v>2.1219999999999999</v>
      </c>
      <c r="DL22" s="66">
        <v>0</v>
      </c>
      <c r="DM22" s="66">
        <v>39.812382740000004</v>
      </c>
      <c r="DN22" s="66">
        <v>2.1219999999999999</v>
      </c>
      <c r="DO22" s="66">
        <v>37.690382740000004</v>
      </c>
      <c r="DP22" s="66">
        <v>2.1219995899999997</v>
      </c>
      <c r="DQ22" s="66">
        <v>0</v>
      </c>
      <c r="DR22" s="66">
        <v>39.812382329999998</v>
      </c>
      <c r="DS22" s="66">
        <v>2.1219995899999997</v>
      </c>
      <c r="DT22" s="66">
        <v>0</v>
      </c>
      <c r="DU22" s="66">
        <v>37.690382740000004</v>
      </c>
      <c r="DV22" s="67">
        <v>99.999980678605084</v>
      </c>
      <c r="DW22" s="67">
        <v>100</v>
      </c>
      <c r="DX22" s="67">
        <v>94.670000975045909</v>
      </c>
      <c r="DY22" s="67">
        <v>0</v>
      </c>
      <c r="DZ22" s="67">
        <v>0</v>
      </c>
      <c r="EA22" s="66">
        <v>0</v>
      </c>
      <c r="EB22" s="66">
        <v>0</v>
      </c>
      <c r="EC22" s="66">
        <v>0</v>
      </c>
      <c r="ED22" s="66">
        <v>0</v>
      </c>
      <c r="EE22" s="66">
        <v>0</v>
      </c>
      <c r="EF22" s="66">
        <v>0</v>
      </c>
      <c r="EG22" s="66">
        <v>0</v>
      </c>
      <c r="EH22" s="66">
        <v>0</v>
      </c>
      <c r="EI22" s="66">
        <v>0</v>
      </c>
      <c r="EJ22" s="66">
        <v>0</v>
      </c>
      <c r="EK22" s="66">
        <v>0</v>
      </c>
      <c r="EL22" s="67" t="s">
        <v>1094</v>
      </c>
      <c r="EM22" s="67" t="s">
        <v>1094</v>
      </c>
      <c r="EN22" s="67">
        <v>0</v>
      </c>
      <c r="EO22" s="67">
        <v>0</v>
      </c>
      <c r="EP22" s="67">
        <v>0</v>
      </c>
      <c r="EQ22" s="66">
        <v>0</v>
      </c>
      <c r="ER22" s="66">
        <v>0</v>
      </c>
      <c r="ES22" s="66">
        <v>0</v>
      </c>
      <c r="ET22" s="66">
        <v>0</v>
      </c>
      <c r="EU22" s="66">
        <v>0</v>
      </c>
      <c r="EV22" s="66">
        <v>0</v>
      </c>
      <c r="EW22" s="66">
        <v>0</v>
      </c>
      <c r="EX22" s="66">
        <v>0</v>
      </c>
      <c r="EY22" s="66">
        <v>0</v>
      </c>
      <c r="EZ22" s="66">
        <v>0</v>
      </c>
      <c r="FA22" s="66">
        <v>0</v>
      </c>
      <c r="FB22" s="67" t="s">
        <v>1094</v>
      </c>
      <c r="FC22" s="67" t="s">
        <v>1094</v>
      </c>
      <c r="FD22" s="67">
        <v>0</v>
      </c>
      <c r="FE22" s="67">
        <v>0</v>
      </c>
      <c r="FF22" s="67">
        <v>0</v>
      </c>
      <c r="FG22" s="66">
        <v>0</v>
      </c>
      <c r="FH22" s="66">
        <v>0</v>
      </c>
      <c r="FI22" s="66">
        <v>0</v>
      </c>
      <c r="FJ22" s="66">
        <v>0</v>
      </c>
      <c r="FK22" s="66">
        <v>0</v>
      </c>
      <c r="FL22" s="66">
        <v>0</v>
      </c>
      <c r="FM22" s="66">
        <v>0</v>
      </c>
      <c r="FN22" s="66">
        <v>0</v>
      </c>
      <c r="FO22" s="66">
        <v>0</v>
      </c>
      <c r="FP22" s="66">
        <v>0</v>
      </c>
      <c r="FQ22" s="66">
        <v>0</v>
      </c>
      <c r="FR22" s="67" t="s">
        <v>1094</v>
      </c>
      <c r="FS22" s="67" t="s">
        <v>1094</v>
      </c>
      <c r="FT22" s="67">
        <v>0</v>
      </c>
      <c r="FU22" s="67">
        <v>0</v>
      </c>
      <c r="FV22" s="67">
        <v>0</v>
      </c>
      <c r="FW22" s="66">
        <v>34.2273</v>
      </c>
      <c r="FX22" s="66">
        <v>0</v>
      </c>
      <c r="FY22" s="66">
        <v>71.232674290000006</v>
      </c>
      <c r="FZ22" s="66">
        <v>34.2273</v>
      </c>
      <c r="GA22" s="66">
        <v>37.005374289999999</v>
      </c>
      <c r="GB22" s="66">
        <v>34.2273</v>
      </c>
      <c r="GC22" s="66">
        <v>0</v>
      </c>
      <c r="GD22" s="66">
        <v>71.232674290000006</v>
      </c>
      <c r="GE22" s="66">
        <v>34.2273</v>
      </c>
      <c r="GF22" s="66">
        <v>0</v>
      </c>
      <c r="GG22" s="66">
        <v>37.005374289999999</v>
      </c>
      <c r="GH22" s="67">
        <v>100</v>
      </c>
      <c r="GI22" s="67">
        <v>100</v>
      </c>
      <c r="GJ22" s="67">
        <v>51.949999994868925</v>
      </c>
      <c r="GK22" s="67">
        <v>0</v>
      </c>
      <c r="GL22" s="67">
        <v>0</v>
      </c>
      <c r="GM22" s="66">
        <v>0</v>
      </c>
      <c r="GN22" s="66">
        <v>0</v>
      </c>
      <c r="GO22" s="66">
        <v>0</v>
      </c>
      <c r="GP22" s="66">
        <v>0</v>
      </c>
      <c r="GQ22" s="66">
        <v>0</v>
      </c>
      <c r="GR22" s="66">
        <v>0</v>
      </c>
      <c r="GS22" s="66">
        <v>0</v>
      </c>
      <c r="GT22" s="66">
        <v>0</v>
      </c>
      <c r="GU22" s="66">
        <v>0</v>
      </c>
      <c r="GV22" s="66">
        <v>0</v>
      </c>
      <c r="GW22" s="66">
        <v>0</v>
      </c>
      <c r="GX22" s="67" t="s">
        <v>1094</v>
      </c>
      <c r="GY22" s="67" t="s">
        <v>1094</v>
      </c>
      <c r="GZ22" s="67">
        <v>0</v>
      </c>
      <c r="HA22" s="67">
        <v>0</v>
      </c>
      <c r="HB22" s="67">
        <v>0</v>
      </c>
      <c r="HC22" s="66">
        <v>3.9016999999999999</v>
      </c>
      <c r="HD22" s="66">
        <v>0</v>
      </c>
      <c r="HE22" s="66">
        <v>11.401811800000001</v>
      </c>
      <c r="HF22" s="66">
        <v>3.9016999999999999</v>
      </c>
      <c r="HG22" s="66">
        <v>7.5001118</v>
      </c>
      <c r="HH22" s="66">
        <v>3.9016999999999999</v>
      </c>
      <c r="HI22" s="66">
        <v>0</v>
      </c>
      <c r="HJ22" s="66">
        <v>11.401811800000001</v>
      </c>
      <c r="HK22" s="66">
        <v>3.9016999999999999</v>
      </c>
      <c r="HL22" s="66">
        <v>0</v>
      </c>
      <c r="HM22" s="66">
        <v>7.5001118</v>
      </c>
      <c r="HN22" s="67">
        <v>100</v>
      </c>
      <c r="HO22" s="67">
        <v>100</v>
      </c>
      <c r="HP22" s="67">
        <v>65.779999982108109</v>
      </c>
      <c r="HQ22" s="67">
        <v>0</v>
      </c>
      <c r="HR22" s="67">
        <v>0</v>
      </c>
      <c r="HS22" s="66">
        <v>0</v>
      </c>
      <c r="HT22" s="66">
        <v>0</v>
      </c>
      <c r="HU22" s="66">
        <v>0</v>
      </c>
      <c r="HV22" s="66">
        <v>0</v>
      </c>
      <c r="HW22" s="66">
        <v>0</v>
      </c>
      <c r="HX22" s="66">
        <v>0</v>
      </c>
      <c r="HY22" s="66">
        <v>0</v>
      </c>
      <c r="HZ22" s="66">
        <v>0</v>
      </c>
      <c r="IA22" s="66">
        <v>0</v>
      </c>
      <c r="IB22" s="66">
        <v>0</v>
      </c>
      <c r="IC22" s="66">
        <v>0</v>
      </c>
      <c r="ID22" s="67" t="s">
        <v>1094</v>
      </c>
      <c r="IE22" s="67" t="s">
        <v>1094</v>
      </c>
      <c r="IF22" s="67">
        <v>0</v>
      </c>
      <c r="IG22" s="67">
        <v>0</v>
      </c>
      <c r="IH22" s="67">
        <v>0</v>
      </c>
    </row>
    <row r="23" spans="1:242" ht="15.75" x14ac:dyDescent="0.25">
      <c r="A23" s="11" t="s">
        <v>36</v>
      </c>
      <c r="B23" s="189" t="s">
        <v>37</v>
      </c>
      <c r="C23" s="66">
        <v>63.147199999999998</v>
      </c>
      <c r="D23" s="66">
        <v>0</v>
      </c>
      <c r="E23" s="66">
        <v>90.212000000000003</v>
      </c>
      <c r="F23" s="66">
        <v>63.147199999999998</v>
      </c>
      <c r="G23" s="66">
        <v>27.064799999999998</v>
      </c>
      <c r="H23" s="66">
        <v>41.395674360000001</v>
      </c>
      <c r="I23" s="66">
        <v>1.2686539799999998</v>
      </c>
      <c r="J23" s="66">
        <v>58.956212999999998</v>
      </c>
      <c r="K23" s="66">
        <v>41.268335440000001</v>
      </c>
      <c r="L23" s="66">
        <v>0</v>
      </c>
      <c r="M23" s="66">
        <v>17.68787756</v>
      </c>
      <c r="N23" s="67">
        <v>65.352597486507719</v>
      </c>
      <c r="O23" s="67">
        <v>65.353808489255428</v>
      </c>
      <c r="P23" s="67">
        <v>30.001719343811995</v>
      </c>
      <c r="Q23" s="66">
        <v>1.2686539799999998</v>
      </c>
      <c r="R23" s="67">
        <v>0.12733891999999614</v>
      </c>
      <c r="S23" s="66">
        <v>25.9438</v>
      </c>
      <c r="T23" s="66">
        <v>0</v>
      </c>
      <c r="U23" s="66">
        <v>37.062600000000003</v>
      </c>
      <c r="V23" s="66">
        <v>25.9438</v>
      </c>
      <c r="W23" s="66">
        <v>11.1188</v>
      </c>
      <c r="X23" s="66">
        <v>25.796634010000002</v>
      </c>
      <c r="Y23" s="66">
        <v>1.2213497799999999</v>
      </c>
      <c r="Z23" s="66">
        <v>36.670449829999995</v>
      </c>
      <c r="AA23" s="66">
        <v>25.669295089999999</v>
      </c>
      <c r="AB23" s="66">
        <v>0</v>
      </c>
      <c r="AC23" s="66">
        <v>11.00115474</v>
      </c>
      <c r="AD23" s="67">
        <v>98.941924814406519</v>
      </c>
      <c r="AE23" s="67">
        <v>98.941924848005186</v>
      </c>
      <c r="AF23" s="67">
        <v>30.000053969886093</v>
      </c>
      <c r="AG23" s="67">
        <v>1.2213497799999999</v>
      </c>
      <c r="AH23" s="67">
        <v>0.12733892000000391</v>
      </c>
      <c r="AI23" s="66">
        <v>0</v>
      </c>
      <c r="AJ23" s="66">
        <v>0</v>
      </c>
      <c r="AK23" s="66">
        <v>0</v>
      </c>
      <c r="AL23" s="66">
        <v>0</v>
      </c>
      <c r="AM23" s="66">
        <v>0</v>
      </c>
      <c r="AN23" s="66">
        <v>0</v>
      </c>
      <c r="AO23" s="66">
        <v>4.7304199999999998E-2</v>
      </c>
      <c r="AP23" s="66">
        <v>0</v>
      </c>
      <c r="AQ23" s="66">
        <v>0</v>
      </c>
      <c r="AR23" s="66">
        <v>0</v>
      </c>
      <c r="AS23" s="66">
        <v>0</v>
      </c>
      <c r="AT23" s="67" t="s">
        <v>1094</v>
      </c>
      <c r="AU23" s="67" t="s">
        <v>1094</v>
      </c>
      <c r="AV23" s="67">
        <v>0</v>
      </c>
      <c r="AW23" s="67">
        <v>4.7304199999999998E-2</v>
      </c>
      <c r="AX23" s="67">
        <v>0</v>
      </c>
      <c r="AY23" s="66">
        <v>5.2813999999999997</v>
      </c>
      <c r="AZ23" s="66">
        <v>0</v>
      </c>
      <c r="BA23" s="66">
        <v>7.5453999999999999</v>
      </c>
      <c r="BB23" s="66">
        <v>5.2813999999999997</v>
      </c>
      <c r="BC23" s="66">
        <v>2.2639999999999998</v>
      </c>
      <c r="BD23" s="66">
        <v>5.28139979</v>
      </c>
      <c r="BE23" s="66">
        <v>0</v>
      </c>
      <c r="BF23" s="66">
        <v>7.5453997900000003</v>
      </c>
      <c r="BG23" s="66">
        <v>5.28139979</v>
      </c>
      <c r="BH23" s="66">
        <v>0</v>
      </c>
      <c r="BI23" s="66">
        <v>2.2639999999999998</v>
      </c>
      <c r="BJ23" s="67">
        <v>99.999996023781577</v>
      </c>
      <c r="BK23" s="67">
        <v>100</v>
      </c>
      <c r="BL23" s="67">
        <v>30.005037016070418</v>
      </c>
      <c r="BM23" s="67">
        <v>0</v>
      </c>
      <c r="BN23" s="67">
        <v>0</v>
      </c>
      <c r="BO23" s="66">
        <v>0</v>
      </c>
      <c r="BP23" s="66">
        <v>0</v>
      </c>
      <c r="BQ23" s="66">
        <v>0</v>
      </c>
      <c r="BR23" s="66">
        <v>0</v>
      </c>
      <c r="BS23" s="66">
        <v>0</v>
      </c>
      <c r="BT23" s="66">
        <v>0</v>
      </c>
      <c r="BU23" s="66">
        <v>0</v>
      </c>
      <c r="BV23" s="66">
        <v>0</v>
      </c>
      <c r="BW23" s="66">
        <v>0</v>
      </c>
      <c r="BX23" s="66">
        <v>0</v>
      </c>
      <c r="BY23" s="66">
        <v>0</v>
      </c>
      <c r="BZ23" s="67" t="s">
        <v>1094</v>
      </c>
      <c r="CA23" s="67" t="s">
        <v>1094</v>
      </c>
      <c r="CB23" s="67">
        <v>0</v>
      </c>
      <c r="CC23" s="67">
        <v>0</v>
      </c>
      <c r="CD23" s="67">
        <v>0</v>
      </c>
      <c r="CE23" s="66">
        <v>23.195</v>
      </c>
      <c r="CF23" s="66">
        <v>0</v>
      </c>
      <c r="CG23" s="66">
        <v>33.136000000000003</v>
      </c>
      <c r="CH23" s="66">
        <v>23.195</v>
      </c>
      <c r="CI23" s="66">
        <v>9.9410000000000007</v>
      </c>
      <c r="CJ23" s="66">
        <v>1.5906408300000001</v>
      </c>
      <c r="CK23" s="66">
        <v>0</v>
      </c>
      <c r="CL23" s="66">
        <v>2.27236365</v>
      </c>
      <c r="CM23" s="66">
        <v>1.5906408300000001</v>
      </c>
      <c r="CN23" s="66">
        <v>0</v>
      </c>
      <c r="CO23" s="66">
        <v>0.68172281999999995</v>
      </c>
      <c r="CP23" s="67">
        <v>6.8576884242293605</v>
      </c>
      <c r="CQ23" s="67">
        <v>6.8576885625188595</v>
      </c>
      <c r="CR23" s="67">
        <v>30.000603996635839</v>
      </c>
      <c r="CS23" s="67">
        <v>0</v>
      </c>
      <c r="CT23" s="67">
        <v>0</v>
      </c>
      <c r="CU23" s="66">
        <v>0</v>
      </c>
      <c r="CV23" s="66">
        <v>0</v>
      </c>
      <c r="CW23" s="66">
        <v>0</v>
      </c>
      <c r="CX23" s="66">
        <v>0</v>
      </c>
      <c r="CY23" s="66">
        <v>0</v>
      </c>
      <c r="CZ23" s="66">
        <v>0</v>
      </c>
      <c r="DA23" s="66">
        <v>0</v>
      </c>
      <c r="DB23" s="66">
        <v>0</v>
      </c>
      <c r="DC23" s="66">
        <v>0</v>
      </c>
      <c r="DD23" s="66">
        <v>0</v>
      </c>
      <c r="DE23" s="66">
        <v>0</v>
      </c>
      <c r="DF23" s="67" t="s">
        <v>1094</v>
      </c>
      <c r="DG23" s="67" t="s">
        <v>1094</v>
      </c>
      <c r="DH23" s="67">
        <v>0</v>
      </c>
      <c r="DI23" s="67">
        <v>0</v>
      </c>
      <c r="DJ23" s="67">
        <v>0</v>
      </c>
      <c r="DK23" s="66">
        <v>8.7270000000000003</v>
      </c>
      <c r="DL23" s="66">
        <v>0</v>
      </c>
      <c r="DM23" s="66">
        <v>12.468</v>
      </c>
      <c r="DN23" s="66">
        <v>8.7270000000000003</v>
      </c>
      <c r="DO23" s="66">
        <v>3.7410000000000001</v>
      </c>
      <c r="DP23" s="66">
        <v>8.7269997300000011</v>
      </c>
      <c r="DQ23" s="66">
        <v>0</v>
      </c>
      <c r="DR23" s="66">
        <v>12.467999730000001</v>
      </c>
      <c r="DS23" s="66">
        <v>8.7269997300000011</v>
      </c>
      <c r="DT23" s="66">
        <v>0</v>
      </c>
      <c r="DU23" s="66">
        <v>3.7410000000000001</v>
      </c>
      <c r="DV23" s="67">
        <v>99.999996906153328</v>
      </c>
      <c r="DW23" s="67">
        <v>100</v>
      </c>
      <c r="DX23" s="67">
        <v>30.004812969305384</v>
      </c>
      <c r="DY23" s="67">
        <v>0</v>
      </c>
      <c r="DZ23" s="67">
        <v>0</v>
      </c>
      <c r="EA23" s="66">
        <v>0</v>
      </c>
      <c r="EB23" s="66">
        <v>0</v>
      </c>
      <c r="EC23" s="66">
        <v>0</v>
      </c>
      <c r="ED23" s="66">
        <v>0</v>
      </c>
      <c r="EE23" s="66">
        <v>0</v>
      </c>
      <c r="EF23" s="66">
        <v>0</v>
      </c>
      <c r="EG23" s="66">
        <v>0</v>
      </c>
      <c r="EH23" s="66">
        <v>0</v>
      </c>
      <c r="EI23" s="66">
        <v>0</v>
      </c>
      <c r="EJ23" s="66">
        <v>0</v>
      </c>
      <c r="EK23" s="66">
        <v>0</v>
      </c>
      <c r="EL23" s="67" t="s">
        <v>1094</v>
      </c>
      <c r="EM23" s="67" t="s">
        <v>1094</v>
      </c>
      <c r="EN23" s="67">
        <v>0</v>
      </c>
      <c r="EO23" s="67">
        <v>0</v>
      </c>
      <c r="EP23" s="67">
        <v>0</v>
      </c>
      <c r="EQ23" s="66">
        <v>0</v>
      </c>
      <c r="ER23" s="66">
        <v>0</v>
      </c>
      <c r="ES23" s="66">
        <v>0</v>
      </c>
      <c r="ET23" s="66">
        <v>0</v>
      </c>
      <c r="EU23" s="66">
        <v>0</v>
      </c>
      <c r="EV23" s="66">
        <v>0</v>
      </c>
      <c r="EW23" s="66">
        <v>0</v>
      </c>
      <c r="EX23" s="66">
        <v>0</v>
      </c>
      <c r="EY23" s="66">
        <v>0</v>
      </c>
      <c r="EZ23" s="66">
        <v>0</v>
      </c>
      <c r="FA23" s="66">
        <v>0</v>
      </c>
      <c r="FB23" s="67" t="s">
        <v>1094</v>
      </c>
      <c r="FC23" s="67" t="s">
        <v>1094</v>
      </c>
      <c r="FD23" s="67">
        <v>0</v>
      </c>
      <c r="FE23" s="67">
        <v>0</v>
      </c>
      <c r="FF23" s="67">
        <v>0</v>
      </c>
      <c r="FG23" s="66">
        <v>0</v>
      </c>
      <c r="FH23" s="66">
        <v>0</v>
      </c>
      <c r="FI23" s="66">
        <v>0</v>
      </c>
      <c r="FJ23" s="66">
        <v>0</v>
      </c>
      <c r="FK23" s="66">
        <v>0</v>
      </c>
      <c r="FL23" s="66">
        <v>0</v>
      </c>
      <c r="FM23" s="66">
        <v>0</v>
      </c>
      <c r="FN23" s="66">
        <v>0</v>
      </c>
      <c r="FO23" s="66">
        <v>0</v>
      </c>
      <c r="FP23" s="66">
        <v>0</v>
      </c>
      <c r="FQ23" s="66">
        <v>0</v>
      </c>
      <c r="FR23" s="67" t="s">
        <v>1094</v>
      </c>
      <c r="FS23" s="67" t="s">
        <v>1094</v>
      </c>
      <c r="FT23" s="67">
        <v>0</v>
      </c>
      <c r="FU23" s="67">
        <v>0</v>
      </c>
      <c r="FV23" s="67">
        <v>0</v>
      </c>
      <c r="FW23" s="66">
        <v>0</v>
      </c>
      <c r="FX23" s="66">
        <v>0</v>
      </c>
      <c r="FY23" s="66">
        <v>0</v>
      </c>
      <c r="FZ23" s="66">
        <v>0</v>
      </c>
      <c r="GA23" s="66">
        <v>0</v>
      </c>
      <c r="GB23" s="66">
        <v>0</v>
      </c>
      <c r="GC23" s="66">
        <v>0</v>
      </c>
      <c r="GD23" s="66">
        <v>0</v>
      </c>
      <c r="GE23" s="66">
        <v>0</v>
      </c>
      <c r="GF23" s="66">
        <v>0</v>
      </c>
      <c r="GG23" s="66">
        <v>0</v>
      </c>
      <c r="GH23" s="67" t="s">
        <v>1094</v>
      </c>
      <c r="GI23" s="67" t="s">
        <v>1094</v>
      </c>
      <c r="GJ23" s="67">
        <v>0</v>
      </c>
      <c r="GK23" s="67">
        <v>0</v>
      </c>
      <c r="GL23" s="67">
        <v>0</v>
      </c>
      <c r="GM23" s="66">
        <v>0</v>
      </c>
      <c r="GN23" s="66">
        <v>0</v>
      </c>
      <c r="GO23" s="66">
        <v>0</v>
      </c>
      <c r="GP23" s="66">
        <v>0</v>
      </c>
      <c r="GQ23" s="66">
        <v>0</v>
      </c>
      <c r="GR23" s="66">
        <v>0</v>
      </c>
      <c r="GS23" s="66">
        <v>0</v>
      </c>
      <c r="GT23" s="66">
        <v>0</v>
      </c>
      <c r="GU23" s="66">
        <v>0</v>
      </c>
      <c r="GV23" s="66">
        <v>0</v>
      </c>
      <c r="GW23" s="66">
        <v>0</v>
      </c>
      <c r="GX23" s="67" t="s">
        <v>1094</v>
      </c>
      <c r="GY23" s="67" t="s">
        <v>1094</v>
      </c>
      <c r="GZ23" s="67">
        <v>0</v>
      </c>
      <c r="HA23" s="67">
        <v>0</v>
      </c>
      <c r="HB23" s="67">
        <v>0</v>
      </c>
      <c r="HC23" s="66">
        <v>0</v>
      </c>
      <c r="HD23" s="66">
        <v>0</v>
      </c>
      <c r="HE23" s="66">
        <v>0</v>
      </c>
      <c r="HF23" s="66">
        <v>0</v>
      </c>
      <c r="HG23" s="66">
        <v>0</v>
      </c>
      <c r="HH23" s="66">
        <v>0</v>
      </c>
      <c r="HI23" s="66">
        <v>0</v>
      </c>
      <c r="HJ23" s="66">
        <v>0</v>
      </c>
      <c r="HK23" s="66">
        <v>0</v>
      </c>
      <c r="HL23" s="66">
        <v>0</v>
      </c>
      <c r="HM23" s="66">
        <v>0</v>
      </c>
      <c r="HN23" s="67" t="s">
        <v>1094</v>
      </c>
      <c r="HO23" s="67" t="s">
        <v>1094</v>
      </c>
      <c r="HP23" s="67">
        <v>0</v>
      </c>
      <c r="HQ23" s="67">
        <v>0</v>
      </c>
      <c r="HR23" s="67">
        <v>0</v>
      </c>
      <c r="HS23" s="66">
        <v>0</v>
      </c>
      <c r="HT23" s="66">
        <v>0</v>
      </c>
      <c r="HU23" s="66">
        <v>0</v>
      </c>
      <c r="HV23" s="66">
        <v>0</v>
      </c>
      <c r="HW23" s="66">
        <v>0</v>
      </c>
      <c r="HX23" s="66">
        <v>0</v>
      </c>
      <c r="HY23" s="66">
        <v>0</v>
      </c>
      <c r="HZ23" s="66">
        <v>0</v>
      </c>
      <c r="IA23" s="66">
        <v>0</v>
      </c>
      <c r="IB23" s="66">
        <v>0</v>
      </c>
      <c r="IC23" s="66">
        <v>0</v>
      </c>
      <c r="ID23" s="67" t="s">
        <v>1094</v>
      </c>
      <c r="IE23" s="67" t="s">
        <v>1094</v>
      </c>
      <c r="IF23" s="67">
        <v>0</v>
      </c>
      <c r="IG23" s="67">
        <v>0</v>
      </c>
      <c r="IH23" s="67">
        <v>0</v>
      </c>
    </row>
    <row r="24" spans="1:242" ht="15.75" x14ac:dyDescent="0.25">
      <c r="A24" s="11" t="s">
        <v>39</v>
      </c>
      <c r="B24" s="189" t="s">
        <v>297</v>
      </c>
      <c r="C24" s="66">
        <v>0</v>
      </c>
      <c r="D24" s="66">
        <v>0</v>
      </c>
      <c r="E24" s="66">
        <v>0</v>
      </c>
      <c r="F24" s="66">
        <v>0</v>
      </c>
      <c r="G24" s="66">
        <v>0</v>
      </c>
      <c r="H24" s="66">
        <v>0</v>
      </c>
      <c r="I24" s="66">
        <v>0</v>
      </c>
      <c r="J24" s="66">
        <v>0</v>
      </c>
      <c r="K24" s="66">
        <v>0</v>
      </c>
      <c r="L24" s="66">
        <v>0</v>
      </c>
      <c r="M24" s="66">
        <v>0</v>
      </c>
      <c r="N24" s="67" t="s">
        <v>1094</v>
      </c>
      <c r="O24" s="67" t="s">
        <v>1094</v>
      </c>
      <c r="P24" s="67">
        <v>0</v>
      </c>
      <c r="Q24" s="66">
        <v>0</v>
      </c>
      <c r="R24" s="67">
        <v>0</v>
      </c>
      <c r="S24" s="66">
        <v>0</v>
      </c>
      <c r="T24" s="66">
        <v>0</v>
      </c>
      <c r="U24" s="66">
        <v>0</v>
      </c>
      <c r="V24" s="66">
        <v>0</v>
      </c>
      <c r="W24" s="66">
        <v>0</v>
      </c>
      <c r="X24" s="66">
        <v>0</v>
      </c>
      <c r="Y24" s="66">
        <v>0</v>
      </c>
      <c r="Z24" s="66">
        <v>0</v>
      </c>
      <c r="AA24" s="66">
        <v>0</v>
      </c>
      <c r="AB24" s="66">
        <v>0</v>
      </c>
      <c r="AC24" s="66">
        <v>0</v>
      </c>
      <c r="AD24" s="67" t="s">
        <v>1094</v>
      </c>
      <c r="AE24" s="67" t="s">
        <v>1094</v>
      </c>
      <c r="AF24" s="67">
        <v>0</v>
      </c>
      <c r="AG24" s="67">
        <v>0</v>
      </c>
      <c r="AH24" s="67">
        <v>0</v>
      </c>
      <c r="AI24" s="66">
        <v>0</v>
      </c>
      <c r="AJ24" s="66">
        <v>0</v>
      </c>
      <c r="AK24" s="66">
        <v>0</v>
      </c>
      <c r="AL24" s="66">
        <v>0</v>
      </c>
      <c r="AM24" s="66">
        <v>0</v>
      </c>
      <c r="AN24" s="66">
        <v>0</v>
      </c>
      <c r="AO24" s="66">
        <v>0</v>
      </c>
      <c r="AP24" s="66">
        <v>0</v>
      </c>
      <c r="AQ24" s="66">
        <v>0</v>
      </c>
      <c r="AR24" s="66">
        <v>0</v>
      </c>
      <c r="AS24" s="66">
        <v>0</v>
      </c>
      <c r="AT24" s="67" t="s">
        <v>1094</v>
      </c>
      <c r="AU24" s="67" t="s">
        <v>1094</v>
      </c>
      <c r="AV24" s="67">
        <v>0</v>
      </c>
      <c r="AW24" s="67">
        <v>0</v>
      </c>
      <c r="AX24" s="67">
        <v>0</v>
      </c>
      <c r="AY24" s="66">
        <v>0</v>
      </c>
      <c r="AZ24" s="66">
        <v>0</v>
      </c>
      <c r="BA24" s="66">
        <v>0</v>
      </c>
      <c r="BB24" s="66">
        <v>0</v>
      </c>
      <c r="BC24" s="66">
        <v>0</v>
      </c>
      <c r="BD24" s="66">
        <v>0</v>
      </c>
      <c r="BE24" s="66">
        <v>0</v>
      </c>
      <c r="BF24" s="66">
        <v>0</v>
      </c>
      <c r="BG24" s="66">
        <v>0</v>
      </c>
      <c r="BH24" s="66">
        <v>0</v>
      </c>
      <c r="BI24" s="66">
        <v>0</v>
      </c>
      <c r="BJ24" s="67" t="s">
        <v>1094</v>
      </c>
      <c r="BK24" s="67" t="s">
        <v>1094</v>
      </c>
      <c r="BL24" s="67">
        <v>0</v>
      </c>
      <c r="BM24" s="67">
        <v>0</v>
      </c>
      <c r="BN24" s="67">
        <v>0</v>
      </c>
      <c r="BO24" s="66">
        <v>0</v>
      </c>
      <c r="BP24" s="66">
        <v>0</v>
      </c>
      <c r="BQ24" s="66">
        <v>0</v>
      </c>
      <c r="BR24" s="66">
        <v>0</v>
      </c>
      <c r="BS24" s="66">
        <v>0</v>
      </c>
      <c r="BT24" s="66">
        <v>0</v>
      </c>
      <c r="BU24" s="66">
        <v>0</v>
      </c>
      <c r="BV24" s="66">
        <v>0</v>
      </c>
      <c r="BW24" s="66">
        <v>0</v>
      </c>
      <c r="BX24" s="66">
        <v>0</v>
      </c>
      <c r="BY24" s="66">
        <v>0</v>
      </c>
      <c r="BZ24" s="67" t="s">
        <v>1094</v>
      </c>
      <c r="CA24" s="67" t="s">
        <v>1094</v>
      </c>
      <c r="CB24" s="67">
        <v>0</v>
      </c>
      <c r="CC24" s="67">
        <v>0</v>
      </c>
      <c r="CD24" s="67">
        <v>0</v>
      </c>
      <c r="CE24" s="66">
        <v>0</v>
      </c>
      <c r="CF24" s="66">
        <v>0</v>
      </c>
      <c r="CG24" s="66">
        <v>0</v>
      </c>
      <c r="CH24" s="66">
        <v>0</v>
      </c>
      <c r="CI24" s="66">
        <v>0</v>
      </c>
      <c r="CJ24" s="66">
        <v>0</v>
      </c>
      <c r="CK24" s="66">
        <v>0</v>
      </c>
      <c r="CL24" s="66">
        <v>0</v>
      </c>
      <c r="CM24" s="66">
        <v>0</v>
      </c>
      <c r="CN24" s="66">
        <v>0</v>
      </c>
      <c r="CO24" s="66">
        <v>0</v>
      </c>
      <c r="CP24" s="67" t="s">
        <v>1094</v>
      </c>
      <c r="CQ24" s="67" t="s">
        <v>1094</v>
      </c>
      <c r="CR24" s="67">
        <v>0</v>
      </c>
      <c r="CS24" s="67">
        <v>0</v>
      </c>
      <c r="CT24" s="67">
        <v>0</v>
      </c>
      <c r="CU24" s="66">
        <v>0</v>
      </c>
      <c r="CV24" s="66">
        <v>0</v>
      </c>
      <c r="CW24" s="66">
        <v>0</v>
      </c>
      <c r="CX24" s="66">
        <v>0</v>
      </c>
      <c r="CY24" s="66">
        <v>0</v>
      </c>
      <c r="CZ24" s="66">
        <v>0</v>
      </c>
      <c r="DA24" s="66">
        <v>0</v>
      </c>
      <c r="DB24" s="66">
        <v>0</v>
      </c>
      <c r="DC24" s="66">
        <v>0</v>
      </c>
      <c r="DD24" s="66">
        <v>0</v>
      </c>
      <c r="DE24" s="66">
        <v>0</v>
      </c>
      <c r="DF24" s="67" t="s">
        <v>1094</v>
      </c>
      <c r="DG24" s="67" t="s">
        <v>1094</v>
      </c>
      <c r="DH24" s="67">
        <v>0</v>
      </c>
      <c r="DI24" s="67">
        <v>0</v>
      </c>
      <c r="DJ24" s="67">
        <v>0</v>
      </c>
      <c r="DK24" s="66">
        <v>0</v>
      </c>
      <c r="DL24" s="66">
        <v>0</v>
      </c>
      <c r="DM24" s="66">
        <v>0</v>
      </c>
      <c r="DN24" s="66">
        <v>0</v>
      </c>
      <c r="DO24" s="66">
        <v>0</v>
      </c>
      <c r="DP24" s="66">
        <v>0</v>
      </c>
      <c r="DQ24" s="66">
        <v>0</v>
      </c>
      <c r="DR24" s="66">
        <v>0</v>
      </c>
      <c r="DS24" s="66">
        <v>0</v>
      </c>
      <c r="DT24" s="66">
        <v>0</v>
      </c>
      <c r="DU24" s="66">
        <v>0</v>
      </c>
      <c r="DV24" s="67" t="s">
        <v>1094</v>
      </c>
      <c r="DW24" s="67" t="s">
        <v>1094</v>
      </c>
      <c r="DX24" s="67">
        <v>0</v>
      </c>
      <c r="DY24" s="67">
        <v>0</v>
      </c>
      <c r="DZ24" s="67">
        <v>0</v>
      </c>
      <c r="EA24" s="66">
        <v>0</v>
      </c>
      <c r="EB24" s="66">
        <v>0</v>
      </c>
      <c r="EC24" s="66">
        <v>0</v>
      </c>
      <c r="ED24" s="66">
        <v>0</v>
      </c>
      <c r="EE24" s="66">
        <v>0</v>
      </c>
      <c r="EF24" s="66">
        <v>0</v>
      </c>
      <c r="EG24" s="66">
        <v>0</v>
      </c>
      <c r="EH24" s="66">
        <v>0</v>
      </c>
      <c r="EI24" s="66">
        <v>0</v>
      </c>
      <c r="EJ24" s="66">
        <v>0</v>
      </c>
      <c r="EK24" s="66">
        <v>0</v>
      </c>
      <c r="EL24" s="67" t="s">
        <v>1094</v>
      </c>
      <c r="EM24" s="67" t="s">
        <v>1094</v>
      </c>
      <c r="EN24" s="67">
        <v>0</v>
      </c>
      <c r="EO24" s="67">
        <v>0</v>
      </c>
      <c r="EP24" s="67">
        <v>0</v>
      </c>
      <c r="EQ24" s="66">
        <v>0</v>
      </c>
      <c r="ER24" s="66">
        <v>0</v>
      </c>
      <c r="ES24" s="66">
        <v>0</v>
      </c>
      <c r="ET24" s="66">
        <v>0</v>
      </c>
      <c r="EU24" s="66">
        <v>0</v>
      </c>
      <c r="EV24" s="66">
        <v>0</v>
      </c>
      <c r="EW24" s="66">
        <v>0</v>
      </c>
      <c r="EX24" s="66">
        <v>0</v>
      </c>
      <c r="EY24" s="66">
        <v>0</v>
      </c>
      <c r="EZ24" s="66">
        <v>0</v>
      </c>
      <c r="FA24" s="66">
        <v>0</v>
      </c>
      <c r="FB24" s="67" t="s">
        <v>1094</v>
      </c>
      <c r="FC24" s="67" t="s">
        <v>1094</v>
      </c>
      <c r="FD24" s="67">
        <v>0</v>
      </c>
      <c r="FE24" s="67">
        <v>0</v>
      </c>
      <c r="FF24" s="67">
        <v>0</v>
      </c>
      <c r="FG24" s="66">
        <v>0</v>
      </c>
      <c r="FH24" s="66">
        <v>0</v>
      </c>
      <c r="FI24" s="66">
        <v>0</v>
      </c>
      <c r="FJ24" s="66">
        <v>0</v>
      </c>
      <c r="FK24" s="66">
        <v>0</v>
      </c>
      <c r="FL24" s="66">
        <v>0</v>
      </c>
      <c r="FM24" s="66">
        <v>0</v>
      </c>
      <c r="FN24" s="66">
        <v>0</v>
      </c>
      <c r="FO24" s="66">
        <v>0</v>
      </c>
      <c r="FP24" s="66">
        <v>0</v>
      </c>
      <c r="FQ24" s="66">
        <v>0</v>
      </c>
      <c r="FR24" s="67" t="s">
        <v>1094</v>
      </c>
      <c r="FS24" s="67" t="s">
        <v>1094</v>
      </c>
      <c r="FT24" s="67">
        <v>0</v>
      </c>
      <c r="FU24" s="67">
        <v>0</v>
      </c>
      <c r="FV24" s="67">
        <v>0</v>
      </c>
      <c r="FW24" s="66">
        <v>0</v>
      </c>
      <c r="FX24" s="66">
        <v>0</v>
      </c>
      <c r="FY24" s="66">
        <v>0</v>
      </c>
      <c r="FZ24" s="66">
        <v>0</v>
      </c>
      <c r="GA24" s="66">
        <v>0</v>
      </c>
      <c r="GB24" s="66">
        <v>0</v>
      </c>
      <c r="GC24" s="66">
        <v>0</v>
      </c>
      <c r="GD24" s="66">
        <v>0</v>
      </c>
      <c r="GE24" s="66">
        <v>0</v>
      </c>
      <c r="GF24" s="66">
        <v>0</v>
      </c>
      <c r="GG24" s="66">
        <v>0</v>
      </c>
      <c r="GH24" s="67" t="s">
        <v>1094</v>
      </c>
      <c r="GI24" s="67" t="s">
        <v>1094</v>
      </c>
      <c r="GJ24" s="67">
        <v>0</v>
      </c>
      <c r="GK24" s="67">
        <v>0</v>
      </c>
      <c r="GL24" s="67">
        <v>0</v>
      </c>
      <c r="GM24" s="66">
        <v>0</v>
      </c>
      <c r="GN24" s="66">
        <v>0</v>
      </c>
      <c r="GO24" s="66">
        <v>0</v>
      </c>
      <c r="GP24" s="66">
        <v>0</v>
      </c>
      <c r="GQ24" s="66">
        <v>0</v>
      </c>
      <c r="GR24" s="66">
        <v>0</v>
      </c>
      <c r="GS24" s="66">
        <v>0</v>
      </c>
      <c r="GT24" s="66">
        <v>0</v>
      </c>
      <c r="GU24" s="66">
        <v>0</v>
      </c>
      <c r="GV24" s="66">
        <v>0</v>
      </c>
      <c r="GW24" s="66">
        <v>0</v>
      </c>
      <c r="GX24" s="67" t="s">
        <v>1094</v>
      </c>
      <c r="GY24" s="67" t="s">
        <v>1094</v>
      </c>
      <c r="GZ24" s="67">
        <v>0</v>
      </c>
      <c r="HA24" s="67">
        <v>0</v>
      </c>
      <c r="HB24" s="67">
        <v>0</v>
      </c>
      <c r="HC24" s="66">
        <v>0</v>
      </c>
      <c r="HD24" s="66">
        <v>0</v>
      </c>
      <c r="HE24" s="66">
        <v>0</v>
      </c>
      <c r="HF24" s="66">
        <v>0</v>
      </c>
      <c r="HG24" s="66">
        <v>0</v>
      </c>
      <c r="HH24" s="66">
        <v>0</v>
      </c>
      <c r="HI24" s="66">
        <v>0</v>
      </c>
      <c r="HJ24" s="66">
        <v>0</v>
      </c>
      <c r="HK24" s="66">
        <v>0</v>
      </c>
      <c r="HL24" s="66">
        <v>0</v>
      </c>
      <c r="HM24" s="66">
        <v>0</v>
      </c>
      <c r="HN24" s="67" t="s">
        <v>1094</v>
      </c>
      <c r="HO24" s="67" t="s">
        <v>1094</v>
      </c>
      <c r="HP24" s="67">
        <v>0</v>
      </c>
      <c r="HQ24" s="67">
        <v>0</v>
      </c>
      <c r="HR24" s="67">
        <v>0</v>
      </c>
      <c r="HS24" s="66">
        <v>0</v>
      </c>
      <c r="HT24" s="66">
        <v>0</v>
      </c>
      <c r="HU24" s="66">
        <v>0</v>
      </c>
      <c r="HV24" s="66">
        <v>0</v>
      </c>
      <c r="HW24" s="66">
        <v>0</v>
      </c>
      <c r="HX24" s="66">
        <v>0</v>
      </c>
      <c r="HY24" s="66">
        <v>0</v>
      </c>
      <c r="HZ24" s="66">
        <v>0</v>
      </c>
      <c r="IA24" s="66">
        <v>0</v>
      </c>
      <c r="IB24" s="66">
        <v>0</v>
      </c>
      <c r="IC24" s="66">
        <v>0</v>
      </c>
      <c r="ID24" s="67" t="s">
        <v>1094</v>
      </c>
      <c r="IE24" s="67" t="s">
        <v>1094</v>
      </c>
      <c r="IF24" s="67">
        <v>0</v>
      </c>
      <c r="IG24" s="67">
        <v>0</v>
      </c>
      <c r="IH24" s="67">
        <v>0</v>
      </c>
    </row>
    <row r="25" spans="1:242" ht="15.75" x14ac:dyDescent="0.25">
      <c r="A25" s="11" t="s">
        <v>41</v>
      </c>
      <c r="B25" s="189" t="s">
        <v>42</v>
      </c>
      <c r="C25" s="66">
        <v>23.893900000000002</v>
      </c>
      <c r="D25" s="66">
        <v>0</v>
      </c>
      <c r="E25" s="66">
        <v>42.454999999999998</v>
      </c>
      <c r="F25" s="66">
        <v>23.893900000000002</v>
      </c>
      <c r="G25" s="66">
        <v>18.5611</v>
      </c>
      <c r="H25" s="66">
        <v>22.307051189999999</v>
      </c>
      <c r="I25" s="66">
        <v>0</v>
      </c>
      <c r="J25" s="66">
        <v>40.15107793</v>
      </c>
      <c r="K25" s="66">
        <v>22.307051189999999</v>
      </c>
      <c r="L25" s="66">
        <v>0</v>
      </c>
      <c r="M25" s="66">
        <v>17.84402674</v>
      </c>
      <c r="N25" s="67">
        <v>93.358770188207018</v>
      </c>
      <c r="O25" s="67">
        <v>96.136687696311114</v>
      </c>
      <c r="P25" s="67">
        <v>44.442210919242434</v>
      </c>
      <c r="Q25" s="66">
        <v>0</v>
      </c>
      <c r="R25" s="67">
        <v>0</v>
      </c>
      <c r="S25" s="66">
        <v>3.8940999999999999</v>
      </c>
      <c r="T25" s="66">
        <v>0</v>
      </c>
      <c r="U25" s="66">
        <v>10.032</v>
      </c>
      <c r="V25" s="66">
        <v>3.8940999999999999</v>
      </c>
      <c r="W25" s="66">
        <v>6.1379000000000001</v>
      </c>
      <c r="X25" s="66">
        <v>3.8940999999999999</v>
      </c>
      <c r="Y25" s="66">
        <v>0</v>
      </c>
      <c r="Z25" s="66">
        <v>10.032</v>
      </c>
      <c r="AA25" s="66">
        <v>3.8940999999999999</v>
      </c>
      <c r="AB25" s="66">
        <v>0</v>
      </c>
      <c r="AC25" s="66">
        <v>6.1379000000000001</v>
      </c>
      <c r="AD25" s="67">
        <v>100</v>
      </c>
      <c r="AE25" s="67">
        <v>100</v>
      </c>
      <c r="AF25" s="67">
        <v>61.183213716108455</v>
      </c>
      <c r="AG25" s="67">
        <v>0</v>
      </c>
      <c r="AH25" s="67">
        <v>0</v>
      </c>
      <c r="AI25" s="66">
        <v>0</v>
      </c>
      <c r="AJ25" s="66">
        <v>0</v>
      </c>
      <c r="AK25" s="66">
        <v>0</v>
      </c>
      <c r="AL25" s="66">
        <v>0</v>
      </c>
      <c r="AM25" s="66">
        <v>0</v>
      </c>
      <c r="AN25" s="66">
        <v>0</v>
      </c>
      <c r="AO25" s="66">
        <v>0</v>
      </c>
      <c r="AP25" s="66">
        <v>0</v>
      </c>
      <c r="AQ25" s="66">
        <v>0</v>
      </c>
      <c r="AR25" s="66">
        <v>0</v>
      </c>
      <c r="AS25" s="66">
        <v>0</v>
      </c>
      <c r="AT25" s="67" t="s">
        <v>1094</v>
      </c>
      <c r="AU25" s="67" t="s">
        <v>1094</v>
      </c>
      <c r="AV25" s="67">
        <v>0</v>
      </c>
      <c r="AW25" s="67">
        <v>0</v>
      </c>
      <c r="AX25" s="67">
        <v>0</v>
      </c>
      <c r="AY25" s="66">
        <v>18.564399999999999</v>
      </c>
      <c r="AZ25" s="66">
        <v>0</v>
      </c>
      <c r="BA25" s="66">
        <v>26.520600000000002</v>
      </c>
      <c r="BB25" s="66">
        <v>18.564399999999999</v>
      </c>
      <c r="BC25" s="66">
        <v>7.9561999999999999</v>
      </c>
      <c r="BD25" s="66">
        <v>16.989735620000001</v>
      </c>
      <c r="BE25" s="66">
        <v>0</v>
      </c>
      <c r="BF25" s="66">
        <v>24.271077930000001</v>
      </c>
      <c r="BG25" s="66">
        <v>16.989735620000001</v>
      </c>
      <c r="BH25" s="66">
        <v>0</v>
      </c>
      <c r="BI25" s="66">
        <v>7.2813423099999994</v>
      </c>
      <c r="BJ25" s="67">
        <v>91.51782777789748</v>
      </c>
      <c r="BK25" s="67">
        <v>91.51783904376461</v>
      </c>
      <c r="BL25" s="67">
        <v>30.000077998183905</v>
      </c>
      <c r="BM25" s="67">
        <v>0</v>
      </c>
      <c r="BN25" s="67">
        <v>0</v>
      </c>
      <c r="BO25" s="66">
        <v>0</v>
      </c>
      <c r="BP25" s="66">
        <v>0</v>
      </c>
      <c r="BQ25" s="66">
        <v>0</v>
      </c>
      <c r="BR25" s="66">
        <v>0</v>
      </c>
      <c r="BS25" s="66">
        <v>0</v>
      </c>
      <c r="BT25" s="66">
        <v>0</v>
      </c>
      <c r="BU25" s="66">
        <v>0</v>
      </c>
      <c r="BV25" s="66">
        <v>0</v>
      </c>
      <c r="BW25" s="66">
        <v>0</v>
      </c>
      <c r="BX25" s="66">
        <v>0</v>
      </c>
      <c r="BY25" s="66">
        <v>0</v>
      </c>
      <c r="BZ25" s="67" t="s">
        <v>1094</v>
      </c>
      <c r="CA25" s="67" t="s">
        <v>1094</v>
      </c>
      <c r="CB25" s="67">
        <v>0</v>
      </c>
      <c r="CC25" s="67">
        <v>0</v>
      </c>
      <c r="CD25" s="67">
        <v>0</v>
      </c>
      <c r="CE25" s="66">
        <v>0</v>
      </c>
      <c r="CF25" s="66">
        <v>0</v>
      </c>
      <c r="CG25" s="66">
        <v>0</v>
      </c>
      <c r="CH25" s="66">
        <v>0</v>
      </c>
      <c r="CI25" s="66">
        <v>0</v>
      </c>
      <c r="CJ25" s="66">
        <v>0</v>
      </c>
      <c r="CK25" s="66">
        <v>0</v>
      </c>
      <c r="CL25" s="66">
        <v>0</v>
      </c>
      <c r="CM25" s="66">
        <v>0</v>
      </c>
      <c r="CN25" s="66">
        <v>0</v>
      </c>
      <c r="CO25" s="66">
        <v>0</v>
      </c>
      <c r="CP25" s="67" t="s">
        <v>1094</v>
      </c>
      <c r="CQ25" s="67" t="s">
        <v>1094</v>
      </c>
      <c r="CR25" s="67">
        <v>0</v>
      </c>
      <c r="CS25" s="67">
        <v>0</v>
      </c>
      <c r="CT25" s="67">
        <v>0</v>
      </c>
      <c r="CU25" s="66">
        <v>0</v>
      </c>
      <c r="CV25" s="66">
        <v>0</v>
      </c>
      <c r="CW25" s="66">
        <v>0</v>
      </c>
      <c r="CX25" s="66">
        <v>0</v>
      </c>
      <c r="CY25" s="66">
        <v>0</v>
      </c>
      <c r="CZ25" s="66">
        <v>0</v>
      </c>
      <c r="DA25" s="66">
        <v>0</v>
      </c>
      <c r="DB25" s="66">
        <v>0</v>
      </c>
      <c r="DC25" s="66">
        <v>0</v>
      </c>
      <c r="DD25" s="66">
        <v>0</v>
      </c>
      <c r="DE25" s="66">
        <v>0</v>
      </c>
      <c r="DF25" s="67" t="s">
        <v>1094</v>
      </c>
      <c r="DG25" s="67" t="s">
        <v>1094</v>
      </c>
      <c r="DH25" s="67">
        <v>0</v>
      </c>
      <c r="DI25" s="67">
        <v>0</v>
      </c>
      <c r="DJ25" s="67">
        <v>0</v>
      </c>
      <c r="DK25" s="66">
        <v>0</v>
      </c>
      <c r="DL25" s="66">
        <v>0</v>
      </c>
      <c r="DM25" s="66">
        <v>0</v>
      </c>
      <c r="DN25" s="66">
        <v>0</v>
      </c>
      <c r="DO25" s="66">
        <v>0</v>
      </c>
      <c r="DP25" s="66">
        <v>0</v>
      </c>
      <c r="DQ25" s="66">
        <v>0</v>
      </c>
      <c r="DR25" s="66">
        <v>0</v>
      </c>
      <c r="DS25" s="66">
        <v>0</v>
      </c>
      <c r="DT25" s="66">
        <v>0</v>
      </c>
      <c r="DU25" s="66">
        <v>0</v>
      </c>
      <c r="DV25" s="67" t="s">
        <v>1094</v>
      </c>
      <c r="DW25" s="67" t="s">
        <v>1094</v>
      </c>
      <c r="DX25" s="67">
        <v>0</v>
      </c>
      <c r="DY25" s="67">
        <v>0</v>
      </c>
      <c r="DZ25" s="67">
        <v>0</v>
      </c>
      <c r="EA25" s="66">
        <v>0</v>
      </c>
      <c r="EB25" s="66">
        <v>0</v>
      </c>
      <c r="EC25" s="66">
        <v>0</v>
      </c>
      <c r="ED25" s="66">
        <v>0</v>
      </c>
      <c r="EE25" s="66">
        <v>0</v>
      </c>
      <c r="EF25" s="66">
        <v>0</v>
      </c>
      <c r="EG25" s="66">
        <v>0</v>
      </c>
      <c r="EH25" s="66">
        <v>0</v>
      </c>
      <c r="EI25" s="66">
        <v>0</v>
      </c>
      <c r="EJ25" s="66">
        <v>0</v>
      </c>
      <c r="EK25" s="66">
        <v>0</v>
      </c>
      <c r="EL25" s="67" t="s">
        <v>1094</v>
      </c>
      <c r="EM25" s="67" t="s">
        <v>1094</v>
      </c>
      <c r="EN25" s="67">
        <v>0</v>
      </c>
      <c r="EO25" s="67">
        <v>0</v>
      </c>
      <c r="EP25" s="67">
        <v>0</v>
      </c>
      <c r="EQ25" s="66">
        <v>1.1594</v>
      </c>
      <c r="ER25" s="66">
        <v>0</v>
      </c>
      <c r="ES25" s="66">
        <v>5.1764000000000001</v>
      </c>
      <c r="ET25" s="66">
        <v>1.1594</v>
      </c>
      <c r="EU25" s="66">
        <v>4.0170000000000003</v>
      </c>
      <c r="EV25" s="66">
        <v>1.14721557</v>
      </c>
      <c r="EW25" s="66">
        <v>0</v>
      </c>
      <c r="EX25" s="66">
        <v>5.1219999999999999</v>
      </c>
      <c r="EY25" s="66">
        <v>1.14721557</v>
      </c>
      <c r="EZ25" s="66">
        <v>0</v>
      </c>
      <c r="FA25" s="66">
        <v>3.9747844300000001</v>
      </c>
      <c r="FB25" s="67">
        <v>98.949074521304127</v>
      </c>
      <c r="FC25" s="67">
        <v>98.949077172018917</v>
      </c>
      <c r="FD25" s="67">
        <v>77.602195040999618</v>
      </c>
      <c r="FE25" s="67">
        <v>0</v>
      </c>
      <c r="FF25" s="67">
        <v>0</v>
      </c>
      <c r="FG25" s="66">
        <v>0</v>
      </c>
      <c r="FH25" s="66">
        <v>0</v>
      </c>
      <c r="FI25" s="66">
        <v>0</v>
      </c>
      <c r="FJ25" s="66">
        <v>0</v>
      </c>
      <c r="FK25" s="66">
        <v>0</v>
      </c>
      <c r="FL25" s="66">
        <v>0</v>
      </c>
      <c r="FM25" s="66">
        <v>0</v>
      </c>
      <c r="FN25" s="66">
        <v>0</v>
      </c>
      <c r="FO25" s="66">
        <v>0</v>
      </c>
      <c r="FP25" s="66">
        <v>0</v>
      </c>
      <c r="FQ25" s="66">
        <v>0</v>
      </c>
      <c r="FR25" s="67" t="s">
        <v>1094</v>
      </c>
      <c r="FS25" s="67" t="s">
        <v>1094</v>
      </c>
      <c r="FT25" s="67">
        <v>0</v>
      </c>
      <c r="FU25" s="67">
        <v>0</v>
      </c>
      <c r="FV25" s="67">
        <v>0</v>
      </c>
      <c r="FW25" s="66">
        <v>0</v>
      </c>
      <c r="FX25" s="66">
        <v>0</v>
      </c>
      <c r="FY25" s="66">
        <v>0</v>
      </c>
      <c r="FZ25" s="66">
        <v>0</v>
      </c>
      <c r="GA25" s="66">
        <v>0</v>
      </c>
      <c r="GB25" s="66">
        <v>0</v>
      </c>
      <c r="GC25" s="66">
        <v>0</v>
      </c>
      <c r="GD25" s="66">
        <v>0</v>
      </c>
      <c r="GE25" s="66">
        <v>0</v>
      </c>
      <c r="GF25" s="66">
        <v>0</v>
      </c>
      <c r="GG25" s="66">
        <v>0</v>
      </c>
      <c r="GH25" s="67" t="s">
        <v>1094</v>
      </c>
      <c r="GI25" s="67" t="s">
        <v>1094</v>
      </c>
      <c r="GJ25" s="67">
        <v>0</v>
      </c>
      <c r="GK25" s="67">
        <v>0</v>
      </c>
      <c r="GL25" s="67">
        <v>0</v>
      </c>
      <c r="GM25" s="66">
        <v>0</v>
      </c>
      <c r="GN25" s="66">
        <v>0</v>
      </c>
      <c r="GO25" s="66">
        <v>0</v>
      </c>
      <c r="GP25" s="66">
        <v>0</v>
      </c>
      <c r="GQ25" s="66">
        <v>0</v>
      </c>
      <c r="GR25" s="66">
        <v>0</v>
      </c>
      <c r="GS25" s="66">
        <v>0</v>
      </c>
      <c r="GT25" s="66">
        <v>0</v>
      </c>
      <c r="GU25" s="66">
        <v>0</v>
      </c>
      <c r="GV25" s="66">
        <v>0</v>
      </c>
      <c r="GW25" s="66">
        <v>0</v>
      </c>
      <c r="GX25" s="67" t="s">
        <v>1094</v>
      </c>
      <c r="GY25" s="67" t="s">
        <v>1094</v>
      </c>
      <c r="GZ25" s="67">
        <v>0</v>
      </c>
      <c r="HA25" s="67">
        <v>0</v>
      </c>
      <c r="HB25" s="67">
        <v>0</v>
      </c>
      <c r="HC25" s="66">
        <v>0.27600000000000002</v>
      </c>
      <c r="HD25" s="66">
        <v>0</v>
      </c>
      <c r="HE25" s="66">
        <v>0.72599999999999998</v>
      </c>
      <c r="HF25" s="66">
        <v>0.27600000000000002</v>
      </c>
      <c r="HG25" s="66">
        <v>0.45</v>
      </c>
      <c r="HH25" s="66">
        <v>0.27600000000000002</v>
      </c>
      <c r="HI25" s="66">
        <v>0</v>
      </c>
      <c r="HJ25" s="66">
        <v>0.72599999999999998</v>
      </c>
      <c r="HK25" s="66">
        <v>0.27600000000000002</v>
      </c>
      <c r="HL25" s="66">
        <v>0</v>
      </c>
      <c r="HM25" s="66">
        <v>0.45</v>
      </c>
      <c r="HN25" s="67">
        <v>100</v>
      </c>
      <c r="HO25" s="67">
        <v>100</v>
      </c>
      <c r="HP25" s="67">
        <v>61.983471074380169</v>
      </c>
      <c r="HQ25" s="67">
        <v>0</v>
      </c>
      <c r="HR25" s="67">
        <v>0</v>
      </c>
      <c r="HS25" s="66">
        <v>0</v>
      </c>
      <c r="HT25" s="66">
        <v>0</v>
      </c>
      <c r="HU25" s="66">
        <v>0</v>
      </c>
      <c r="HV25" s="66">
        <v>0</v>
      </c>
      <c r="HW25" s="66">
        <v>0</v>
      </c>
      <c r="HX25" s="66">
        <v>0</v>
      </c>
      <c r="HY25" s="66">
        <v>0</v>
      </c>
      <c r="HZ25" s="66">
        <v>0</v>
      </c>
      <c r="IA25" s="66">
        <v>0</v>
      </c>
      <c r="IB25" s="66">
        <v>0</v>
      </c>
      <c r="IC25" s="66">
        <v>0</v>
      </c>
      <c r="ID25" s="67" t="s">
        <v>1094</v>
      </c>
      <c r="IE25" s="67" t="s">
        <v>1094</v>
      </c>
      <c r="IF25" s="67">
        <v>0</v>
      </c>
      <c r="IG25" s="67">
        <v>0</v>
      </c>
      <c r="IH25" s="67">
        <v>0</v>
      </c>
    </row>
    <row r="26" spans="1:242" ht="15.75" x14ac:dyDescent="0.25">
      <c r="A26" s="11" t="s">
        <v>44</v>
      </c>
      <c r="B26" s="189" t="s">
        <v>45</v>
      </c>
      <c r="C26" s="66">
        <v>93.753100000000003</v>
      </c>
      <c r="D26" s="66">
        <v>0</v>
      </c>
      <c r="E26" s="66">
        <v>267.745341</v>
      </c>
      <c r="F26" s="66">
        <v>93.753100000000003</v>
      </c>
      <c r="G26" s="66">
        <v>173.99224099999998</v>
      </c>
      <c r="H26" s="66">
        <v>93.753100000000003</v>
      </c>
      <c r="I26" s="66">
        <v>0</v>
      </c>
      <c r="J26" s="66">
        <v>267.745341</v>
      </c>
      <c r="K26" s="66">
        <v>93.753100000000003</v>
      </c>
      <c r="L26" s="66">
        <v>0</v>
      </c>
      <c r="M26" s="66">
        <v>173.99224099999998</v>
      </c>
      <c r="N26" s="67">
        <v>100</v>
      </c>
      <c r="O26" s="67">
        <v>100</v>
      </c>
      <c r="P26" s="67">
        <v>64.984227307245646</v>
      </c>
      <c r="Q26" s="66">
        <v>0</v>
      </c>
      <c r="R26" s="67">
        <v>0</v>
      </c>
      <c r="S26" s="66">
        <v>29.052700000000002</v>
      </c>
      <c r="T26" s="66">
        <v>0</v>
      </c>
      <c r="U26" s="66">
        <v>122.80994099999999</v>
      </c>
      <c r="V26" s="66">
        <v>29.052700000000002</v>
      </c>
      <c r="W26" s="66">
        <v>93.757240999999993</v>
      </c>
      <c r="X26" s="66">
        <v>29.052700000000002</v>
      </c>
      <c r="Y26" s="66">
        <v>0</v>
      </c>
      <c r="Z26" s="66">
        <v>122.80994099999999</v>
      </c>
      <c r="AA26" s="66">
        <v>29.052700000000002</v>
      </c>
      <c r="AB26" s="66">
        <v>0</v>
      </c>
      <c r="AC26" s="66">
        <v>93.757240999999993</v>
      </c>
      <c r="AD26" s="67">
        <v>100</v>
      </c>
      <c r="AE26" s="67">
        <v>100</v>
      </c>
      <c r="AF26" s="67">
        <v>76.343364581536605</v>
      </c>
      <c r="AG26" s="67">
        <v>0</v>
      </c>
      <c r="AH26" s="67">
        <v>0</v>
      </c>
      <c r="AI26" s="66">
        <v>0</v>
      </c>
      <c r="AJ26" s="66">
        <v>0</v>
      </c>
      <c r="AK26" s="66">
        <v>0</v>
      </c>
      <c r="AL26" s="66">
        <v>0</v>
      </c>
      <c r="AM26" s="66">
        <v>0</v>
      </c>
      <c r="AN26" s="66">
        <v>0</v>
      </c>
      <c r="AO26" s="66">
        <v>0</v>
      </c>
      <c r="AP26" s="66">
        <v>0</v>
      </c>
      <c r="AQ26" s="66">
        <v>0</v>
      </c>
      <c r="AR26" s="66">
        <v>0</v>
      </c>
      <c r="AS26" s="66">
        <v>0</v>
      </c>
      <c r="AT26" s="67" t="s">
        <v>1094</v>
      </c>
      <c r="AU26" s="67" t="s">
        <v>1094</v>
      </c>
      <c r="AV26" s="67">
        <v>0</v>
      </c>
      <c r="AW26" s="67">
        <v>0</v>
      </c>
      <c r="AX26" s="67">
        <v>0</v>
      </c>
      <c r="AY26" s="66">
        <v>30.257000000000001</v>
      </c>
      <c r="AZ26" s="66">
        <v>0</v>
      </c>
      <c r="BA26" s="66">
        <v>74.665000000000006</v>
      </c>
      <c r="BB26" s="66">
        <v>30.257000000000001</v>
      </c>
      <c r="BC26" s="66">
        <v>44.408000000000001</v>
      </c>
      <c r="BD26" s="66">
        <v>30.257000000000001</v>
      </c>
      <c r="BE26" s="66">
        <v>0</v>
      </c>
      <c r="BF26" s="66">
        <v>74.665000000000006</v>
      </c>
      <c r="BG26" s="66">
        <v>30.257000000000001</v>
      </c>
      <c r="BH26" s="66">
        <v>0</v>
      </c>
      <c r="BI26" s="66">
        <v>44.408000000000001</v>
      </c>
      <c r="BJ26" s="67">
        <v>100</v>
      </c>
      <c r="BK26" s="67">
        <v>100</v>
      </c>
      <c r="BL26" s="67">
        <v>59.476327596598132</v>
      </c>
      <c r="BM26" s="67">
        <v>0</v>
      </c>
      <c r="BN26" s="67">
        <v>0</v>
      </c>
      <c r="BO26" s="66">
        <v>0</v>
      </c>
      <c r="BP26" s="66">
        <v>0</v>
      </c>
      <c r="BQ26" s="66">
        <v>0</v>
      </c>
      <c r="BR26" s="66">
        <v>0</v>
      </c>
      <c r="BS26" s="66">
        <v>0</v>
      </c>
      <c r="BT26" s="66">
        <v>0</v>
      </c>
      <c r="BU26" s="66">
        <v>0</v>
      </c>
      <c r="BV26" s="66">
        <v>0</v>
      </c>
      <c r="BW26" s="66">
        <v>0</v>
      </c>
      <c r="BX26" s="66">
        <v>0</v>
      </c>
      <c r="BY26" s="66">
        <v>0</v>
      </c>
      <c r="BZ26" s="67" t="s">
        <v>1094</v>
      </c>
      <c r="CA26" s="67" t="s">
        <v>1094</v>
      </c>
      <c r="CB26" s="67">
        <v>0</v>
      </c>
      <c r="CC26" s="67">
        <v>0</v>
      </c>
      <c r="CD26" s="67">
        <v>0</v>
      </c>
      <c r="CE26" s="66">
        <v>0</v>
      </c>
      <c r="CF26" s="66">
        <v>0</v>
      </c>
      <c r="CG26" s="66">
        <v>0</v>
      </c>
      <c r="CH26" s="66">
        <v>0</v>
      </c>
      <c r="CI26" s="66">
        <v>0</v>
      </c>
      <c r="CJ26" s="66">
        <v>0</v>
      </c>
      <c r="CK26" s="66">
        <v>0</v>
      </c>
      <c r="CL26" s="66">
        <v>0</v>
      </c>
      <c r="CM26" s="66">
        <v>0</v>
      </c>
      <c r="CN26" s="66">
        <v>0</v>
      </c>
      <c r="CO26" s="66">
        <v>0</v>
      </c>
      <c r="CP26" s="67" t="s">
        <v>1094</v>
      </c>
      <c r="CQ26" s="67" t="s">
        <v>1094</v>
      </c>
      <c r="CR26" s="67">
        <v>0</v>
      </c>
      <c r="CS26" s="67">
        <v>0</v>
      </c>
      <c r="CT26" s="67">
        <v>0</v>
      </c>
      <c r="CU26" s="66">
        <v>0</v>
      </c>
      <c r="CV26" s="66">
        <v>0</v>
      </c>
      <c r="CW26" s="66">
        <v>0</v>
      </c>
      <c r="CX26" s="66">
        <v>0</v>
      </c>
      <c r="CY26" s="66">
        <v>0</v>
      </c>
      <c r="CZ26" s="66">
        <v>0</v>
      </c>
      <c r="DA26" s="66">
        <v>0</v>
      </c>
      <c r="DB26" s="66">
        <v>0</v>
      </c>
      <c r="DC26" s="66">
        <v>0</v>
      </c>
      <c r="DD26" s="66">
        <v>0</v>
      </c>
      <c r="DE26" s="66">
        <v>0</v>
      </c>
      <c r="DF26" s="67" t="s">
        <v>1094</v>
      </c>
      <c r="DG26" s="67" t="s">
        <v>1094</v>
      </c>
      <c r="DH26" s="67">
        <v>0</v>
      </c>
      <c r="DI26" s="67">
        <v>0</v>
      </c>
      <c r="DJ26" s="67">
        <v>0</v>
      </c>
      <c r="DK26" s="66">
        <v>1.05</v>
      </c>
      <c r="DL26" s="66">
        <v>0</v>
      </c>
      <c r="DM26" s="66">
        <v>4.577</v>
      </c>
      <c r="DN26" s="66">
        <v>1.05</v>
      </c>
      <c r="DO26" s="66">
        <v>3.5270000000000001</v>
      </c>
      <c r="DP26" s="66">
        <v>1.05</v>
      </c>
      <c r="DQ26" s="66">
        <v>0</v>
      </c>
      <c r="DR26" s="66">
        <v>4.577</v>
      </c>
      <c r="DS26" s="66">
        <v>1.05</v>
      </c>
      <c r="DT26" s="66">
        <v>0</v>
      </c>
      <c r="DU26" s="66">
        <v>3.5270000000000001</v>
      </c>
      <c r="DV26" s="67">
        <v>100</v>
      </c>
      <c r="DW26" s="67">
        <v>100</v>
      </c>
      <c r="DX26" s="67">
        <v>77.05920908892287</v>
      </c>
      <c r="DY26" s="67">
        <v>0</v>
      </c>
      <c r="DZ26" s="67">
        <v>0</v>
      </c>
      <c r="EA26" s="66">
        <v>0</v>
      </c>
      <c r="EB26" s="66">
        <v>0</v>
      </c>
      <c r="EC26" s="66">
        <v>0</v>
      </c>
      <c r="ED26" s="66">
        <v>0</v>
      </c>
      <c r="EE26" s="66">
        <v>0</v>
      </c>
      <c r="EF26" s="66">
        <v>0</v>
      </c>
      <c r="EG26" s="66">
        <v>0</v>
      </c>
      <c r="EH26" s="66">
        <v>0</v>
      </c>
      <c r="EI26" s="66">
        <v>0</v>
      </c>
      <c r="EJ26" s="66">
        <v>0</v>
      </c>
      <c r="EK26" s="66">
        <v>0</v>
      </c>
      <c r="EL26" s="67" t="s">
        <v>1094</v>
      </c>
      <c r="EM26" s="67" t="s">
        <v>1094</v>
      </c>
      <c r="EN26" s="67">
        <v>0</v>
      </c>
      <c r="EO26" s="67">
        <v>0</v>
      </c>
      <c r="EP26" s="67">
        <v>0</v>
      </c>
      <c r="EQ26" s="66">
        <v>0</v>
      </c>
      <c r="ER26" s="66">
        <v>0</v>
      </c>
      <c r="ES26" s="66">
        <v>0</v>
      </c>
      <c r="ET26" s="66">
        <v>0</v>
      </c>
      <c r="EU26" s="66">
        <v>0</v>
      </c>
      <c r="EV26" s="66">
        <v>0</v>
      </c>
      <c r="EW26" s="66">
        <v>0</v>
      </c>
      <c r="EX26" s="66">
        <v>0</v>
      </c>
      <c r="EY26" s="66">
        <v>0</v>
      </c>
      <c r="EZ26" s="66">
        <v>0</v>
      </c>
      <c r="FA26" s="66">
        <v>0</v>
      </c>
      <c r="FB26" s="67" t="s">
        <v>1094</v>
      </c>
      <c r="FC26" s="67" t="s">
        <v>1094</v>
      </c>
      <c r="FD26" s="67">
        <v>0</v>
      </c>
      <c r="FE26" s="67">
        <v>0</v>
      </c>
      <c r="FF26" s="67">
        <v>0</v>
      </c>
      <c r="FG26" s="66">
        <v>0</v>
      </c>
      <c r="FH26" s="66">
        <v>0</v>
      </c>
      <c r="FI26" s="66">
        <v>0</v>
      </c>
      <c r="FJ26" s="66">
        <v>0</v>
      </c>
      <c r="FK26" s="66">
        <v>0</v>
      </c>
      <c r="FL26" s="66">
        <v>0</v>
      </c>
      <c r="FM26" s="66">
        <v>0</v>
      </c>
      <c r="FN26" s="66">
        <v>0</v>
      </c>
      <c r="FO26" s="66">
        <v>0</v>
      </c>
      <c r="FP26" s="66">
        <v>0</v>
      </c>
      <c r="FQ26" s="66">
        <v>0</v>
      </c>
      <c r="FR26" s="67" t="s">
        <v>1094</v>
      </c>
      <c r="FS26" s="67" t="s">
        <v>1094</v>
      </c>
      <c r="FT26" s="67">
        <v>0</v>
      </c>
      <c r="FU26" s="67">
        <v>0</v>
      </c>
      <c r="FV26" s="67">
        <v>0</v>
      </c>
      <c r="FW26" s="66">
        <v>32.732399999999998</v>
      </c>
      <c r="FX26" s="66">
        <v>0</v>
      </c>
      <c r="FY26" s="66">
        <v>62.732399999999998</v>
      </c>
      <c r="FZ26" s="66">
        <v>32.732399999999998</v>
      </c>
      <c r="GA26" s="66">
        <v>30</v>
      </c>
      <c r="GB26" s="66">
        <v>32.732399999999998</v>
      </c>
      <c r="GC26" s="66">
        <v>0</v>
      </c>
      <c r="GD26" s="66">
        <v>62.732399999999998</v>
      </c>
      <c r="GE26" s="66">
        <v>32.732399999999998</v>
      </c>
      <c r="GF26" s="66">
        <v>0</v>
      </c>
      <c r="GG26" s="66">
        <v>30</v>
      </c>
      <c r="GH26" s="67">
        <v>100</v>
      </c>
      <c r="GI26" s="67">
        <v>100</v>
      </c>
      <c r="GJ26" s="67">
        <v>47.82217801327544</v>
      </c>
      <c r="GK26" s="67">
        <v>0</v>
      </c>
      <c r="GL26" s="67">
        <v>0</v>
      </c>
      <c r="GM26" s="66">
        <v>0</v>
      </c>
      <c r="GN26" s="66">
        <v>0</v>
      </c>
      <c r="GO26" s="66">
        <v>0</v>
      </c>
      <c r="GP26" s="66">
        <v>0</v>
      </c>
      <c r="GQ26" s="66">
        <v>0</v>
      </c>
      <c r="GR26" s="66">
        <v>0</v>
      </c>
      <c r="GS26" s="66">
        <v>0</v>
      </c>
      <c r="GT26" s="66">
        <v>0</v>
      </c>
      <c r="GU26" s="66">
        <v>0</v>
      </c>
      <c r="GV26" s="66">
        <v>0</v>
      </c>
      <c r="GW26" s="66">
        <v>0</v>
      </c>
      <c r="GX26" s="67" t="s">
        <v>1094</v>
      </c>
      <c r="GY26" s="67" t="s">
        <v>1094</v>
      </c>
      <c r="GZ26" s="67">
        <v>0</v>
      </c>
      <c r="HA26" s="67">
        <v>0</v>
      </c>
      <c r="HB26" s="67">
        <v>0</v>
      </c>
      <c r="HC26" s="66">
        <v>0.66100000000000003</v>
      </c>
      <c r="HD26" s="66">
        <v>0</v>
      </c>
      <c r="HE26" s="66">
        <v>2.9609999999999999</v>
      </c>
      <c r="HF26" s="66">
        <v>0.66100000000000003</v>
      </c>
      <c r="HG26" s="66">
        <v>2.2999999999999998</v>
      </c>
      <c r="HH26" s="66">
        <v>0.66100000000000003</v>
      </c>
      <c r="HI26" s="66">
        <v>0</v>
      </c>
      <c r="HJ26" s="66">
        <v>2.9609999999999999</v>
      </c>
      <c r="HK26" s="66">
        <v>0.66100000000000003</v>
      </c>
      <c r="HL26" s="66">
        <v>0</v>
      </c>
      <c r="HM26" s="66">
        <v>2.2999999999999998</v>
      </c>
      <c r="HN26" s="67">
        <v>100</v>
      </c>
      <c r="HO26" s="67">
        <v>100</v>
      </c>
      <c r="HP26" s="67">
        <v>77.676460655184059</v>
      </c>
      <c r="HQ26" s="67">
        <v>0</v>
      </c>
      <c r="HR26" s="67">
        <v>0</v>
      </c>
      <c r="HS26" s="66">
        <v>0</v>
      </c>
      <c r="HT26" s="66">
        <v>0</v>
      </c>
      <c r="HU26" s="66">
        <v>0</v>
      </c>
      <c r="HV26" s="66">
        <v>0</v>
      </c>
      <c r="HW26" s="66">
        <v>0</v>
      </c>
      <c r="HX26" s="66">
        <v>0</v>
      </c>
      <c r="HY26" s="66">
        <v>0</v>
      </c>
      <c r="HZ26" s="66">
        <v>0</v>
      </c>
      <c r="IA26" s="66">
        <v>0</v>
      </c>
      <c r="IB26" s="66">
        <v>0</v>
      </c>
      <c r="IC26" s="66">
        <v>0</v>
      </c>
      <c r="ID26" s="67" t="s">
        <v>1094</v>
      </c>
      <c r="IE26" s="67" t="s">
        <v>1094</v>
      </c>
      <c r="IF26" s="67">
        <v>0</v>
      </c>
      <c r="IG26" s="67">
        <v>0</v>
      </c>
      <c r="IH26" s="67">
        <v>0</v>
      </c>
    </row>
    <row r="27" spans="1:242" ht="15.75" x14ac:dyDescent="0.25">
      <c r="A27" s="11" t="s">
        <v>47</v>
      </c>
      <c r="B27" s="189" t="s">
        <v>48</v>
      </c>
      <c r="C27" s="66">
        <v>79.02</v>
      </c>
      <c r="D27" s="66">
        <v>0</v>
      </c>
      <c r="E27" s="66">
        <v>122.45276000000001</v>
      </c>
      <c r="F27" s="66">
        <v>79.02</v>
      </c>
      <c r="G27" s="66">
        <v>43.432760000000002</v>
      </c>
      <c r="H27" s="66">
        <v>79.02</v>
      </c>
      <c r="I27" s="66">
        <v>4.4617120000000003E-2</v>
      </c>
      <c r="J27" s="66">
        <v>122.41605781000001</v>
      </c>
      <c r="K27" s="66">
        <v>78.994368469999984</v>
      </c>
      <c r="L27" s="66">
        <v>0</v>
      </c>
      <c r="M27" s="66">
        <v>43.42168934</v>
      </c>
      <c r="N27" s="67">
        <v>99.967563237155133</v>
      </c>
      <c r="O27" s="67">
        <v>99.974510807049782</v>
      </c>
      <c r="P27" s="67">
        <v>35.470582958482545</v>
      </c>
      <c r="Q27" s="66">
        <v>4.4617120000000003E-2</v>
      </c>
      <c r="R27" s="67">
        <v>2.5631530000010568E-2</v>
      </c>
      <c r="S27" s="66">
        <v>30.441299999999998</v>
      </c>
      <c r="T27" s="66">
        <v>0</v>
      </c>
      <c r="U27" s="66">
        <v>43.4876</v>
      </c>
      <c r="V27" s="66">
        <v>30.441299999999998</v>
      </c>
      <c r="W27" s="66">
        <v>13.0463</v>
      </c>
      <c r="X27" s="66">
        <v>30.441299999999998</v>
      </c>
      <c r="Y27" s="66">
        <v>0</v>
      </c>
      <c r="Z27" s="66">
        <v>43.4876</v>
      </c>
      <c r="AA27" s="66">
        <v>30.441299999999998</v>
      </c>
      <c r="AB27" s="66">
        <v>0</v>
      </c>
      <c r="AC27" s="66">
        <v>13.0463</v>
      </c>
      <c r="AD27" s="67">
        <v>100</v>
      </c>
      <c r="AE27" s="67">
        <v>100</v>
      </c>
      <c r="AF27" s="67">
        <v>30.000045990121322</v>
      </c>
      <c r="AG27" s="67">
        <v>0</v>
      </c>
      <c r="AH27" s="67">
        <v>0</v>
      </c>
      <c r="AI27" s="66">
        <v>0</v>
      </c>
      <c r="AJ27" s="66">
        <v>0</v>
      </c>
      <c r="AK27" s="66">
        <v>0</v>
      </c>
      <c r="AL27" s="66">
        <v>0</v>
      </c>
      <c r="AM27" s="66">
        <v>0</v>
      </c>
      <c r="AN27" s="66">
        <v>0</v>
      </c>
      <c r="AO27" s="66">
        <v>4.4617120000000003E-2</v>
      </c>
      <c r="AP27" s="66">
        <v>0</v>
      </c>
      <c r="AQ27" s="66">
        <v>0</v>
      </c>
      <c r="AR27" s="66">
        <v>0</v>
      </c>
      <c r="AS27" s="66">
        <v>0</v>
      </c>
      <c r="AT27" s="67" t="s">
        <v>1094</v>
      </c>
      <c r="AU27" s="67" t="s">
        <v>1094</v>
      </c>
      <c r="AV27" s="67">
        <v>0</v>
      </c>
      <c r="AW27" s="67">
        <v>4.4617120000000003E-2</v>
      </c>
      <c r="AX27" s="67">
        <v>0</v>
      </c>
      <c r="AY27" s="66">
        <v>37.513800000000003</v>
      </c>
      <c r="AZ27" s="66">
        <v>0</v>
      </c>
      <c r="BA27" s="66">
        <v>53.591299999999997</v>
      </c>
      <c r="BB27" s="66">
        <v>37.513800000000003</v>
      </c>
      <c r="BC27" s="66">
        <v>16.077500000000001</v>
      </c>
      <c r="BD27" s="66">
        <v>37.513800000000003</v>
      </c>
      <c r="BE27" s="66">
        <v>0</v>
      </c>
      <c r="BF27" s="66">
        <v>53.554597810000004</v>
      </c>
      <c r="BG27" s="66">
        <v>37.488168469999998</v>
      </c>
      <c r="BH27" s="66">
        <v>0</v>
      </c>
      <c r="BI27" s="66">
        <v>16.066429339999999</v>
      </c>
      <c r="BJ27" s="67">
        <v>99.931674397155163</v>
      </c>
      <c r="BK27" s="67">
        <v>99.931141906390906</v>
      </c>
      <c r="BL27" s="67">
        <v>30.000093357063712</v>
      </c>
      <c r="BM27" s="67">
        <v>0</v>
      </c>
      <c r="BN27" s="67">
        <v>2.5631530000005398E-2</v>
      </c>
      <c r="BO27" s="66">
        <v>0</v>
      </c>
      <c r="BP27" s="66">
        <v>0</v>
      </c>
      <c r="BQ27" s="66">
        <v>0</v>
      </c>
      <c r="BR27" s="66">
        <v>0</v>
      </c>
      <c r="BS27" s="66">
        <v>0</v>
      </c>
      <c r="BT27" s="66">
        <v>0</v>
      </c>
      <c r="BU27" s="66">
        <v>0</v>
      </c>
      <c r="BV27" s="66">
        <v>0</v>
      </c>
      <c r="BW27" s="66">
        <v>0</v>
      </c>
      <c r="BX27" s="66">
        <v>0</v>
      </c>
      <c r="BY27" s="66">
        <v>0</v>
      </c>
      <c r="BZ27" s="67" t="s">
        <v>1094</v>
      </c>
      <c r="CA27" s="67" t="s">
        <v>1094</v>
      </c>
      <c r="CB27" s="67">
        <v>0</v>
      </c>
      <c r="CC27" s="67">
        <v>0</v>
      </c>
      <c r="CD27" s="67">
        <v>0</v>
      </c>
      <c r="CE27" s="66">
        <v>0</v>
      </c>
      <c r="CF27" s="66">
        <v>0</v>
      </c>
      <c r="CG27" s="66">
        <v>0</v>
      </c>
      <c r="CH27" s="66">
        <v>0</v>
      </c>
      <c r="CI27" s="66">
        <v>0</v>
      </c>
      <c r="CJ27" s="66">
        <v>0</v>
      </c>
      <c r="CK27" s="66">
        <v>0</v>
      </c>
      <c r="CL27" s="66">
        <v>0</v>
      </c>
      <c r="CM27" s="66">
        <v>0</v>
      </c>
      <c r="CN27" s="66">
        <v>0</v>
      </c>
      <c r="CO27" s="66">
        <v>0</v>
      </c>
      <c r="CP27" s="67" t="s">
        <v>1094</v>
      </c>
      <c r="CQ27" s="67" t="s">
        <v>1094</v>
      </c>
      <c r="CR27" s="67">
        <v>0</v>
      </c>
      <c r="CS27" s="67">
        <v>0</v>
      </c>
      <c r="CT27" s="67">
        <v>0</v>
      </c>
      <c r="CU27" s="66">
        <v>0</v>
      </c>
      <c r="CV27" s="66">
        <v>0</v>
      </c>
      <c r="CW27" s="66">
        <v>0</v>
      </c>
      <c r="CX27" s="66">
        <v>0</v>
      </c>
      <c r="CY27" s="66">
        <v>0</v>
      </c>
      <c r="CZ27" s="66">
        <v>0</v>
      </c>
      <c r="DA27" s="66">
        <v>0</v>
      </c>
      <c r="DB27" s="66">
        <v>0</v>
      </c>
      <c r="DC27" s="66">
        <v>0</v>
      </c>
      <c r="DD27" s="66">
        <v>0</v>
      </c>
      <c r="DE27" s="66">
        <v>0</v>
      </c>
      <c r="DF27" s="67" t="s">
        <v>1094</v>
      </c>
      <c r="DG27" s="67" t="s">
        <v>1094</v>
      </c>
      <c r="DH27" s="67">
        <v>0</v>
      </c>
      <c r="DI27" s="67">
        <v>0</v>
      </c>
      <c r="DJ27" s="67">
        <v>0</v>
      </c>
      <c r="DK27" s="66">
        <v>0</v>
      </c>
      <c r="DL27" s="66">
        <v>0</v>
      </c>
      <c r="DM27" s="66">
        <v>0</v>
      </c>
      <c r="DN27" s="66">
        <v>0</v>
      </c>
      <c r="DO27" s="66">
        <v>0</v>
      </c>
      <c r="DP27" s="66">
        <v>0</v>
      </c>
      <c r="DQ27" s="66">
        <v>0</v>
      </c>
      <c r="DR27" s="66">
        <v>0</v>
      </c>
      <c r="DS27" s="66">
        <v>0</v>
      </c>
      <c r="DT27" s="66">
        <v>0</v>
      </c>
      <c r="DU27" s="66">
        <v>0</v>
      </c>
      <c r="DV27" s="67" t="s">
        <v>1094</v>
      </c>
      <c r="DW27" s="67" t="s">
        <v>1094</v>
      </c>
      <c r="DX27" s="67">
        <v>0</v>
      </c>
      <c r="DY27" s="67">
        <v>0</v>
      </c>
      <c r="DZ27" s="67">
        <v>0</v>
      </c>
      <c r="EA27" s="66">
        <v>0</v>
      </c>
      <c r="EB27" s="66">
        <v>0</v>
      </c>
      <c r="EC27" s="66">
        <v>0</v>
      </c>
      <c r="ED27" s="66">
        <v>0</v>
      </c>
      <c r="EE27" s="66">
        <v>0</v>
      </c>
      <c r="EF27" s="66">
        <v>0</v>
      </c>
      <c r="EG27" s="66">
        <v>0</v>
      </c>
      <c r="EH27" s="66">
        <v>0</v>
      </c>
      <c r="EI27" s="66">
        <v>0</v>
      </c>
      <c r="EJ27" s="66">
        <v>0</v>
      </c>
      <c r="EK27" s="66">
        <v>0</v>
      </c>
      <c r="EL27" s="67" t="s">
        <v>1094</v>
      </c>
      <c r="EM27" s="67" t="s">
        <v>1094</v>
      </c>
      <c r="EN27" s="67">
        <v>0</v>
      </c>
      <c r="EO27" s="67">
        <v>0</v>
      </c>
      <c r="EP27" s="67">
        <v>0</v>
      </c>
      <c r="EQ27" s="66">
        <v>0</v>
      </c>
      <c r="ER27" s="66">
        <v>0</v>
      </c>
      <c r="ES27" s="66">
        <v>0</v>
      </c>
      <c r="ET27" s="66">
        <v>0</v>
      </c>
      <c r="EU27" s="66">
        <v>0</v>
      </c>
      <c r="EV27" s="66">
        <v>0</v>
      </c>
      <c r="EW27" s="66">
        <v>0</v>
      </c>
      <c r="EX27" s="66">
        <v>0</v>
      </c>
      <c r="EY27" s="66">
        <v>0</v>
      </c>
      <c r="EZ27" s="66">
        <v>0</v>
      </c>
      <c r="FA27" s="66">
        <v>0</v>
      </c>
      <c r="FB27" s="67" t="s">
        <v>1094</v>
      </c>
      <c r="FC27" s="67" t="s">
        <v>1094</v>
      </c>
      <c r="FD27" s="67">
        <v>0</v>
      </c>
      <c r="FE27" s="67">
        <v>0</v>
      </c>
      <c r="FF27" s="67">
        <v>0</v>
      </c>
      <c r="FG27" s="66">
        <v>0</v>
      </c>
      <c r="FH27" s="66">
        <v>0</v>
      </c>
      <c r="FI27" s="66">
        <v>0</v>
      </c>
      <c r="FJ27" s="66">
        <v>0</v>
      </c>
      <c r="FK27" s="66">
        <v>0</v>
      </c>
      <c r="FL27" s="66">
        <v>0</v>
      </c>
      <c r="FM27" s="66">
        <v>0</v>
      </c>
      <c r="FN27" s="66">
        <v>0</v>
      </c>
      <c r="FO27" s="66">
        <v>0</v>
      </c>
      <c r="FP27" s="66">
        <v>0</v>
      </c>
      <c r="FQ27" s="66">
        <v>0</v>
      </c>
      <c r="FR27" s="67" t="s">
        <v>1094</v>
      </c>
      <c r="FS27" s="67" t="s">
        <v>1094</v>
      </c>
      <c r="FT27" s="67">
        <v>0</v>
      </c>
      <c r="FU27" s="67">
        <v>0</v>
      </c>
      <c r="FV27" s="67">
        <v>0</v>
      </c>
      <c r="FW27" s="66">
        <v>11.0649</v>
      </c>
      <c r="FX27" s="66">
        <v>0</v>
      </c>
      <c r="FY27" s="66">
        <v>25.373860000000001</v>
      </c>
      <c r="FZ27" s="66">
        <v>11.0649</v>
      </c>
      <c r="GA27" s="66">
        <v>14.308960000000001</v>
      </c>
      <c r="GB27" s="66">
        <v>11.0649</v>
      </c>
      <c r="GC27" s="66">
        <v>0</v>
      </c>
      <c r="GD27" s="66">
        <v>25.373860000000001</v>
      </c>
      <c r="GE27" s="66">
        <v>11.0649</v>
      </c>
      <c r="GF27" s="66">
        <v>0</v>
      </c>
      <c r="GG27" s="66">
        <v>14.308960000000001</v>
      </c>
      <c r="GH27" s="67">
        <v>100</v>
      </c>
      <c r="GI27" s="67">
        <v>100</v>
      </c>
      <c r="GJ27" s="67">
        <v>56.392523644412009</v>
      </c>
      <c r="GK27" s="67">
        <v>0</v>
      </c>
      <c r="GL27" s="67">
        <v>0</v>
      </c>
      <c r="GM27" s="66">
        <v>0</v>
      </c>
      <c r="GN27" s="66">
        <v>0</v>
      </c>
      <c r="GO27" s="66">
        <v>0</v>
      </c>
      <c r="GP27" s="66">
        <v>0</v>
      </c>
      <c r="GQ27" s="66">
        <v>0</v>
      </c>
      <c r="GR27" s="66">
        <v>0</v>
      </c>
      <c r="GS27" s="66">
        <v>0</v>
      </c>
      <c r="GT27" s="66">
        <v>0</v>
      </c>
      <c r="GU27" s="66">
        <v>0</v>
      </c>
      <c r="GV27" s="66">
        <v>0</v>
      </c>
      <c r="GW27" s="66">
        <v>0</v>
      </c>
      <c r="GX27" s="67" t="s">
        <v>1094</v>
      </c>
      <c r="GY27" s="67" t="s">
        <v>1094</v>
      </c>
      <c r="GZ27" s="67">
        <v>0</v>
      </c>
      <c r="HA27" s="67">
        <v>0</v>
      </c>
      <c r="HB27" s="67">
        <v>0</v>
      </c>
      <c r="HC27" s="66">
        <v>0</v>
      </c>
      <c r="HD27" s="66">
        <v>0</v>
      </c>
      <c r="HE27" s="66">
        <v>0</v>
      </c>
      <c r="HF27" s="66">
        <v>0</v>
      </c>
      <c r="HG27" s="66">
        <v>0</v>
      </c>
      <c r="HH27" s="66">
        <v>0</v>
      </c>
      <c r="HI27" s="66">
        <v>0</v>
      </c>
      <c r="HJ27" s="66">
        <v>0</v>
      </c>
      <c r="HK27" s="66">
        <v>0</v>
      </c>
      <c r="HL27" s="66">
        <v>0</v>
      </c>
      <c r="HM27" s="66">
        <v>0</v>
      </c>
      <c r="HN27" s="67" t="s">
        <v>1094</v>
      </c>
      <c r="HO27" s="67" t="s">
        <v>1094</v>
      </c>
      <c r="HP27" s="67">
        <v>0</v>
      </c>
      <c r="HQ27" s="67">
        <v>0</v>
      </c>
      <c r="HR27" s="67">
        <v>0</v>
      </c>
      <c r="HS27" s="66">
        <v>0</v>
      </c>
      <c r="HT27" s="66">
        <v>0</v>
      </c>
      <c r="HU27" s="66">
        <v>0</v>
      </c>
      <c r="HV27" s="66">
        <v>0</v>
      </c>
      <c r="HW27" s="66">
        <v>0</v>
      </c>
      <c r="HX27" s="66">
        <v>0</v>
      </c>
      <c r="HY27" s="66">
        <v>0</v>
      </c>
      <c r="HZ27" s="66">
        <v>0</v>
      </c>
      <c r="IA27" s="66">
        <v>0</v>
      </c>
      <c r="IB27" s="66">
        <v>0</v>
      </c>
      <c r="IC27" s="66">
        <v>0</v>
      </c>
      <c r="ID27" s="67" t="s">
        <v>1094</v>
      </c>
      <c r="IE27" s="67" t="s">
        <v>1094</v>
      </c>
      <c r="IF27" s="67">
        <v>0</v>
      </c>
      <c r="IG27" s="67">
        <v>0</v>
      </c>
      <c r="IH27" s="67">
        <v>0</v>
      </c>
    </row>
    <row r="28" spans="1:242" ht="15.75" x14ac:dyDescent="0.25">
      <c r="A28" s="11" t="s">
        <v>50</v>
      </c>
      <c r="B28" s="189" t="s">
        <v>51</v>
      </c>
      <c r="C28" s="66">
        <v>126.53230000000001</v>
      </c>
      <c r="D28" s="66">
        <v>0</v>
      </c>
      <c r="E28" s="66">
        <v>243.14057585999998</v>
      </c>
      <c r="F28" s="66">
        <v>126.53230000000001</v>
      </c>
      <c r="G28" s="66">
        <v>116.60827585999999</v>
      </c>
      <c r="H28" s="66">
        <v>126.42173351</v>
      </c>
      <c r="I28" s="66">
        <v>1.7879146499999998</v>
      </c>
      <c r="J28" s="66">
        <v>242.79397234999999</v>
      </c>
      <c r="K28" s="66">
        <v>126.42173351</v>
      </c>
      <c r="L28" s="66">
        <v>0</v>
      </c>
      <c r="M28" s="66">
        <v>116.37223883999999</v>
      </c>
      <c r="N28" s="67">
        <v>99.91261797185382</v>
      </c>
      <c r="O28" s="67">
        <v>99.797581245191054</v>
      </c>
      <c r="P28" s="67">
        <v>47.930448072344824</v>
      </c>
      <c r="Q28" s="66">
        <v>1.7635546499999999</v>
      </c>
      <c r="R28" s="67">
        <v>2.4360000000004822E-2</v>
      </c>
      <c r="S28" s="66">
        <v>50.420699999999997</v>
      </c>
      <c r="T28" s="66">
        <v>0</v>
      </c>
      <c r="U28" s="66">
        <v>72.029571430000004</v>
      </c>
      <c r="V28" s="66">
        <v>50.420699999999997</v>
      </c>
      <c r="W28" s="66">
        <v>21.608871430000001</v>
      </c>
      <c r="X28" s="66">
        <v>50.420699999999997</v>
      </c>
      <c r="Y28" s="66">
        <v>0.619502</v>
      </c>
      <c r="Z28" s="66">
        <v>72.029571430000004</v>
      </c>
      <c r="AA28" s="66">
        <v>50.420699999999997</v>
      </c>
      <c r="AB28" s="66">
        <v>0</v>
      </c>
      <c r="AC28" s="66">
        <v>21.608871430000001</v>
      </c>
      <c r="AD28" s="67">
        <v>100</v>
      </c>
      <c r="AE28" s="67">
        <v>100</v>
      </c>
      <c r="AF28" s="67">
        <v>30.000000001388315</v>
      </c>
      <c r="AG28" s="67">
        <v>0.619502</v>
      </c>
      <c r="AH28" s="67">
        <v>-2.886579864025407E-15</v>
      </c>
      <c r="AI28" s="66">
        <v>0</v>
      </c>
      <c r="AJ28" s="66">
        <v>0</v>
      </c>
      <c r="AK28" s="66">
        <v>0</v>
      </c>
      <c r="AL28" s="66">
        <v>0</v>
      </c>
      <c r="AM28" s="66">
        <v>0</v>
      </c>
      <c r="AN28" s="66">
        <v>0</v>
      </c>
      <c r="AO28" s="66">
        <v>1.1684126499999998</v>
      </c>
      <c r="AP28" s="66">
        <v>0</v>
      </c>
      <c r="AQ28" s="66">
        <v>0</v>
      </c>
      <c r="AR28" s="66">
        <v>0</v>
      </c>
      <c r="AS28" s="66">
        <v>0</v>
      </c>
      <c r="AT28" s="67" t="s">
        <v>1094</v>
      </c>
      <c r="AU28" s="67" t="s">
        <v>1094</v>
      </c>
      <c r="AV28" s="67">
        <v>0</v>
      </c>
      <c r="AW28" s="67">
        <v>1.1440526499999999</v>
      </c>
      <c r="AX28" s="67">
        <v>2.4359999999999937E-2</v>
      </c>
      <c r="AY28" s="66">
        <v>33.401600000000002</v>
      </c>
      <c r="AZ28" s="66">
        <v>0</v>
      </c>
      <c r="BA28" s="66">
        <v>48.825096180000003</v>
      </c>
      <c r="BB28" s="66">
        <v>33.401600000000002</v>
      </c>
      <c r="BC28" s="66">
        <v>15.423496179999999</v>
      </c>
      <c r="BD28" s="66">
        <v>33.401600000000002</v>
      </c>
      <c r="BE28" s="66">
        <v>0</v>
      </c>
      <c r="BF28" s="66">
        <v>48.825096180000003</v>
      </c>
      <c r="BG28" s="66">
        <v>33.401600000000002</v>
      </c>
      <c r="BH28" s="66">
        <v>0</v>
      </c>
      <c r="BI28" s="66">
        <v>15.423496179999999</v>
      </c>
      <c r="BJ28" s="67">
        <v>100</v>
      </c>
      <c r="BK28" s="67">
        <v>100</v>
      </c>
      <c r="BL28" s="67">
        <v>31.589279667036998</v>
      </c>
      <c r="BM28" s="67">
        <v>0</v>
      </c>
      <c r="BN28" s="67">
        <v>0</v>
      </c>
      <c r="BO28" s="66">
        <v>0</v>
      </c>
      <c r="BP28" s="66">
        <v>0</v>
      </c>
      <c r="BQ28" s="66">
        <v>0</v>
      </c>
      <c r="BR28" s="66">
        <v>0</v>
      </c>
      <c r="BS28" s="66">
        <v>0</v>
      </c>
      <c r="BT28" s="66">
        <v>0</v>
      </c>
      <c r="BU28" s="66">
        <v>0</v>
      </c>
      <c r="BV28" s="66">
        <v>0</v>
      </c>
      <c r="BW28" s="66">
        <v>0</v>
      </c>
      <c r="BX28" s="66">
        <v>0</v>
      </c>
      <c r="BY28" s="66">
        <v>0</v>
      </c>
      <c r="BZ28" s="67" t="s">
        <v>1094</v>
      </c>
      <c r="CA28" s="67" t="s">
        <v>1094</v>
      </c>
      <c r="CB28" s="67">
        <v>0</v>
      </c>
      <c r="CC28" s="67">
        <v>0</v>
      </c>
      <c r="CD28" s="67">
        <v>0</v>
      </c>
      <c r="CE28" s="66">
        <v>0</v>
      </c>
      <c r="CF28" s="66">
        <v>0</v>
      </c>
      <c r="CG28" s="66">
        <v>0</v>
      </c>
      <c r="CH28" s="66">
        <v>0</v>
      </c>
      <c r="CI28" s="66">
        <v>0</v>
      </c>
      <c r="CJ28" s="66">
        <v>0</v>
      </c>
      <c r="CK28" s="66">
        <v>0</v>
      </c>
      <c r="CL28" s="66">
        <v>0</v>
      </c>
      <c r="CM28" s="66">
        <v>0</v>
      </c>
      <c r="CN28" s="66">
        <v>0</v>
      </c>
      <c r="CO28" s="66">
        <v>0</v>
      </c>
      <c r="CP28" s="67" t="s">
        <v>1094</v>
      </c>
      <c r="CQ28" s="67" t="s">
        <v>1094</v>
      </c>
      <c r="CR28" s="67">
        <v>0</v>
      </c>
      <c r="CS28" s="67">
        <v>0</v>
      </c>
      <c r="CT28" s="67">
        <v>0</v>
      </c>
      <c r="CU28" s="66">
        <v>0</v>
      </c>
      <c r="CV28" s="66">
        <v>0</v>
      </c>
      <c r="CW28" s="66">
        <v>0</v>
      </c>
      <c r="CX28" s="66">
        <v>0</v>
      </c>
      <c r="CY28" s="66">
        <v>0</v>
      </c>
      <c r="CZ28" s="66">
        <v>0</v>
      </c>
      <c r="DA28" s="66">
        <v>0</v>
      </c>
      <c r="DB28" s="66">
        <v>0</v>
      </c>
      <c r="DC28" s="66">
        <v>0</v>
      </c>
      <c r="DD28" s="66">
        <v>0</v>
      </c>
      <c r="DE28" s="66">
        <v>0</v>
      </c>
      <c r="DF28" s="67" t="s">
        <v>1094</v>
      </c>
      <c r="DG28" s="67" t="s">
        <v>1094</v>
      </c>
      <c r="DH28" s="67">
        <v>0</v>
      </c>
      <c r="DI28" s="67">
        <v>0</v>
      </c>
      <c r="DJ28" s="67">
        <v>0</v>
      </c>
      <c r="DK28" s="66">
        <v>2.6349999999999998</v>
      </c>
      <c r="DL28" s="66">
        <v>0</v>
      </c>
      <c r="DM28" s="66">
        <v>8.2601880899999998</v>
      </c>
      <c r="DN28" s="66">
        <v>2.6349999999999998</v>
      </c>
      <c r="DO28" s="66">
        <v>5.62518809</v>
      </c>
      <c r="DP28" s="66">
        <v>2.5244335099999997</v>
      </c>
      <c r="DQ28" s="66">
        <v>0</v>
      </c>
      <c r="DR28" s="66">
        <v>7.9135845800000002</v>
      </c>
      <c r="DS28" s="66">
        <v>2.5244335099999997</v>
      </c>
      <c r="DT28" s="66">
        <v>0</v>
      </c>
      <c r="DU28" s="66">
        <v>5.3891510700000005</v>
      </c>
      <c r="DV28" s="67">
        <v>95.803928273244779</v>
      </c>
      <c r="DW28" s="67">
        <v>95.803926620345251</v>
      </c>
      <c r="DX28" s="67">
        <v>68.099999633794269</v>
      </c>
      <c r="DY28" s="67">
        <v>0</v>
      </c>
      <c r="DZ28" s="67">
        <v>0</v>
      </c>
      <c r="EA28" s="66">
        <v>0</v>
      </c>
      <c r="EB28" s="66">
        <v>0</v>
      </c>
      <c r="EC28" s="66">
        <v>0</v>
      </c>
      <c r="ED28" s="66">
        <v>0</v>
      </c>
      <c r="EE28" s="66">
        <v>0</v>
      </c>
      <c r="EF28" s="66">
        <v>0</v>
      </c>
      <c r="EG28" s="66">
        <v>0</v>
      </c>
      <c r="EH28" s="66">
        <v>0</v>
      </c>
      <c r="EI28" s="66">
        <v>0</v>
      </c>
      <c r="EJ28" s="66">
        <v>0</v>
      </c>
      <c r="EK28" s="66">
        <v>0</v>
      </c>
      <c r="EL28" s="67" t="s">
        <v>1094</v>
      </c>
      <c r="EM28" s="67" t="s">
        <v>1094</v>
      </c>
      <c r="EN28" s="67">
        <v>0</v>
      </c>
      <c r="EO28" s="67">
        <v>0</v>
      </c>
      <c r="EP28" s="67">
        <v>0</v>
      </c>
      <c r="EQ28" s="66">
        <v>0.14000000000000001</v>
      </c>
      <c r="ER28" s="66">
        <v>0</v>
      </c>
      <c r="ES28" s="66">
        <v>5.4474708200000004</v>
      </c>
      <c r="ET28" s="66">
        <v>0.14000000000000001</v>
      </c>
      <c r="EU28" s="66">
        <v>5.3074708200000007</v>
      </c>
      <c r="EV28" s="66">
        <v>0.14000000000000001</v>
      </c>
      <c r="EW28" s="66">
        <v>0</v>
      </c>
      <c r="EX28" s="66">
        <v>5.4474708200000004</v>
      </c>
      <c r="EY28" s="66">
        <v>0.14000000000000001</v>
      </c>
      <c r="EZ28" s="66">
        <v>0</v>
      </c>
      <c r="FA28" s="66">
        <v>5.3074708200000007</v>
      </c>
      <c r="FB28" s="67">
        <v>100</v>
      </c>
      <c r="FC28" s="67">
        <v>100</v>
      </c>
      <c r="FD28" s="67">
        <v>97.430000001358437</v>
      </c>
      <c r="FE28" s="67">
        <v>0</v>
      </c>
      <c r="FF28" s="67">
        <v>0</v>
      </c>
      <c r="FG28" s="66">
        <v>0</v>
      </c>
      <c r="FH28" s="66">
        <v>0</v>
      </c>
      <c r="FI28" s="66">
        <v>0</v>
      </c>
      <c r="FJ28" s="66">
        <v>0</v>
      </c>
      <c r="FK28" s="66">
        <v>0</v>
      </c>
      <c r="FL28" s="66">
        <v>0</v>
      </c>
      <c r="FM28" s="66">
        <v>0</v>
      </c>
      <c r="FN28" s="66">
        <v>0</v>
      </c>
      <c r="FO28" s="66">
        <v>0</v>
      </c>
      <c r="FP28" s="66">
        <v>0</v>
      </c>
      <c r="FQ28" s="66">
        <v>0</v>
      </c>
      <c r="FR28" s="67" t="s">
        <v>1094</v>
      </c>
      <c r="FS28" s="67" t="s">
        <v>1094</v>
      </c>
      <c r="FT28" s="67">
        <v>0</v>
      </c>
      <c r="FU28" s="67">
        <v>0</v>
      </c>
      <c r="FV28" s="67">
        <v>0</v>
      </c>
      <c r="FW28" s="66">
        <v>36.389299999999999</v>
      </c>
      <c r="FX28" s="66">
        <v>0</v>
      </c>
      <c r="FY28" s="66">
        <v>99.533096279999995</v>
      </c>
      <c r="FZ28" s="66">
        <v>36.389299999999999</v>
      </c>
      <c r="GA28" s="66">
        <v>63.143796280000004</v>
      </c>
      <c r="GB28" s="66">
        <v>36.389299999999999</v>
      </c>
      <c r="GC28" s="66">
        <v>0</v>
      </c>
      <c r="GD28" s="66">
        <v>99.533096279999995</v>
      </c>
      <c r="GE28" s="66">
        <v>36.389299999999999</v>
      </c>
      <c r="GF28" s="66">
        <v>0</v>
      </c>
      <c r="GG28" s="66">
        <v>63.143796280000004</v>
      </c>
      <c r="GH28" s="67">
        <v>100</v>
      </c>
      <c r="GI28" s="67">
        <v>100</v>
      </c>
      <c r="GJ28" s="67">
        <v>63.439999999967853</v>
      </c>
      <c r="GK28" s="67">
        <v>0</v>
      </c>
      <c r="GL28" s="67">
        <v>0</v>
      </c>
      <c r="GM28" s="66">
        <v>0</v>
      </c>
      <c r="GN28" s="66">
        <v>0</v>
      </c>
      <c r="GO28" s="66">
        <v>0</v>
      </c>
      <c r="GP28" s="66">
        <v>0</v>
      </c>
      <c r="GQ28" s="66">
        <v>0</v>
      </c>
      <c r="GR28" s="66">
        <v>0</v>
      </c>
      <c r="GS28" s="66">
        <v>0</v>
      </c>
      <c r="GT28" s="66">
        <v>0</v>
      </c>
      <c r="GU28" s="66">
        <v>0</v>
      </c>
      <c r="GV28" s="66">
        <v>0</v>
      </c>
      <c r="GW28" s="66">
        <v>0</v>
      </c>
      <c r="GX28" s="67" t="s">
        <v>1094</v>
      </c>
      <c r="GY28" s="67" t="s">
        <v>1094</v>
      </c>
      <c r="GZ28" s="67">
        <v>0</v>
      </c>
      <c r="HA28" s="67">
        <v>0</v>
      </c>
      <c r="HB28" s="67">
        <v>0</v>
      </c>
      <c r="HC28" s="66">
        <v>3.5457000000000001</v>
      </c>
      <c r="HD28" s="66">
        <v>0</v>
      </c>
      <c r="HE28" s="66">
        <v>9.0451530600000005</v>
      </c>
      <c r="HF28" s="66">
        <v>3.5457000000000001</v>
      </c>
      <c r="HG28" s="66">
        <v>5.4994530599999996</v>
      </c>
      <c r="HH28" s="66">
        <v>3.5457000000000001</v>
      </c>
      <c r="HI28" s="66">
        <v>0</v>
      </c>
      <c r="HJ28" s="66">
        <v>9.0451530600000005</v>
      </c>
      <c r="HK28" s="66">
        <v>3.5457000000000001</v>
      </c>
      <c r="HL28" s="66">
        <v>0</v>
      </c>
      <c r="HM28" s="66">
        <v>5.4994530599999996</v>
      </c>
      <c r="HN28" s="67">
        <v>100</v>
      </c>
      <c r="HO28" s="67">
        <v>100</v>
      </c>
      <c r="HP28" s="67">
        <v>60.79999999469328</v>
      </c>
      <c r="HQ28" s="67">
        <v>0</v>
      </c>
      <c r="HR28" s="67">
        <v>0</v>
      </c>
      <c r="HS28" s="66">
        <v>0</v>
      </c>
      <c r="HT28" s="66">
        <v>0</v>
      </c>
      <c r="HU28" s="66">
        <v>0</v>
      </c>
      <c r="HV28" s="66">
        <v>0</v>
      </c>
      <c r="HW28" s="66">
        <v>0</v>
      </c>
      <c r="HX28" s="66">
        <v>0</v>
      </c>
      <c r="HY28" s="66">
        <v>0</v>
      </c>
      <c r="HZ28" s="66">
        <v>0</v>
      </c>
      <c r="IA28" s="66">
        <v>0</v>
      </c>
      <c r="IB28" s="66">
        <v>0</v>
      </c>
      <c r="IC28" s="66">
        <v>0</v>
      </c>
      <c r="ID28" s="67" t="s">
        <v>1094</v>
      </c>
      <c r="IE28" s="67" t="s">
        <v>1094</v>
      </c>
      <c r="IF28" s="67">
        <v>0</v>
      </c>
      <c r="IG28" s="67">
        <v>0</v>
      </c>
      <c r="IH28" s="67">
        <v>0</v>
      </c>
    </row>
    <row r="29" spans="1:242" ht="15.75" x14ac:dyDescent="0.25">
      <c r="A29" s="11" t="s">
        <v>53</v>
      </c>
      <c r="B29" s="189" t="s">
        <v>54</v>
      </c>
      <c r="C29" s="66">
        <v>40.625100000000003</v>
      </c>
      <c r="D29" s="66">
        <v>0</v>
      </c>
      <c r="E29" s="66">
        <v>67.241299999999995</v>
      </c>
      <c r="F29" s="66">
        <v>40.625100000000003</v>
      </c>
      <c r="G29" s="66">
        <v>26.616199999999999</v>
      </c>
      <c r="H29" s="66">
        <v>39.921978320000001</v>
      </c>
      <c r="I29" s="66">
        <v>0.55997799999999998</v>
      </c>
      <c r="J29" s="66">
        <v>66.212481060000002</v>
      </c>
      <c r="K29" s="66">
        <v>39.921978320000001</v>
      </c>
      <c r="L29" s="66">
        <v>0</v>
      </c>
      <c r="M29" s="66">
        <v>26.290502740000001</v>
      </c>
      <c r="N29" s="67">
        <v>98.269243201862878</v>
      </c>
      <c r="O29" s="67">
        <v>98.776319459577252</v>
      </c>
      <c r="P29" s="67">
        <v>39.706264316203828</v>
      </c>
      <c r="Q29" s="66">
        <v>0.55997799999999998</v>
      </c>
      <c r="R29" s="67">
        <v>9.9920072216264089E-16</v>
      </c>
      <c r="S29" s="66">
        <v>9.6190999999999995</v>
      </c>
      <c r="T29" s="66">
        <v>0</v>
      </c>
      <c r="U29" s="66">
        <v>21.863199999999999</v>
      </c>
      <c r="V29" s="66">
        <v>9.6190999999999995</v>
      </c>
      <c r="W29" s="66">
        <v>12.2441</v>
      </c>
      <c r="X29" s="66">
        <v>9.6190999999999995</v>
      </c>
      <c r="Y29" s="66">
        <v>0</v>
      </c>
      <c r="Z29" s="66">
        <v>21.863199999999999</v>
      </c>
      <c r="AA29" s="66">
        <v>9.6190999999999995</v>
      </c>
      <c r="AB29" s="66">
        <v>0</v>
      </c>
      <c r="AC29" s="66">
        <v>12.2441</v>
      </c>
      <c r="AD29" s="67">
        <v>100</v>
      </c>
      <c r="AE29" s="67">
        <v>100</v>
      </c>
      <c r="AF29" s="67">
        <v>56.003238318269965</v>
      </c>
      <c r="AG29" s="67">
        <v>0</v>
      </c>
      <c r="AH29" s="67">
        <v>0</v>
      </c>
      <c r="AI29" s="66">
        <v>0</v>
      </c>
      <c r="AJ29" s="66">
        <v>0</v>
      </c>
      <c r="AK29" s="66">
        <v>0</v>
      </c>
      <c r="AL29" s="66">
        <v>0</v>
      </c>
      <c r="AM29" s="66">
        <v>0</v>
      </c>
      <c r="AN29" s="66">
        <v>0</v>
      </c>
      <c r="AO29" s="66">
        <v>0.55997799999999998</v>
      </c>
      <c r="AP29" s="66">
        <v>0</v>
      </c>
      <c r="AQ29" s="66">
        <v>0</v>
      </c>
      <c r="AR29" s="66">
        <v>0</v>
      </c>
      <c r="AS29" s="66">
        <v>0</v>
      </c>
      <c r="AT29" s="67" t="s">
        <v>1094</v>
      </c>
      <c r="AU29" s="67" t="s">
        <v>1094</v>
      </c>
      <c r="AV29" s="67">
        <v>0</v>
      </c>
      <c r="AW29" s="67">
        <v>0.55997799999999998</v>
      </c>
      <c r="AX29" s="67">
        <v>0</v>
      </c>
      <c r="AY29" s="66">
        <v>31.006</v>
      </c>
      <c r="AZ29" s="66">
        <v>0</v>
      </c>
      <c r="BA29" s="66">
        <v>45.378100000000003</v>
      </c>
      <c r="BB29" s="66">
        <v>31.006</v>
      </c>
      <c r="BC29" s="66">
        <v>14.3721</v>
      </c>
      <c r="BD29" s="66">
        <v>30.302878320000001</v>
      </c>
      <c r="BE29" s="66">
        <v>0</v>
      </c>
      <c r="BF29" s="66">
        <v>44.349281060000003</v>
      </c>
      <c r="BG29" s="66">
        <v>30.302878320000001</v>
      </c>
      <c r="BH29" s="66">
        <v>0</v>
      </c>
      <c r="BI29" s="66">
        <v>14.04640274</v>
      </c>
      <c r="BJ29" s="67">
        <v>97.732304457201835</v>
      </c>
      <c r="BK29" s="67">
        <v>97.733822753807715</v>
      </c>
      <c r="BL29" s="67">
        <v>31.672221971302456</v>
      </c>
      <c r="BM29" s="67">
        <v>0</v>
      </c>
      <c r="BN29" s="67">
        <v>0</v>
      </c>
      <c r="BO29" s="66">
        <v>0</v>
      </c>
      <c r="BP29" s="66">
        <v>0</v>
      </c>
      <c r="BQ29" s="66">
        <v>0</v>
      </c>
      <c r="BR29" s="66">
        <v>0</v>
      </c>
      <c r="BS29" s="66">
        <v>0</v>
      </c>
      <c r="BT29" s="66">
        <v>0</v>
      </c>
      <c r="BU29" s="66">
        <v>0</v>
      </c>
      <c r="BV29" s="66">
        <v>0</v>
      </c>
      <c r="BW29" s="66">
        <v>0</v>
      </c>
      <c r="BX29" s="66">
        <v>0</v>
      </c>
      <c r="BY29" s="66">
        <v>0</v>
      </c>
      <c r="BZ29" s="67" t="s">
        <v>1094</v>
      </c>
      <c r="CA29" s="67" t="s">
        <v>1094</v>
      </c>
      <c r="CB29" s="67">
        <v>0</v>
      </c>
      <c r="CC29" s="67">
        <v>0</v>
      </c>
      <c r="CD29" s="67">
        <v>0</v>
      </c>
      <c r="CE29" s="66">
        <v>0</v>
      </c>
      <c r="CF29" s="66">
        <v>0</v>
      </c>
      <c r="CG29" s="66">
        <v>0</v>
      </c>
      <c r="CH29" s="66">
        <v>0</v>
      </c>
      <c r="CI29" s="66">
        <v>0</v>
      </c>
      <c r="CJ29" s="66">
        <v>0</v>
      </c>
      <c r="CK29" s="66">
        <v>0</v>
      </c>
      <c r="CL29" s="66">
        <v>0</v>
      </c>
      <c r="CM29" s="66">
        <v>0</v>
      </c>
      <c r="CN29" s="66">
        <v>0</v>
      </c>
      <c r="CO29" s="66">
        <v>0</v>
      </c>
      <c r="CP29" s="67" t="s">
        <v>1094</v>
      </c>
      <c r="CQ29" s="67" t="s">
        <v>1094</v>
      </c>
      <c r="CR29" s="67">
        <v>0</v>
      </c>
      <c r="CS29" s="67">
        <v>0</v>
      </c>
      <c r="CT29" s="67">
        <v>0</v>
      </c>
      <c r="CU29" s="66">
        <v>0</v>
      </c>
      <c r="CV29" s="66">
        <v>0</v>
      </c>
      <c r="CW29" s="66">
        <v>0</v>
      </c>
      <c r="CX29" s="66">
        <v>0</v>
      </c>
      <c r="CY29" s="66">
        <v>0</v>
      </c>
      <c r="CZ29" s="66">
        <v>0</v>
      </c>
      <c r="DA29" s="66">
        <v>0</v>
      </c>
      <c r="DB29" s="66">
        <v>0</v>
      </c>
      <c r="DC29" s="66">
        <v>0</v>
      </c>
      <c r="DD29" s="66">
        <v>0</v>
      </c>
      <c r="DE29" s="66">
        <v>0</v>
      </c>
      <c r="DF29" s="67" t="s">
        <v>1094</v>
      </c>
      <c r="DG29" s="67" t="s">
        <v>1094</v>
      </c>
      <c r="DH29" s="67">
        <v>0</v>
      </c>
      <c r="DI29" s="67">
        <v>0</v>
      </c>
      <c r="DJ29" s="67">
        <v>0</v>
      </c>
      <c r="DK29" s="66">
        <v>0</v>
      </c>
      <c r="DL29" s="66">
        <v>0</v>
      </c>
      <c r="DM29" s="66">
        <v>0</v>
      </c>
      <c r="DN29" s="66">
        <v>0</v>
      </c>
      <c r="DO29" s="66">
        <v>0</v>
      </c>
      <c r="DP29" s="66">
        <v>0</v>
      </c>
      <c r="DQ29" s="66">
        <v>0</v>
      </c>
      <c r="DR29" s="66">
        <v>0</v>
      </c>
      <c r="DS29" s="66">
        <v>0</v>
      </c>
      <c r="DT29" s="66">
        <v>0</v>
      </c>
      <c r="DU29" s="66">
        <v>0</v>
      </c>
      <c r="DV29" s="67" t="s">
        <v>1094</v>
      </c>
      <c r="DW29" s="67" t="s">
        <v>1094</v>
      </c>
      <c r="DX29" s="67">
        <v>0</v>
      </c>
      <c r="DY29" s="67">
        <v>0</v>
      </c>
      <c r="DZ29" s="67">
        <v>0</v>
      </c>
      <c r="EA29" s="66">
        <v>0</v>
      </c>
      <c r="EB29" s="66">
        <v>0</v>
      </c>
      <c r="EC29" s="66">
        <v>0</v>
      </c>
      <c r="ED29" s="66">
        <v>0</v>
      </c>
      <c r="EE29" s="66">
        <v>0</v>
      </c>
      <c r="EF29" s="66">
        <v>0</v>
      </c>
      <c r="EG29" s="66">
        <v>0</v>
      </c>
      <c r="EH29" s="66">
        <v>0</v>
      </c>
      <c r="EI29" s="66">
        <v>0</v>
      </c>
      <c r="EJ29" s="66">
        <v>0</v>
      </c>
      <c r="EK29" s="66">
        <v>0</v>
      </c>
      <c r="EL29" s="67" t="s">
        <v>1094</v>
      </c>
      <c r="EM29" s="67" t="s">
        <v>1094</v>
      </c>
      <c r="EN29" s="67">
        <v>0</v>
      </c>
      <c r="EO29" s="67">
        <v>0</v>
      </c>
      <c r="EP29" s="67">
        <v>0</v>
      </c>
      <c r="EQ29" s="66">
        <v>0</v>
      </c>
      <c r="ER29" s="66">
        <v>0</v>
      </c>
      <c r="ES29" s="66">
        <v>0</v>
      </c>
      <c r="ET29" s="66">
        <v>0</v>
      </c>
      <c r="EU29" s="66">
        <v>0</v>
      </c>
      <c r="EV29" s="66">
        <v>0</v>
      </c>
      <c r="EW29" s="66">
        <v>0</v>
      </c>
      <c r="EX29" s="66">
        <v>0</v>
      </c>
      <c r="EY29" s="66">
        <v>0</v>
      </c>
      <c r="EZ29" s="66">
        <v>0</v>
      </c>
      <c r="FA29" s="66">
        <v>0</v>
      </c>
      <c r="FB29" s="67" t="s">
        <v>1094</v>
      </c>
      <c r="FC29" s="67" t="s">
        <v>1094</v>
      </c>
      <c r="FD29" s="67">
        <v>0</v>
      </c>
      <c r="FE29" s="67">
        <v>0</v>
      </c>
      <c r="FF29" s="67">
        <v>0</v>
      </c>
      <c r="FG29" s="66">
        <v>0</v>
      </c>
      <c r="FH29" s="66">
        <v>0</v>
      </c>
      <c r="FI29" s="66">
        <v>0</v>
      </c>
      <c r="FJ29" s="66">
        <v>0</v>
      </c>
      <c r="FK29" s="66">
        <v>0</v>
      </c>
      <c r="FL29" s="66">
        <v>0</v>
      </c>
      <c r="FM29" s="66">
        <v>0</v>
      </c>
      <c r="FN29" s="66">
        <v>0</v>
      </c>
      <c r="FO29" s="66">
        <v>0</v>
      </c>
      <c r="FP29" s="66">
        <v>0</v>
      </c>
      <c r="FQ29" s="66">
        <v>0</v>
      </c>
      <c r="FR29" s="67" t="s">
        <v>1094</v>
      </c>
      <c r="FS29" s="67" t="s">
        <v>1094</v>
      </c>
      <c r="FT29" s="67">
        <v>0</v>
      </c>
      <c r="FU29" s="67">
        <v>0</v>
      </c>
      <c r="FV29" s="67">
        <v>0</v>
      </c>
      <c r="FW29" s="66">
        <v>0</v>
      </c>
      <c r="FX29" s="66">
        <v>0</v>
      </c>
      <c r="FY29" s="66">
        <v>0</v>
      </c>
      <c r="FZ29" s="66">
        <v>0</v>
      </c>
      <c r="GA29" s="66">
        <v>0</v>
      </c>
      <c r="GB29" s="66">
        <v>0</v>
      </c>
      <c r="GC29" s="66">
        <v>0</v>
      </c>
      <c r="GD29" s="66">
        <v>0</v>
      </c>
      <c r="GE29" s="66">
        <v>0</v>
      </c>
      <c r="GF29" s="66">
        <v>0</v>
      </c>
      <c r="GG29" s="66">
        <v>0</v>
      </c>
      <c r="GH29" s="67" t="s">
        <v>1094</v>
      </c>
      <c r="GI29" s="67" t="s">
        <v>1094</v>
      </c>
      <c r="GJ29" s="67">
        <v>0</v>
      </c>
      <c r="GK29" s="67">
        <v>0</v>
      </c>
      <c r="GL29" s="67">
        <v>0</v>
      </c>
      <c r="GM29" s="66">
        <v>0</v>
      </c>
      <c r="GN29" s="66">
        <v>0</v>
      </c>
      <c r="GO29" s="66">
        <v>0</v>
      </c>
      <c r="GP29" s="66">
        <v>0</v>
      </c>
      <c r="GQ29" s="66">
        <v>0</v>
      </c>
      <c r="GR29" s="66">
        <v>0</v>
      </c>
      <c r="GS29" s="66">
        <v>0</v>
      </c>
      <c r="GT29" s="66">
        <v>0</v>
      </c>
      <c r="GU29" s="66">
        <v>0</v>
      </c>
      <c r="GV29" s="66">
        <v>0</v>
      </c>
      <c r="GW29" s="66">
        <v>0</v>
      </c>
      <c r="GX29" s="67" t="s">
        <v>1094</v>
      </c>
      <c r="GY29" s="67" t="s">
        <v>1094</v>
      </c>
      <c r="GZ29" s="67">
        <v>0</v>
      </c>
      <c r="HA29" s="67">
        <v>0</v>
      </c>
      <c r="HB29" s="67">
        <v>0</v>
      </c>
      <c r="HC29" s="66">
        <v>0</v>
      </c>
      <c r="HD29" s="66">
        <v>0</v>
      </c>
      <c r="HE29" s="66">
        <v>0</v>
      </c>
      <c r="HF29" s="66">
        <v>0</v>
      </c>
      <c r="HG29" s="66">
        <v>0</v>
      </c>
      <c r="HH29" s="66">
        <v>0</v>
      </c>
      <c r="HI29" s="66">
        <v>0</v>
      </c>
      <c r="HJ29" s="66">
        <v>0</v>
      </c>
      <c r="HK29" s="66">
        <v>0</v>
      </c>
      <c r="HL29" s="66">
        <v>0</v>
      </c>
      <c r="HM29" s="66">
        <v>0</v>
      </c>
      <c r="HN29" s="67" t="s">
        <v>1094</v>
      </c>
      <c r="HO29" s="67" t="s">
        <v>1094</v>
      </c>
      <c r="HP29" s="67">
        <v>0</v>
      </c>
      <c r="HQ29" s="67">
        <v>0</v>
      </c>
      <c r="HR29" s="67">
        <v>0</v>
      </c>
      <c r="HS29" s="66">
        <v>0</v>
      </c>
      <c r="HT29" s="66">
        <v>0</v>
      </c>
      <c r="HU29" s="66">
        <v>0</v>
      </c>
      <c r="HV29" s="66">
        <v>0</v>
      </c>
      <c r="HW29" s="66">
        <v>0</v>
      </c>
      <c r="HX29" s="66">
        <v>0</v>
      </c>
      <c r="HY29" s="66">
        <v>0</v>
      </c>
      <c r="HZ29" s="66">
        <v>0</v>
      </c>
      <c r="IA29" s="66">
        <v>0</v>
      </c>
      <c r="IB29" s="66">
        <v>0</v>
      </c>
      <c r="IC29" s="66">
        <v>0</v>
      </c>
      <c r="ID29" s="67" t="s">
        <v>1094</v>
      </c>
      <c r="IE29" s="67" t="s">
        <v>1094</v>
      </c>
      <c r="IF29" s="67">
        <v>0</v>
      </c>
      <c r="IG29" s="67">
        <v>0</v>
      </c>
      <c r="IH29" s="67">
        <v>0</v>
      </c>
    </row>
    <row r="30" spans="1:242" ht="15.75" x14ac:dyDescent="0.25">
      <c r="A30" s="11" t="s">
        <v>56</v>
      </c>
      <c r="B30" s="189" t="s">
        <v>57</v>
      </c>
      <c r="C30" s="66">
        <v>17.932400000000001</v>
      </c>
      <c r="D30" s="66">
        <v>0</v>
      </c>
      <c r="E30" s="66">
        <v>34.381699999999995</v>
      </c>
      <c r="F30" s="66">
        <v>17.932400000000001</v>
      </c>
      <c r="G30" s="66">
        <v>16.449300000000001</v>
      </c>
      <c r="H30" s="66">
        <v>16.831990150000003</v>
      </c>
      <c r="I30" s="66">
        <v>1.225006E-2</v>
      </c>
      <c r="J30" s="66">
        <v>31.581844130000004</v>
      </c>
      <c r="K30" s="66">
        <v>16.497517260000002</v>
      </c>
      <c r="L30" s="66">
        <v>0</v>
      </c>
      <c r="M30" s="66">
        <v>15.084326869999998</v>
      </c>
      <c r="N30" s="67">
        <v>91.998378688853705</v>
      </c>
      <c r="O30" s="67">
        <v>91.70193789401371</v>
      </c>
      <c r="P30" s="67">
        <v>47.762653782687757</v>
      </c>
      <c r="Q30" s="66">
        <v>1.225006E-2</v>
      </c>
      <c r="R30" s="67">
        <v>0.33447289000000019</v>
      </c>
      <c r="S30" s="66">
        <v>3.9327000000000001</v>
      </c>
      <c r="T30" s="66">
        <v>0</v>
      </c>
      <c r="U30" s="66">
        <v>6.9326999999999996</v>
      </c>
      <c r="V30" s="66">
        <v>3.9327000000000001</v>
      </c>
      <c r="W30" s="66">
        <v>3</v>
      </c>
      <c r="X30" s="66">
        <v>3.8534055199999999</v>
      </c>
      <c r="Y30" s="66">
        <v>1.225006E-2</v>
      </c>
      <c r="Z30" s="66">
        <v>6.7925357300000009</v>
      </c>
      <c r="AA30" s="66">
        <v>3.8534055199999999</v>
      </c>
      <c r="AB30" s="66">
        <v>0</v>
      </c>
      <c r="AC30" s="66">
        <v>2.9391302100000001</v>
      </c>
      <c r="AD30" s="67">
        <v>97.983713987845505</v>
      </c>
      <c r="AE30" s="67">
        <v>97.971007</v>
      </c>
      <c r="AF30" s="67">
        <v>43.269999994538118</v>
      </c>
      <c r="AG30" s="67">
        <v>1.225006E-2</v>
      </c>
      <c r="AH30" s="67">
        <v>-4.8572257327350599E-17</v>
      </c>
      <c r="AI30" s="66">
        <v>0</v>
      </c>
      <c r="AJ30" s="66">
        <v>0</v>
      </c>
      <c r="AK30" s="66">
        <v>0</v>
      </c>
      <c r="AL30" s="66">
        <v>0</v>
      </c>
      <c r="AM30" s="66">
        <v>0</v>
      </c>
      <c r="AN30" s="66">
        <v>0</v>
      </c>
      <c r="AO30" s="66">
        <v>0</v>
      </c>
      <c r="AP30" s="66">
        <v>0</v>
      </c>
      <c r="AQ30" s="66">
        <v>0</v>
      </c>
      <c r="AR30" s="66">
        <v>0</v>
      </c>
      <c r="AS30" s="66">
        <v>0</v>
      </c>
      <c r="AT30" s="67" t="s">
        <v>1094</v>
      </c>
      <c r="AU30" s="67" t="s">
        <v>1094</v>
      </c>
      <c r="AV30" s="67">
        <v>0</v>
      </c>
      <c r="AW30" s="67">
        <v>0</v>
      </c>
      <c r="AX30" s="67">
        <v>0</v>
      </c>
      <c r="AY30" s="66">
        <v>13.919</v>
      </c>
      <c r="AZ30" s="66">
        <v>0</v>
      </c>
      <c r="BA30" s="66">
        <v>27.298999999999999</v>
      </c>
      <c r="BB30" s="66">
        <v>13.919</v>
      </c>
      <c r="BC30" s="66">
        <v>13.38</v>
      </c>
      <c r="BD30" s="66">
        <v>12.901170410000001</v>
      </c>
      <c r="BE30" s="66">
        <v>0</v>
      </c>
      <c r="BF30" s="66">
        <v>24.645415800000002</v>
      </c>
      <c r="BG30" s="66">
        <v>12.56669752</v>
      </c>
      <c r="BH30" s="66">
        <v>0</v>
      </c>
      <c r="BI30" s="66">
        <v>12.078718279999999</v>
      </c>
      <c r="BJ30" s="67">
        <v>90.284485379696804</v>
      </c>
      <c r="BK30" s="67">
        <v>90.27442660687592</v>
      </c>
      <c r="BL30" s="67">
        <v>49.009999985473961</v>
      </c>
      <c r="BM30" s="67">
        <v>0</v>
      </c>
      <c r="BN30" s="67">
        <v>0.33447289000000069</v>
      </c>
      <c r="BO30" s="66">
        <v>0</v>
      </c>
      <c r="BP30" s="66">
        <v>0</v>
      </c>
      <c r="BQ30" s="66">
        <v>0</v>
      </c>
      <c r="BR30" s="66">
        <v>0</v>
      </c>
      <c r="BS30" s="66">
        <v>0</v>
      </c>
      <c r="BT30" s="66">
        <v>0</v>
      </c>
      <c r="BU30" s="66">
        <v>0</v>
      </c>
      <c r="BV30" s="66">
        <v>0</v>
      </c>
      <c r="BW30" s="66">
        <v>0</v>
      </c>
      <c r="BX30" s="66">
        <v>0</v>
      </c>
      <c r="BY30" s="66">
        <v>0</v>
      </c>
      <c r="BZ30" s="67" t="s">
        <v>1094</v>
      </c>
      <c r="CA30" s="67" t="s">
        <v>1094</v>
      </c>
      <c r="CB30" s="67">
        <v>0</v>
      </c>
      <c r="CC30" s="67">
        <v>0</v>
      </c>
      <c r="CD30" s="67">
        <v>0</v>
      </c>
      <c r="CE30" s="66">
        <v>0</v>
      </c>
      <c r="CF30" s="66">
        <v>0</v>
      </c>
      <c r="CG30" s="66">
        <v>0</v>
      </c>
      <c r="CH30" s="66">
        <v>0</v>
      </c>
      <c r="CI30" s="66">
        <v>0</v>
      </c>
      <c r="CJ30" s="66">
        <v>0</v>
      </c>
      <c r="CK30" s="66">
        <v>0</v>
      </c>
      <c r="CL30" s="66">
        <v>0</v>
      </c>
      <c r="CM30" s="66">
        <v>0</v>
      </c>
      <c r="CN30" s="66">
        <v>0</v>
      </c>
      <c r="CO30" s="66">
        <v>0</v>
      </c>
      <c r="CP30" s="67" t="s">
        <v>1094</v>
      </c>
      <c r="CQ30" s="67" t="s">
        <v>1094</v>
      </c>
      <c r="CR30" s="67">
        <v>0</v>
      </c>
      <c r="CS30" s="67">
        <v>0</v>
      </c>
      <c r="CT30" s="67">
        <v>0</v>
      </c>
      <c r="CU30" s="66">
        <v>0</v>
      </c>
      <c r="CV30" s="66">
        <v>0</v>
      </c>
      <c r="CW30" s="66">
        <v>0</v>
      </c>
      <c r="CX30" s="66">
        <v>0</v>
      </c>
      <c r="CY30" s="66">
        <v>0</v>
      </c>
      <c r="CZ30" s="66">
        <v>0</v>
      </c>
      <c r="DA30" s="66">
        <v>0</v>
      </c>
      <c r="DB30" s="66">
        <v>0</v>
      </c>
      <c r="DC30" s="66">
        <v>0</v>
      </c>
      <c r="DD30" s="66">
        <v>0</v>
      </c>
      <c r="DE30" s="66">
        <v>0</v>
      </c>
      <c r="DF30" s="67" t="s">
        <v>1094</v>
      </c>
      <c r="DG30" s="67" t="s">
        <v>1094</v>
      </c>
      <c r="DH30" s="67">
        <v>0</v>
      </c>
      <c r="DI30" s="67">
        <v>0</v>
      </c>
      <c r="DJ30" s="67">
        <v>0</v>
      </c>
      <c r="DK30" s="66">
        <v>0</v>
      </c>
      <c r="DL30" s="66">
        <v>0</v>
      </c>
      <c r="DM30" s="66">
        <v>0</v>
      </c>
      <c r="DN30" s="66">
        <v>0</v>
      </c>
      <c r="DO30" s="66">
        <v>0</v>
      </c>
      <c r="DP30" s="66">
        <v>0</v>
      </c>
      <c r="DQ30" s="66">
        <v>0</v>
      </c>
      <c r="DR30" s="66">
        <v>0</v>
      </c>
      <c r="DS30" s="66">
        <v>0</v>
      </c>
      <c r="DT30" s="66">
        <v>0</v>
      </c>
      <c r="DU30" s="66">
        <v>0</v>
      </c>
      <c r="DV30" s="67" t="s">
        <v>1094</v>
      </c>
      <c r="DW30" s="67" t="s">
        <v>1094</v>
      </c>
      <c r="DX30" s="67">
        <v>0</v>
      </c>
      <c r="DY30" s="67">
        <v>0</v>
      </c>
      <c r="DZ30" s="67">
        <v>0</v>
      </c>
      <c r="EA30" s="66">
        <v>0</v>
      </c>
      <c r="EB30" s="66">
        <v>0</v>
      </c>
      <c r="EC30" s="66">
        <v>0</v>
      </c>
      <c r="ED30" s="66">
        <v>0</v>
      </c>
      <c r="EE30" s="66">
        <v>0</v>
      </c>
      <c r="EF30" s="66">
        <v>0</v>
      </c>
      <c r="EG30" s="66">
        <v>0</v>
      </c>
      <c r="EH30" s="66">
        <v>0</v>
      </c>
      <c r="EI30" s="66">
        <v>0</v>
      </c>
      <c r="EJ30" s="66">
        <v>0</v>
      </c>
      <c r="EK30" s="66">
        <v>0</v>
      </c>
      <c r="EL30" s="67" t="s">
        <v>1094</v>
      </c>
      <c r="EM30" s="67" t="s">
        <v>1094</v>
      </c>
      <c r="EN30" s="67">
        <v>0</v>
      </c>
      <c r="EO30" s="67">
        <v>0</v>
      </c>
      <c r="EP30" s="67">
        <v>0</v>
      </c>
      <c r="EQ30" s="66">
        <v>0</v>
      </c>
      <c r="ER30" s="66">
        <v>0</v>
      </c>
      <c r="ES30" s="66">
        <v>0</v>
      </c>
      <c r="ET30" s="66">
        <v>0</v>
      </c>
      <c r="EU30" s="66">
        <v>0</v>
      </c>
      <c r="EV30" s="66">
        <v>0</v>
      </c>
      <c r="EW30" s="66">
        <v>0</v>
      </c>
      <c r="EX30" s="66">
        <v>0</v>
      </c>
      <c r="EY30" s="66">
        <v>0</v>
      </c>
      <c r="EZ30" s="66">
        <v>0</v>
      </c>
      <c r="FA30" s="66">
        <v>0</v>
      </c>
      <c r="FB30" s="67" t="s">
        <v>1094</v>
      </c>
      <c r="FC30" s="67" t="s">
        <v>1094</v>
      </c>
      <c r="FD30" s="67">
        <v>0</v>
      </c>
      <c r="FE30" s="67">
        <v>0</v>
      </c>
      <c r="FF30" s="67">
        <v>0</v>
      </c>
      <c r="FG30" s="66">
        <v>0</v>
      </c>
      <c r="FH30" s="66">
        <v>0</v>
      </c>
      <c r="FI30" s="66">
        <v>0</v>
      </c>
      <c r="FJ30" s="66">
        <v>0</v>
      </c>
      <c r="FK30" s="66">
        <v>0</v>
      </c>
      <c r="FL30" s="66">
        <v>0</v>
      </c>
      <c r="FM30" s="66">
        <v>0</v>
      </c>
      <c r="FN30" s="66">
        <v>0</v>
      </c>
      <c r="FO30" s="66">
        <v>0</v>
      </c>
      <c r="FP30" s="66">
        <v>0</v>
      </c>
      <c r="FQ30" s="66">
        <v>0</v>
      </c>
      <c r="FR30" s="67" t="s">
        <v>1094</v>
      </c>
      <c r="FS30" s="67" t="s">
        <v>1094</v>
      </c>
      <c r="FT30" s="67">
        <v>0</v>
      </c>
      <c r="FU30" s="67">
        <v>0</v>
      </c>
      <c r="FV30" s="67">
        <v>0</v>
      </c>
      <c r="FW30" s="66">
        <v>0</v>
      </c>
      <c r="FX30" s="66">
        <v>0</v>
      </c>
      <c r="FY30" s="66">
        <v>0</v>
      </c>
      <c r="FZ30" s="66">
        <v>0</v>
      </c>
      <c r="GA30" s="66">
        <v>0</v>
      </c>
      <c r="GB30" s="66">
        <v>0</v>
      </c>
      <c r="GC30" s="66">
        <v>0</v>
      </c>
      <c r="GD30" s="66">
        <v>0</v>
      </c>
      <c r="GE30" s="66">
        <v>0</v>
      </c>
      <c r="GF30" s="66">
        <v>0</v>
      </c>
      <c r="GG30" s="66">
        <v>0</v>
      </c>
      <c r="GH30" s="67" t="s">
        <v>1094</v>
      </c>
      <c r="GI30" s="67" t="s">
        <v>1094</v>
      </c>
      <c r="GJ30" s="67">
        <v>0</v>
      </c>
      <c r="GK30" s="67">
        <v>0</v>
      </c>
      <c r="GL30" s="67">
        <v>0</v>
      </c>
      <c r="GM30" s="66">
        <v>0</v>
      </c>
      <c r="GN30" s="66">
        <v>0</v>
      </c>
      <c r="GO30" s="66">
        <v>0</v>
      </c>
      <c r="GP30" s="66">
        <v>0</v>
      </c>
      <c r="GQ30" s="66">
        <v>0</v>
      </c>
      <c r="GR30" s="66">
        <v>0</v>
      </c>
      <c r="GS30" s="66">
        <v>0</v>
      </c>
      <c r="GT30" s="66">
        <v>0</v>
      </c>
      <c r="GU30" s="66">
        <v>0</v>
      </c>
      <c r="GV30" s="66">
        <v>0</v>
      </c>
      <c r="GW30" s="66">
        <v>0</v>
      </c>
      <c r="GX30" s="67" t="s">
        <v>1094</v>
      </c>
      <c r="GY30" s="67" t="s">
        <v>1094</v>
      </c>
      <c r="GZ30" s="67">
        <v>0</v>
      </c>
      <c r="HA30" s="67">
        <v>0</v>
      </c>
      <c r="HB30" s="67">
        <v>0</v>
      </c>
      <c r="HC30" s="66">
        <v>8.0699999999999994E-2</v>
      </c>
      <c r="HD30" s="66">
        <v>0</v>
      </c>
      <c r="HE30" s="66">
        <v>0.15</v>
      </c>
      <c r="HF30" s="66">
        <v>8.0699999999999994E-2</v>
      </c>
      <c r="HG30" s="66">
        <v>6.93E-2</v>
      </c>
      <c r="HH30" s="66">
        <v>7.7414220000000006E-2</v>
      </c>
      <c r="HI30" s="66">
        <v>0</v>
      </c>
      <c r="HJ30" s="66">
        <v>0.14389260000000001</v>
      </c>
      <c r="HK30" s="66">
        <v>7.7414220000000006E-2</v>
      </c>
      <c r="HL30" s="66">
        <v>0</v>
      </c>
      <c r="HM30" s="66">
        <v>6.6478380000000004E-2</v>
      </c>
      <c r="HN30" s="67">
        <v>95.928401486988861</v>
      </c>
      <c r="HO30" s="67">
        <v>95.928398268398269</v>
      </c>
      <c r="HP30" s="67">
        <v>46.199999166044677</v>
      </c>
      <c r="HQ30" s="67">
        <v>0</v>
      </c>
      <c r="HR30" s="67">
        <v>0</v>
      </c>
      <c r="HS30" s="66">
        <v>0</v>
      </c>
      <c r="HT30" s="66">
        <v>0</v>
      </c>
      <c r="HU30" s="66">
        <v>0</v>
      </c>
      <c r="HV30" s="66">
        <v>0</v>
      </c>
      <c r="HW30" s="66">
        <v>0</v>
      </c>
      <c r="HX30" s="66">
        <v>0</v>
      </c>
      <c r="HY30" s="66">
        <v>0</v>
      </c>
      <c r="HZ30" s="66">
        <v>0</v>
      </c>
      <c r="IA30" s="66">
        <v>0</v>
      </c>
      <c r="IB30" s="66">
        <v>0</v>
      </c>
      <c r="IC30" s="66">
        <v>0</v>
      </c>
      <c r="ID30" s="67" t="s">
        <v>1094</v>
      </c>
      <c r="IE30" s="67" t="s">
        <v>1094</v>
      </c>
      <c r="IF30" s="67">
        <v>0</v>
      </c>
      <c r="IG30" s="67">
        <v>0</v>
      </c>
      <c r="IH30" s="67">
        <v>0</v>
      </c>
    </row>
    <row r="31" spans="1:242" ht="15.75" x14ac:dyDescent="0.25">
      <c r="A31" s="11" t="s">
        <v>59</v>
      </c>
      <c r="B31" s="189" t="s">
        <v>60</v>
      </c>
      <c r="C31" s="66">
        <v>36.775399999999998</v>
      </c>
      <c r="D31" s="66">
        <v>0</v>
      </c>
      <c r="E31" s="66">
        <v>84.746899999999997</v>
      </c>
      <c r="F31" s="66">
        <v>36.775399999999998</v>
      </c>
      <c r="G31" s="66">
        <v>47.971499999999999</v>
      </c>
      <c r="H31" s="66">
        <v>35.665198070000002</v>
      </c>
      <c r="I31" s="66">
        <v>1.2132573</v>
      </c>
      <c r="J31" s="66">
        <v>83.076781679999996</v>
      </c>
      <c r="K31" s="66">
        <v>35.665198070000002</v>
      </c>
      <c r="L31" s="66">
        <v>0</v>
      </c>
      <c r="M31" s="66">
        <v>47.411583610000001</v>
      </c>
      <c r="N31" s="67">
        <v>96.981128879631513</v>
      </c>
      <c r="O31" s="67">
        <v>98.832814504445352</v>
      </c>
      <c r="P31" s="67">
        <v>57.069595922267084</v>
      </c>
      <c r="Q31" s="66">
        <v>1.2132573</v>
      </c>
      <c r="R31" s="67">
        <v>2.2204460492503131E-15</v>
      </c>
      <c r="S31" s="66">
        <v>21.904399999999999</v>
      </c>
      <c r="T31" s="66">
        <v>0</v>
      </c>
      <c r="U31" s="66">
        <v>62.375900000000001</v>
      </c>
      <c r="V31" s="66">
        <v>21.904399999999999</v>
      </c>
      <c r="W31" s="66">
        <v>40.471499999999999</v>
      </c>
      <c r="X31" s="66">
        <v>21.904399999999999</v>
      </c>
      <c r="Y31" s="66">
        <v>0.53608100000000003</v>
      </c>
      <c r="Z31" s="66">
        <v>62.375900000000001</v>
      </c>
      <c r="AA31" s="66">
        <v>21.904399999999999</v>
      </c>
      <c r="AB31" s="66">
        <v>0</v>
      </c>
      <c r="AC31" s="66">
        <v>40.471499999999999</v>
      </c>
      <c r="AD31" s="67">
        <v>100</v>
      </c>
      <c r="AE31" s="67">
        <v>100</v>
      </c>
      <c r="AF31" s="67">
        <v>64.883232145748593</v>
      </c>
      <c r="AG31" s="67">
        <v>0.53608100000000003</v>
      </c>
      <c r="AH31" s="67">
        <v>-6.6613381477509392E-16</v>
      </c>
      <c r="AI31" s="66">
        <v>0</v>
      </c>
      <c r="AJ31" s="66">
        <v>0</v>
      </c>
      <c r="AK31" s="66">
        <v>0</v>
      </c>
      <c r="AL31" s="66">
        <v>0</v>
      </c>
      <c r="AM31" s="66">
        <v>0</v>
      </c>
      <c r="AN31" s="66">
        <v>0</v>
      </c>
      <c r="AO31" s="66">
        <v>0</v>
      </c>
      <c r="AP31" s="66">
        <v>0</v>
      </c>
      <c r="AQ31" s="66">
        <v>0</v>
      </c>
      <c r="AR31" s="66">
        <v>0</v>
      </c>
      <c r="AS31" s="66">
        <v>0</v>
      </c>
      <c r="AT31" s="67" t="s">
        <v>1094</v>
      </c>
      <c r="AU31" s="67" t="s">
        <v>1094</v>
      </c>
      <c r="AV31" s="67">
        <v>0</v>
      </c>
      <c r="AW31" s="67">
        <v>0</v>
      </c>
      <c r="AX31" s="67">
        <v>0</v>
      </c>
      <c r="AY31" s="66">
        <v>14.871</v>
      </c>
      <c r="AZ31" s="66">
        <v>0</v>
      </c>
      <c r="BA31" s="66">
        <v>22.370999999999999</v>
      </c>
      <c r="BB31" s="66">
        <v>14.871</v>
      </c>
      <c r="BC31" s="66">
        <v>7.5</v>
      </c>
      <c r="BD31" s="66">
        <v>13.76079807</v>
      </c>
      <c r="BE31" s="66">
        <v>0.67717630000000006</v>
      </c>
      <c r="BF31" s="66">
        <v>20.700881679999998</v>
      </c>
      <c r="BG31" s="66">
        <v>13.76079807</v>
      </c>
      <c r="BH31" s="66">
        <v>0</v>
      </c>
      <c r="BI31" s="66">
        <v>6.9400836100000003</v>
      </c>
      <c r="BJ31" s="67">
        <v>92.534450070607221</v>
      </c>
      <c r="BK31" s="67">
        <v>92.534448133333342</v>
      </c>
      <c r="BL31" s="67">
        <v>33.525545999835892</v>
      </c>
      <c r="BM31" s="67">
        <v>0.67717630000000006</v>
      </c>
      <c r="BN31" s="67">
        <v>-7.7715611723760958E-16</v>
      </c>
      <c r="BO31" s="66">
        <v>0</v>
      </c>
      <c r="BP31" s="66">
        <v>0</v>
      </c>
      <c r="BQ31" s="66">
        <v>0</v>
      </c>
      <c r="BR31" s="66">
        <v>0</v>
      </c>
      <c r="BS31" s="66">
        <v>0</v>
      </c>
      <c r="BT31" s="66">
        <v>0</v>
      </c>
      <c r="BU31" s="66">
        <v>0</v>
      </c>
      <c r="BV31" s="66">
        <v>0</v>
      </c>
      <c r="BW31" s="66">
        <v>0</v>
      </c>
      <c r="BX31" s="66">
        <v>0</v>
      </c>
      <c r="BY31" s="66">
        <v>0</v>
      </c>
      <c r="BZ31" s="67" t="s">
        <v>1094</v>
      </c>
      <c r="CA31" s="67" t="s">
        <v>1094</v>
      </c>
      <c r="CB31" s="67">
        <v>0</v>
      </c>
      <c r="CC31" s="67">
        <v>0</v>
      </c>
      <c r="CD31" s="67">
        <v>0</v>
      </c>
      <c r="CE31" s="66">
        <v>0</v>
      </c>
      <c r="CF31" s="66">
        <v>0</v>
      </c>
      <c r="CG31" s="66">
        <v>0</v>
      </c>
      <c r="CH31" s="66">
        <v>0</v>
      </c>
      <c r="CI31" s="66">
        <v>0</v>
      </c>
      <c r="CJ31" s="66">
        <v>0</v>
      </c>
      <c r="CK31" s="66">
        <v>0</v>
      </c>
      <c r="CL31" s="66">
        <v>0</v>
      </c>
      <c r="CM31" s="66">
        <v>0</v>
      </c>
      <c r="CN31" s="66">
        <v>0</v>
      </c>
      <c r="CO31" s="66">
        <v>0</v>
      </c>
      <c r="CP31" s="67" t="s">
        <v>1094</v>
      </c>
      <c r="CQ31" s="67" t="s">
        <v>1094</v>
      </c>
      <c r="CR31" s="67">
        <v>0</v>
      </c>
      <c r="CS31" s="67">
        <v>0</v>
      </c>
      <c r="CT31" s="67">
        <v>0</v>
      </c>
      <c r="CU31" s="66">
        <v>0</v>
      </c>
      <c r="CV31" s="66">
        <v>0</v>
      </c>
      <c r="CW31" s="66">
        <v>0</v>
      </c>
      <c r="CX31" s="66">
        <v>0</v>
      </c>
      <c r="CY31" s="66">
        <v>0</v>
      </c>
      <c r="CZ31" s="66">
        <v>0</v>
      </c>
      <c r="DA31" s="66">
        <v>0</v>
      </c>
      <c r="DB31" s="66">
        <v>0</v>
      </c>
      <c r="DC31" s="66">
        <v>0</v>
      </c>
      <c r="DD31" s="66">
        <v>0</v>
      </c>
      <c r="DE31" s="66">
        <v>0</v>
      </c>
      <c r="DF31" s="67" t="s">
        <v>1094</v>
      </c>
      <c r="DG31" s="67" t="s">
        <v>1094</v>
      </c>
      <c r="DH31" s="67">
        <v>0</v>
      </c>
      <c r="DI31" s="67">
        <v>0</v>
      </c>
      <c r="DJ31" s="67">
        <v>0</v>
      </c>
      <c r="DK31" s="66">
        <v>0</v>
      </c>
      <c r="DL31" s="66">
        <v>0</v>
      </c>
      <c r="DM31" s="66">
        <v>0</v>
      </c>
      <c r="DN31" s="66">
        <v>0</v>
      </c>
      <c r="DO31" s="66">
        <v>0</v>
      </c>
      <c r="DP31" s="66">
        <v>0</v>
      </c>
      <c r="DQ31" s="66">
        <v>0</v>
      </c>
      <c r="DR31" s="66">
        <v>0</v>
      </c>
      <c r="DS31" s="66">
        <v>0</v>
      </c>
      <c r="DT31" s="66">
        <v>0</v>
      </c>
      <c r="DU31" s="66">
        <v>0</v>
      </c>
      <c r="DV31" s="67" t="s">
        <v>1094</v>
      </c>
      <c r="DW31" s="67" t="s">
        <v>1094</v>
      </c>
      <c r="DX31" s="67">
        <v>0</v>
      </c>
      <c r="DY31" s="67">
        <v>0</v>
      </c>
      <c r="DZ31" s="67">
        <v>0</v>
      </c>
      <c r="EA31" s="66">
        <v>0</v>
      </c>
      <c r="EB31" s="66">
        <v>0</v>
      </c>
      <c r="EC31" s="66">
        <v>0</v>
      </c>
      <c r="ED31" s="66">
        <v>0</v>
      </c>
      <c r="EE31" s="66">
        <v>0</v>
      </c>
      <c r="EF31" s="66">
        <v>0</v>
      </c>
      <c r="EG31" s="66">
        <v>0</v>
      </c>
      <c r="EH31" s="66">
        <v>0</v>
      </c>
      <c r="EI31" s="66">
        <v>0</v>
      </c>
      <c r="EJ31" s="66">
        <v>0</v>
      </c>
      <c r="EK31" s="66">
        <v>0</v>
      </c>
      <c r="EL31" s="67" t="s">
        <v>1094</v>
      </c>
      <c r="EM31" s="67" t="s">
        <v>1094</v>
      </c>
      <c r="EN31" s="67">
        <v>0</v>
      </c>
      <c r="EO31" s="67">
        <v>0</v>
      </c>
      <c r="EP31" s="67">
        <v>0</v>
      </c>
      <c r="EQ31" s="66">
        <v>0</v>
      </c>
      <c r="ER31" s="66">
        <v>0</v>
      </c>
      <c r="ES31" s="66">
        <v>0</v>
      </c>
      <c r="ET31" s="66">
        <v>0</v>
      </c>
      <c r="EU31" s="66">
        <v>0</v>
      </c>
      <c r="EV31" s="66">
        <v>0</v>
      </c>
      <c r="EW31" s="66">
        <v>0</v>
      </c>
      <c r="EX31" s="66">
        <v>0</v>
      </c>
      <c r="EY31" s="66">
        <v>0</v>
      </c>
      <c r="EZ31" s="66">
        <v>0</v>
      </c>
      <c r="FA31" s="66">
        <v>0</v>
      </c>
      <c r="FB31" s="67" t="s">
        <v>1094</v>
      </c>
      <c r="FC31" s="67" t="s">
        <v>1094</v>
      </c>
      <c r="FD31" s="67">
        <v>0</v>
      </c>
      <c r="FE31" s="67">
        <v>0</v>
      </c>
      <c r="FF31" s="67">
        <v>0</v>
      </c>
      <c r="FG31" s="66">
        <v>0</v>
      </c>
      <c r="FH31" s="66">
        <v>0</v>
      </c>
      <c r="FI31" s="66">
        <v>0</v>
      </c>
      <c r="FJ31" s="66">
        <v>0</v>
      </c>
      <c r="FK31" s="66">
        <v>0</v>
      </c>
      <c r="FL31" s="66">
        <v>0</v>
      </c>
      <c r="FM31" s="66">
        <v>0</v>
      </c>
      <c r="FN31" s="66">
        <v>0</v>
      </c>
      <c r="FO31" s="66">
        <v>0</v>
      </c>
      <c r="FP31" s="66">
        <v>0</v>
      </c>
      <c r="FQ31" s="66">
        <v>0</v>
      </c>
      <c r="FR31" s="67" t="s">
        <v>1094</v>
      </c>
      <c r="FS31" s="67" t="s">
        <v>1094</v>
      </c>
      <c r="FT31" s="67">
        <v>0</v>
      </c>
      <c r="FU31" s="67">
        <v>0</v>
      </c>
      <c r="FV31" s="67">
        <v>0</v>
      </c>
      <c r="FW31" s="66">
        <v>0</v>
      </c>
      <c r="FX31" s="66">
        <v>0</v>
      </c>
      <c r="FY31" s="66">
        <v>0</v>
      </c>
      <c r="FZ31" s="66">
        <v>0</v>
      </c>
      <c r="GA31" s="66">
        <v>0</v>
      </c>
      <c r="GB31" s="66">
        <v>0</v>
      </c>
      <c r="GC31" s="66">
        <v>0</v>
      </c>
      <c r="GD31" s="66">
        <v>0</v>
      </c>
      <c r="GE31" s="66">
        <v>0</v>
      </c>
      <c r="GF31" s="66">
        <v>0</v>
      </c>
      <c r="GG31" s="66">
        <v>0</v>
      </c>
      <c r="GH31" s="67" t="s">
        <v>1094</v>
      </c>
      <c r="GI31" s="67" t="s">
        <v>1094</v>
      </c>
      <c r="GJ31" s="67">
        <v>0</v>
      </c>
      <c r="GK31" s="67">
        <v>0</v>
      </c>
      <c r="GL31" s="67">
        <v>0</v>
      </c>
      <c r="GM31" s="66">
        <v>0</v>
      </c>
      <c r="GN31" s="66">
        <v>0</v>
      </c>
      <c r="GO31" s="66">
        <v>0</v>
      </c>
      <c r="GP31" s="66">
        <v>0</v>
      </c>
      <c r="GQ31" s="66">
        <v>0</v>
      </c>
      <c r="GR31" s="66">
        <v>0</v>
      </c>
      <c r="GS31" s="66">
        <v>0</v>
      </c>
      <c r="GT31" s="66">
        <v>0</v>
      </c>
      <c r="GU31" s="66">
        <v>0</v>
      </c>
      <c r="GV31" s="66">
        <v>0</v>
      </c>
      <c r="GW31" s="66">
        <v>0</v>
      </c>
      <c r="GX31" s="67" t="s">
        <v>1094</v>
      </c>
      <c r="GY31" s="67" t="s">
        <v>1094</v>
      </c>
      <c r="GZ31" s="67">
        <v>0</v>
      </c>
      <c r="HA31" s="67">
        <v>0</v>
      </c>
      <c r="HB31" s="67">
        <v>0</v>
      </c>
      <c r="HC31" s="66">
        <v>0</v>
      </c>
      <c r="HD31" s="66">
        <v>0</v>
      </c>
      <c r="HE31" s="66">
        <v>0</v>
      </c>
      <c r="HF31" s="66">
        <v>0</v>
      </c>
      <c r="HG31" s="66">
        <v>0</v>
      </c>
      <c r="HH31" s="66">
        <v>0</v>
      </c>
      <c r="HI31" s="66">
        <v>0</v>
      </c>
      <c r="HJ31" s="66">
        <v>0</v>
      </c>
      <c r="HK31" s="66">
        <v>0</v>
      </c>
      <c r="HL31" s="66">
        <v>0</v>
      </c>
      <c r="HM31" s="66">
        <v>0</v>
      </c>
      <c r="HN31" s="67" t="s">
        <v>1094</v>
      </c>
      <c r="HO31" s="67" t="s">
        <v>1094</v>
      </c>
      <c r="HP31" s="67">
        <v>0</v>
      </c>
      <c r="HQ31" s="67">
        <v>0</v>
      </c>
      <c r="HR31" s="67">
        <v>0</v>
      </c>
      <c r="HS31" s="66">
        <v>0</v>
      </c>
      <c r="HT31" s="66">
        <v>0</v>
      </c>
      <c r="HU31" s="66">
        <v>0</v>
      </c>
      <c r="HV31" s="66">
        <v>0</v>
      </c>
      <c r="HW31" s="66">
        <v>0</v>
      </c>
      <c r="HX31" s="66">
        <v>0</v>
      </c>
      <c r="HY31" s="66">
        <v>0</v>
      </c>
      <c r="HZ31" s="66">
        <v>0</v>
      </c>
      <c r="IA31" s="66">
        <v>0</v>
      </c>
      <c r="IB31" s="66">
        <v>0</v>
      </c>
      <c r="IC31" s="66">
        <v>0</v>
      </c>
      <c r="ID31" s="67" t="s">
        <v>1094</v>
      </c>
      <c r="IE31" s="67" t="s">
        <v>1094</v>
      </c>
      <c r="IF31" s="67">
        <v>0</v>
      </c>
      <c r="IG31" s="67">
        <v>0</v>
      </c>
      <c r="IH31" s="67">
        <v>0</v>
      </c>
    </row>
    <row r="32" spans="1:242" ht="15.75" x14ac:dyDescent="0.25">
      <c r="A32" s="57" t="s">
        <v>62</v>
      </c>
      <c r="B32" s="190" t="s">
        <v>63</v>
      </c>
      <c r="C32" s="61">
        <v>287.86090000000002</v>
      </c>
      <c r="D32" s="61">
        <v>0</v>
      </c>
      <c r="E32" s="61">
        <v>839.17990538999993</v>
      </c>
      <c r="F32" s="61">
        <v>287.86090000000002</v>
      </c>
      <c r="G32" s="61">
        <v>551.31900538999992</v>
      </c>
      <c r="H32" s="61">
        <v>282.68277490000003</v>
      </c>
      <c r="I32" s="61">
        <v>6.41087381</v>
      </c>
      <c r="J32" s="61">
        <v>825.10929255999997</v>
      </c>
      <c r="K32" s="61">
        <v>280.68436435000001</v>
      </c>
      <c r="L32" s="61">
        <v>0</v>
      </c>
      <c r="M32" s="61">
        <v>544.42492820999996</v>
      </c>
      <c r="N32" s="61">
        <v>97.506943231956825</v>
      </c>
      <c r="O32" s="61">
        <v>98.749530287800781</v>
      </c>
      <c r="P32" s="61">
        <v>65.982159347746133</v>
      </c>
      <c r="Q32" s="61">
        <v>6.41087381</v>
      </c>
      <c r="R32" s="61">
        <v>1.9984105500000013</v>
      </c>
      <c r="S32" s="61">
        <v>120.271</v>
      </c>
      <c r="T32" s="61">
        <v>0</v>
      </c>
      <c r="U32" s="61">
        <v>456.8578</v>
      </c>
      <c r="V32" s="61">
        <v>120.271</v>
      </c>
      <c r="W32" s="61">
        <v>336.58680000000004</v>
      </c>
      <c r="X32" s="61">
        <v>120.27098205</v>
      </c>
      <c r="Y32" s="61">
        <v>2.8161829300000001</v>
      </c>
      <c r="Z32" s="61">
        <v>456.48945606000007</v>
      </c>
      <c r="AA32" s="61">
        <v>120.13422912</v>
      </c>
      <c r="AB32" s="61">
        <v>0</v>
      </c>
      <c r="AC32" s="61">
        <v>336.35522693999997</v>
      </c>
      <c r="AD32" s="61">
        <v>99.886281081890061</v>
      </c>
      <c r="AE32" s="61">
        <v>99.93119960141037</v>
      </c>
      <c r="AF32" s="61">
        <v>73.68302213223302</v>
      </c>
      <c r="AG32" s="61">
        <v>2.8161829300000001</v>
      </c>
      <c r="AH32" s="61">
        <v>0.13675293000000022</v>
      </c>
      <c r="AI32" s="61">
        <v>0</v>
      </c>
      <c r="AJ32" s="61">
        <v>0</v>
      </c>
      <c r="AK32" s="61">
        <v>0</v>
      </c>
      <c r="AL32" s="61">
        <v>0</v>
      </c>
      <c r="AM32" s="61">
        <v>0</v>
      </c>
      <c r="AN32" s="61">
        <v>0</v>
      </c>
      <c r="AO32" s="61">
        <v>3.0744491199999997</v>
      </c>
      <c r="AP32" s="61">
        <v>0</v>
      </c>
      <c r="AQ32" s="61">
        <v>0</v>
      </c>
      <c r="AR32" s="61">
        <v>0</v>
      </c>
      <c r="AS32" s="61">
        <v>0</v>
      </c>
      <c r="AT32" s="61" t="s">
        <v>1094</v>
      </c>
      <c r="AU32" s="61" t="s">
        <v>1094</v>
      </c>
      <c r="AV32" s="61">
        <v>0</v>
      </c>
      <c r="AW32" s="61">
        <v>3.0744491199999997</v>
      </c>
      <c r="AX32" s="61">
        <v>0</v>
      </c>
      <c r="AY32" s="61">
        <v>81.47</v>
      </c>
      <c r="AZ32" s="61">
        <v>0</v>
      </c>
      <c r="BA32" s="61">
        <v>144.81266898999999</v>
      </c>
      <c r="BB32" s="61">
        <v>81.47</v>
      </c>
      <c r="BC32" s="61">
        <v>63.342668989999993</v>
      </c>
      <c r="BD32" s="61">
        <v>76.450269370000001</v>
      </c>
      <c r="BE32" s="61">
        <v>0</v>
      </c>
      <c r="BF32" s="61">
        <v>135.80147352</v>
      </c>
      <c r="BG32" s="61">
        <v>76.024524270000001</v>
      </c>
      <c r="BH32" s="61">
        <v>0</v>
      </c>
      <c r="BI32" s="61">
        <v>59.776949250000001</v>
      </c>
      <c r="BJ32" s="61">
        <v>93.315974309561796</v>
      </c>
      <c r="BK32" s="61">
        <v>94.370745980781265</v>
      </c>
      <c r="BL32" s="61">
        <v>44.017894431164933</v>
      </c>
      <c r="BM32" s="61">
        <v>0</v>
      </c>
      <c r="BN32" s="61">
        <v>0.42574510000000387</v>
      </c>
      <c r="BO32" s="61">
        <v>0</v>
      </c>
      <c r="BP32" s="61">
        <v>0</v>
      </c>
      <c r="BQ32" s="61">
        <v>0</v>
      </c>
      <c r="BR32" s="61">
        <v>0</v>
      </c>
      <c r="BS32" s="61">
        <v>0</v>
      </c>
      <c r="BT32" s="61">
        <v>0</v>
      </c>
      <c r="BU32" s="61">
        <v>0</v>
      </c>
      <c r="BV32" s="61">
        <v>0</v>
      </c>
      <c r="BW32" s="61">
        <v>0</v>
      </c>
      <c r="BX32" s="61">
        <v>0</v>
      </c>
      <c r="BY32" s="61">
        <v>0</v>
      </c>
      <c r="BZ32" s="61" t="s">
        <v>1094</v>
      </c>
      <c r="CA32" s="61" t="s">
        <v>1094</v>
      </c>
      <c r="CB32" s="61">
        <v>0</v>
      </c>
      <c r="CC32" s="61">
        <v>0</v>
      </c>
      <c r="CD32" s="61">
        <v>0</v>
      </c>
      <c r="CE32" s="61">
        <v>13.007999999999999</v>
      </c>
      <c r="CF32" s="61">
        <v>0</v>
      </c>
      <c r="CG32" s="61">
        <v>40.277900000000002</v>
      </c>
      <c r="CH32" s="61">
        <v>13.007999999999999</v>
      </c>
      <c r="CI32" s="61">
        <v>27.2699</v>
      </c>
      <c r="CJ32" s="61">
        <v>13.007999999999999</v>
      </c>
      <c r="CK32" s="61">
        <v>0.11799292</v>
      </c>
      <c r="CL32" s="61">
        <v>40.277899859999998</v>
      </c>
      <c r="CM32" s="61">
        <v>13.007999999999999</v>
      </c>
      <c r="CN32" s="61">
        <v>0</v>
      </c>
      <c r="CO32" s="61">
        <v>27.269899860000002</v>
      </c>
      <c r="CP32" s="61">
        <v>100</v>
      </c>
      <c r="CQ32" s="61">
        <v>99.999999486613461</v>
      </c>
      <c r="CR32" s="61">
        <v>67.704373750334867</v>
      </c>
      <c r="CS32" s="61">
        <v>0.11799292</v>
      </c>
      <c r="CT32" s="61">
        <v>-1.6653345369377348E-16</v>
      </c>
      <c r="CU32" s="61">
        <v>0</v>
      </c>
      <c r="CV32" s="61">
        <v>0</v>
      </c>
      <c r="CW32" s="61">
        <v>0</v>
      </c>
      <c r="CX32" s="61">
        <v>0</v>
      </c>
      <c r="CY32" s="61">
        <v>0</v>
      </c>
      <c r="CZ32" s="61">
        <v>0</v>
      </c>
      <c r="DA32" s="61">
        <v>0.40224884000000005</v>
      </c>
      <c r="DB32" s="61">
        <v>0</v>
      </c>
      <c r="DC32" s="61">
        <v>0</v>
      </c>
      <c r="DD32" s="61">
        <v>0</v>
      </c>
      <c r="DE32" s="61">
        <v>0</v>
      </c>
      <c r="DF32" s="61" t="s">
        <v>1094</v>
      </c>
      <c r="DG32" s="61" t="s">
        <v>1094</v>
      </c>
      <c r="DH32" s="61">
        <v>0</v>
      </c>
      <c r="DI32" s="61">
        <v>0.40224884000000005</v>
      </c>
      <c r="DJ32" s="61">
        <v>0</v>
      </c>
      <c r="DK32" s="61">
        <v>7.2910000000000004</v>
      </c>
      <c r="DL32" s="61">
        <v>0</v>
      </c>
      <c r="DM32" s="61">
        <v>57.882232399999999</v>
      </c>
      <c r="DN32" s="61">
        <v>7.2910000000000004</v>
      </c>
      <c r="DO32" s="61">
        <v>50.591232399999996</v>
      </c>
      <c r="DP32" s="61">
        <v>7.1370727699999996</v>
      </c>
      <c r="DQ32" s="61">
        <v>0</v>
      </c>
      <c r="DR32" s="61">
        <v>57.206811989999999</v>
      </c>
      <c r="DS32" s="61">
        <v>7.1370727699999996</v>
      </c>
      <c r="DT32" s="61">
        <v>0</v>
      </c>
      <c r="DU32" s="61">
        <v>50.069739220000002</v>
      </c>
      <c r="DV32" s="61">
        <v>97.888804965025372</v>
      </c>
      <c r="DW32" s="61">
        <v>98.96920245809234</v>
      </c>
      <c r="DX32" s="61">
        <v>87.524085818228102</v>
      </c>
      <c r="DY32" s="61">
        <v>0</v>
      </c>
      <c r="DZ32" s="61">
        <v>0</v>
      </c>
      <c r="EA32" s="61">
        <v>0</v>
      </c>
      <c r="EB32" s="61">
        <v>0</v>
      </c>
      <c r="EC32" s="61">
        <v>0</v>
      </c>
      <c r="ED32" s="61">
        <v>0</v>
      </c>
      <c r="EE32" s="61">
        <v>0</v>
      </c>
      <c r="EF32" s="61">
        <v>0</v>
      </c>
      <c r="EG32" s="61">
        <v>0</v>
      </c>
      <c r="EH32" s="61">
        <v>0</v>
      </c>
      <c r="EI32" s="61">
        <v>0</v>
      </c>
      <c r="EJ32" s="61">
        <v>0</v>
      </c>
      <c r="EK32" s="61">
        <v>0</v>
      </c>
      <c r="EL32" s="61" t="s">
        <v>1094</v>
      </c>
      <c r="EM32" s="61" t="s">
        <v>1094</v>
      </c>
      <c r="EN32" s="61">
        <v>0</v>
      </c>
      <c r="EO32" s="61">
        <v>0</v>
      </c>
      <c r="EP32" s="61">
        <v>0</v>
      </c>
      <c r="EQ32" s="61">
        <v>6.2843999999999998</v>
      </c>
      <c r="ER32" s="61">
        <v>0</v>
      </c>
      <c r="ES32" s="61">
        <v>28.736499999999999</v>
      </c>
      <c r="ET32" s="61">
        <v>6.2843999999999998</v>
      </c>
      <c r="EU32" s="61">
        <v>22.452100000000002</v>
      </c>
      <c r="EV32" s="61">
        <v>6.2801121100000001</v>
      </c>
      <c r="EW32" s="61">
        <v>0</v>
      </c>
      <c r="EX32" s="61">
        <v>28.718335</v>
      </c>
      <c r="EY32" s="61">
        <v>6.2801121100000001</v>
      </c>
      <c r="EZ32" s="61">
        <v>0</v>
      </c>
      <c r="FA32" s="61">
        <v>22.438222889999999</v>
      </c>
      <c r="FB32" s="61">
        <v>99.931769301763111</v>
      </c>
      <c r="FC32" s="61">
        <v>99.938192373987278</v>
      </c>
      <c r="FD32" s="61">
        <v>78.132046617605084</v>
      </c>
      <c r="FE32" s="61">
        <v>0</v>
      </c>
      <c r="FF32" s="61">
        <v>0</v>
      </c>
      <c r="FG32" s="61">
        <v>0</v>
      </c>
      <c r="FH32" s="61">
        <v>0</v>
      </c>
      <c r="FI32" s="61">
        <v>0</v>
      </c>
      <c r="FJ32" s="61">
        <v>0</v>
      </c>
      <c r="FK32" s="61">
        <v>0</v>
      </c>
      <c r="FL32" s="61">
        <v>0</v>
      </c>
      <c r="FM32" s="61">
        <v>0</v>
      </c>
      <c r="FN32" s="61">
        <v>0</v>
      </c>
      <c r="FO32" s="61">
        <v>0</v>
      </c>
      <c r="FP32" s="61">
        <v>0</v>
      </c>
      <c r="FQ32" s="61">
        <v>0</v>
      </c>
      <c r="FR32" s="61" t="s">
        <v>1094</v>
      </c>
      <c r="FS32" s="61" t="s">
        <v>1094</v>
      </c>
      <c r="FT32" s="61">
        <v>0</v>
      </c>
      <c r="FU32" s="61">
        <v>0</v>
      </c>
      <c r="FV32" s="61">
        <v>0</v>
      </c>
      <c r="FW32" s="61">
        <v>49.820700000000002</v>
      </c>
      <c r="FX32" s="61">
        <v>0</v>
      </c>
      <c r="FY32" s="61">
        <v>89.217620000000011</v>
      </c>
      <c r="FZ32" s="61">
        <v>49.820700000000002</v>
      </c>
      <c r="GA32" s="61">
        <v>39.396920000000001</v>
      </c>
      <c r="GB32" s="61">
        <v>49.820700000000002</v>
      </c>
      <c r="GC32" s="61">
        <v>0</v>
      </c>
      <c r="GD32" s="61">
        <v>85.220440480000008</v>
      </c>
      <c r="GE32" s="61">
        <v>48.38478748</v>
      </c>
      <c r="GF32" s="61">
        <v>0</v>
      </c>
      <c r="GG32" s="61">
        <v>36.835653000000001</v>
      </c>
      <c r="GH32" s="61">
        <v>97.117839532563764</v>
      </c>
      <c r="GI32" s="61">
        <v>93.4988141204947</v>
      </c>
      <c r="GJ32" s="61">
        <v>43.223964570618229</v>
      </c>
      <c r="GK32" s="61">
        <v>0</v>
      </c>
      <c r="GL32" s="61">
        <v>1.4359125199999987</v>
      </c>
      <c r="GM32" s="61">
        <v>0</v>
      </c>
      <c r="GN32" s="61">
        <v>0</v>
      </c>
      <c r="GO32" s="61">
        <v>0</v>
      </c>
      <c r="GP32" s="61">
        <v>0</v>
      </c>
      <c r="GQ32" s="61">
        <v>0</v>
      </c>
      <c r="GR32" s="61">
        <v>0</v>
      </c>
      <c r="GS32" s="61">
        <v>0</v>
      </c>
      <c r="GT32" s="61">
        <v>0</v>
      </c>
      <c r="GU32" s="61">
        <v>0</v>
      </c>
      <c r="GV32" s="61">
        <v>0</v>
      </c>
      <c r="GW32" s="61">
        <v>0</v>
      </c>
      <c r="GX32" s="61" t="s">
        <v>1094</v>
      </c>
      <c r="GY32" s="61" t="s">
        <v>1094</v>
      </c>
      <c r="GZ32" s="61">
        <v>0</v>
      </c>
      <c r="HA32" s="61">
        <v>0</v>
      </c>
      <c r="HB32" s="61">
        <v>0</v>
      </c>
      <c r="HC32" s="61">
        <v>9.7158000000000015</v>
      </c>
      <c r="HD32" s="61">
        <v>0</v>
      </c>
      <c r="HE32" s="61">
        <v>21.395183999999997</v>
      </c>
      <c r="HF32" s="61">
        <v>9.7158000000000015</v>
      </c>
      <c r="HG32" s="61">
        <v>11.679383999999999</v>
      </c>
      <c r="HH32" s="61">
        <v>9.7156386000000001</v>
      </c>
      <c r="HI32" s="61">
        <v>0</v>
      </c>
      <c r="HJ32" s="61">
        <v>21.394875649999999</v>
      </c>
      <c r="HK32" s="61">
        <v>9.7156386000000001</v>
      </c>
      <c r="HL32" s="61">
        <v>0</v>
      </c>
      <c r="HM32" s="61">
        <v>11.679237050000001</v>
      </c>
      <c r="HN32" s="61">
        <v>99.998338788365331</v>
      </c>
      <c r="HO32" s="61">
        <v>99.998741800081262</v>
      </c>
      <c r="HP32" s="61">
        <v>54.588945694573368</v>
      </c>
      <c r="HQ32" s="61">
        <v>0</v>
      </c>
      <c r="HR32" s="61">
        <v>0</v>
      </c>
      <c r="HS32" s="61">
        <v>0</v>
      </c>
      <c r="HT32" s="61">
        <v>0</v>
      </c>
      <c r="HU32" s="61">
        <v>0</v>
      </c>
      <c r="HV32" s="61">
        <v>0</v>
      </c>
      <c r="HW32" s="61">
        <v>0</v>
      </c>
      <c r="HX32" s="61">
        <v>0</v>
      </c>
      <c r="HY32" s="61">
        <v>0</v>
      </c>
      <c r="HZ32" s="61">
        <v>0</v>
      </c>
      <c r="IA32" s="61">
        <v>0</v>
      </c>
      <c r="IB32" s="61">
        <v>0</v>
      </c>
      <c r="IC32" s="61">
        <v>0</v>
      </c>
      <c r="ID32" s="61" t="s">
        <v>1094</v>
      </c>
      <c r="IE32" s="61" t="s">
        <v>1094</v>
      </c>
      <c r="IF32" s="61">
        <v>0</v>
      </c>
      <c r="IG32" s="61">
        <v>0</v>
      </c>
      <c r="IH32" s="61">
        <v>0</v>
      </c>
    </row>
    <row r="33" spans="1:242" ht="15.75" x14ac:dyDescent="0.25">
      <c r="A33" s="11" t="s">
        <v>65</v>
      </c>
      <c r="B33" s="189" t="s">
        <v>66</v>
      </c>
      <c r="C33" s="66">
        <v>6.1224000000000007</v>
      </c>
      <c r="D33" s="66">
        <v>0</v>
      </c>
      <c r="E33" s="66">
        <v>21.468399999999999</v>
      </c>
      <c r="F33" s="66">
        <v>6.1224000000000007</v>
      </c>
      <c r="G33" s="66">
        <v>15.346</v>
      </c>
      <c r="H33" s="66">
        <v>6.1224000000000007</v>
      </c>
      <c r="I33" s="66">
        <v>3.2980080000000002E-2</v>
      </c>
      <c r="J33" s="66">
        <v>21.468381010000002</v>
      </c>
      <c r="K33" s="66">
        <v>6.1224000000000007</v>
      </c>
      <c r="L33" s="66">
        <v>0</v>
      </c>
      <c r="M33" s="66">
        <v>15.345981009999999</v>
      </c>
      <c r="N33" s="67">
        <v>100</v>
      </c>
      <c r="O33" s="67">
        <v>99.999876254398529</v>
      </c>
      <c r="P33" s="67">
        <v>71.481780590962217</v>
      </c>
      <c r="Q33" s="66">
        <v>3.2980080000000002E-2</v>
      </c>
      <c r="R33" s="67">
        <v>-2.5673907444456745E-16</v>
      </c>
      <c r="S33" s="66">
        <v>5.3204000000000002</v>
      </c>
      <c r="T33" s="66">
        <v>0</v>
      </c>
      <c r="U33" s="66">
        <v>20.322399999999998</v>
      </c>
      <c r="V33" s="66">
        <v>5.3204000000000002</v>
      </c>
      <c r="W33" s="66">
        <v>15.002000000000001</v>
      </c>
      <c r="X33" s="66">
        <v>5.3204000000000002</v>
      </c>
      <c r="Y33" s="66">
        <v>9.1496999999999998E-4</v>
      </c>
      <c r="Z33" s="66">
        <v>20.322381010000001</v>
      </c>
      <c r="AA33" s="66">
        <v>5.3204000000000002</v>
      </c>
      <c r="AB33" s="66">
        <v>0</v>
      </c>
      <c r="AC33" s="66">
        <v>15.00198101</v>
      </c>
      <c r="AD33" s="67">
        <v>100</v>
      </c>
      <c r="AE33" s="67">
        <v>99.999873416877733</v>
      </c>
      <c r="AF33" s="67">
        <v>73.819996793771352</v>
      </c>
      <c r="AG33" s="67">
        <v>9.1496999999999998E-4</v>
      </c>
      <c r="AH33" s="67">
        <v>1.8149544367407344E-16</v>
      </c>
      <c r="AI33" s="66">
        <v>0</v>
      </c>
      <c r="AJ33" s="66">
        <v>0</v>
      </c>
      <c r="AK33" s="66">
        <v>0</v>
      </c>
      <c r="AL33" s="66">
        <v>0</v>
      </c>
      <c r="AM33" s="66">
        <v>0</v>
      </c>
      <c r="AN33" s="66">
        <v>0</v>
      </c>
      <c r="AO33" s="66">
        <v>3.2065110000000001E-2</v>
      </c>
      <c r="AP33" s="66">
        <v>0</v>
      </c>
      <c r="AQ33" s="66">
        <v>0</v>
      </c>
      <c r="AR33" s="66">
        <v>0</v>
      </c>
      <c r="AS33" s="66">
        <v>0</v>
      </c>
      <c r="AT33" s="67" t="s">
        <v>1094</v>
      </c>
      <c r="AU33" s="67" t="s">
        <v>1094</v>
      </c>
      <c r="AV33" s="67">
        <v>0</v>
      </c>
      <c r="AW33" s="67">
        <v>3.2065110000000001E-2</v>
      </c>
      <c r="AX33" s="67">
        <v>0</v>
      </c>
      <c r="AY33" s="66">
        <v>0</v>
      </c>
      <c r="AZ33" s="66">
        <v>0</v>
      </c>
      <c r="BA33" s="66">
        <v>0</v>
      </c>
      <c r="BB33" s="66">
        <v>0</v>
      </c>
      <c r="BC33" s="66">
        <v>0</v>
      </c>
      <c r="BD33" s="66">
        <v>0</v>
      </c>
      <c r="BE33" s="66">
        <v>0</v>
      </c>
      <c r="BF33" s="66">
        <v>0</v>
      </c>
      <c r="BG33" s="66">
        <v>0</v>
      </c>
      <c r="BH33" s="66">
        <v>0</v>
      </c>
      <c r="BI33" s="66">
        <v>0</v>
      </c>
      <c r="BJ33" s="67" t="s">
        <v>1094</v>
      </c>
      <c r="BK33" s="67" t="s">
        <v>1094</v>
      </c>
      <c r="BL33" s="67">
        <v>0</v>
      </c>
      <c r="BM33" s="67">
        <v>0</v>
      </c>
      <c r="BN33" s="67">
        <v>0</v>
      </c>
      <c r="BO33" s="66">
        <v>0</v>
      </c>
      <c r="BP33" s="66">
        <v>0</v>
      </c>
      <c r="BQ33" s="66">
        <v>0</v>
      </c>
      <c r="BR33" s="66">
        <v>0</v>
      </c>
      <c r="BS33" s="66">
        <v>0</v>
      </c>
      <c r="BT33" s="66">
        <v>0</v>
      </c>
      <c r="BU33" s="66">
        <v>0</v>
      </c>
      <c r="BV33" s="66">
        <v>0</v>
      </c>
      <c r="BW33" s="66">
        <v>0</v>
      </c>
      <c r="BX33" s="66">
        <v>0</v>
      </c>
      <c r="BY33" s="66">
        <v>0</v>
      </c>
      <c r="BZ33" s="67" t="s">
        <v>1094</v>
      </c>
      <c r="CA33" s="67" t="s">
        <v>1094</v>
      </c>
      <c r="CB33" s="67">
        <v>0</v>
      </c>
      <c r="CC33" s="67">
        <v>0</v>
      </c>
      <c r="CD33" s="67">
        <v>0</v>
      </c>
      <c r="CE33" s="66">
        <v>0</v>
      </c>
      <c r="CF33" s="66">
        <v>0</v>
      </c>
      <c r="CG33" s="66">
        <v>0</v>
      </c>
      <c r="CH33" s="66">
        <v>0</v>
      </c>
      <c r="CI33" s="66">
        <v>0</v>
      </c>
      <c r="CJ33" s="66">
        <v>0</v>
      </c>
      <c r="CK33" s="66">
        <v>0</v>
      </c>
      <c r="CL33" s="66">
        <v>0</v>
      </c>
      <c r="CM33" s="66">
        <v>0</v>
      </c>
      <c r="CN33" s="66">
        <v>0</v>
      </c>
      <c r="CO33" s="66">
        <v>0</v>
      </c>
      <c r="CP33" s="67" t="s">
        <v>1094</v>
      </c>
      <c r="CQ33" s="67" t="s">
        <v>1094</v>
      </c>
      <c r="CR33" s="67">
        <v>0</v>
      </c>
      <c r="CS33" s="67">
        <v>0</v>
      </c>
      <c r="CT33" s="67">
        <v>0</v>
      </c>
      <c r="CU33" s="66">
        <v>0</v>
      </c>
      <c r="CV33" s="66">
        <v>0</v>
      </c>
      <c r="CW33" s="66">
        <v>0</v>
      </c>
      <c r="CX33" s="66">
        <v>0</v>
      </c>
      <c r="CY33" s="66">
        <v>0</v>
      </c>
      <c r="CZ33" s="66">
        <v>0</v>
      </c>
      <c r="DA33" s="66">
        <v>0</v>
      </c>
      <c r="DB33" s="66">
        <v>0</v>
      </c>
      <c r="DC33" s="66">
        <v>0</v>
      </c>
      <c r="DD33" s="66">
        <v>0</v>
      </c>
      <c r="DE33" s="66">
        <v>0</v>
      </c>
      <c r="DF33" s="67" t="s">
        <v>1094</v>
      </c>
      <c r="DG33" s="67" t="s">
        <v>1094</v>
      </c>
      <c r="DH33" s="67">
        <v>0</v>
      </c>
      <c r="DI33" s="67">
        <v>0</v>
      </c>
      <c r="DJ33" s="67">
        <v>0</v>
      </c>
      <c r="DK33" s="66">
        <v>0.80200000000000005</v>
      </c>
      <c r="DL33" s="66">
        <v>0</v>
      </c>
      <c r="DM33" s="66">
        <v>1.1459999999999999</v>
      </c>
      <c r="DN33" s="66">
        <v>0.80200000000000005</v>
      </c>
      <c r="DO33" s="66">
        <v>0.34399999999999997</v>
      </c>
      <c r="DP33" s="66">
        <v>0.80200000000000005</v>
      </c>
      <c r="DQ33" s="66">
        <v>0</v>
      </c>
      <c r="DR33" s="66">
        <v>1.1459999999999999</v>
      </c>
      <c r="DS33" s="66">
        <v>0.80200000000000005</v>
      </c>
      <c r="DT33" s="66">
        <v>0</v>
      </c>
      <c r="DU33" s="66">
        <v>0.34399999999999997</v>
      </c>
      <c r="DV33" s="67">
        <v>100</v>
      </c>
      <c r="DW33" s="67">
        <v>100</v>
      </c>
      <c r="DX33" s="67">
        <v>30.017452006980804</v>
      </c>
      <c r="DY33" s="67">
        <v>0</v>
      </c>
      <c r="DZ33" s="67">
        <v>0</v>
      </c>
      <c r="EA33" s="66">
        <v>0</v>
      </c>
      <c r="EB33" s="66">
        <v>0</v>
      </c>
      <c r="EC33" s="66">
        <v>0</v>
      </c>
      <c r="ED33" s="66">
        <v>0</v>
      </c>
      <c r="EE33" s="66">
        <v>0</v>
      </c>
      <c r="EF33" s="66">
        <v>0</v>
      </c>
      <c r="EG33" s="66">
        <v>0</v>
      </c>
      <c r="EH33" s="66">
        <v>0</v>
      </c>
      <c r="EI33" s="66">
        <v>0</v>
      </c>
      <c r="EJ33" s="66">
        <v>0</v>
      </c>
      <c r="EK33" s="66">
        <v>0</v>
      </c>
      <c r="EL33" s="67" t="s">
        <v>1094</v>
      </c>
      <c r="EM33" s="67" t="s">
        <v>1094</v>
      </c>
      <c r="EN33" s="67">
        <v>0</v>
      </c>
      <c r="EO33" s="67">
        <v>0</v>
      </c>
      <c r="EP33" s="67">
        <v>0</v>
      </c>
      <c r="EQ33" s="66">
        <v>0</v>
      </c>
      <c r="ER33" s="66">
        <v>0</v>
      </c>
      <c r="ES33" s="66">
        <v>0</v>
      </c>
      <c r="ET33" s="66">
        <v>0</v>
      </c>
      <c r="EU33" s="66">
        <v>0</v>
      </c>
      <c r="EV33" s="66">
        <v>0</v>
      </c>
      <c r="EW33" s="66">
        <v>0</v>
      </c>
      <c r="EX33" s="66">
        <v>0</v>
      </c>
      <c r="EY33" s="66">
        <v>0</v>
      </c>
      <c r="EZ33" s="66">
        <v>0</v>
      </c>
      <c r="FA33" s="66">
        <v>0</v>
      </c>
      <c r="FB33" s="67" t="s">
        <v>1094</v>
      </c>
      <c r="FC33" s="67" t="s">
        <v>1094</v>
      </c>
      <c r="FD33" s="67">
        <v>0</v>
      </c>
      <c r="FE33" s="67">
        <v>0</v>
      </c>
      <c r="FF33" s="67">
        <v>0</v>
      </c>
      <c r="FG33" s="66">
        <v>0</v>
      </c>
      <c r="FH33" s="66">
        <v>0</v>
      </c>
      <c r="FI33" s="66">
        <v>0</v>
      </c>
      <c r="FJ33" s="66">
        <v>0</v>
      </c>
      <c r="FK33" s="66">
        <v>0</v>
      </c>
      <c r="FL33" s="66">
        <v>0</v>
      </c>
      <c r="FM33" s="66">
        <v>0</v>
      </c>
      <c r="FN33" s="66">
        <v>0</v>
      </c>
      <c r="FO33" s="66">
        <v>0</v>
      </c>
      <c r="FP33" s="66">
        <v>0</v>
      </c>
      <c r="FQ33" s="66">
        <v>0</v>
      </c>
      <c r="FR33" s="67" t="s">
        <v>1094</v>
      </c>
      <c r="FS33" s="67" t="s">
        <v>1094</v>
      </c>
      <c r="FT33" s="67">
        <v>0</v>
      </c>
      <c r="FU33" s="67">
        <v>0</v>
      </c>
      <c r="FV33" s="67">
        <v>0</v>
      </c>
      <c r="FW33" s="66">
        <v>0</v>
      </c>
      <c r="FX33" s="66">
        <v>0</v>
      </c>
      <c r="FY33" s="66">
        <v>0</v>
      </c>
      <c r="FZ33" s="66">
        <v>0</v>
      </c>
      <c r="GA33" s="66">
        <v>0</v>
      </c>
      <c r="GB33" s="66">
        <v>0</v>
      </c>
      <c r="GC33" s="66">
        <v>0</v>
      </c>
      <c r="GD33" s="66">
        <v>0</v>
      </c>
      <c r="GE33" s="66">
        <v>0</v>
      </c>
      <c r="GF33" s="66">
        <v>0</v>
      </c>
      <c r="GG33" s="66">
        <v>0</v>
      </c>
      <c r="GH33" s="67" t="s">
        <v>1094</v>
      </c>
      <c r="GI33" s="67" t="s">
        <v>1094</v>
      </c>
      <c r="GJ33" s="67">
        <v>0</v>
      </c>
      <c r="GK33" s="67">
        <v>0</v>
      </c>
      <c r="GL33" s="67">
        <v>0</v>
      </c>
      <c r="GM33" s="66">
        <v>0</v>
      </c>
      <c r="GN33" s="66">
        <v>0</v>
      </c>
      <c r="GO33" s="66">
        <v>0</v>
      </c>
      <c r="GP33" s="66">
        <v>0</v>
      </c>
      <c r="GQ33" s="66">
        <v>0</v>
      </c>
      <c r="GR33" s="66">
        <v>0</v>
      </c>
      <c r="GS33" s="66">
        <v>0</v>
      </c>
      <c r="GT33" s="66">
        <v>0</v>
      </c>
      <c r="GU33" s="66">
        <v>0</v>
      </c>
      <c r="GV33" s="66">
        <v>0</v>
      </c>
      <c r="GW33" s="66">
        <v>0</v>
      </c>
      <c r="GX33" s="67" t="s">
        <v>1094</v>
      </c>
      <c r="GY33" s="67" t="s">
        <v>1094</v>
      </c>
      <c r="GZ33" s="67">
        <v>0</v>
      </c>
      <c r="HA33" s="67">
        <v>0</v>
      </c>
      <c r="HB33" s="67">
        <v>0</v>
      </c>
      <c r="HC33" s="66">
        <v>0</v>
      </c>
      <c r="HD33" s="66">
        <v>0</v>
      </c>
      <c r="HE33" s="66">
        <v>0</v>
      </c>
      <c r="HF33" s="66">
        <v>0</v>
      </c>
      <c r="HG33" s="66">
        <v>0</v>
      </c>
      <c r="HH33" s="66">
        <v>0</v>
      </c>
      <c r="HI33" s="66">
        <v>0</v>
      </c>
      <c r="HJ33" s="66">
        <v>0</v>
      </c>
      <c r="HK33" s="66">
        <v>0</v>
      </c>
      <c r="HL33" s="66">
        <v>0</v>
      </c>
      <c r="HM33" s="66">
        <v>0</v>
      </c>
      <c r="HN33" s="67" t="s">
        <v>1094</v>
      </c>
      <c r="HO33" s="67" t="s">
        <v>1094</v>
      </c>
      <c r="HP33" s="67">
        <v>0</v>
      </c>
      <c r="HQ33" s="67">
        <v>0</v>
      </c>
      <c r="HR33" s="67">
        <v>0</v>
      </c>
      <c r="HS33" s="66">
        <v>0</v>
      </c>
      <c r="HT33" s="66">
        <v>0</v>
      </c>
      <c r="HU33" s="66">
        <v>0</v>
      </c>
      <c r="HV33" s="66">
        <v>0</v>
      </c>
      <c r="HW33" s="66">
        <v>0</v>
      </c>
      <c r="HX33" s="66">
        <v>0</v>
      </c>
      <c r="HY33" s="66">
        <v>0</v>
      </c>
      <c r="HZ33" s="66">
        <v>0</v>
      </c>
      <c r="IA33" s="66">
        <v>0</v>
      </c>
      <c r="IB33" s="66">
        <v>0</v>
      </c>
      <c r="IC33" s="66">
        <v>0</v>
      </c>
      <c r="ID33" s="67" t="s">
        <v>1094</v>
      </c>
      <c r="IE33" s="67" t="s">
        <v>1094</v>
      </c>
      <c r="IF33" s="67">
        <v>0</v>
      </c>
      <c r="IG33" s="67">
        <v>0</v>
      </c>
      <c r="IH33" s="67">
        <v>0</v>
      </c>
    </row>
    <row r="34" spans="1:242" ht="15.75" x14ac:dyDescent="0.25">
      <c r="A34" s="11" t="s">
        <v>68</v>
      </c>
      <c r="B34" s="189" t="s">
        <v>69</v>
      </c>
      <c r="C34" s="66">
        <v>49.135899999999999</v>
      </c>
      <c r="D34" s="66">
        <v>0</v>
      </c>
      <c r="E34" s="66">
        <v>117.09689999999999</v>
      </c>
      <c r="F34" s="66">
        <v>49.135899999999999</v>
      </c>
      <c r="G34" s="66">
        <v>67.960999999999999</v>
      </c>
      <c r="H34" s="66">
        <v>49.135899999999999</v>
      </c>
      <c r="I34" s="66">
        <v>3.2538350000000001E-2</v>
      </c>
      <c r="J34" s="66">
        <v>115.715599</v>
      </c>
      <c r="K34" s="66">
        <v>49.135899999999999</v>
      </c>
      <c r="L34" s="66">
        <v>0</v>
      </c>
      <c r="M34" s="66">
        <v>66.579699000000005</v>
      </c>
      <c r="N34" s="67">
        <v>100</v>
      </c>
      <c r="O34" s="67">
        <v>97.967509306808324</v>
      </c>
      <c r="P34" s="67">
        <v>57.537358467979757</v>
      </c>
      <c r="Q34" s="66">
        <v>3.2538350000000001E-2</v>
      </c>
      <c r="R34" s="67">
        <v>2.9351521213527576E-15</v>
      </c>
      <c r="S34" s="66">
        <v>16.375399999999999</v>
      </c>
      <c r="T34" s="66">
        <v>0</v>
      </c>
      <c r="U34" s="66">
        <v>59.775399999999998</v>
      </c>
      <c r="V34" s="66">
        <v>16.375399999999999</v>
      </c>
      <c r="W34" s="66">
        <v>43.4</v>
      </c>
      <c r="X34" s="66">
        <v>16.375399999999999</v>
      </c>
      <c r="Y34" s="66">
        <v>3.2538350000000001E-2</v>
      </c>
      <c r="Z34" s="66">
        <v>59.775399999999998</v>
      </c>
      <c r="AA34" s="66">
        <v>16.375399999999999</v>
      </c>
      <c r="AB34" s="66">
        <v>0</v>
      </c>
      <c r="AC34" s="66">
        <v>43.4</v>
      </c>
      <c r="AD34" s="67">
        <v>100</v>
      </c>
      <c r="AE34" s="67">
        <v>100</v>
      </c>
      <c r="AF34" s="67">
        <v>72.605118493560894</v>
      </c>
      <c r="AG34" s="67">
        <v>3.2538350000000001E-2</v>
      </c>
      <c r="AH34" s="67">
        <v>-6.1756155744774333E-16</v>
      </c>
      <c r="AI34" s="66">
        <v>0</v>
      </c>
      <c r="AJ34" s="66">
        <v>0</v>
      </c>
      <c r="AK34" s="66">
        <v>0</v>
      </c>
      <c r="AL34" s="66">
        <v>0</v>
      </c>
      <c r="AM34" s="66">
        <v>0</v>
      </c>
      <c r="AN34" s="66">
        <v>0</v>
      </c>
      <c r="AO34" s="66">
        <v>0</v>
      </c>
      <c r="AP34" s="66">
        <v>0</v>
      </c>
      <c r="AQ34" s="66">
        <v>0</v>
      </c>
      <c r="AR34" s="66">
        <v>0</v>
      </c>
      <c r="AS34" s="66">
        <v>0</v>
      </c>
      <c r="AT34" s="67" t="s">
        <v>1094</v>
      </c>
      <c r="AU34" s="67" t="s">
        <v>1094</v>
      </c>
      <c r="AV34" s="67">
        <v>0</v>
      </c>
      <c r="AW34" s="67">
        <v>0</v>
      </c>
      <c r="AX34" s="67">
        <v>0</v>
      </c>
      <c r="AY34" s="66">
        <v>10.943</v>
      </c>
      <c r="AZ34" s="66">
        <v>0</v>
      </c>
      <c r="BA34" s="66">
        <v>17.239899999999999</v>
      </c>
      <c r="BB34" s="66">
        <v>10.943</v>
      </c>
      <c r="BC34" s="66">
        <v>6.2968999999999999</v>
      </c>
      <c r="BD34" s="66">
        <v>10.943</v>
      </c>
      <c r="BE34" s="66">
        <v>0</v>
      </c>
      <c r="BF34" s="66">
        <v>17.239899999999999</v>
      </c>
      <c r="BG34" s="66">
        <v>10.943</v>
      </c>
      <c r="BH34" s="66">
        <v>0</v>
      </c>
      <c r="BI34" s="66">
        <v>6.2968999999999999</v>
      </c>
      <c r="BJ34" s="67">
        <v>100</v>
      </c>
      <c r="BK34" s="67">
        <v>100</v>
      </c>
      <c r="BL34" s="67">
        <v>36.525153858201037</v>
      </c>
      <c r="BM34" s="67">
        <v>0</v>
      </c>
      <c r="BN34" s="67">
        <v>0</v>
      </c>
      <c r="BO34" s="66">
        <v>0</v>
      </c>
      <c r="BP34" s="66">
        <v>0</v>
      </c>
      <c r="BQ34" s="66">
        <v>0</v>
      </c>
      <c r="BR34" s="66">
        <v>0</v>
      </c>
      <c r="BS34" s="66">
        <v>0</v>
      </c>
      <c r="BT34" s="66">
        <v>0</v>
      </c>
      <c r="BU34" s="66">
        <v>0</v>
      </c>
      <c r="BV34" s="66">
        <v>0</v>
      </c>
      <c r="BW34" s="66">
        <v>0</v>
      </c>
      <c r="BX34" s="66">
        <v>0</v>
      </c>
      <c r="BY34" s="66">
        <v>0</v>
      </c>
      <c r="BZ34" s="67" t="s">
        <v>1094</v>
      </c>
      <c r="CA34" s="67" t="s">
        <v>1094</v>
      </c>
      <c r="CB34" s="67">
        <v>0</v>
      </c>
      <c r="CC34" s="67">
        <v>0</v>
      </c>
      <c r="CD34" s="67">
        <v>0</v>
      </c>
      <c r="CE34" s="66">
        <v>5.2910000000000004</v>
      </c>
      <c r="CF34" s="66">
        <v>0</v>
      </c>
      <c r="CG34" s="66">
        <v>11.092000000000001</v>
      </c>
      <c r="CH34" s="66">
        <v>5.2910000000000004</v>
      </c>
      <c r="CI34" s="66">
        <v>5.8010000000000002</v>
      </c>
      <c r="CJ34" s="66">
        <v>5.2910000000000004</v>
      </c>
      <c r="CK34" s="66">
        <v>0</v>
      </c>
      <c r="CL34" s="66">
        <v>11.092000000000001</v>
      </c>
      <c r="CM34" s="66">
        <v>5.2910000000000004</v>
      </c>
      <c r="CN34" s="66">
        <v>0</v>
      </c>
      <c r="CO34" s="66">
        <v>5.8010000000000002</v>
      </c>
      <c r="CP34" s="67">
        <v>100</v>
      </c>
      <c r="CQ34" s="67">
        <v>100</v>
      </c>
      <c r="CR34" s="67">
        <v>52.29895420122611</v>
      </c>
      <c r="CS34" s="67">
        <v>0</v>
      </c>
      <c r="CT34" s="67">
        <v>0</v>
      </c>
      <c r="CU34" s="66">
        <v>0</v>
      </c>
      <c r="CV34" s="66">
        <v>0</v>
      </c>
      <c r="CW34" s="66">
        <v>0</v>
      </c>
      <c r="CX34" s="66">
        <v>0</v>
      </c>
      <c r="CY34" s="66">
        <v>0</v>
      </c>
      <c r="CZ34" s="66">
        <v>0</v>
      </c>
      <c r="DA34" s="66">
        <v>0</v>
      </c>
      <c r="DB34" s="66">
        <v>0</v>
      </c>
      <c r="DC34" s="66">
        <v>0</v>
      </c>
      <c r="DD34" s="66">
        <v>0</v>
      </c>
      <c r="DE34" s="66">
        <v>0</v>
      </c>
      <c r="DF34" s="67" t="s">
        <v>1094</v>
      </c>
      <c r="DG34" s="67" t="s">
        <v>1094</v>
      </c>
      <c r="DH34" s="67">
        <v>0</v>
      </c>
      <c r="DI34" s="67">
        <v>0</v>
      </c>
      <c r="DJ34" s="67">
        <v>0</v>
      </c>
      <c r="DK34" s="66">
        <v>0</v>
      </c>
      <c r="DL34" s="66">
        <v>0</v>
      </c>
      <c r="DM34" s="66">
        <v>0</v>
      </c>
      <c r="DN34" s="66">
        <v>0</v>
      </c>
      <c r="DO34" s="66">
        <v>0</v>
      </c>
      <c r="DP34" s="66">
        <v>0</v>
      </c>
      <c r="DQ34" s="66">
        <v>0</v>
      </c>
      <c r="DR34" s="66">
        <v>0</v>
      </c>
      <c r="DS34" s="66">
        <v>0</v>
      </c>
      <c r="DT34" s="66">
        <v>0</v>
      </c>
      <c r="DU34" s="66">
        <v>0</v>
      </c>
      <c r="DV34" s="67" t="s">
        <v>1094</v>
      </c>
      <c r="DW34" s="67" t="s">
        <v>1094</v>
      </c>
      <c r="DX34" s="67">
        <v>0</v>
      </c>
      <c r="DY34" s="67">
        <v>0</v>
      </c>
      <c r="DZ34" s="67">
        <v>0</v>
      </c>
      <c r="EA34" s="66">
        <v>0</v>
      </c>
      <c r="EB34" s="66">
        <v>0</v>
      </c>
      <c r="EC34" s="66">
        <v>0</v>
      </c>
      <c r="ED34" s="66">
        <v>0</v>
      </c>
      <c r="EE34" s="66">
        <v>0</v>
      </c>
      <c r="EF34" s="66">
        <v>0</v>
      </c>
      <c r="EG34" s="66">
        <v>0</v>
      </c>
      <c r="EH34" s="66">
        <v>0</v>
      </c>
      <c r="EI34" s="66">
        <v>0</v>
      </c>
      <c r="EJ34" s="66">
        <v>0</v>
      </c>
      <c r="EK34" s="66">
        <v>0</v>
      </c>
      <c r="EL34" s="67" t="s">
        <v>1094</v>
      </c>
      <c r="EM34" s="67" t="s">
        <v>1094</v>
      </c>
      <c r="EN34" s="67">
        <v>0</v>
      </c>
      <c r="EO34" s="67">
        <v>0</v>
      </c>
      <c r="EP34" s="67">
        <v>0</v>
      </c>
      <c r="EQ34" s="66">
        <v>0.99199999999999999</v>
      </c>
      <c r="ER34" s="66">
        <v>0</v>
      </c>
      <c r="ES34" s="66">
        <v>5.5281000000000002</v>
      </c>
      <c r="ET34" s="66">
        <v>0.99199999999999999</v>
      </c>
      <c r="EU34" s="66">
        <v>4.5361000000000002</v>
      </c>
      <c r="EV34" s="66">
        <v>0.99199999999999999</v>
      </c>
      <c r="EW34" s="66">
        <v>0</v>
      </c>
      <c r="EX34" s="66">
        <v>5.5281000000000002</v>
      </c>
      <c r="EY34" s="66">
        <v>0.99199999999999999</v>
      </c>
      <c r="EZ34" s="66">
        <v>0</v>
      </c>
      <c r="FA34" s="66">
        <v>4.5361000000000002</v>
      </c>
      <c r="FB34" s="67">
        <v>100</v>
      </c>
      <c r="FC34" s="67">
        <v>100</v>
      </c>
      <c r="FD34" s="67">
        <v>82.055317378484474</v>
      </c>
      <c r="FE34" s="67">
        <v>0</v>
      </c>
      <c r="FF34" s="67">
        <v>0</v>
      </c>
      <c r="FG34" s="66">
        <v>0</v>
      </c>
      <c r="FH34" s="66">
        <v>0</v>
      </c>
      <c r="FI34" s="66">
        <v>0</v>
      </c>
      <c r="FJ34" s="66">
        <v>0</v>
      </c>
      <c r="FK34" s="66">
        <v>0</v>
      </c>
      <c r="FL34" s="66">
        <v>0</v>
      </c>
      <c r="FM34" s="66">
        <v>0</v>
      </c>
      <c r="FN34" s="66">
        <v>0</v>
      </c>
      <c r="FO34" s="66">
        <v>0</v>
      </c>
      <c r="FP34" s="66">
        <v>0</v>
      </c>
      <c r="FQ34" s="66">
        <v>0</v>
      </c>
      <c r="FR34" s="67" t="s">
        <v>1094</v>
      </c>
      <c r="FS34" s="67" t="s">
        <v>1094</v>
      </c>
      <c r="FT34" s="67">
        <v>0</v>
      </c>
      <c r="FU34" s="67">
        <v>0</v>
      </c>
      <c r="FV34" s="67">
        <v>0</v>
      </c>
      <c r="FW34" s="66">
        <v>14.634499999999999</v>
      </c>
      <c r="FX34" s="66">
        <v>0</v>
      </c>
      <c r="FY34" s="66">
        <v>20.906500000000001</v>
      </c>
      <c r="FZ34" s="66">
        <v>14.634499999999999</v>
      </c>
      <c r="GA34" s="66">
        <v>6.2720000000000002</v>
      </c>
      <c r="GB34" s="66">
        <v>14.634499999999999</v>
      </c>
      <c r="GC34" s="66">
        <v>0</v>
      </c>
      <c r="GD34" s="66">
        <v>19.525199000000001</v>
      </c>
      <c r="GE34" s="66">
        <v>14.634499999999999</v>
      </c>
      <c r="GF34" s="66">
        <v>0</v>
      </c>
      <c r="GG34" s="66">
        <v>4.8906989999999997</v>
      </c>
      <c r="GH34" s="67">
        <v>100</v>
      </c>
      <c r="GI34" s="67">
        <v>77.976705994897955</v>
      </c>
      <c r="GJ34" s="67">
        <v>25.048139074024288</v>
      </c>
      <c r="GK34" s="67">
        <v>0</v>
      </c>
      <c r="GL34" s="67">
        <v>0</v>
      </c>
      <c r="GM34" s="66">
        <v>0</v>
      </c>
      <c r="GN34" s="66">
        <v>0</v>
      </c>
      <c r="GO34" s="66">
        <v>0</v>
      </c>
      <c r="GP34" s="66">
        <v>0</v>
      </c>
      <c r="GQ34" s="66">
        <v>0</v>
      </c>
      <c r="GR34" s="66">
        <v>0</v>
      </c>
      <c r="GS34" s="66">
        <v>0</v>
      </c>
      <c r="GT34" s="66">
        <v>0</v>
      </c>
      <c r="GU34" s="66">
        <v>0</v>
      </c>
      <c r="GV34" s="66">
        <v>0</v>
      </c>
      <c r="GW34" s="66">
        <v>0</v>
      </c>
      <c r="GX34" s="67" t="s">
        <v>1094</v>
      </c>
      <c r="GY34" s="67" t="s">
        <v>1094</v>
      </c>
      <c r="GZ34" s="67">
        <v>0</v>
      </c>
      <c r="HA34" s="67">
        <v>0</v>
      </c>
      <c r="HB34" s="67">
        <v>0</v>
      </c>
      <c r="HC34" s="66">
        <v>0.9</v>
      </c>
      <c r="HD34" s="66">
        <v>0</v>
      </c>
      <c r="HE34" s="66">
        <v>2.5550000000000002</v>
      </c>
      <c r="HF34" s="66">
        <v>0.9</v>
      </c>
      <c r="HG34" s="66">
        <v>1.655</v>
      </c>
      <c r="HH34" s="66">
        <v>0.9</v>
      </c>
      <c r="HI34" s="66">
        <v>0</v>
      </c>
      <c r="HJ34" s="66">
        <v>2.5550000000000002</v>
      </c>
      <c r="HK34" s="66">
        <v>0.9</v>
      </c>
      <c r="HL34" s="66">
        <v>0</v>
      </c>
      <c r="HM34" s="66">
        <v>1.655</v>
      </c>
      <c r="HN34" s="67">
        <v>100</v>
      </c>
      <c r="HO34" s="67">
        <v>100</v>
      </c>
      <c r="HP34" s="67">
        <v>64.774951076320946</v>
      </c>
      <c r="HQ34" s="67">
        <v>0</v>
      </c>
      <c r="HR34" s="67">
        <v>0</v>
      </c>
      <c r="HS34" s="66">
        <v>0</v>
      </c>
      <c r="HT34" s="66">
        <v>0</v>
      </c>
      <c r="HU34" s="66">
        <v>0</v>
      </c>
      <c r="HV34" s="66">
        <v>0</v>
      </c>
      <c r="HW34" s="66">
        <v>0</v>
      </c>
      <c r="HX34" s="66">
        <v>0</v>
      </c>
      <c r="HY34" s="66">
        <v>0</v>
      </c>
      <c r="HZ34" s="66">
        <v>0</v>
      </c>
      <c r="IA34" s="66">
        <v>0</v>
      </c>
      <c r="IB34" s="66">
        <v>0</v>
      </c>
      <c r="IC34" s="66">
        <v>0</v>
      </c>
      <c r="ID34" s="67" t="s">
        <v>1094</v>
      </c>
      <c r="IE34" s="67" t="s">
        <v>1094</v>
      </c>
      <c r="IF34" s="67">
        <v>0</v>
      </c>
      <c r="IG34" s="67">
        <v>0</v>
      </c>
      <c r="IH34" s="67">
        <v>0</v>
      </c>
    </row>
    <row r="35" spans="1:242" ht="15.75" x14ac:dyDescent="0.25">
      <c r="A35" s="11" t="s">
        <v>71</v>
      </c>
      <c r="B35" s="189" t="s">
        <v>72</v>
      </c>
      <c r="C35" s="66">
        <v>26.973200000000002</v>
      </c>
      <c r="D35" s="66">
        <v>0</v>
      </c>
      <c r="E35" s="66">
        <v>54.688199999999995</v>
      </c>
      <c r="F35" s="66">
        <v>26.973200000000002</v>
      </c>
      <c r="G35" s="66">
        <v>27.715</v>
      </c>
      <c r="H35" s="66">
        <v>26.973199839999999</v>
      </c>
      <c r="I35" s="66">
        <v>0.40224884000000005</v>
      </c>
      <c r="J35" s="66">
        <v>54.68819984000001</v>
      </c>
      <c r="K35" s="66">
        <v>26.973199839999999</v>
      </c>
      <c r="L35" s="66">
        <v>0</v>
      </c>
      <c r="M35" s="66">
        <v>27.715</v>
      </c>
      <c r="N35" s="67">
        <v>99.999999406818603</v>
      </c>
      <c r="O35" s="67">
        <v>100</v>
      </c>
      <c r="P35" s="67">
        <v>50.678208610056885</v>
      </c>
      <c r="Q35" s="66">
        <v>0.40224884000000005</v>
      </c>
      <c r="R35" s="67">
        <v>-1.4432899320127035E-15</v>
      </c>
      <c r="S35" s="66">
        <v>22.307200000000002</v>
      </c>
      <c r="T35" s="66">
        <v>0</v>
      </c>
      <c r="U35" s="66">
        <v>48.022199999999998</v>
      </c>
      <c r="V35" s="66">
        <v>22.307200000000002</v>
      </c>
      <c r="W35" s="66">
        <v>25.715</v>
      </c>
      <c r="X35" s="66">
        <v>22.307199839999999</v>
      </c>
      <c r="Y35" s="66">
        <v>0</v>
      </c>
      <c r="Z35" s="66">
        <v>48.022199840000006</v>
      </c>
      <c r="AA35" s="66">
        <v>22.307199839999999</v>
      </c>
      <c r="AB35" s="66">
        <v>0</v>
      </c>
      <c r="AC35" s="66">
        <v>25.715</v>
      </c>
      <c r="AD35" s="67">
        <v>99.999999282742777</v>
      </c>
      <c r="AE35" s="67">
        <v>100</v>
      </c>
      <c r="AF35" s="67">
        <v>53.548150825403752</v>
      </c>
      <c r="AG35" s="67">
        <v>0</v>
      </c>
      <c r="AH35" s="67">
        <v>0</v>
      </c>
      <c r="AI35" s="66">
        <v>0</v>
      </c>
      <c r="AJ35" s="66">
        <v>0</v>
      </c>
      <c r="AK35" s="66">
        <v>0</v>
      </c>
      <c r="AL35" s="66">
        <v>0</v>
      </c>
      <c r="AM35" s="66">
        <v>0</v>
      </c>
      <c r="AN35" s="66">
        <v>0</v>
      </c>
      <c r="AO35" s="66">
        <v>0</v>
      </c>
      <c r="AP35" s="66">
        <v>0</v>
      </c>
      <c r="AQ35" s="66">
        <v>0</v>
      </c>
      <c r="AR35" s="66">
        <v>0</v>
      </c>
      <c r="AS35" s="66">
        <v>0</v>
      </c>
      <c r="AT35" s="67" t="s">
        <v>1094</v>
      </c>
      <c r="AU35" s="67" t="s">
        <v>1094</v>
      </c>
      <c r="AV35" s="67">
        <v>0</v>
      </c>
      <c r="AW35" s="67">
        <v>0</v>
      </c>
      <c r="AX35" s="67">
        <v>0</v>
      </c>
      <c r="AY35" s="66">
        <v>4.6660000000000004</v>
      </c>
      <c r="AZ35" s="66">
        <v>0</v>
      </c>
      <c r="BA35" s="66">
        <v>6.6660000000000004</v>
      </c>
      <c r="BB35" s="66">
        <v>4.6660000000000004</v>
      </c>
      <c r="BC35" s="66">
        <v>2</v>
      </c>
      <c r="BD35" s="66">
        <v>4.6660000000000004</v>
      </c>
      <c r="BE35" s="66">
        <v>0</v>
      </c>
      <c r="BF35" s="66">
        <v>6.6660000000000004</v>
      </c>
      <c r="BG35" s="66">
        <v>4.6660000000000004</v>
      </c>
      <c r="BH35" s="66">
        <v>0</v>
      </c>
      <c r="BI35" s="66">
        <v>2</v>
      </c>
      <c r="BJ35" s="67">
        <v>100</v>
      </c>
      <c r="BK35" s="67">
        <v>100</v>
      </c>
      <c r="BL35" s="67">
        <v>30.003000300030003</v>
      </c>
      <c r="BM35" s="67">
        <v>0</v>
      </c>
      <c r="BN35" s="67">
        <v>0</v>
      </c>
      <c r="BO35" s="66">
        <v>0</v>
      </c>
      <c r="BP35" s="66">
        <v>0</v>
      </c>
      <c r="BQ35" s="66">
        <v>0</v>
      </c>
      <c r="BR35" s="66">
        <v>0</v>
      </c>
      <c r="BS35" s="66">
        <v>0</v>
      </c>
      <c r="BT35" s="66">
        <v>0</v>
      </c>
      <c r="BU35" s="66">
        <v>0</v>
      </c>
      <c r="BV35" s="66">
        <v>0</v>
      </c>
      <c r="BW35" s="66">
        <v>0</v>
      </c>
      <c r="BX35" s="66">
        <v>0</v>
      </c>
      <c r="BY35" s="66">
        <v>0</v>
      </c>
      <c r="BZ35" s="67" t="s">
        <v>1094</v>
      </c>
      <c r="CA35" s="67" t="s">
        <v>1094</v>
      </c>
      <c r="CB35" s="67">
        <v>0</v>
      </c>
      <c r="CC35" s="67">
        <v>0</v>
      </c>
      <c r="CD35" s="67">
        <v>0</v>
      </c>
      <c r="CE35" s="66">
        <v>0</v>
      </c>
      <c r="CF35" s="66">
        <v>0</v>
      </c>
      <c r="CG35" s="66">
        <v>0</v>
      </c>
      <c r="CH35" s="66">
        <v>0</v>
      </c>
      <c r="CI35" s="66">
        <v>0</v>
      </c>
      <c r="CJ35" s="66">
        <v>0</v>
      </c>
      <c r="CK35" s="66">
        <v>0</v>
      </c>
      <c r="CL35" s="66">
        <v>0</v>
      </c>
      <c r="CM35" s="66">
        <v>0</v>
      </c>
      <c r="CN35" s="66">
        <v>0</v>
      </c>
      <c r="CO35" s="66">
        <v>0</v>
      </c>
      <c r="CP35" s="67" t="s">
        <v>1094</v>
      </c>
      <c r="CQ35" s="67" t="s">
        <v>1094</v>
      </c>
      <c r="CR35" s="67">
        <v>0</v>
      </c>
      <c r="CS35" s="67">
        <v>0</v>
      </c>
      <c r="CT35" s="67">
        <v>0</v>
      </c>
      <c r="CU35" s="66">
        <v>0</v>
      </c>
      <c r="CV35" s="66">
        <v>0</v>
      </c>
      <c r="CW35" s="66">
        <v>0</v>
      </c>
      <c r="CX35" s="66">
        <v>0</v>
      </c>
      <c r="CY35" s="66">
        <v>0</v>
      </c>
      <c r="CZ35" s="66">
        <v>0</v>
      </c>
      <c r="DA35" s="66">
        <v>0.40224884000000005</v>
      </c>
      <c r="DB35" s="66">
        <v>0</v>
      </c>
      <c r="DC35" s="66">
        <v>0</v>
      </c>
      <c r="DD35" s="66">
        <v>0</v>
      </c>
      <c r="DE35" s="66">
        <v>0</v>
      </c>
      <c r="DF35" s="67" t="s">
        <v>1094</v>
      </c>
      <c r="DG35" s="67" t="s">
        <v>1094</v>
      </c>
      <c r="DH35" s="67">
        <v>0</v>
      </c>
      <c r="DI35" s="67">
        <v>0.40224884000000005</v>
      </c>
      <c r="DJ35" s="67">
        <v>0</v>
      </c>
      <c r="DK35" s="66">
        <v>0</v>
      </c>
      <c r="DL35" s="66">
        <v>0</v>
      </c>
      <c r="DM35" s="66">
        <v>0</v>
      </c>
      <c r="DN35" s="66">
        <v>0</v>
      </c>
      <c r="DO35" s="66">
        <v>0</v>
      </c>
      <c r="DP35" s="66">
        <v>0</v>
      </c>
      <c r="DQ35" s="66">
        <v>0</v>
      </c>
      <c r="DR35" s="66">
        <v>0</v>
      </c>
      <c r="DS35" s="66">
        <v>0</v>
      </c>
      <c r="DT35" s="66">
        <v>0</v>
      </c>
      <c r="DU35" s="66">
        <v>0</v>
      </c>
      <c r="DV35" s="67" t="s">
        <v>1094</v>
      </c>
      <c r="DW35" s="67" t="s">
        <v>1094</v>
      </c>
      <c r="DX35" s="67">
        <v>0</v>
      </c>
      <c r="DY35" s="67">
        <v>0</v>
      </c>
      <c r="DZ35" s="67">
        <v>0</v>
      </c>
      <c r="EA35" s="66">
        <v>0</v>
      </c>
      <c r="EB35" s="66">
        <v>0</v>
      </c>
      <c r="EC35" s="66">
        <v>0</v>
      </c>
      <c r="ED35" s="66">
        <v>0</v>
      </c>
      <c r="EE35" s="66">
        <v>0</v>
      </c>
      <c r="EF35" s="66">
        <v>0</v>
      </c>
      <c r="EG35" s="66">
        <v>0</v>
      </c>
      <c r="EH35" s="66">
        <v>0</v>
      </c>
      <c r="EI35" s="66">
        <v>0</v>
      </c>
      <c r="EJ35" s="66">
        <v>0</v>
      </c>
      <c r="EK35" s="66">
        <v>0</v>
      </c>
      <c r="EL35" s="67" t="s">
        <v>1094</v>
      </c>
      <c r="EM35" s="67" t="s">
        <v>1094</v>
      </c>
      <c r="EN35" s="67">
        <v>0</v>
      </c>
      <c r="EO35" s="67">
        <v>0</v>
      </c>
      <c r="EP35" s="67">
        <v>0</v>
      </c>
      <c r="EQ35" s="66">
        <v>0</v>
      </c>
      <c r="ER35" s="66">
        <v>0</v>
      </c>
      <c r="ES35" s="66">
        <v>0</v>
      </c>
      <c r="ET35" s="66">
        <v>0</v>
      </c>
      <c r="EU35" s="66">
        <v>0</v>
      </c>
      <c r="EV35" s="66">
        <v>0</v>
      </c>
      <c r="EW35" s="66">
        <v>0</v>
      </c>
      <c r="EX35" s="66">
        <v>0</v>
      </c>
      <c r="EY35" s="66">
        <v>0</v>
      </c>
      <c r="EZ35" s="66">
        <v>0</v>
      </c>
      <c r="FA35" s="66">
        <v>0</v>
      </c>
      <c r="FB35" s="67" t="s">
        <v>1094</v>
      </c>
      <c r="FC35" s="67" t="s">
        <v>1094</v>
      </c>
      <c r="FD35" s="67">
        <v>0</v>
      </c>
      <c r="FE35" s="67">
        <v>0</v>
      </c>
      <c r="FF35" s="67">
        <v>0</v>
      </c>
      <c r="FG35" s="66">
        <v>0</v>
      </c>
      <c r="FH35" s="66">
        <v>0</v>
      </c>
      <c r="FI35" s="66">
        <v>0</v>
      </c>
      <c r="FJ35" s="66">
        <v>0</v>
      </c>
      <c r="FK35" s="66">
        <v>0</v>
      </c>
      <c r="FL35" s="66">
        <v>0</v>
      </c>
      <c r="FM35" s="66">
        <v>0</v>
      </c>
      <c r="FN35" s="66">
        <v>0</v>
      </c>
      <c r="FO35" s="66">
        <v>0</v>
      </c>
      <c r="FP35" s="66">
        <v>0</v>
      </c>
      <c r="FQ35" s="66">
        <v>0</v>
      </c>
      <c r="FR35" s="67" t="s">
        <v>1094</v>
      </c>
      <c r="FS35" s="67" t="s">
        <v>1094</v>
      </c>
      <c r="FT35" s="67">
        <v>0</v>
      </c>
      <c r="FU35" s="67">
        <v>0</v>
      </c>
      <c r="FV35" s="67">
        <v>0</v>
      </c>
      <c r="FW35" s="66">
        <v>0</v>
      </c>
      <c r="FX35" s="66">
        <v>0</v>
      </c>
      <c r="FY35" s="66">
        <v>0</v>
      </c>
      <c r="FZ35" s="66">
        <v>0</v>
      </c>
      <c r="GA35" s="66">
        <v>0</v>
      </c>
      <c r="GB35" s="66">
        <v>0</v>
      </c>
      <c r="GC35" s="66">
        <v>0</v>
      </c>
      <c r="GD35" s="66">
        <v>0</v>
      </c>
      <c r="GE35" s="66">
        <v>0</v>
      </c>
      <c r="GF35" s="66">
        <v>0</v>
      </c>
      <c r="GG35" s="66">
        <v>0</v>
      </c>
      <c r="GH35" s="67" t="s">
        <v>1094</v>
      </c>
      <c r="GI35" s="67" t="s">
        <v>1094</v>
      </c>
      <c r="GJ35" s="67">
        <v>0</v>
      </c>
      <c r="GK35" s="67">
        <v>0</v>
      </c>
      <c r="GL35" s="67">
        <v>0</v>
      </c>
      <c r="GM35" s="66">
        <v>0</v>
      </c>
      <c r="GN35" s="66">
        <v>0</v>
      </c>
      <c r="GO35" s="66">
        <v>0</v>
      </c>
      <c r="GP35" s="66">
        <v>0</v>
      </c>
      <c r="GQ35" s="66">
        <v>0</v>
      </c>
      <c r="GR35" s="66">
        <v>0</v>
      </c>
      <c r="GS35" s="66">
        <v>0</v>
      </c>
      <c r="GT35" s="66">
        <v>0</v>
      </c>
      <c r="GU35" s="66">
        <v>0</v>
      </c>
      <c r="GV35" s="66">
        <v>0</v>
      </c>
      <c r="GW35" s="66">
        <v>0</v>
      </c>
      <c r="GX35" s="67" t="s">
        <v>1094</v>
      </c>
      <c r="GY35" s="67" t="s">
        <v>1094</v>
      </c>
      <c r="GZ35" s="67">
        <v>0</v>
      </c>
      <c r="HA35" s="67">
        <v>0</v>
      </c>
      <c r="HB35" s="67">
        <v>0</v>
      </c>
      <c r="HC35" s="66">
        <v>0</v>
      </c>
      <c r="HD35" s="66">
        <v>0</v>
      </c>
      <c r="HE35" s="66">
        <v>0</v>
      </c>
      <c r="HF35" s="66">
        <v>0</v>
      </c>
      <c r="HG35" s="66">
        <v>0</v>
      </c>
      <c r="HH35" s="66">
        <v>0</v>
      </c>
      <c r="HI35" s="66">
        <v>0</v>
      </c>
      <c r="HJ35" s="66">
        <v>0</v>
      </c>
      <c r="HK35" s="66">
        <v>0</v>
      </c>
      <c r="HL35" s="66">
        <v>0</v>
      </c>
      <c r="HM35" s="66">
        <v>0</v>
      </c>
      <c r="HN35" s="67" t="s">
        <v>1094</v>
      </c>
      <c r="HO35" s="67" t="s">
        <v>1094</v>
      </c>
      <c r="HP35" s="67">
        <v>0</v>
      </c>
      <c r="HQ35" s="67">
        <v>0</v>
      </c>
      <c r="HR35" s="67">
        <v>0</v>
      </c>
      <c r="HS35" s="66">
        <v>0</v>
      </c>
      <c r="HT35" s="66">
        <v>0</v>
      </c>
      <c r="HU35" s="66">
        <v>0</v>
      </c>
      <c r="HV35" s="66">
        <v>0</v>
      </c>
      <c r="HW35" s="66">
        <v>0</v>
      </c>
      <c r="HX35" s="66">
        <v>0</v>
      </c>
      <c r="HY35" s="66">
        <v>0</v>
      </c>
      <c r="HZ35" s="66">
        <v>0</v>
      </c>
      <c r="IA35" s="66">
        <v>0</v>
      </c>
      <c r="IB35" s="66">
        <v>0</v>
      </c>
      <c r="IC35" s="66">
        <v>0</v>
      </c>
      <c r="ID35" s="67" t="s">
        <v>1094</v>
      </c>
      <c r="IE35" s="67" t="s">
        <v>1094</v>
      </c>
      <c r="IF35" s="67">
        <v>0</v>
      </c>
      <c r="IG35" s="67">
        <v>0</v>
      </c>
      <c r="IH35" s="67">
        <v>0</v>
      </c>
    </row>
    <row r="36" spans="1:242" ht="15.75" x14ac:dyDescent="0.25">
      <c r="A36" s="11" t="s">
        <v>74</v>
      </c>
      <c r="B36" s="189" t="s">
        <v>298</v>
      </c>
      <c r="C36" s="66">
        <v>0</v>
      </c>
      <c r="D36" s="66">
        <v>0</v>
      </c>
      <c r="E36" s="66">
        <v>0</v>
      </c>
      <c r="F36" s="66">
        <v>0</v>
      </c>
      <c r="G36" s="66">
        <v>0</v>
      </c>
      <c r="H36" s="66">
        <v>0</v>
      </c>
      <c r="I36" s="66">
        <v>0</v>
      </c>
      <c r="J36" s="66">
        <v>0</v>
      </c>
      <c r="K36" s="66">
        <v>0</v>
      </c>
      <c r="L36" s="66">
        <v>0</v>
      </c>
      <c r="M36" s="66">
        <v>0</v>
      </c>
      <c r="N36" s="67" t="s">
        <v>1094</v>
      </c>
      <c r="O36" s="67" t="s">
        <v>1094</v>
      </c>
      <c r="P36" s="67">
        <v>0</v>
      </c>
      <c r="Q36" s="66">
        <v>0</v>
      </c>
      <c r="R36" s="67">
        <v>0</v>
      </c>
      <c r="S36" s="66">
        <v>0</v>
      </c>
      <c r="T36" s="66">
        <v>0</v>
      </c>
      <c r="U36" s="66">
        <v>0</v>
      </c>
      <c r="V36" s="66">
        <v>0</v>
      </c>
      <c r="W36" s="66">
        <v>0</v>
      </c>
      <c r="X36" s="66">
        <v>0</v>
      </c>
      <c r="Y36" s="66">
        <v>0</v>
      </c>
      <c r="Z36" s="66">
        <v>0</v>
      </c>
      <c r="AA36" s="66">
        <v>0</v>
      </c>
      <c r="AB36" s="66">
        <v>0</v>
      </c>
      <c r="AC36" s="66">
        <v>0</v>
      </c>
      <c r="AD36" s="67" t="s">
        <v>1094</v>
      </c>
      <c r="AE36" s="67" t="s">
        <v>1094</v>
      </c>
      <c r="AF36" s="67">
        <v>0</v>
      </c>
      <c r="AG36" s="67">
        <v>0</v>
      </c>
      <c r="AH36" s="67">
        <v>0</v>
      </c>
      <c r="AI36" s="66">
        <v>0</v>
      </c>
      <c r="AJ36" s="66">
        <v>0</v>
      </c>
      <c r="AK36" s="66">
        <v>0</v>
      </c>
      <c r="AL36" s="66">
        <v>0</v>
      </c>
      <c r="AM36" s="66">
        <v>0</v>
      </c>
      <c r="AN36" s="66">
        <v>0</v>
      </c>
      <c r="AO36" s="66">
        <v>0</v>
      </c>
      <c r="AP36" s="66">
        <v>0</v>
      </c>
      <c r="AQ36" s="66">
        <v>0</v>
      </c>
      <c r="AR36" s="66">
        <v>0</v>
      </c>
      <c r="AS36" s="66">
        <v>0</v>
      </c>
      <c r="AT36" s="67" t="s">
        <v>1094</v>
      </c>
      <c r="AU36" s="67" t="s">
        <v>1094</v>
      </c>
      <c r="AV36" s="67">
        <v>0</v>
      </c>
      <c r="AW36" s="67">
        <v>0</v>
      </c>
      <c r="AX36" s="67">
        <v>0</v>
      </c>
      <c r="AY36" s="66">
        <v>0</v>
      </c>
      <c r="AZ36" s="66">
        <v>0</v>
      </c>
      <c r="BA36" s="66">
        <v>0</v>
      </c>
      <c r="BB36" s="66">
        <v>0</v>
      </c>
      <c r="BC36" s="66">
        <v>0</v>
      </c>
      <c r="BD36" s="66">
        <v>0</v>
      </c>
      <c r="BE36" s="66">
        <v>0</v>
      </c>
      <c r="BF36" s="66">
        <v>0</v>
      </c>
      <c r="BG36" s="66">
        <v>0</v>
      </c>
      <c r="BH36" s="66">
        <v>0</v>
      </c>
      <c r="BI36" s="66">
        <v>0</v>
      </c>
      <c r="BJ36" s="67" t="s">
        <v>1094</v>
      </c>
      <c r="BK36" s="67" t="s">
        <v>1094</v>
      </c>
      <c r="BL36" s="67">
        <v>0</v>
      </c>
      <c r="BM36" s="67">
        <v>0</v>
      </c>
      <c r="BN36" s="67">
        <v>0</v>
      </c>
      <c r="BO36" s="66">
        <v>0</v>
      </c>
      <c r="BP36" s="66">
        <v>0</v>
      </c>
      <c r="BQ36" s="66">
        <v>0</v>
      </c>
      <c r="BR36" s="66">
        <v>0</v>
      </c>
      <c r="BS36" s="66">
        <v>0</v>
      </c>
      <c r="BT36" s="66">
        <v>0</v>
      </c>
      <c r="BU36" s="66">
        <v>0</v>
      </c>
      <c r="BV36" s="66">
        <v>0</v>
      </c>
      <c r="BW36" s="66">
        <v>0</v>
      </c>
      <c r="BX36" s="66">
        <v>0</v>
      </c>
      <c r="BY36" s="66">
        <v>0</v>
      </c>
      <c r="BZ36" s="67" t="s">
        <v>1094</v>
      </c>
      <c r="CA36" s="67" t="s">
        <v>1094</v>
      </c>
      <c r="CB36" s="67">
        <v>0</v>
      </c>
      <c r="CC36" s="67">
        <v>0</v>
      </c>
      <c r="CD36" s="67">
        <v>0</v>
      </c>
      <c r="CE36" s="66">
        <v>0</v>
      </c>
      <c r="CF36" s="66">
        <v>0</v>
      </c>
      <c r="CG36" s="66">
        <v>0</v>
      </c>
      <c r="CH36" s="66">
        <v>0</v>
      </c>
      <c r="CI36" s="66">
        <v>0</v>
      </c>
      <c r="CJ36" s="66">
        <v>0</v>
      </c>
      <c r="CK36" s="66">
        <v>0</v>
      </c>
      <c r="CL36" s="66">
        <v>0</v>
      </c>
      <c r="CM36" s="66">
        <v>0</v>
      </c>
      <c r="CN36" s="66">
        <v>0</v>
      </c>
      <c r="CO36" s="66">
        <v>0</v>
      </c>
      <c r="CP36" s="67" t="s">
        <v>1094</v>
      </c>
      <c r="CQ36" s="67" t="s">
        <v>1094</v>
      </c>
      <c r="CR36" s="67">
        <v>0</v>
      </c>
      <c r="CS36" s="67">
        <v>0</v>
      </c>
      <c r="CT36" s="67">
        <v>0</v>
      </c>
      <c r="CU36" s="66">
        <v>0</v>
      </c>
      <c r="CV36" s="66">
        <v>0</v>
      </c>
      <c r="CW36" s="66">
        <v>0</v>
      </c>
      <c r="CX36" s="66">
        <v>0</v>
      </c>
      <c r="CY36" s="66">
        <v>0</v>
      </c>
      <c r="CZ36" s="66">
        <v>0</v>
      </c>
      <c r="DA36" s="66">
        <v>0</v>
      </c>
      <c r="DB36" s="66">
        <v>0</v>
      </c>
      <c r="DC36" s="66">
        <v>0</v>
      </c>
      <c r="DD36" s="66">
        <v>0</v>
      </c>
      <c r="DE36" s="66">
        <v>0</v>
      </c>
      <c r="DF36" s="67" t="s">
        <v>1094</v>
      </c>
      <c r="DG36" s="67" t="s">
        <v>1094</v>
      </c>
      <c r="DH36" s="67">
        <v>0</v>
      </c>
      <c r="DI36" s="67">
        <v>0</v>
      </c>
      <c r="DJ36" s="67">
        <v>0</v>
      </c>
      <c r="DK36" s="66">
        <v>0</v>
      </c>
      <c r="DL36" s="66">
        <v>0</v>
      </c>
      <c r="DM36" s="66">
        <v>0</v>
      </c>
      <c r="DN36" s="66">
        <v>0</v>
      </c>
      <c r="DO36" s="66">
        <v>0</v>
      </c>
      <c r="DP36" s="66">
        <v>0</v>
      </c>
      <c r="DQ36" s="66">
        <v>0</v>
      </c>
      <c r="DR36" s="66">
        <v>0</v>
      </c>
      <c r="DS36" s="66">
        <v>0</v>
      </c>
      <c r="DT36" s="66">
        <v>0</v>
      </c>
      <c r="DU36" s="66">
        <v>0</v>
      </c>
      <c r="DV36" s="67" t="s">
        <v>1094</v>
      </c>
      <c r="DW36" s="67" t="s">
        <v>1094</v>
      </c>
      <c r="DX36" s="67">
        <v>0</v>
      </c>
      <c r="DY36" s="67">
        <v>0</v>
      </c>
      <c r="DZ36" s="67">
        <v>0</v>
      </c>
      <c r="EA36" s="66">
        <v>0</v>
      </c>
      <c r="EB36" s="66">
        <v>0</v>
      </c>
      <c r="EC36" s="66">
        <v>0</v>
      </c>
      <c r="ED36" s="66">
        <v>0</v>
      </c>
      <c r="EE36" s="66">
        <v>0</v>
      </c>
      <c r="EF36" s="66">
        <v>0</v>
      </c>
      <c r="EG36" s="66">
        <v>0</v>
      </c>
      <c r="EH36" s="66">
        <v>0</v>
      </c>
      <c r="EI36" s="66">
        <v>0</v>
      </c>
      <c r="EJ36" s="66">
        <v>0</v>
      </c>
      <c r="EK36" s="66">
        <v>0</v>
      </c>
      <c r="EL36" s="67" t="s">
        <v>1094</v>
      </c>
      <c r="EM36" s="67" t="s">
        <v>1094</v>
      </c>
      <c r="EN36" s="67">
        <v>0</v>
      </c>
      <c r="EO36" s="67">
        <v>0</v>
      </c>
      <c r="EP36" s="67">
        <v>0</v>
      </c>
      <c r="EQ36" s="66">
        <v>0</v>
      </c>
      <c r="ER36" s="66">
        <v>0</v>
      </c>
      <c r="ES36" s="66">
        <v>0</v>
      </c>
      <c r="ET36" s="66">
        <v>0</v>
      </c>
      <c r="EU36" s="66">
        <v>0</v>
      </c>
      <c r="EV36" s="66">
        <v>0</v>
      </c>
      <c r="EW36" s="66">
        <v>0</v>
      </c>
      <c r="EX36" s="66">
        <v>0</v>
      </c>
      <c r="EY36" s="66">
        <v>0</v>
      </c>
      <c r="EZ36" s="66">
        <v>0</v>
      </c>
      <c r="FA36" s="66">
        <v>0</v>
      </c>
      <c r="FB36" s="67" t="s">
        <v>1094</v>
      </c>
      <c r="FC36" s="67" t="s">
        <v>1094</v>
      </c>
      <c r="FD36" s="67">
        <v>0</v>
      </c>
      <c r="FE36" s="67">
        <v>0</v>
      </c>
      <c r="FF36" s="67">
        <v>0</v>
      </c>
      <c r="FG36" s="66">
        <v>0</v>
      </c>
      <c r="FH36" s="66">
        <v>0</v>
      </c>
      <c r="FI36" s="66">
        <v>0</v>
      </c>
      <c r="FJ36" s="66">
        <v>0</v>
      </c>
      <c r="FK36" s="66">
        <v>0</v>
      </c>
      <c r="FL36" s="66">
        <v>0</v>
      </c>
      <c r="FM36" s="66">
        <v>0</v>
      </c>
      <c r="FN36" s="66">
        <v>0</v>
      </c>
      <c r="FO36" s="66">
        <v>0</v>
      </c>
      <c r="FP36" s="66">
        <v>0</v>
      </c>
      <c r="FQ36" s="66">
        <v>0</v>
      </c>
      <c r="FR36" s="67" t="s">
        <v>1094</v>
      </c>
      <c r="FS36" s="67" t="s">
        <v>1094</v>
      </c>
      <c r="FT36" s="67">
        <v>0</v>
      </c>
      <c r="FU36" s="67">
        <v>0</v>
      </c>
      <c r="FV36" s="67">
        <v>0</v>
      </c>
      <c r="FW36" s="66">
        <v>0</v>
      </c>
      <c r="FX36" s="66">
        <v>0</v>
      </c>
      <c r="FY36" s="66">
        <v>0</v>
      </c>
      <c r="FZ36" s="66">
        <v>0</v>
      </c>
      <c r="GA36" s="66">
        <v>0</v>
      </c>
      <c r="GB36" s="66">
        <v>0</v>
      </c>
      <c r="GC36" s="66">
        <v>0</v>
      </c>
      <c r="GD36" s="66">
        <v>0</v>
      </c>
      <c r="GE36" s="66">
        <v>0</v>
      </c>
      <c r="GF36" s="66">
        <v>0</v>
      </c>
      <c r="GG36" s="66">
        <v>0</v>
      </c>
      <c r="GH36" s="67" t="s">
        <v>1094</v>
      </c>
      <c r="GI36" s="67" t="s">
        <v>1094</v>
      </c>
      <c r="GJ36" s="67">
        <v>0</v>
      </c>
      <c r="GK36" s="67">
        <v>0</v>
      </c>
      <c r="GL36" s="67">
        <v>0</v>
      </c>
      <c r="GM36" s="66">
        <v>0</v>
      </c>
      <c r="GN36" s="66">
        <v>0</v>
      </c>
      <c r="GO36" s="66">
        <v>0</v>
      </c>
      <c r="GP36" s="66">
        <v>0</v>
      </c>
      <c r="GQ36" s="66">
        <v>0</v>
      </c>
      <c r="GR36" s="66">
        <v>0</v>
      </c>
      <c r="GS36" s="66">
        <v>0</v>
      </c>
      <c r="GT36" s="66">
        <v>0</v>
      </c>
      <c r="GU36" s="66">
        <v>0</v>
      </c>
      <c r="GV36" s="66">
        <v>0</v>
      </c>
      <c r="GW36" s="66">
        <v>0</v>
      </c>
      <c r="GX36" s="67" t="s">
        <v>1094</v>
      </c>
      <c r="GY36" s="67" t="s">
        <v>1094</v>
      </c>
      <c r="GZ36" s="67">
        <v>0</v>
      </c>
      <c r="HA36" s="67">
        <v>0</v>
      </c>
      <c r="HB36" s="67">
        <v>0</v>
      </c>
      <c r="HC36" s="66">
        <v>0</v>
      </c>
      <c r="HD36" s="66">
        <v>0</v>
      </c>
      <c r="HE36" s="66">
        <v>0</v>
      </c>
      <c r="HF36" s="66">
        <v>0</v>
      </c>
      <c r="HG36" s="66">
        <v>0</v>
      </c>
      <c r="HH36" s="66">
        <v>0</v>
      </c>
      <c r="HI36" s="66">
        <v>0</v>
      </c>
      <c r="HJ36" s="66">
        <v>0</v>
      </c>
      <c r="HK36" s="66">
        <v>0</v>
      </c>
      <c r="HL36" s="66">
        <v>0</v>
      </c>
      <c r="HM36" s="66">
        <v>0</v>
      </c>
      <c r="HN36" s="67" t="s">
        <v>1094</v>
      </c>
      <c r="HO36" s="67" t="s">
        <v>1094</v>
      </c>
      <c r="HP36" s="67">
        <v>0</v>
      </c>
      <c r="HQ36" s="67">
        <v>0</v>
      </c>
      <c r="HR36" s="67">
        <v>0</v>
      </c>
      <c r="HS36" s="66">
        <v>0</v>
      </c>
      <c r="HT36" s="66">
        <v>0</v>
      </c>
      <c r="HU36" s="66">
        <v>0</v>
      </c>
      <c r="HV36" s="66">
        <v>0</v>
      </c>
      <c r="HW36" s="66">
        <v>0</v>
      </c>
      <c r="HX36" s="66">
        <v>0</v>
      </c>
      <c r="HY36" s="66">
        <v>0</v>
      </c>
      <c r="HZ36" s="66">
        <v>0</v>
      </c>
      <c r="IA36" s="66">
        <v>0</v>
      </c>
      <c r="IB36" s="66">
        <v>0</v>
      </c>
      <c r="IC36" s="66">
        <v>0</v>
      </c>
      <c r="ID36" s="67" t="s">
        <v>1094</v>
      </c>
      <c r="IE36" s="67" t="s">
        <v>1094</v>
      </c>
      <c r="IF36" s="67">
        <v>0</v>
      </c>
      <c r="IG36" s="67">
        <v>0</v>
      </c>
      <c r="IH36" s="67">
        <v>0</v>
      </c>
    </row>
    <row r="37" spans="1:242" ht="15.75" x14ac:dyDescent="0.25">
      <c r="A37" s="11" t="s">
        <v>76</v>
      </c>
      <c r="B37" s="189" t="s">
        <v>77</v>
      </c>
      <c r="C37" s="66">
        <v>82.268999999999991</v>
      </c>
      <c r="D37" s="66">
        <v>0</v>
      </c>
      <c r="E37" s="66">
        <v>198.91248399999998</v>
      </c>
      <c r="F37" s="66">
        <v>82.268999999999991</v>
      </c>
      <c r="G37" s="66">
        <v>116.643484</v>
      </c>
      <c r="H37" s="66">
        <v>79.618745520000004</v>
      </c>
      <c r="I37" s="66">
        <v>0.60593568999999992</v>
      </c>
      <c r="J37" s="66">
        <v>194.67081606999997</v>
      </c>
      <c r="K37" s="66">
        <v>79.481992590000004</v>
      </c>
      <c r="L37" s="66">
        <v>0</v>
      </c>
      <c r="M37" s="66">
        <v>115.18882348</v>
      </c>
      <c r="N37" s="67">
        <v>96.612323706377879</v>
      </c>
      <c r="O37" s="67">
        <v>98.752900316317707</v>
      </c>
      <c r="P37" s="67">
        <v>59.171079571875971</v>
      </c>
      <c r="Q37" s="66">
        <v>0.60593568999999992</v>
      </c>
      <c r="R37" s="67">
        <v>0.13675292999999566</v>
      </c>
      <c r="S37" s="66">
        <v>29.533200000000001</v>
      </c>
      <c r="T37" s="66">
        <v>0</v>
      </c>
      <c r="U37" s="66">
        <v>79.533199999999994</v>
      </c>
      <c r="V37" s="66">
        <v>29.533200000000001</v>
      </c>
      <c r="W37" s="66">
        <v>50</v>
      </c>
      <c r="X37" s="66">
        <v>29.53318221</v>
      </c>
      <c r="Y37" s="66">
        <v>0.28272960999999996</v>
      </c>
      <c r="Z37" s="66">
        <v>79.164875209999991</v>
      </c>
      <c r="AA37" s="66">
        <v>29.39642928</v>
      </c>
      <c r="AB37" s="66">
        <v>0</v>
      </c>
      <c r="AC37" s="66">
        <v>49.768445929999999</v>
      </c>
      <c r="AD37" s="67">
        <v>99.536891633822265</v>
      </c>
      <c r="AE37" s="67">
        <v>99.536891859999997</v>
      </c>
      <c r="AF37" s="67">
        <v>62.866827994081554</v>
      </c>
      <c r="AG37" s="67">
        <v>0.28272960999999996</v>
      </c>
      <c r="AH37" s="67">
        <v>0.13675293000000066</v>
      </c>
      <c r="AI37" s="66">
        <v>0</v>
      </c>
      <c r="AJ37" s="66">
        <v>0</v>
      </c>
      <c r="AK37" s="66">
        <v>0</v>
      </c>
      <c r="AL37" s="66">
        <v>0</v>
      </c>
      <c r="AM37" s="66">
        <v>0</v>
      </c>
      <c r="AN37" s="66">
        <v>0</v>
      </c>
      <c r="AO37" s="66">
        <v>0.20521316000000001</v>
      </c>
      <c r="AP37" s="66">
        <v>0</v>
      </c>
      <c r="AQ37" s="66">
        <v>0</v>
      </c>
      <c r="AR37" s="66">
        <v>0</v>
      </c>
      <c r="AS37" s="66">
        <v>0</v>
      </c>
      <c r="AT37" s="67" t="s">
        <v>1094</v>
      </c>
      <c r="AU37" s="67" t="s">
        <v>1094</v>
      </c>
      <c r="AV37" s="67">
        <v>0</v>
      </c>
      <c r="AW37" s="67">
        <v>0.20521316000000001</v>
      </c>
      <c r="AX37" s="67">
        <v>0</v>
      </c>
      <c r="AY37" s="66">
        <v>38.006</v>
      </c>
      <c r="AZ37" s="66">
        <v>0</v>
      </c>
      <c r="BA37" s="66">
        <v>65.016000000000005</v>
      </c>
      <c r="BB37" s="66">
        <v>38.006</v>
      </c>
      <c r="BC37" s="66">
        <v>27.01</v>
      </c>
      <c r="BD37" s="66">
        <v>35.366540659999998</v>
      </c>
      <c r="BE37" s="66">
        <v>0</v>
      </c>
      <c r="BF37" s="66">
        <v>61.245294350000002</v>
      </c>
      <c r="BG37" s="66">
        <v>35.366540659999998</v>
      </c>
      <c r="BH37" s="66">
        <v>0</v>
      </c>
      <c r="BI37" s="66">
        <v>25.87875369</v>
      </c>
      <c r="BJ37" s="67">
        <v>93.055150923538392</v>
      </c>
      <c r="BK37" s="67">
        <v>95.811750055534986</v>
      </c>
      <c r="BL37" s="67">
        <v>42.254272699074711</v>
      </c>
      <c r="BM37" s="67">
        <v>0</v>
      </c>
      <c r="BN37" s="67">
        <v>0</v>
      </c>
      <c r="BO37" s="66">
        <v>0</v>
      </c>
      <c r="BP37" s="66">
        <v>0</v>
      </c>
      <c r="BQ37" s="66">
        <v>0</v>
      </c>
      <c r="BR37" s="66">
        <v>0</v>
      </c>
      <c r="BS37" s="66">
        <v>0</v>
      </c>
      <c r="BT37" s="66">
        <v>0</v>
      </c>
      <c r="BU37" s="66">
        <v>0</v>
      </c>
      <c r="BV37" s="66">
        <v>0</v>
      </c>
      <c r="BW37" s="66">
        <v>0</v>
      </c>
      <c r="BX37" s="66">
        <v>0</v>
      </c>
      <c r="BY37" s="66">
        <v>0</v>
      </c>
      <c r="BZ37" s="67" t="s">
        <v>1094</v>
      </c>
      <c r="CA37" s="67" t="s">
        <v>1094</v>
      </c>
      <c r="CB37" s="67">
        <v>0</v>
      </c>
      <c r="CC37" s="67">
        <v>0</v>
      </c>
      <c r="CD37" s="67">
        <v>0</v>
      </c>
      <c r="CE37" s="66">
        <v>7.7169999999999996</v>
      </c>
      <c r="CF37" s="66">
        <v>0</v>
      </c>
      <c r="CG37" s="66">
        <v>29.1859</v>
      </c>
      <c r="CH37" s="66">
        <v>7.7169999999999996</v>
      </c>
      <c r="CI37" s="66">
        <v>21.468900000000001</v>
      </c>
      <c r="CJ37" s="66">
        <v>7.7169999999999996</v>
      </c>
      <c r="CK37" s="66">
        <v>0.11799292</v>
      </c>
      <c r="CL37" s="66">
        <v>29.185899859999999</v>
      </c>
      <c r="CM37" s="66">
        <v>7.7169999999999996</v>
      </c>
      <c r="CN37" s="66">
        <v>0</v>
      </c>
      <c r="CO37" s="66">
        <v>21.468899860000001</v>
      </c>
      <c r="CP37" s="67">
        <v>100</v>
      </c>
      <c r="CQ37" s="67">
        <v>99.999999347893933</v>
      </c>
      <c r="CR37" s="67">
        <v>73.559150010733987</v>
      </c>
      <c r="CS37" s="67">
        <v>0.11799292</v>
      </c>
      <c r="CT37" s="67">
        <v>-1.6653345369377348E-16</v>
      </c>
      <c r="CU37" s="66">
        <v>0</v>
      </c>
      <c r="CV37" s="66">
        <v>0</v>
      </c>
      <c r="CW37" s="66">
        <v>0</v>
      </c>
      <c r="CX37" s="66">
        <v>0</v>
      </c>
      <c r="CY37" s="66">
        <v>0</v>
      </c>
      <c r="CZ37" s="66">
        <v>0</v>
      </c>
      <c r="DA37" s="66">
        <v>0</v>
      </c>
      <c r="DB37" s="66">
        <v>0</v>
      </c>
      <c r="DC37" s="66">
        <v>0</v>
      </c>
      <c r="DD37" s="66">
        <v>0</v>
      </c>
      <c r="DE37" s="66">
        <v>0</v>
      </c>
      <c r="DF37" s="67" t="s">
        <v>1094</v>
      </c>
      <c r="DG37" s="67" t="s">
        <v>1094</v>
      </c>
      <c r="DH37" s="67">
        <v>0</v>
      </c>
      <c r="DI37" s="67">
        <v>0</v>
      </c>
      <c r="DJ37" s="67">
        <v>0</v>
      </c>
      <c r="DK37" s="66">
        <v>0.58699999999999997</v>
      </c>
      <c r="DL37" s="66">
        <v>0</v>
      </c>
      <c r="DM37" s="66">
        <v>7.7949999999999999</v>
      </c>
      <c r="DN37" s="66">
        <v>0.58699999999999997</v>
      </c>
      <c r="DO37" s="66">
        <v>7.2080000000000002</v>
      </c>
      <c r="DP37" s="66">
        <v>0.58066080000000009</v>
      </c>
      <c r="DQ37" s="66">
        <v>0</v>
      </c>
      <c r="DR37" s="66">
        <v>7.7108194400000007</v>
      </c>
      <c r="DS37" s="66">
        <v>0.58066080000000009</v>
      </c>
      <c r="DT37" s="66">
        <v>0</v>
      </c>
      <c r="DU37" s="66">
        <v>7.1301586399999994</v>
      </c>
      <c r="DV37" s="67">
        <v>98.920068143100536</v>
      </c>
      <c r="DW37" s="67">
        <v>98.920069922308542</v>
      </c>
      <c r="DX37" s="67">
        <v>92.469531876368237</v>
      </c>
      <c r="DY37" s="67">
        <v>0</v>
      </c>
      <c r="DZ37" s="67">
        <v>0</v>
      </c>
      <c r="EA37" s="66">
        <v>0</v>
      </c>
      <c r="EB37" s="66">
        <v>0</v>
      </c>
      <c r="EC37" s="66">
        <v>0</v>
      </c>
      <c r="ED37" s="66">
        <v>0</v>
      </c>
      <c r="EE37" s="66">
        <v>0</v>
      </c>
      <c r="EF37" s="66">
        <v>0</v>
      </c>
      <c r="EG37" s="66">
        <v>0</v>
      </c>
      <c r="EH37" s="66">
        <v>0</v>
      </c>
      <c r="EI37" s="66">
        <v>0</v>
      </c>
      <c r="EJ37" s="66">
        <v>0</v>
      </c>
      <c r="EK37" s="66">
        <v>0</v>
      </c>
      <c r="EL37" s="67" t="s">
        <v>1094</v>
      </c>
      <c r="EM37" s="67" t="s">
        <v>1094</v>
      </c>
      <c r="EN37" s="67">
        <v>0</v>
      </c>
      <c r="EO37" s="67">
        <v>0</v>
      </c>
      <c r="EP37" s="67">
        <v>0</v>
      </c>
      <c r="EQ37" s="66">
        <v>2.137</v>
      </c>
      <c r="ER37" s="66">
        <v>0</v>
      </c>
      <c r="ES37" s="66">
        <v>9.0530000000000008</v>
      </c>
      <c r="ET37" s="66">
        <v>2.137</v>
      </c>
      <c r="EU37" s="66">
        <v>6.9160000000000004</v>
      </c>
      <c r="EV37" s="66">
        <v>2.1327121099999999</v>
      </c>
      <c r="EW37" s="66">
        <v>0</v>
      </c>
      <c r="EX37" s="66">
        <v>9.0348349999999993</v>
      </c>
      <c r="EY37" s="66">
        <v>2.1327121099999999</v>
      </c>
      <c r="EZ37" s="66">
        <v>0</v>
      </c>
      <c r="FA37" s="66">
        <v>6.9021228899999993</v>
      </c>
      <c r="FB37" s="67">
        <v>99.799350023397281</v>
      </c>
      <c r="FC37" s="67">
        <v>99.799347744360887</v>
      </c>
      <c r="FD37" s="67">
        <v>76.394564925646122</v>
      </c>
      <c r="FE37" s="67">
        <v>0</v>
      </c>
      <c r="FF37" s="67">
        <v>0</v>
      </c>
      <c r="FG37" s="66">
        <v>0</v>
      </c>
      <c r="FH37" s="66">
        <v>0</v>
      </c>
      <c r="FI37" s="66">
        <v>0</v>
      </c>
      <c r="FJ37" s="66">
        <v>0</v>
      </c>
      <c r="FK37" s="66">
        <v>0</v>
      </c>
      <c r="FL37" s="66">
        <v>0</v>
      </c>
      <c r="FM37" s="66">
        <v>0</v>
      </c>
      <c r="FN37" s="66">
        <v>0</v>
      </c>
      <c r="FO37" s="66">
        <v>0</v>
      </c>
      <c r="FP37" s="66">
        <v>0</v>
      </c>
      <c r="FQ37" s="66">
        <v>0</v>
      </c>
      <c r="FR37" s="67" t="s">
        <v>1094</v>
      </c>
      <c r="FS37" s="67" t="s">
        <v>1094</v>
      </c>
      <c r="FT37" s="67">
        <v>0</v>
      </c>
      <c r="FU37" s="67">
        <v>0</v>
      </c>
      <c r="FV37" s="67">
        <v>0</v>
      </c>
      <c r="FW37" s="66">
        <v>0</v>
      </c>
      <c r="FX37" s="66">
        <v>0</v>
      </c>
      <c r="FY37" s="66">
        <v>0</v>
      </c>
      <c r="FZ37" s="66">
        <v>0</v>
      </c>
      <c r="GA37" s="66">
        <v>0</v>
      </c>
      <c r="GB37" s="66">
        <v>0</v>
      </c>
      <c r="GC37" s="66">
        <v>0</v>
      </c>
      <c r="GD37" s="66">
        <v>0</v>
      </c>
      <c r="GE37" s="66">
        <v>0</v>
      </c>
      <c r="GF37" s="66">
        <v>0</v>
      </c>
      <c r="GG37" s="66">
        <v>0</v>
      </c>
      <c r="GH37" s="67" t="s">
        <v>1094</v>
      </c>
      <c r="GI37" s="67" t="s">
        <v>1094</v>
      </c>
      <c r="GJ37" s="67">
        <v>0</v>
      </c>
      <c r="GK37" s="67">
        <v>0</v>
      </c>
      <c r="GL37" s="67">
        <v>0</v>
      </c>
      <c r="GM37" s="66">
        <v>0</v>
      </c>
      <c r="GN37" s="66">
        <v>0</v>
      </c>
      <c r="GO37" s="66">
        <v>0</v>
      </c>
      <c r="GP37" s="66">
        <v>0</v>
      </c>
      <c r="GQ37" s="66">
        <v>0</v>
      </c>
      <c r="GR37" s="66">
        <v>0</v>
      </c>
      <c r="GS37" s="66">
        <v>0</v>
      </c>
      <c r="GT37" s="66">
        <v>0</v>
      </c>
      <c r="GU37" s="66">
        <v>0</v>
      </c>
      <c r="GV37" s="66">
        <v>0</v>
      </c>
      <c r="GW37" s="66">
        <v>0</v>
      </c>
      <c r="GX37" s="67" t="s">
        <v>1094</v>
      </c>
      <c r="GY37" s="67" t="s">
        <v>1094</v>
      </c>
      <c r="GZ37" s="67">
        <v>0</v>
      </c>
      <c r="HA37" s="67">
        <v>0</v>
      </c>
      <c r="HB37" s="67">
        <v>0</v>
      </c>
      <c r="HC37" s="66">
        <v>4.2888000000000002</v>
      </c>
      <c r="HD37" s="66">
        <v>0</v>
      </c>
      <c r="HE37" s="66">
        <v>8.3293839999999992</v>
      </c>
      <c r="HF37" s="66">
        <v>4.2888000000000002</v>
      </c>
      <c r="HG37" s="66">
        <v>4.040584</v>
      </c>
      <c r="HH37" s="66">
        <v>4.2886497400000003</v>
      </c>
      <c r="HI37" s="66">
        <v>0</v>
      </c>
      <c r="HJ37" s="66">
        <v>8.3290922100000007</v>
      </c>
      <c r="HK37" s="66">
        <v>4.2886497400000003</v>
      </c>
      <c r="HL37" s="66">
        <v>0</v>
      </c>
      <c r="HM37" s="66">
        <v>4.0404424700000003</v>
      </c>
      <c r="HN37" s="67">
        <v>99.996496455885094</v>
      </c>
      <c r="HO37" s="67">
        <v>99.996497288510781</v>
      </c>
      <c r="HP37" s="67">
        <v>48.509998066163803</v>
      </c>
      <c r="HQ37" s="67">
        <v>0</v>
      </c>
      <c r="HR37" s="67">
        <v>0</v>
      </c>
      <c r="HS37" s="66">
        <v>0</v>
      </c>
      <c r="HT37" s="66">
        <v>0</v>
      </c>
      <c r="HU37" s="66">
        <v>0</v>
      </c>
      <c r="HV37" s="66">
        <v>0</v>
      </c>
      <c r="HW37" s="66">
        <v>0</v>
      </c>
      <c r="HX37" s="66">
        <v>0</v>
      </c>
      <c r="HY37" s="66">
        <v>0</v>
      </c>
      <c r="HZ37" s="66">
        <v>0</v>
      </c>
      <c r="IA37" s="66">
        <v>0</v>
      </c>
      <c r="IB37" s="66">
        <v>0</v>
      </c>
      <c r="IC37" s="66">
        <v>0</v>
      </c>
      <c r="ID37" s="67" t="s">
        <v>1094</v>
      </c>
      <c r="IE37" s="67" t="s">
        <v>1094</v>
      </c>
      <c r="IF37" s="67">
        <v>0</v>
      </c>
      <c r="IG37" s="67">
        <v>0</v>
      </c>
      <c r="IH37" s="67">
        <v>0</v>
      </c>
    </row>
    <row r="38" spans="1:242" ht="15.75" x14ac:dyDescent="0.25">
      <c r="A38" s="11" t="s">
        <v>79</v>
      </c>
      <c r="B38" s="189" t="s">
        <v>80</v>
      </c>
      <c r="C38" s="66">
        <v>18.843399999999999</v>
      </c>
      <c r="D38" s="66">
        <v>0</v>
      </c>
      <c r="E38" s="66">
        <v>40.144152400000003</v>
      </c>
      <c r="F38" s="66">
        <v>18.843399999999999</v>
      </c>
      <c r="G38" s="66">
        <v>21.3007524</v>
      </c>
      <c r="H38" s="66">
        <v>18.713880400000001</v>
      </c>
      <c r="I38" s="66">
        <v>0</v>
      </c>
      <c r="J38" s="66">
        <v>37.091560419999993</v>
      </c>
      <c r="K38" s="66">
        <v>17.277967880000002</v>
      </c>
      <c r="L38" s="66">
        <v>0</v>
      </c>
      <c r="M38" s="66">
        <v>19.813592539999998</v>
      </c>
      <c r="N38" s="67">
        <v>91.692411560546418</v>
      </c>
      <c r="O38" s="67">
        <v>93.0182754483358</v>
      </c>
      <c r="P38" s="67">
        <v>53.418061455609156</v>
      </c>
      <c r="Q38" s="66">
        <v>0</v>
      </c>
      <c r="R38" s="67">
        <v>1.4359125199999987</v>
      </c>
      <c r="S38" s="66">
        <v>7.6170999999999998</v>
      </c>
      <c r="T38" s="66">
        <v>0</v>
      </c>
      <c r="U38" s="66">
        <v>17.617100000000001</v>
      </c>
      <c r="V38" s="66">
        <v>7.6170999999999998</v>
      </c>
      <c r="W38" s="66">
        <v>10</v>
      </c>
      <c r="X38" s="66">
        <v>7.6170999999999998</v>
      </c>
      <c r="Y38" s="66">
        <v>0</v>
      </c>
      <c r="Z38" s="66">
        <v>17.617100000000001</v>
      </c>
      <c r="AA38" s="66">
        <v>7.6170999999999998</v>
      </c>
      <c r="AB38" s="66">
        <v>0</v>
      </c>
      <c r="AC38" s="66">
        <v>10</v>
      </c>
      <c r="AD38" s="67">
        <v>100</v>
      </c>
      <c r="AE38" s="67">
        <v>100</v>
      </c>
      <c r="AF38" s="67">
        <v>56.763031372927443</v>
      </c>
      <c r="AG38" s="67">
        <v>0</v>
      </c>
      <c r="AH38" s="67">
        <v>0</v>
      </c>
      <c r="AI38" s="66">
        <v>0</v>
      </c>
      <c r="AJ38" s="66">
        <v>0</v>
      </c>
      <c r="AK38" s="66">
        <v>0</v>
      </c>
      <c r="AL38" s="66">
        <v>0</v>
      </c>
      <c r="AM38" s="66">
        <v>0</v>
      </c>
      <c r="AN38" s="66">
        <v>0</v>
      </c>
      <c r="AO38" s="66">
        <v>0</v>
      </c>
      <c r="AP38" s="66">
        <v>0</v>
      </c>
      <c r="AQ38" s="66">
        <v>0</v>
      </c>
      <c r="AR38" s="66">
        <v>0</v>
      </c>
      <c r="AS38" s="66">
        <v>0</v>
      </c>
      <c r="AT38" s="67" t="s">
        <v>1094</v>
      </c>
      <c r="AU38" s="67" t="s">
        <v>1094</v>
      </c>
      <c r="AV38" s="67">
        <v>0</v>
      </c>
      <c r="AW38" s="67">
        <v>0</v>
      </c>
      <c r="AX38" s="67">
        <v>0</v>
      </c>
      <c r="AY38" s="66">
        <v>0</v>
      </c>
      <c r="AZ38" s="66">
        <v>0</v>
      </c>
      <c r="BA38" s="66">
        <v>0</v>
      </c>
      <c r="BB38" s="66">
        <v>0</v>
      </c>
      <c r="BC38" s="66">
        <v>0</v>
      </c>
      <c r="BD38" s="66">
        <v>0</v>
      </c>
      <c r="BE38" s="66">
        <v>0</v>
      </c>
      <c r="BF38" s="66">
        <v>0</v>
      </c>
      <c r="BG38" s="66">
        <v>0</v>
      </c>
      <c r="BH38" s="66">
        <v>0</v>
      </c>
      <c r="BI38" s="66">
        <v>0</v>
      </c>
      <c r="BJ38" s="67" t="s">
        <v>1094</v>
      </c>
      <c r="BK38" s="67" t="s">
        <v>1094</v>
      </c>
      <c r="BL38" s="67">
        <v>0</v>
      </c>
      <c r="BM38" s="67">
        <v>0</v>
      </c>
      <c r="BN38" s="67">
        <v>0</v>
      </c>
      <c r="BO38" s="66">
        <v>0</v>
      </c>
      <c r="BP38" s="66">
        <v>0</v>
      </c>
      <c r="BQ38" s="66">
        <v>0</v>
      </c>
      <c r="BR38" s="66">
        <v>0</v>
      </c>
      <c r="BS38" s="66">
        <v>0</v>
      </c>
      <c r="BT38" s="66">
        <v>0</v>
      </c>
      <c r="BU38" s="66">
        <v>0</v>
      </c>
      <c r="BV38" s="66">
        <v>0</v>
      </c>
      <c r="BW38" s="66">
        <v>0</v>
      </c>
      <c r="BX38" s="66">
        <v>0</v>
      </c>
      <c r="BY38" s="66">
        <v>0</v>
      </c>
      <c r="BZ38" s="67" t="s">
        <v>1094</v>
      </c>
      <c r="CA38" s="67" t="s">
        <v>1094</v>
      </c>
      <c r="CB38" s="67">
        <v>0</v>
      </c>
      <c r="CC38" s="67">
        <v>0</v>
      </c>
      <c r="CD38" s="67">
        <v>0</v>
      </c>
      <c r="CE38" s="66">
        <v>0</v>
      </c>
      <c r="CF38" s="66">
        <v>0</v>
      </c>
      <c r="CG38" s="66">
        <v>0</v>
      </c>
      <c r="CH38" s="66">
        <v>0</v>
      </c>
      <c r="CI38" s="66">
        <v>0</v>
      </c>
      <c r="CJ38" s="66">
        <v>0</v>
      </c>
      <c r="CK38" s="66">
        <v>0</v>
      </c>
      <c r="CL38" s="66">
        <v>0</v>
      </c>
      <c r="CM38" s="66">
        <v>0</v>
      </c>
      <c r="CN38" s="66">
        <v>0</v>
      </c>
      <c r="CO38" s="66">
        <v>0</v>
      </c>
      <c r="CP38" s="67" t="s">
        <v>1094</v>
      </c>
      <c r="CQ38" s="67" t="s">
        <v>1094</v>
      </c>
      <c r="CR38" s="67">
        <v>0</v>
      </c>
      <c r="CS38" s="67">
        <v>0</v>
      </c>
      <c r="CT38" s="67">
        <v>0</v>
      </c>
      <c r="CU38" s="66">
        <v>0</v>
      </c>
      <c r="CV38" s="66">
        <v>0</v>
      </c>
      <c r="CW38" s="66">
        <v>0</v>
      </c>
      <c r="CX38" s="66">
        <v>0</v>
      </c>
      <c r="CY38" s="66">
        <v>0</v>
      </c>
      <c r="CZ38" s="66">
        <v>0</v>
      </c>
      <c r="DA38" s="66">
        <v>0</v>
      </c>
      <c r="DB38" s="66">
        <v>0</v>
      </c>
      <c r="DC38" s="66">
        <v>0</v>
      </c>
      <c r="DD38" s="66">
        <v>0</v>
      </c>
      <c r="DE38" s="66">
        <v>0</v>
      </c>
      <c r="DF38" s="67" t="s">
        <v>1094</v>
      </c>
      <c r="DG38" s="67" t="s">
        <v>1094</v>
      </c>
      <c r="DH38" s="67">
        <v>0</v>
      </c>
      <c r="DI38" s="67">
        <v>0</v>
      </c>
      <c r="DJ38" s="67">
        <v>0</v>
      </c>
      <c r="DK38" s="66">
        <v>1.339</v>
      </c>
      <c r="DL38" s="66">
        <v>0</v>
      </c>
      <c r="DM38" s="66">
        <v>4.5148324000000004</v>
      </c>
      <c r="DN38" s="66">
        <v>1.339</v>
      </c>
      <c r="DO38" s="66">
        <v>3.1758324</v>
      </c>
      <c r="DP38" s="66">
        <v>1.2094803999999999</v>
      </c>
      <c r="DQ38" s="66">
        <v>0</v>
      </c>
      <c r="DR38" s="66">
        <v>4.0781189399999995</v>
      </c>
      <c r="DS38" s="66">
        <v>1.2094803999999999</v>
      </c>
      <c r="DT38" s="66">
        <v>0</v>
      </c>
      <c r="DU38" s="66">
        <v>2.8686385400000001</v>
      </c>
      <c r="DV38" s="67">
        <v>90.327139656460048</v>
      </c>
      <c r="DW38" s="67">
        <v>90.327138799893845</v>
      </c>
      <c r="DX38" s="67">
        <v>70.342198994323596</v>
      </c>
      <c r="DY38" s="67">
        <v>0</v>
      </c>
      <c r="DZ38" s="67">
        <v>0</v>
      </c>
      <c r="EA38" s="66">
        <v>0</v>
      </c>
      <c r="EB38" s="66">
        <v>0</v>
      </c>
      <c r="EC38" s="66">
        <v>0</v>
      </c>
      <c r="ED38" s="66">
        <v>0</v>
      </c>
      <c r="EE38" s="66">
        <v>0</v>
      </c>
      <c r="EF38" s="66">
        <v>0</v>
      </c>
      <c r="EG38" s="66">
        <v>0</v>
      </c>
      <c r="EH38" s="66">
        <v>0</v>
      </c>
      <c r="EI38" s="66">
        <v>0</v>
      </c>
      <c r="EJ38" s="66">
        <v>0</v>
      </c>
      <c r="EK38" s="66">
        <v>0</v>
      </c>
      <c r="EL38" s="67" t="s">
        <v>1094</v>
      </c>
      <c r="EM38" s="67" t="s">
        <v>1094</v>
      </c>
      <c r="EN38" s="67">
        <v>0</v>
      </c>
      <c r="EO38" s="67">
        <v>0</v>
      </c>
      <c r="EP38" s="67">
        <v>0</v>
      </c>
      <c r="EQ38" s="66">
        <v>0</v>
      </c>
      <c r="ER38" s="66">
        <v>0</v>
      </c>
      <c r="ES38" s="66">
        <v>0</v>
      </c>
      <c r="ET38" s="66">
        <v>0</v>
      </c>
      <c r="EU38" s="66">
        <v>0</v>
      </c>
      <c r="EV38" s="66">
        <v>0</v>
      </c>
      <c r="EW38" s="66">
        <v>0</v>
      </c>
      <c r="EX38" s="66">
        <v>0</v>
      </c>
      <c r="EY38" s="66">
        <v>0</v>
      </c>
      <c r="EZ38" s="66">
        <v>0</v>
      </c>
      <c r="FA38" s="66">
        <v>0</v>
      </c>
      <c r="FB38" s="67" t="s">
        <v>1094</v>
      </c>
      <c r="FC38" s="67" t="s">
        <v>1094</v>
      </c>
      <c r="FD38" s="67">
        <v>0</v>
      </c>
      <c r="FE38" s="67">
        <v>0</v>
      </c>
      <c r="FF38" s="67">
        <v>0</v>
      </c>
      <c r="FG38" s="66">
        <v>0</v>
      </c>
      <c r="FH38" s="66">
        <v>0</v>
      </c>
      <c r="FI38" s="66">
        <v>0</v>
      </c>
      <c r="FJ38" s="66">
        <v>0</v>
      </c>
      <c r="FK38" s="66">
        <v>0</v>
      </c>
      <c r="FL38" s="66">
        <v>0</v>
      </c>
      <c r="FM38" s="66">
        <v>0</v>
      </c>
      <c r="FN38" s="66">
        <v>0</v>
      </c>
      <c r="FO38" s="66">
        <v>0</v>
      </c>
      <c r="FP38" s="66">
        <v>0</v>
      </c>
      <c r="FQ38" s="66">
        <v>0</v>
      </c>
      <c r="FR38" s="67" t="s">
        <v>1094</v>
      </c>
      <c r="FS38" s="67" t="s">
        <v>1094</v>
      </c>
      <c r="FT38" s="67">
        <v>0</v>
      </c>
      <c r="FU38" s="67">
        <v>0</v>
      </c>
      <c r="FV38" s="67">
        <v>0</v>
      </c>
      <c r="FW38" s="66">
        <v>9.8872999999999998</v>
      </c>
      <c r="FX38" s="66">
        <v>0</v>
      </c>
      <c r="FY38" s="66">
        <v>18.012219999999999</v>
      </c>
      <c r="FZ38" s="66">
        <v>9.8872999999999998</v>
      </c>
      <c r="GA38" s="66">
        <v>8.1249199999999995</v>
      </c>
      <c r="GB38" s="66">
        <v>9.8872999999999998</v>
      </c>
      <c r="GC38" s="66">
        <v>0</v>
      </c>
      <c r="GD38" s="66">
        <v>15.39634148</v>
      </c>
      <c r="GE38" s="66">
        <v>8.4513874800000011</v>
      </c>
      <c r="GF38" s="66">
        <v>0</v>
      </c>
      <c r="GG38" s="66">
        <v>6.9449540000000001</v>
      </c>
      <c r="GH38" s="67">
        <v>85.477202876417238</v>
      </c>
      <c r="GI38" s="67">
        <v>85.477198544724146</v>
      </c>
      <c r="GJ38" s="67">
        <v>45.107819991012562</v>
      </c>
      <c r="GK38" s="67">
        <v>0</v>
      </c>
      <c r="GL38" s="67">
        <v>1.4359125199999987</v>
      </c>
      <c r="GM38" s="66">
        <v>0</v>
      </c>
      <c r="GN38" s="66">
        <v>0</v>
      </c>
      <c r="GO38" s="66">
        <v>0</v>
      </c>
      <c r="GP38" s="66">
        <v>0</v>
      </c>
      <c r="GQ38" s="66">
        <v>0</v>
      </c>
      <c r="GR38" s="66">
        <v>0</v>
      </c>
      <c r="GS38" s="66">
        <v>0</v>
      </c>
      <c r="GT38" s="66">
        <v>0</v>
      </c>
      <c r="GU38" s="66">
        <v>0</v>
      </c>
      <c r="GV38" s="66">
        <v>0</v>
      </c>
      <c r="GW38" s="66">
        <v>0</v>
      </c>
      <c r="GX38" s="67" t="s">
        <v>1094</v>
      </c>
      <c r="GY38" s="67" t="s">
        <v>1094</v>
      </c>
      <c r="GZ38" s="67">
        <v>0</v>
      </c>
      <c r="HA38" s="67">
        <v>0</v>
      </c>
      <c r="HB38" s="67">
        <v>0</v>
      </c>
      <c r="HC38" s="66">
        <v>0</v>
      </c>
      <c r="HD38" s="66">
        <v>0</v>
      </c>
      <c r="HE38" s="66">
        <v>0</v>
      </c>
      <c r="HF38" s="66">
        <v>0</v>
      </c>
      <c r="HG38" s="66">
        <v>0</v>
      </c>
      <c r="HH38" s="66">
        <v>0</v>
      </c>
      <c r="HI38" s="66">
        <v>0</v>
      </c>
      <c r="HJ38" s="66">
        <v>0</v>
      </c>
      <c r="HK38" s="66">
        <v>0</v>
      </c>
      <c r="HL38" s="66">
        <v>0</v>
      </c>
      <c r="HM38" s="66">
        <v>0</v>
      </c>
      <c r="HN38" s="67" t="s">
        <v>1094</v>
      </c>
      <c r="HO38" s="67" t="s">
        <v>1094</v>
      </c>
      <c r="HP38" s="67">
        <v>0</v>
      </c>
      <c r="HQ38" s="67">
        <v>0</v>
      </c>
      <c r="HR38" s="67">
        <v>0</v>
      </c>
      <c r="HS38" s="66">
        <v>0</v>
      </c>
      <c r="HT38" s="66">
        <v>0</v>
      </c>
      <c r="HU38" s="66">
        <v>0</v>
      </c>
      <c r="HV38" s="66">
        <v>0</v>
      </c>
      <c r="HW38" s="66">
        <v>0</v>
      </c>
      <c r="HX38" s="66">
        <v>0</v>
      </c>
      <c r="HY38" s="66">
        <v>0</v>
      </c>
      <c r="HZ38" s="66">
        <v>0</v>
      </c>
      <c r="IA38" s="66">
        <v>0</v>
      </c>
      <c r="IB38" s="66">
        <v>0</v>
      </c>
      <c r="IC38" s="66">
        <v>0</v>
      </c>
      <c r="ID38" s="67" t="s">
        <v>1094</v>
      </c>
      <c r="IE38" s="67" t="s">
        <v>1094</v>
      </c>
      <c r="IF38" s="67">
        <v>0</v>
      </c>
      <c r="IG38" s="67">
        <v>0</v>
      </c>
      <c r="IH38" s="67">
        <v>0</v>
      </c>
    </row>
    <row r="39" spans="1:242" ht="15.75" x14ac:dyDescent="0.25">
      <c r="A39" s="11" t="s">
        <v>82</v>
      </c>
      <c r="B39" s="189" t="s">
        <v>83</v>
      </c>
      <c r="C39" s="66">
        <v>81.980899999999991</v>
      </c>
      <c r="D39" s="66">
        <v>0</v>
      </c>
      <c r="E39" s="66">
        <v>316.60059999999999</v>
      </c>
      <c r="F39" s="66">
        <v>81.980899999999991</v>
      </c>
      <c r="G39" s="66">
        <v>234.61969999999999</v>
      </c>
      <c r="H39" s="66">
        <v>79.582549139999998</v>
      </c>
      <c r="I39" s="66">
        <v>5.2084920700000001</v>
      </c>
      <c r="J39" s="66">
        <v>311.20556722999999</v>
      </c>
      <c r="K39" s="66">
        <v>79.156804039999997</v>
      </c>
      <c r="L39" s="66">
        <v>0</v>
      </c>
      <c r="M39" s="66">
        <v>232.04876318999999</v>
      </c>
      <c r="N39" s="67">
        <v>96.555178145153334</v>
      </c>
      <c r="O39" s="67">
        <v>98.904211023200517</v>
      </c>
      <c r="P39" s="67">
        <v>74.564464015035341</v>
      </c>
      <c r="Q39" s="66">
        <v>5.2084920700000001</v>
      </c>
      <c r="R39" s="67">
        <v>0.42574510000000565</v>
      </c>
      <c r="S39" s="66">
        <v>25.754300000000001</v>
      </c>
      <c r="T39" s="66">
        <v>0</v>
      </c>
      <c r="U39" s="66">
        <v>177.50309999999999</v>
      </c>
      <c r="V39" s="66">
        <v>25.754300000000001</v>
      </c>
      <c r="W39" s="66">
        <v>151.74879999999999</v>
      </c>
      <c r="X39" s="66">
        <v>25.754300000000001</v>
      </c>
      <c r="Y39" s="66">
        <v>2.5</v>
      </c>
      <c r="Z39" s="66">
        <v>177.50309999999999</v>
      </c>
      <c r="AA39" s="66">
        <v>25.754300000000001</v>
      </c>
      <c r="AB39" s="66">
        <v>0</v>
      </c>
      <c r="AC39" s="66">
        <v>151.74879999999999</v>
      </c>
      <c r="AD39" s="67">
        <v>100</v>
      </c>
      <c r="AE39" s="67">
        <v>100</v>
      </c>
      <c r="AF39" s="67">
        <v>85.490788611579177</v>
      </c>
      <c r="AG39" s="67">
        <v>2.5</v>
      </c>
      <c r="AH39" s="67">
        <v>0</v>
      </c>
      <c r="AI39" s="66">
        <v>0</v>
      </c>
      <c r="AJ39" s="66">
        <v>0</v>
      </c>
      <c r="AK39" s="66">
        <v>0</v>
      </c>
      <c r="AL39" s="66">
        <v>0</v>
      </c>
      <c r="AM39" s="66">
        <v>0</v>
      </c>
      <c r="AN39" s="66">
        <v>0</v>
      </c>
      <c r="AO39" s="66">
        <v>2.7084920699999997</v>
      </c>
      <c r="AP39" s="66">
        <v>0</v>
      </c>
      <c r="AQ39" s="66">
        <v>0</v>
      </c>
      <c r="AR39" s="66">
        <v>0</v>
      </c>
      <c r="AS39" s="66">
        <v>0</v>
      </c>
      <c r="AT39" s="67" t="s">
        <v>1094</v>
      </c>
      <c r="AU39" s="67" t="s">
        <v>1094</v>
      </c>
      <c r="AV39" s="67">
        <v>0</v>
      </c>
      <c r="AW39" s="67">
        <v>2.7084920699999997</v>
      </c>
      <c r="AX39" s="67">
        <v>0</v>
      </c>
      <c r="AY39" s="66">
        <v>20.731000000000002</v>
      </c>
      <c r="AZ39" s="66">
        <v>0</v>
      </c>
      <c r="BA39" s="66">
        <v>39.65</v>
      </c>
      <c r="BB39" s="66">
        <v>20.731000000000002</v>
      </c>
      <c r="BC39" s="66">
        <v>18.919</v>
      </c>
      <c r="BD39" s="66">
        <v>18.350728710000002</v>
      </c>
      <c r="BE39" s="66">
        <v>0</v>
      </c>
      <c r="BF39" s="66">
        <v>34.409510179999998</v>
      </c>
      <c r="BG39" s="66">
        <v>17.924983609999998</v>
      </c>
      <c r="BH39" s="66">
        <v>0</v>
      </c>
      <c r="BI39" s="66">
        <v>16.48452657</v>
      </c>
      <c r="BJ39" s="67">
        <v>86.464635618156365</v>
      </c>
      <c r="BK39" s="67">
        <v>87.132124160896453</v>
      </c>
      <c r="BL39" s="67">
        <v>47.906891100069707</v>
      </c>
      <c r="BM39" s="67">
        <v>0</v>
      </c>
      <c r="BN39" s="67">
        <v>0.42574510000000387</v>
      </c>
      <c r="BO39" s="66">
        <v>0</v>
      </c>
      <c r="BP39" s="66">
        <v>0</v>
      </c>
      <c r="BQ39" s="66">
        <v>0</v>
      </c>
      <c r="BR39" s="66">
        <v>0</v>
      </c>
      <c r="BS39" s="66">
        <v>0</v>
      </c>
      <c r="BT39" s="66">
        <v>0</v>
      </c>
      <c r="BU39" s="66">
        <v>0</v>
      </c>
      <c r="BV39" s="66">
        <v>0</v>
      </c>
      <c r="BW39" s="66">
        <v>0</v>
      </c>
      <c r="BX39" s="66">
        <v>0</v>
      </c>
      <c r="BY39" s="66">
        <v>0</v>
      </c>
      <c r="BZ39" s="67" t="s">
        <v>1094</v>
      </c>
      <c r="CA39" s="67" t="s">
        <v>1094</v>
      </c>
      <c r="CB39" s="67">
        <v>0</v>
      </c>
      <c r="CC39" s="67">
        <v>0</v>
      </c>
      <c r="CD39" s="67">
        <v>0</v>
      </c>
      <c r="CE39" s="66">
        <v>0</v>
      </c>
      <c r="CF39" s="66">
        <v>0</v>
      </c>
      <c r="CG39" s="66">
        <v>0</v>
      </c>
      <c r="CH39" s="66">
        <v>0</v>
      </c>
      <c r="CI39" s="66">
        <v>0</v>
      </c>
      <c r="CJ39" s="66">
        <v>0</v>
      </c>
      <c r="CK39" s="66">
        <v>0</v>
      </c>
      <c r="CL39" s="66">
        <v>0</v>
      </c>
      <c r="CM39" s="66">
        <v>0</v>
      </c>
      <c r="CN39" s="66">
        <v>0</v>
      </c>
      <c r="CO39" s="66">
        <v>0</v>
      </c>
      <c r="CP39" s="67" t="s">
        <v>1094</v>
      </c>
      <c r="CQ39" s="67" t="s">
        <v>1094</v>
      </c>
      <c r="CR39" s="67">
        <v>0</v>
      </c>
      <c r="CS39" s="67">
        <v>0</v>
      </c>
      <c r="CT39" s="67">
        <v>0</v>
      </c>
      <c r="CU39" s="66">
        <v>0</v>
      </c>
      <c r="CV39" s="66">
        <v>0</v>
      </c>
      <c r="CW39" s="66">
        <v>0</v>
      </c>
      <c r="CX39" s="66">
        <v>0</v>
      </c>
      <c r="CY39" s="66">
        <v>0</v>
      </c>
      <c r="CZ39" s="66">
        <v>0</v>
      </c>
      <c r="DA39" s="66">
        <v>0</v>
      </c>
      <c r="DB39" s="66">
        <v>0</v>
      </c>
      <c r="DC39" s="66">
        <v>0</v>
      </c>
      <c r="DD39" s="66">
        <v>0</v>
      </c>
      <c r="DE39" s="66">
        <v>0</v>
      </c>
      <c r="DF39" s="67" t="s">
        <v>1094</v>
      </c>
      <c r="DG39" s="67" t="s">
        <v>1094</v>
      </c>
      <c r="DH39" s="67">
        <v>0</v>
      </c>
      <c r="DI39" s="67">
        <v>0</v>
      </c>
      <c r="DJ39" s="67">
        <v>0</v>
      </c>
      <c r="DK39" s="66">
        <v>3.47</v>
      </c>
      <c r="DL39" s="66">
        <v>0</v>
      </c>
      <c r="DM39" s="66">
        <v>29.676400000000001</v>
      </c>
      <c r="DN39" s="66">
        <v>3.47</v>
      </c>
      <c r="DO39" s="66">
        <v>26.206399999999999</v>
      </c>
      <c r="DP39" s="66">
        <v>3.4519315699999997</v>
      </c>
      <c r="DQ39" s="66">
        <v>0</v>
      </c>
      <c r="DR39" s="66">
        <v>29.52187361</v>
      </c>
      <c r="DS39" s="66">
        <v>3.4519315699999997</v>
      </c>
      <c r="DT39" s="66">
        <v>0</v>
      </c>
      <c r="DU39" s="66">
        <v>26.069942040000001</v>
      </c>
      <c r="DV39" s="67">
        <v>99.479295965417862</v>
      </c>
      <c r="DW39" s="67">
        <v>99.479295286647542</v>
      </c>
      <c r="DX39" s="67">
        <v>88.307207003180437</v>
      </c>
      <c r="DY39" s="67">
        <v>0</v>
      </c>
      <c r="DZ39" s="67">
        <v>0</v>
      </c>
      <c r="EA39" s="66">
        <v>0</v>
      </c>
      <c r="EB39" s="66">
        <v>0</v>
      </c>
      <c r="EC39" s="66">
        <v>0</v>
      </c>
      <c r="ED39" s="66">
        <v>0</v>
      </c>
      <c r="EE39" s="66">
        <v>0</v>
      </c>
      <c r="EF39" s="66">
        <v>0</v>
      </c>
      <c r="EG39" s="66">
        <v>0</v>
      </c>
      <c r="EH39" s="66">
        <v>0</v>
      </c>
      <c r="EI39" s="66">
        <v>0</v>
      </c>
      <c r="EJ39" s="66">
        <v>0</v>
      </c>
      <c r="EK39" s="66">
        <v>0</v>
      </c>
      <c r="EL39" s="67" t="s">
        <v>1094</v>
      </c>
      <c r="EM39" s="67" t="s">
        <v>1094</v>
      </c>
      <c r="EN39" s="67">
        <v>0</v>
      </c>
      <c r="EO39" s="67">
        <v>0</v>
      </c>
      <c r="EP39" s="67">
        <v>0</v>
      </c>
      <c r="EQ39" s="66">
        <v>3.1554000000000002</v>
      </c>
      <c r="ER39" s="66">
        <v>0</v>
      </c>
      <c r="ES39" s="66">
        <v>14.1554</v>
      </c>
      <c r="ET39" s="66">
        <v>3.1554000000000002</v>
      </c>
      <c r="EU39" s="66">
        <v>11</v>
      </c>
      <c r="EV39" s="66">
        <v>3.1554000000000002</v>
      </c>
      <c r="EW39" s="66">
        <v>0</v>
      </c>
      <c r="EX39" s="66">
        <v>14.1554</v>
      </c>
      <c r="EY39" s="66">
        <v>3.1554000000000002</v>
      </c>
      <c r="EZ39" s="66">
        <v>0</v>
      </c>
      <c r="FA39" s="66">
        <v>11</v>
      </c>
      <c r="FB39" s="67">
        <v>100</v>
      </c>
      <c r="FC39" s="67">
        <v>100</v>
      </c>
      <c r="FD39" s="67">
        <v>77.708860222953774</v>
      </c>
      <c r="FE39" s="67">
        <v>0</v>
      </c>
      <c r="FF39" s="67">
        <v>0</v>
      </c>
      <c r="FG39" s="66">
        <v>0</v>
      </c>
      <c r="FH39" s="66">
        <v>0</v>
      </c>
      <c r="FI39" s="66">
        <v>0</v>
      </c>
      <c r="FJ39" s="66">
        <v>0</v>
      </c>
      <c r="FK39" s="66">
        <v>0</v>
      </c>
      <c r="FL39" s="66">
        <v>0</v>
      </c>
      <c r="FM39" s="66">
        <v>0</v>
      </c>
      <c r="FN39" s="66">
        <v>0</v>
      </c>
      <c r="FO39" s="66">
        <v>0</v>
      </c>
      <c r="FP39" s="66">
        <v>0</v>
      </c>
      <c r="FQ39" s="66">
        <v>0</v>
      </c>
      <c r="FR39" s="67" t="s">
        <v>1094</v>
      </c>
      <c r="FS39" s="67" t="s">
        <v>1094</v>
      </c>
      <c r="FT39" s="67">
        <v>0</v>
      </c>
      <c r="FU39" s="67">
        <v>0</v>
      </c>
      <c r="FV39" s="67">
        <v>0</v>
      </c>
      <c r="FW39" s="66">
        <v>25.2989</v>
      </c>
      <c r="FX39" s="66">
        <v>0</v>
      </c>
      <c r="FY39" s="66">
        <v>50.298900000000003</v>
      </c>
      <c r="FZ39" s="66">
        <v>25.2989</v>
      </c>
      <c r="GA39" s="66">
        <v>25</v>
      </c>
      <c r="GB39" s="66">
        <v>25.2989</v>
      </c>
      <c r="GC39" s="66">
        <v>0</v>
      </c>
      <c r="GD39" s="66">
        <v>50.298900000000003</v>
      </c>
      <c r="GE39" s="66">
        <v>25.2989</v>
      </c>
      <c r="GF39" s="66">
        <v>0</v>
      </c>
      <c r="GG39" s="66">
        <v>25</v>
      </c>
      <c r="GH39" s="67">
        <v>100</v>
      </c>
      <c r="GI39" s="67">
        <v>100</v>
      </c>
      <c r="GJ39" s="67">
        <v>49.702876206040287</v>
      </c>
      <c r="GK39" s="67">
        <v>0</v>
      </c>
      <c r="GL39" s="67">
        <v>0</v>
      </c>
      <c r="GM39" s="66">
        <v>0</v>
      </c>
      <c r="GN39" s="66">
        <v>0</v>
      </c>
      <c r="GO39" s="66">
        <v>0</v>
      </c>
      <c r="GP39" s="66">
        <v>0</v>
      </c>
      <c r="GQ39" s="66">
        <v>0</v>
      </c>
      <c r="GR39" s="66">
        <v>0</v>
      </c>
      <c r="GS39" s="66">
        <v>0</v>
      </c>
      <c r="GT39" s="66">
        <v>0</v>
      </c>
      <c r="GU39" s="66">
        <v>0</v>
      </c>
      <c r="GV39" s="66">
        <v>0</v>
      </c>
      <c r="GW39" s="66">
        <v>0</v>
      </c>
      <c r="GX39" s="67" t="s">
        <v>1094</v>
      </c>
      <c r="GY39" s="67" t="s">
        <v>1094</v>
      </c>
      <c r="GZ39" s="67">
        <v>0</v>
      </c>
      <c r="HA39" s="67">
        <v>0</v>
      </c>
      <c r="HB39" s="67">
        <v>0</v>
      </c>
      <c r="HC39" s="66">
        <v>3.5712999999999999</v>
      </c>
      <c r="HD39" s="66">
        <v>0</v>
      </c>
      <c r="HE39" s="66">
        <v>5.3167999999999997</v>
      </c>
      <c r="HF39" s="66">
        <v>3.5712999999999999</v>
      </c>
      <c r="HG39" s="66">
        <v>1.7455000000000001</v>
      </c>
      <c r="HH39" s="66">
        <v>3.5712888599999997</v>
      </c>
      <c r="HI39" s="66">
        <v>0</v>
      </c>
      <c r="HJ39" s="66">
        <v>5.31678344</v>
      </c>
      <c r="HK39" s="66">
        <v>3.5712888599999997</v>
      </c>
      <c r="HL39" s="66">
        <v>0</v>
      </c>
      <c r="HM39" s="66">
        <v>1.7454945800000001</v>
      </c>
      <c r="HN39" s="67">
        <v>99.999688068770467</v>
      </c>
      <c r="HO39" s="67">
        <v>99.999689487252937</v>
      </c>
      <c r="HP39" s="67">
        <v>32.829897995619703</v>
      </c>
      <c r="HQ39" s="67">
        <v>0</v>
      </c>
      <c r="HR39" s="67">
        <v>0</v>
      </c>
      <c r="HS39" s="66">
        <v>0</v>
      </c>
      <c r="HT39" s="66">
        <v>0</v>
      </c>
      <c r="HU39" s="66">
        <v>0</v>
      </c>
      <c r="HV39" s="66">
        <v>0</v>
      </c>
      <c r="HW39" s="66">
        <v>0</v>
      </c>
      <c r="HX39" s="66">
        <v>0</v>
      </c>
      <c r="HY39" s="66">
        <v>0</v>
      </c>
      <c r="HZ39" s="66">
        <v>0</v>
      </c>
      <c r="IA39" s="66">
        <v>0</v>
      </c>
      <c r="IB39" s="66">
        <v>0</v>
      </c>
      <c r="IC39" s="66">
        <v>0</v>
      </c>
      <c r="ID39" s="67" t="s">
        <v>1094</v>
      </c>
      <c r="IE39" s="67" t="s">
        <v>1094</v>
      </c>
      <c r="IF39" s="67">
        <v>0</v>
      </c>
      <c r="IG39" s="67">
        <v>0</v>
      </c>
      <c r="IH39" s="67">
        <v>0</v>
      </c>
    </row>
    <row r="40" spans="1:242" ht="15.75" x14ac:dyDescent="0.25">
      <c r="A40" s="11" t="s">
        <v>85</v>
      </c>
      <c r="B40" s="189" t="s">
        <v>299</v>
      </c>
      <c r="C40" s="66">
        <v>0</v>
      </c>
      <c r="D40" s="66">
        <v>0</v>
      </c>
      <c r="E40" s="66">
        <v>0</v>
      </c>
      <c r="F40" s="66">
        <v>0</v>
      </c>
      <c r="G40" s="66">
        <v>0</v>
      </c>
      <c r="H40" s="66">
        <v>0</v>
      </c>
      <c r="I40" s="66">
        <v>0</v>
      </c>
      <c r="J40" s="66">
        <v>0</v>
      </c>
      <c r="K40" s="66">
        <v>0</v>
      </c>
      <c r="L40" s="66">
        <v>0</v>
      </c>
      <c r="M40" s="66">
        <v>0</v>
      </c>
      <c r="N40" s="67" t="s">
        <v>1094</v>
      </c>
      <c r="O40" s="67" t="s">
        <v>1094</v>
      </c>
      <c r="P40" s="67">
        <v>0</v>
      </c>
      <c r="Q40" s="66">
        <v>0</v>
      </c>
      <c r="R40" s="67">
        <v>0</v>
      </c>
      <c r="S40" s="66">
        <v>0</v>
      </c>
      <c r="T40" s="66">
        <v>0</v>
      </c>
      <c r="U40" s="66">
        <v>0</v>
      </c>
      <c r="V40" s="66">
        <v>0</v>
      </c>
      <c r="W40" s="66">
        <v>0</v>
      </c>
      <c r="X40" s="66">
        <v>0</v>
      </c>
      <c r="Y40" s="66">
        <v>0</v>
      </c>
      <c r="Z40" s="66">
        <v>0</v>
      </c>
      <c r="AA40" s="66">
        <v>0</v>
      </c>
      <c r="AB40" s="66">
        <v>0</v>
      </c>
      <c r="AC40" s="66">
        <v>0</v>
      </c>
      <c r="AD40" s="67" t="s">
        <v>1094</v>
      </c>
      <c r="AE40" s="67" t="s">
        <v>1094</v>
      </c>
      <c r="AF40" s="67">
        <v>0</v>
      </c>
      <c r="AG40" s="67">
        <v>0</v>
      </c>
      <c r="AH40" s="67">
        <v>0</v>
      </c>
      <c r="AI40" s="66">
        <v>0</v>
      </c>
      <c r="AJ40" s="66">
        <v>0</v>
      </c>
      <c r="AK40" s="66">
        <v>0</v>
      </c>
      <c r="AL40" s="66">
        <v>0</v>
      </c>
      <c r="AM40" s="66">
        <v>0</v>
      </c>
      <c r="AN40" s="66">
        <v>0</v>
      </c>
      <c r="AO40" s="66">
        <v>0</v>
      </c>
      <c r="AP40" s="66">
        <v>0</v>
      </c>
      <c r="AQ40" s="66">
        <v>0</v>
      </c>
      <c r="AR40" s="66">
        <v>0</v>
      </c>
      <c r="AS40" s="66">
        <v>0</v>
      </c>
      <c r="AT40" s="67" t="s">
        <v>1094</v>
      </c>
      <c r="AU40" s="67" t="s">
        <v>1094</v>
      </c>
      <c r="AV40" s="67">
        <v>0</v>
      </c>
      <c r="AW40" s="67">
        <v>0</v>
      </c>
      <c r="AX40" s="67">
        <v>0</v>
      </c>
      <c r="AY40" s="66">
        <v>0</v>
      </c>
      <c r="AZ40" s="66">
        <v>0</v>
      </c>
      <c r="BA40" s="66">
        <v>0</v>
      </c>
      <c r="BB40" s="66">
        <v>0</v>
      </c>
      <c r="BC40" s="66">
        <v>0</v>
      </c>
      <c r="BD40" s="66">
        <v>0</v>
      </c>
      <c r="BE40" s="66">
        <v>0</v>
      </c>
      <c r="BF40" s="66">
        <v>0</v>
      </c>
      <c r="BG40" s="66">
        <v>0</v>
      </c>
      <c r="BH40" s="66">
        <v>0</v>
      </c>
      <c r="BI40" s="66">
        <v>0</v>
      </c>
      <c r="BJ40" s="67" t="s">
        <v>1094</v>
      </c>
      <c r="BK40" s="67" t="s">
        <v>1094</v>
      </c>
      <c r="BL40" s="67">
        <v>0</v>
      </c>
      <c r="BM40" s="67">
        <v>0</v>
      </c>
      <c r="BN40" s="67">
        <v>0</v>
      </c>
      <c r="BO40" s="66">
        <v>0</v>
      </c>
      <c r="BP40" s="66">
        <v>0</v>
      </c>
      <c r="BQ40" s="66">
        <v>0</v>
      </c>
      <c r="BR40" s="66">
        <v>0</v>
      </c>
      <c r="BS40" s="66">
        <v>0</v>
      </c>
      <c r="BT40" s="66">
        <v>0</v>
      </c>
      <c r="BU40" s="66">
        <v>0</v>
      </c>
      <c r="BV40" s="66">
        <v>0</v>
      </c>
      <c r="BW40" s="66">
        <v>0</v>
      </c>
      <c r="BX40" s="66">
        <v>0</v>
      </c>
      <c r="BY40" s="66">
        <v>0</v>
      </c>
      <c r="BZ40" s="67" t="s">
        <v>1094</v>
      </c>
      <c r="CA40" s="67" t="s">
        <v>1094</v>
      </c>
      <c r="CB40" s="67">
        <v>0</v>
      </c>
      <c r="CC40" s="67">
        <v>0</v>
      </c>
      <c r="CD40" s="67">
        <v>0</v>
      </c>
      <c r="CE40" s="66">
        <v>0</v>
      </c>
      <c r="CF40" s="66">
        <v>0</v>
      </c>
      <c r="CG40" s="66">
        <v>0</v>
      </c>
      <c r="CH40" s="66">
        <v>0</v>
      </c>
      <c r="CI40" s="66">
        <v>0</v>
      </c>
      <c r="CJ40" s="66">
        <v>0</v>
      </c>
      <c r="CK40" s="66">
        <v>0</v>
      </c>
      <c r="CL40" s="66">
        <v>0</v>
      </c>
      <c r="CM40" s="66">
        <v>0</v>
      </c>
      <c r="CN40" s="66">
        <v>0</v>
      </c>
      <c r="CO40" s="66">
        <v>0</v>
      </c>
      <c r="CP40" s="67" t="s">
        <v>1094</v>
      </c>
      <c r="CQ40" s="67" t="s">
        <v>1094</v>
      </c>
      <c r="CR40" s="67">
        <v>0</v>
      </c>
      <c r="CS40" s="67">
        <v>0</v>
      </c>
      <c r="CT40" s="67">
        <v>0</v>
      </c>
      <c r="CU40" s="66">
        <v>0</v>
      </c>
      <c r="CV40" s="66">
        <v>0</v>
      </c>
      <c r="CW40" s="66">
        <v>0</v>
      </c>
      <c r="CX40" s="66">
        <v>0</v>
      </c>
      <c r="CY40" s="66">
        <v>0</v>
      </c>
      <c r="CZ40" s="66">
        <v>0</v>
      </c>
      <c r="DA40" s="66">
        <v>0</v>
      </c>
      <c r="DB40" s="66">
        <v>0</v>
      </c>
      <c r="DC40" s="66">
        <v>0</v>
      </c>
      <c r="DD40" s="66">
        <v>0</v>
      </c>
      <c r="DE40" s="66">
        <v>0</v>
      </c>
      <c r="DF40" s="67" t="s">
        <v>1094</v>
      </c>
      <c r="DG40" s="67" t="s">
        <v>1094</v>
      </c>
      <c r="DH40" s="67">
        <v>0</v>
      </c>
      <c r="DI40" s="67">
        <v>0</v>
      </c>
      <c r="DJ40" s="67">
        <v>0</v>
      </c>
      <c r="DK40" s="66">
        <v>0</v>
      </c>
      <c r="DL40" s="66">
        <v>0</v>
      </c>
      <c r="DM40" s="66">
        <v>0</v>
      </c>
      <c r="DN40" s="66">
        <v>0</v>
      </c>
      <c r="DO40" s="66">
        <v>0</v>
      </c>
      <c r="DP40" s="66">
        <v>0</v>
      </c>
      <c r="DQ40" s="66">
        <v>0</v>
      </c>
      <c r="DR40" s="66">
        <v>0</v>
      </c>
      <c r="DS40" s="66">
        <v>0</v>
      </c>
      <c r="DT40" s="66">
        <v>0</v>
      </c>
      <c r="DU40" s="66">
        <v>0</v>
      </c>
      <c r="DV40" s="67" t="s">
        <v>1094</v>
      </c>
      <c r="DW40" s="67" t="s">
        <v>1094</v>
      </c>
      <c r="DX40" s="67">
        <v>0</v>
      </c>
      <c r="DY40" s="67">
        <v>0</v>
      </c>
      <c r="DZ40" s="67">
        <v>0</v>
      </c>
      <c r="EA40" s="66">
        <v>0</v>
      </c>
      <c r="EB40" s="66">
        <v>0</v>
      </c>
      <c r="EC40" s="66">
        <v>0</v>
      </c>
      <c r="ED40" s="66">
        <v>0</v>
      </c>
      <c r="EE40" s="66">
        <v>0</v>
      </c>
      <c r="EF40" s="66">
        <v>0</v>
      </c>
      <c r="EG40" s="66">
        <v>0</v>
      </c>
      <c r="EH40" s="66">
        <v>0</v>
      </c>
      <c r="EI40" s="66">
        <v>0</v>
      </c>
      <c r="EJ40" s="66">
        <v>0</v>
      </c>
      <c r="EK40" s="66">
        <v>0</v>
      </c>
      <c r="EL40" s="67" t="s">
        <v>1094</v>
      </c>
      <c r="EM40" s="67" t="s">
        <v>1094</v>
      </c>
      <c r="EN40" s="67">
        <v>0</v>
      </c>
      <c r="EO40" s="67">
        <v>0</v>
      </c>
      <c r="EP40" s="67">
        <v>0</v>
      </c>
      <c r="EQ40" s="66">
        <v>0</v>
      </c>
      <c r="ER40" s="66">
        <v>0</v>
      </c>
      <c r="ES40" s="66">
        <v>0</v>
      </c>
      <c r="ET40" s="66">
        <v>0</v>
      </c>
      <c r="EU40" s="66">
        <v>0</v>
      </c>
      <c r="EV40" s="66">
        <v>0</v>
      </c>
      <c r="EW40" s="66">
        <v>0</v>
      </c>
      <c r="EX40" s="66">
        <v>0</v>
      </c>
      <c r="EY40" s="66">
        <v>0</v>
      </c>
      <c r="EZ40" s="66">
        <v>0</v>
      </c>
      <c r="FA40" s="66">
        <v>0</v>
      </c>
      <c r="FB40" s="67" t="s">
        <v>1094</v>
      </c>
      <c r="FC40" s="67" t="s">
        <v>1094</v>
      </c>
      <c r="FD40" s="67">
        <v>0</v>
      </c>
      <c r="FE40" s="67">
        <v>0</v>
      </c>
      <c r="FF40" s="67">
        <v>0</v>
      </c>
      <c r="FG40" s="66">
        <v>0</v>
      </c>
      <c r="FH40" s="66">
        <v>0</v>
      </c>
      <c r="FI40" s="66">
        <v>0</v>
      </c>
      <c r="FJ40" s="66">
        <v>0</v>
      </c>
      <c r="FK40" s="66">
        <v>0</v>
      </c>
      <c r="FL40" s="66">
        <v>0</v>
      </c>
      <c r="FM40" s="66">
        <v>0</v>
      </c>
      <c r="FN40" s="66">
        <v>0</v>
      </c>
      <c r="FO40" s="66">
        <v>0</v>
      </c>
      <c r="FP40" s="66">
        <v>0</v>
      </c>
      <c r="FQ40" s="66">
        <v>0</v>
      </c>
      <c r="FR40" s="67" t="s">
        <v>1094</v>
      </c>
      <c r="FS40" s="67" t="s">
        <v>1094</v>
      </c>
      <c r="FT40" s="67">
        <v>0</v>
      </c>
      <c r="FU40" s="67">
        <v>0</v>
      </c>
      <c r="FV40" s="67">
        <v>0</v>
      </c>
      <c r="FW40" s="66">
        <v>0</v>
      </c>
      <c r="FX40" s="66">
        <v>0</v>
      </c>
      <c r="FY40" s="66">
        <v>0</v>
      </c>
      <c r="FZ40" s="66">
        <v>0</v>
      </c>
      <c r="GA40" s="66">
        <v>0</v>
      </c>
      <c r="GB40" s="66">
        <v>0</v>
      </c>
      <c r="GC40" s="66">
        <v>0</v>
      </c>
      <c r="GD40" s="66">
        <v>0</v>
      </c>
      <c r="GE40" s="66">
        <v>0</v>
      </c>
      <c r="GF40" s="66">
        <v>0</v>
      </c>
      <c r="GG40" s="66">
        <v>0</v>
      </c>
      <c r="GH40" s="67" t="s">
        <v>1094</v>
      </c>
      <c r="GI40" s="67" t="s">
        <v>1094</v>
      </c>
      <c r="GJ40" s="67">
        <v>0</v>
      </c>
      <c r="GK40" s="67">
        <v>0</v>
      </c>
      <c r="GL40" s="67">
        <v>0</v>
      </c>
      <c r="GM40" s="66">
        <v>0</v>
      </c>
      <c r="GN40" s="66">
        <v>0</v>
      </c>
      <c r="GO40" s="66">
        <v>0</v>
      </c>
      <c r="GP40" s="66">
        <v>0</v>
      </c>
      <c r="GQ40" s="66">
        <v>0</v>
      </c>
      <c r="GR40" s="66">
        <v>0</v>
      </c>
      <c r="GS40" s="66">
        <v>0</v>
      </c>
      <c r="GT40" s="66">
        <v>0</v>
      </c>
      <c r="GU40" s="66">
        <v>0</v>
      </c>
      <c r="GV40" s="66">
        <v>0</v>
      </c>
      <c r="GW40" s="66">
        <v>0</v>
      </c>
      <c r="GX40" s="67" t="s">
        <v>1094</v>
      </c>
      <c r="GY40" s="67" t="s">
        <v>1094</v>
      </c>
      <c r="GZ40" s="67">
        <v>0</v>
      </c>
      <c r="HA40" s="67">
        <v>0</v>
      </c>
      <c r="HB40" s="67">
        <v>0</v>
      </c>
      <c r="HC40" s="66">
        <v>0</v>
      </c>
      <c r="HD40" s="66">
        <v>0</v>
      </c>
      <c r="HE40" s="66">
        <v>0</v>
      </c>
      <c r="HF40" s="66">
        <v>0</v>
      </c>
      <c r="HG40" s="66">
        <v>0</v>
      </c>
      <c r="HH40" s="66">
        <v>0</v>
      </c>
      <c r="HI40" s="66">
        <v>0</v>
      </c>
      <c r="HJ40" s="66">
        <v>0</v>
      </c>
      <c r="HK40" s="66">
        <v>0</v>
      </c>
      <c r="HL40" s="66">
        <v>0</v>
      </c>
      <c r="HM40" s="66">
        <v>0</v>
      </c>
      <c r="HN40" s="67" t="s">
        <v>1094</v>
      </c>
      <c r="HO40" s="67" t="s">
        <v>1094</v>
      </c>
      <c r="HP40" s="67">
        <v>0</v>
      </c>
      <c r="HQ40" s="67">
        <v>0</v>
      </c>
      <c r="HR40" s="67">
        <v>0</v>
      </c>
      <c r="HS40" s="66">
        <v>0</v>
      </c>
      <c r="HT40" s="66">
        <v>0</v>
      </c>
      <c r="HU40" s="66">
        <v>0</v>
      </c>
      <c r="HV40" s="66">
        <v>0</v>
      </c>
      <c r="HW40" s="66">
        <v>0</v>
      </c>
      <c r="HX40" s="66">
        <v>0</v>
      </c>
      <c r="HY40" s="66">
        <v>0</v>
      </c>
      <c r="HZ40" s="66">
        <v>0</v>
      </c>
      <c r="IA40" s="66">
        <v>0</v>
      </c>
      <c r="IB40" s="66">
        <v>0</v>
      </c>
      <c r="IC40" s="66">
        <v>0</v>
      </c>
      <c r="ID40" s="67" t="s">
        <v>1094</v>
      </c>
      <c r="IE40" s="67" t="s">
        <v>1094</v>
      </c>
      <c r="IF40" s="67">
        <v>0</v>
      </c>
      <c r="IG40" s="67">
        <v>0</v>
      </c>
      <c r="IH40" s="67">
        <v>0</v>
      </c>
    </row>
    <row r="41" spans="1:242" ht="15.75" x14ac:dyDescent="0.25">
      <c r="A41" s="11" t="s">
        <v>87</v>
      </c>
      <c r="B41" s="189" t="s">
        <v>88</v>
      </c>
      <c r="C41" s="66">
        <v>3.5900000000000001E-2</v>
      </c>
      <c r="D41" s="66">
        <v>0</v>
      </c>
      <c r="E41" s="66">
        <v>2.5358999999999998</v>
      </c>
      <c r="F41" s="66">
        <v>3.5900000000000001E-2</v>
      </c>
      <c r="G41" s="66">
        <v>2.5</v>
      </c>
      <c r="H41" s="66">
        <v>3.5900000000000001E-2</v>
      </c>
      <c r="I41" s="66">
        <v>0</v>
      </c>
      <c r="J41" s="66">
        <v>2.5358999999999998</v>
      </c>
      <c r="K41" s="66">
        <v>3.5900000000000001E-2</v>
      </c>
      <c r="L41" s="66">
        <v>0</v>
      </c>
      <c r="M41" s="66">
        <v>2.5</v>
      </c>
      <c r="N41" s="67">
        <v>100</v>
      </c>
      <c r="O41" s="67">
        <v>100</v>
      </c>
      <c r="P41" s="67">
        <v>98.584329035056598</v>
      </c>
      <c r="Q41" s="66">
        <v>0</v>
      </c>
      <c r="R41" s="67">
        <v>0</v>
      </c>
      <c r="S41" s="66">
        <v>3.5900000000000001E-2</v>
      </c>
      <c r="T41" s="66">
        <v>0</v>
      </c>
      <c r="U41" s="66">
        <v>2.5358999999999998</v>
      </c>
      <c r="V41" s="66">
        <v>3.5900000000000001E-2</v>
      </c>
      <c r="W41" s="66">
        <v>2.5</v>
      </c>
      <c r="X41" s="66">
        <v>3.5900000000000001E-2</v>
      </c>
      <c r="Y41" s="66">
        <v>0</v>
      </c>
      <c r="Z41" s="66">
        <v>2.5358999999999998</v>
      </c>
      <c r="AA41" s="66">
        <v>3.5900000000000001E-2</v>
      </c>
      <c r="AB41" s="66">
        <v>0</v>
      </c>
      <c r="AC41" s="66">
        <v>2.5</v>
      </c>
      <c r="AD41" s="67">
        <v>100</v>
      </c>
      <c r="AE41" s="67">
        <v>100</v>
      </c>
      <c r="AF41" s="67">
        <v>98.584329035056598</v>
      </c>
      <c r="AG41" s="67">
        <v>0</v>
      </c>
      <c r="AH41" s="67">
        <v>0</v>
      </c>
      <c r="AI41" s="66">
        <v>0</v>
      </c>
      <c r="AJ41" s="66">
        <v>0</v>
      </c>
      <c r="AK41" s="66">
        <v>0</v>
      </c>
      <c r="AL41" s="66">
        <v>0</v>
      </c>
      <c r="AM41" s="66">
        <v>0</v>
      </c>
      <c r="AN41" s="66">
        <v>0</v>
      </c>
      <c r="AO41" s="66">
        <v>0</v>
      </c>
      <c r="AP41" s="66">
        <v>0</v>
      </c>
      <c r="AQ41" s="66">
        <v>0</v>
      </c>
      <c r="AR41" s="66">
        <v>0</v>
      </c>
      <c r="AS41" s="66">
        <v>0</v>
      </c>
      <c r="AT41" s="67" t="s">
        <v>1094</v>
      </c>
      <c r="AU41" s="67" t="s">
        <v>1094</v>
      </c>
      <c r="AV41" s="67">
        <v>0</v>
      </c>
      <c r="AW41" s="67">
        <v>0</v>
      </c>
      <c r="AX41" s="67">
        <v>0</v>
      </c>
      <c r="AY41" s="66">
        <v>0</v>
      </c>
      <c r="AZ41" s="66">
        <v>0</v>
      </c>
      <c r="BA41" s="66">
        <v>0</v>
      </c>
      <c r="BB41" s="66">
        <v>0</v>
      </c>
      <c r="BC41" s="66">
        <v>0</v>
      </c>
      <c r="BD41" s="66">
        <v>0</v>
      </c>
      <c r="BE41" s="66">
        <v>0</v>
      </c>
      <c r="BF41" s="66">
        <v>0</v>
      </c>
      <c r="BG41" s="66">
        <v>0</v>
      </c>
      <c r="BH41" s="66">
        <v>0</v>
      </c>
      <c r="BI41" s="66">
        <v>0</v>
      </c>
      <c r="BJ41" s="67" t="s">
        <v>1094</v>
      </c>
      <c r="BK41" s="67" t="s">
        <v>1094</v>
      </c>
      <c r="BL41" s="67">
        <v>0</v>
      </c>
      <c r="BM41" s="67">
        <v>0</v>
      </c>
      <c r="BN41" s="67">
        <v>0</v>
      </c>
      <c r="BO41" s="66">
        <v>0</v>
      </c>
      <c r="BP41" s="66">
        <v>0</v>
      </c>
      <c r="BQ41" s="66">
        <v>0</v>
      </c>
      <c r="BR41" s="66">
        <v>0</v>
      </c>
      <c r="BS41" s="66">
        <v>0</v>
      </c>
      <c r="BT41" s="66">
        <v>0</v>
      </c>
      <c r="BU41" s="66">
        <v>0</v>
      </c>
      <c r="BV41" s="66">
        <v>0</v>
      </c>
      <c r="BW41" s="66">
        <v>0</v>
      </c>
      <c r="BX41" s="66">
        <v>0</v>
      </c>
      <c r="BY41" s="66">
        <v>0</v>
      </c>
      <c r="BZ41" s="67" t="s">
        <v>1094</v>
      </c>
      <c r="CA41" s="67" t="s">
        <v>1094</v>
      </c>
      <c r="CB41" s="67">
        <v>0</v>
      </c>
      <c r="CC41" s="67">
        <v>0</v>
      </c>
      <c r="CD41" s="67">
        <v>0</v>
      </c>
      <c r="CE41" s="66">
        <v>0</v>
      </c>
      <c r="CF41" s="66">
        <v>0</v>
      </c>
      <c r="CG41" s="66">
        <v>0</v>
      </c>
      <c r="CH41" s="66">
        <v>0</v>
      </c>
      <c r="CI41" s="66">
        <v>0</v>
      </c>
      <c r="CJ41" s="66">
        <v>0</v>
      </c>
      <c r="CK41" s="66">
        <v>0</v>
      </c>
      <c r="CL41" s="66">
        <v>0</v>
      </c>
      <c r="CM41" s="66">
        <v>0</v>
      </c>
      <c r="CN41" s="66">
        <v>0</v>
      </c>
      <c r="CO41" s="66">
        <v>0</v>
      </c>
      <c r="CP41" s="67" t="s">
        <v>1094</v>
      </c>
      <c r="CQ41" s="67" t="s">
        <v>1094</v>
      </c>
      <c r="CR41" s="67">
        <v>0</v>
      </c>
      <c r="CS41" s="67">
        <v>0</v>
      </c>
      <c r="CT41" s="67">
        <v>0</v>
      </c>
      <c r="CU41" s="66">
        <v>0</v>
      </c>
      <c r="CV41" s="66">
        <v>0</v>
      </c>
      <c r="CW41" s="66">
        <v>0</v>
      </c>
      <c r="CX41" s="66">
        <v>0</v>
      </c>
      <c r="CY41" s="66">
        <v>0</v>
      </c>
      <c r="CZ41" s="66">
        <v>0</v>
      </c>
      <c r="DA41" s="66">
        <v>0</v>
      </c>
      <c r="DB41" s="66">
        <v>0</v>
      </c>
      <c r="DC41" s="66">
        <v>0</v>
      </c>
      <c r="DD41" s="66">
        <v>0</v>
      </c>
      <c r="DE41" s="66">
        <v>0</v>
      </c>
      <c r="DF41" s="67" t="s">
        <v>1094</v>
      </c>
      <c r="DG41" s="67" t="s">
        <v>1094</v>
      </c>
      <c r="DH41" s="67">
        <v>0</v>
      </c>
      <c r="DI41" s="67">
        <v>0</v>
      </c>
      <c r="DJ41" s="67">
        <v>0</v>
      </c>
      <c r="DK41" s="66">
        <v>0</v>
      </c>
      <c r="DL41" s="66">
        <v>0</v>
      </c>
      <c r="DM41" s="66">
        <v>0</v>
      </c>
      <c r="DN41" s="66">
        <v>0</v>
      </c>
      <c r="DO41" s="66">
        <v>0</v>
      </c>
      <c r="DP41" s="66">
        <v>0</v>
      </c>
      <c r="DQ41" s="66">
        <v>0</v>
      </c>
      <c r="DR41" s="66">
        <v>0</v>
      </c>
      <c r="DS41" s="66">
        <v>0</v>
      </c>
      <c r="DT41" s="66">
        <v>0</v>
      </c>
      <c r="DU41" s="66">
        <v>0</v>
      </c>
      <c r="DV41" s="67" t="s">
        <v>1094</v>
      </c>
      <c r="DW41" s="67" t="s">
        <v>1094</v>
      </c>
      <c r="DX41" s="67">
        <v>0</v>
      </c>
      <c r="DY41" s="67">
        <v>0</v>
      </c>
      <c r="DZ41" s="67">
        <v>0</v>
      </c>
      <c r="EA41" s="66">
        <v>0</v>
      </c>
      <c r="EB41" s="66">
        <v>0</v>
      </c>
      <c r="EC41" s="66">
        <v>0</v>
      </c>
      <c r="ED41" s="66">
        <v>0</v>
      </c>
      <c r="EE41" s="66">
        <v>0</v>
      </c>
      <c r="EF41" s="66">
        <v>0</v>
      </c>
      <c r="EG41" s="66">
        <v>0</v>
      </c>
      <c r="EH41" s="66">
        <v>0</v>
      </c>
      <c r="EI41" s="66">
        <v>0</v>
      </c>
      <c r="EJ41" s="66">
        <v>0</v>
      </c>
      <c r="EK41" s="66">
        <v>0</v>
      </c>
      <c r="EL41" s="67" t="s">
        <v>1094</v>
      </c>
      <c r="EM41" s="67" t="s">
        <v>1094</v>
      </c>
      <c r="EN41" s="67">
        <v>0</v>
      </c>
      <c r="EO41" s="67">
        <v>0</v>
      </c>
      <c r="EP41" s="67">
        <v>0</v>
      </c>
      <c r="EQ41" s="66">
        <v>0</v>
      </c>
      <c r="ER41" s="66">
        <v>0</v>
      </c>
      <c r="ES41" s="66">
        <v>0</v>
      </c>
      <c r="ET41" s="66">
        <v>0</v>
      </c>
      <c r="EU41" s="66">
        <v>0</v>
      </c>
      <c r="EV41" s="66">
        <v>0</v>
      </c>
      <c r="EW41" s="66">
        <v>0</v>
      </c>
      <c r="EX41" s="66">
        <v>0</v>
      </c>
      <c r="EY41" s="66">
        <v>0</v>
      </c>
      <c r="EZ41" s="66">
        <v>0</v>
      </c>
      <c r="FA41" s="66">
        <v>0</v>
      </c>
      <c r="FB41" s="67" t="s">
        <v>1094</v>
      </c>
      <c r="FC41" s="67" t="s">
        <v>1094</v>
      </c>
      <c r="FD41" s="67">
        <v>0</v>
      </c>
      <c r="FE41" s="67">
        <v>0</v>
      </c>
      <c r="FF41" s="67">
        <v>0</v>
      </c>
      <c r="FG41" s="66">
        <v>0</v>
      </c>
      <c r="FH41" s="66">
        <v>0</v>
      </c>
      <c r="FI41" s="66">
        <v>0</v>
      </c>
      <c r="FJ41" s="66">
        <v>0</v>
      </c>
      <c r="FK41" s="66">
        <v>0</v>
      </c>
      <c r="FL41" s="66">
        <v>0</v>
      </c>
      <c r="FM41" s="66">
        <v>0</v>
      </c>
      <c r="FN41" s="66">
        <v>0</v>
      </c>
      <c r="FO41" s="66">
        <v>0</v>
      </c>
      <c r="FP41" s="66">
        <v>0</v>
      </c>
      <c r="FQ41" s="66">
        <v>0</v>
      </c>
      <c r="FR41" s="67" t="s">
        <v>1094</v>
      </c>
      <c r="FS41" s="67" t="s">
        <v>1094</v>
      </c>
      <c r="FT41" s="67">
        <v>0</v>
      </c>
      <c r="FU41" s="67">
        <v>0</v>
      </c>
      <c r="FV41" s="67">
        <v>0</v>
      </c>
      <c r="FW41" s="66">
        <v>0</v>
      </c>
      <c r="FX41" s="66">
        <v>0</v>
      </c>
      <c r="FY41" s="66">
        <v>0</v>
      </c>
      <c r="FZ41" s="66">
        <v>0</v>
      </c>
      <c r="GA41" s="66">
        <v>0</v>
      </c>
      <c r="GB41" s="66">
        <v>0</v>
      </c>
      <c r="GC41" s="66">
        <v>0</v>
      </c>
      <c r="GD41" s="66">
        <v>0</v>
      </c>
      <c r="GE41" s="66">
        <v>0</v>
      </c>
      <c r="GF41" s="66">
        <v>0</v>
      </c>
      <c r="GG41" s="66">
        <v>0</v>
      </c>
      <c r="GH41" s="67" t="s">
        <v>1094</v>
      </c>
      <c r="GI41" s="67" t="s">
        <v>1094</v>
      </c>
      <c r="GJ41" s="67">
        <v>0</v>
      </c>
      <c r="GK41" s="67">
        <v>0</v>
      </c>
      <c r="GL41" s="67">
        <v>0</v>
      </c>
      <c r="GM41" s="66">
        <v>0</v>
      </c>
      <c r="GN41" s="66">
        <v>0</v>
      </c>
      <c r="GO41" s="66">
        <v>0</v>
      </c>
      <c r="GP41" s="66">
        <v>0</v>
      </c>
      <c r="GQ41" s="66">
        <v>0</v>
      </c>
      <c r="GR41" s="66">
        <v>0</v>
      </c>
      <c r="GS41" s="66">
        <v>0</v>
      </c>
      <c r="GT41" s="66">
        <v>0</v>
      </c>
      <c r="GU41" s="66">
        <v>0</v>
      </c>
      <c r="GV41" s="66">
        <v>0</v>
      </c>
      <c r="GW41" s="66">
        <v>0</v>
      </c>
      <c r="GX41" s="67" t="s">
        <v>1094</v>
      </c>
      <c r="GY41" s="67" t="s">
        <v>1094</v>
      </c>
      <c r="GZ41" s="67">
        <v>0</v>
      </c>
      <c r="HA41" s="67">
        <v>0</v>
      </c>
      <c r="HB41" s="67">
        <v>0</v>
      </c>
      <c r="HC41" s="66">
        <v>0</v>
      </c>
      <c r="HD41" s="66">
        <v>0</v>
      </c>
      <c r="HE41" s="66">
        <v>0</v>
      </c>
      <c r="HF41" s="66">
        <v>0</v>
      </c>
      <c r="HG41" s="66">
        <v>0</v>
      </c>
      <c r="HH41" s="66">
        <v>0</v>
      </c>
      <c r="HI41" s="66">
        <v>0</v>
      </c>
      <c r="HJ41" s="66">
        <v>0</v>
      </c>
      <c r="HK41" s="66">
        <v>0</v>
      </c>
      <c r="HL41" s="66">
        <v>0</v>
      </c>
      <c r="HM41" s="66">
        <v>0</v>
      </c>
      <c r="HN41" s="67" t="s">
        <v>1094</v>
      </c>
      <c r="HO41" s="67" t="s">
        <v>1094</v>
      </c>
      <c r="HP41" s="67">
        <v>0</v>
      </c>
      <c r="HQ41" s="67">
        <v>0</v>
      </c>
      <c r="HR41" s="67">
        <v>0</v>
      </c>
      <c r="HS41" s="66">
        <v>0</v>
      </c>
      <c r="HT41" s="66">
        <v>0</v>
      </c>
      <c r="HU41" s="66">
        <v>0</v>
      </c>
      <c r="HV41" s="66">
        <v>0</v>
      </c>
      <c r="HW41" s="66">
        <v>0</v>
      </c>
      <c r="HX41" s="66">
        <v>0</v>
      </c>
      <c r="HY41" s="66">
        <v>0</v>
      </c>
      <c r="HZ41" s="66">
        <v>0</v>
      </c>
      <c r="IA41" s="66">
        <v>0</v>
      </c>
      <c r="IB41" s="66">
        <v>0</v>
      </c>
      <c r="IC41" s="66">
        <v>0</v>
      </c>
      <c r="ID41" s="67" t="s">
        <v>1094</v>
      </c>
      <c r="IE41" s="67" t="s">
        <v>1094</v>
      </c>
      <c r="IF41" s="67">
        <v>0</v>
      </c>
      <c r="IG41" s="67">
        <v>0</v>
      </c>
      <c r="IH41" s="67">
        <v>0</v>
      </c>
    </row>
    <row r="42" spans="1:242" ht="15.75" x14ac:dyDescent="0.25">
      <c r="A42" s="11" t="s">
        <v>90</v>
      </c>
      <c r="B42" s="189" t="s">
        <v>91</v>
      </c>
      <c r="C42" s="66">
        <v>21.076000000000001</v>
      </c>
      <c r="D42" s="66">
        <v>0</v>
      </c>
      <c r="E42" s="66">
        <v>83.385068989999994</v>
      </c>
      <c r="F42" s="66">
        <v>21.076000000000001</v>
      </c>
      <c r="G42" s="66">
        <v>62.30906899</v>
      </c>
      <c r="H42" s="66">
        <v>21.076000000000001</v>
      </c>
      <c r="I42" s="66">
        <v>0</v>
      </c>
      <c r="J42" s="66">
        <v>83.385068989999994</v>
      </c>
      <c r="K42" s="66">
        <v>21.076000000000001</v>
      </c>
      <c r="L42" s="66">
        <v>0</v>
      </c>
      <c r="M42" s="66">
        <v>62.30906899</v>
      </c>
      <c r="N42" s="67">
        <v>100</v>
      </c>
      <c r="O42" s="67">
        <v>100</v>
      </c>
      <c r="P42" s="67">
        <v>74.724491740208848</v>
      </c>
      <c r="Q42" s="66">
        <v>0</v>
      </c>
      <c r="R42" s="67">
        <v>0</v>
      </c>
      <c r="S42" s="66">
        <v>11.9033</v>
      </c>
      <c r="T42" s="66">
        <v>0</v>
      </c>
      <c r="U42" s="66">
        <v>47.200299999999999</v>
      </c>
      <c r="V42" s="66">
        <v>11.9033</v>
      </c>
      <c r="W42" s="66">
        <v>35.296999999999997</v>
      </c>
      <c r="X42" s="66">
        <v>11.9033</v>
      </c>
      <c r="Y42" s="66">
        <v>0</v>
      </c>
      <c r="Z42" s="66">
        <v>47.200299999999999</v>
      </c>
      <c r="AA42" s="66">
        <v>11.9033</v>
      </c>
      <c r="AB42" s="66">
        <v>0</v>
      </c>
      <c r="AC42" s="66">
        <v>35.296999999999997</v>
      </c>
      <c r="AD42" s="67">
        <v>100</v>
      </c>
      <c r="AE42" s="67">
        <v>100</v>
      </c>
      <c r="AF42" s="67">
        <v>74.781304356116379</v>
      </c>
      <c r="AG42" s="67">
        <v>0</v>
      </c>
      <c r="AH42" s="67">
        <v>0</v>
      </c>
      <c r="AI42" s="66">
        <v>0</v>
      </c>
      <c r="AJ42" s="66">
        <v>0</v>
      </c>
      <c r="AK42" s="66">
        <v>0</v>
      </c>
      <c r="AL42" s="66">
        <v>0</v>
      </c>
      <c r="AM42" s="66">
        <v>0</v>
      </c>
      <c r="AN42" s="66">
        <v>0</v>
      </c>
      <c r="AO42" s="66">
        <v>0</v>
      </c>
      <c r="AP42" s="66">
        <v>0</v>
      </c>
      <c r="AQ42" s="66">
        <v>0</v>
      </c>
      <c r="AR42" s="66">
        <v>0</v>
      </c>
      <c r="AS42" s="66">
        <v>0</v>
      </c>
      <c r="AT42" s="67" t="s">
        <v>1094</v>
      </c>
      <c r="AU42" s="67" t="s">
        <v>1094</v>
      </c>
      <c r="AV42" s="67">
        <v>0</v>
      </c>
      <c r="AW42" s="67">
        <v>0</v>
      </c>
      <c r="AX42" s="67">
        <v>0</v>
      </c>
      <c r="AY42" s="66">
        <v>7.1239999999999997</v>
      </c>
      <c r="AZ42" s="66">
        <v>0</v>
      </c>
      <c r="BA42" s="66">
        <v>16.240768989999999</v>
      </c>
      <c r="BB42" s="66">
        <v>7.1239999999999997</v>
      </c>
      <c r="BC42" s="66">
        <v>9.1167689900000006</v>
      </c>
      <c r="BD42" s="66">
        <v>7.1239999999999997</v>
      </c>
      <c r="BE42" s="66">
        <v>0</v>
      </c>
      <c r="BF42" s="66">
        <v>16.240768989999999</v>
      </c>
      <c r="BG42" s="66">
        <v>7.1239999999999997</v>
      </c>
      <c r="BH42" s="66">
        <v>0</v>
      </c>
      <c r="BI42" s="66">
        <v>9.1167689900000006</v>
      </c>
      <c r="BJ42" s="67">
        <v>100</v>
      </c>
      <c r="BK42" s="67">
        <v>100</v>
      </c>
      <c r="BL42" s="67">
        <v>56.13508200020275</v>
      </c>
      <c r="BM42" s="67">
        <v>0</v>
      </c>
      <c r="BN42" s="67">
        <v>0</v>
      </c>
      <c r="BO42" s="66">
        <v>0</v>
      </c>
      <c r="BP42" s="66">
        <v>0</v>
      </c>
      <c r="BQ42" s="66">
        <v>0</v>
      </c>
      <c r="BR42" s="66">
        <v>0</v>
      </c>
      <c r="BS42" s="66">
        <v>0</v>
      </c>
      <c r="BT42" s="66">
        <v>0</v>
      </c>
      <c r="BU42" s="66">
        <v>0</v>
      </c>
      <c r="BV42" s="66">
        <v>0</v>
      </c>
      <c r="BW42" s="66">
        <v>0</v>
      </c>
      <c r="BX42" s="66">
        <v>0</v>
      </c>
      <c r="BY42" s="66">
        <v>0</v>
      </c>
      <c r="BZ42" s="67" t="s">
        <v>1094</v>
      </c>
      <c r="CA42" s="67" t="s">
        <v>1094</v>
      </c>
      <c r="CB42" s="67">
        <v>0</v>
      </c>
      <c r="CC42" s="67">
        <v>0</v>
      </c>
      <c r="CD42" s="67">
        <v>0</v>
      </c>
      <c r="CE42" s="66">
        <v>0</v>
      </c>
      <c r="CF42" s="66">
        <v>0</v>
      </c>
      <c r="CG42" s="66">
        <v>0</v>
      </c>
      <c r="CH42" s="66">
        <v>0</v>
      </c>
      <c r="CI42" s="66">
        <v>0</v>
      </c>
      <c r="CJ42" s="66">
        <v>0</v>
      </c>
      <c r="CK42" s="66">
        <v>0</v>
      </c>
      <c r="CL42" s="66">
        <v>0</v>
      </c>
      <c r="CM42" s="66">
        <v>0</v>
      </c>
      <c r="CN42" s="66">
        <v>0</v>
      </c>
      <c r="CO42" s="66">
        <v>0</v>
      </c>
      <c r="CP42" s="67" t="s">
        <v>1094</v>
      </c>
      <c r="CQ42" s="67" t="s">
        <v>1094</v>
      </c>
      <c r="CR42" s="67">
        <v>0</v>
      </c>
      <c r="CS42" s="67">
        <v>0</v>
      </c>
      <c r="CT42" s="67">
        <v>0</v>
      </c>
      <c r="CU42" s="66">
        <v>0</v>
      </c>
      <c r="CV42" s="66">
        <v>0</v>
      </c>
      <c r="CW42" s="66">
        <v>0</v>
      </c>
      <c r="CX42" s="66">
        <v>0</v>
      </c>
      <c r="CY42" s="66">
        <v>0</v>
      </c>
      <c r="CZ42" s="66">
        <v>0</v>
      </c>
      <c r="DA42" s="66">
        <v>0</v>
      </c>
      <c r="DB42" s="66">
        <v>0</v>
      </c>
      <c r="DC42" s="66">
        <v>0</v>
      </c>
      <c r="DD42" s="66">
        <v>0</v>
      </c>
      <c r="DE42" s="66">
        <v>0</v>
      </c>
      <c r="DF42" s="67" t="s">
        <v>1094</v>
      </c>
      <c r="DG42" s="67" t="s">
        <v>1094</v>
      </c>
      <c r="DH42" s="67">
        <v>0</v>
      </c>
      <c r="DI42" s="67">
        <v>0</v>
      </c>
      <c r="DJ42" s="67">
        <v>0</v>
      </c>
      <c r="DK42" s="66">
        <v>1.093</v>
      </c>
      <c r="DL42" s="66">
        <v>0</v>
      </c>
      <c r="DM42" s="66">
        <v>14.75</v>
      </c>
      <c r="DN42" s="66">
        <v>1.093</v>
      </c>
      <c r="DO42" s="66">
        <v>13.657</v>
      </c>
      <c r="DP42" s="66">
        <v>1.093</v>
      </c>
      <c r="DQ42" s="66">
        <v>0</v>
      </c>
      <c r="DR42" s="66">
        <v>14.75</v>
      </c>
      <c r="DS42" s="66">
        <v>1.093</v>
      </c>
      <c r="DT42" s="66">
        <v>0</v>
      </c>
      <c r="DU42" s="66">
        <v>13.657</v>
      </c>
      <c r="DV42" s="67">
        <v>100</v>
      </c>
      <c r="DW42" s="67">
        <v>100</v>
      </c>
      <c r="DX42" s="67">
        <v>92.589830508474577</v>
      </c>
      <c r="DY42" s="67">
        <v>0</v>
      </c>
      <c r="DZ42" s="67">
        <v>0</v>
      </c>
      <c r="EA42" s="66">
        <v>0</v>
      </c>
      <c r="EB42" s="66">
        <v>0</v>
      </c>
      <c r="EC42" s="66">
        <v>0</v>
      </c>
      <c r="ED42" s="66">
        <v>0</v>
      </c>
      <c r="EE42" s="66">
        <v>0</v>
      </c>
      <c r="EF42" s="66">
        <v>0</v>
      </c>
      <c r="EG42" s="66">
        <v>0</v>
      </c>
      <c r="EH42" s="66">
        <v>0</v>
      </c>
      <c r="EI42" s="66">
        <v>0</v>
      </c>
      <c r="EJ42" s="66">
        <v>0</v>
      </c>
      <c r="EK42" s="66">
        <v>0</v>
      </c>
      <c r="EL42" s="67" t="s">
        <v>1094</v>
      </c>
      <c r="EM42" s="67" t="s">
        <v>1094</v>
      </c>
      <c r="EN42" s="67">
        <v>0</v>
      </c>
      <c r="EO42" s="67">
        <v>0</v>
      </c>
      <c r="EP42" s="67">
        <v>0</v>
      </c>
      <c r="EQ42" s="66">
        <v>0</v>
      </c>
      <c r="ER42" s="66">
        <v>0</v>
      </c>
      <c r="ES42" s="66">
        <v>0</v>
      </c>
      <c r="ET42" s="66">
        <v>0</v>
      </c>
      <c r="EU42" s="66">
        <v>0</v>
      </c>
      <c r="EV42" s="66">
        <v>0</v>
      </c>
      <c r="EW42" s="66">
        <v>0</v>
      </c>
      <c r="EX42" s="66">
        <v>0</v>
      </c>
      <c r="EY42" s="66">
        <v>0</v>
      </c>
      <c r="EZ42" s="66">
        <v>0</v>
      </c>
      <c r="FA42" s="66">
        <v>0</v>
      </c>
      <c r="FB42" s="67" t="s">
        <v>1094</v>
      </c>
      <c r="FC42" s="67" t="s">
        <v>1094</v>
      </c>
      <c r="FD42" s="67">
        <v>0</v>
      </c>
      <c r="FE42" s="67">
        <v>0</v>
      </c>
      <c r="FF42" s="67">
        <v>0</v>
      </c>
      <c r="FG42" s="66">
        <v>0</v>
      </c>
      <c r="FH42" s="66">
        <v>0</v>
      </c>
      <c r="FI42" s="66">
        <v>0</v>
      </c>
      <c r="FJ42" s="66">
        <v>0</v>
      </c>
      <c r="FK42" s="66">
        <v>0</v>
      </c>
      <c r="FL42" s="66">
        <v>0</v>
      </c>
      <c r="FM42" s="66">
        <v>0</v>
      </c>
      <c r="FN42" s="66">
        <v>0</v>
      </c>
      <c r="FO42" s="66">
        <v>0</v>
      </c>
      <c r="FP42" s="66">
        <v>0</v>
      </c>
      <c r="FQ42" s="66">
        <v>0</v>
      </c>
      <c r="FR42" s="67" t="s">
        <v>1094</v>
      </c>
      <c r="FS42" s="67" t="s">
        <v>1094</v>
      </c>
      <c r="FT42" s="67">
        <v>0</v>
      </c>
      <c r="FU42" s="67">
        <v>0</v>
      </c>
      <c r="FV42" s="67">
        <v>0</v>
      </c>
      <c r="FW42" s="66">
        <v>0</v>
      </c>
      <c r="FX42" s="66">
        <v>0</v>
      </c>
      <c r="FY42" s="66">
        <v>0</v>
      </c>
      <c r="FZ42" s="66">
        <v>0</v>
      </c>
      <c r="GA42" s="66">
        <v>0</v>
      </c>
      <c r="GB42" s="66">
        <v>0</v>
      </c>
      <c r="GC42" s="66">
        <v>0</v>
      </c>
      <c r="GD42" s="66">
        <v>0</v>
      </c>
      <c r="GE42" s="66">
        <v>0</v>
      </c>
      <c r="GF42" s="66">
        <v>0</v>
      </c>
      <c r="GG42" s="66">
        <v>0</v>
      </c>
      <c r="GH42" s="67" t="s">
        <v>1094</v>
      </c>
      <c r="GI42" s="67" t="s">
        <v>1094</v>
      </c>
      <c r="GJ42" s="67">
        <v>0</v>
      </c>
      <c r="GK42" s="67">
        <v>0</v>
      </c>
      <c r="GL42" s="67">
        <v>0</v>
      </c>
      <c r="GM42" s="66">
        <v>0</v>
      </c>
      <c r="GN42" s="66">
        <v>0</v>
      </c>
      <c r="GO42" s="66">
        <v>0</v>
      </c>
      <c r="GP42" s="66">
        <v>0</v>
      </c>
      <c r="GQ42" s="66">
        <v>0</v>
      </c>
      <c r="GR42" s="66">
        <v>0</v>
      </c>
      <c r="GS42" s="66">
        <v>0</v>
      </c>
      <c r="GT42" s="66">
        <v>0</v>
      </c>
      <c r="GU42" s="66">
        <v>0</v>
      </c>
      <c r="GV42" s="66">
        <v>0</v>
      </c>
      <c r="GW42" s="66">
        <v>0</v>
      </c>
      <c r="GX42" s="67" t="s">
        <v>1094</v>
      </c>
      <c r="GY42" s="67" t="s">
        <v>1094</v>
      </c>
      <c r="GZ42" s="67">
        <v>0</v>
      </c>
      <c r="HA42" s="67">
        <v>0</v>
      </c>
      <c r="HB42" s="67">
        <v>0</v>
      </c>
      <c r="HC42" s="66">
        <v>0.95569999999999999</v>
      </c>
      <c r="HD42" s="66">
        <v>0</v>
      </c>
      <c r="HE42" s="66">
        <v>5.194</v>
      </c>
      <c r="HF42" s="66">
        <v>0.95569999999999999</v>
      </c>
      <c r="HG42" s="66">
        <v>4.2382999999999997</v>
      </c>
      <c r="HH42" s="66">
        <v>0.95569999999999999</v>
      </c>
      <c r="HI42" s="66">
        <v>0</v>
      </c>
      <c r="HJ42" s="66">
        <v>5.194</v>
      </c>
      <c r="HK42" s="66">
        <v>0.95569999999999999</v>
      </c>
      <c r="HL42" s="66">
        <v>0</v>
      </c>
      <c r="HM42" s="66">
        <v>4.2382999999999997</v>
      </c>
      <c r="HN42" s="67">
        <v>100</v>
      </c>
      <c r="HO42" s="67">
        <v>100</v>
      </c>
      <c r="HP42" s="67">
        <v>81.599922988063142</v>
      </c>
      <c r="HQ42" s="67">
        <v>0</v>
      </c>
      <c r="HR42" s="67">
        <v>0</v>
      </c>
      <c r="HS42" s="66">
        <v>0</v>
      </c>
      <c r="HT42" s="66">
        <v>0</v>
      </c>
      <c r="HU42" s="66">
        <v>0</v>
      </c>
      <c r="HV42" s="66">
        <v>0</v>
      </c>
      <c r="HW42" s="66">
        <v>0</v>
      </c>
      <c r="HX42" s="66">
        <v>0</v>
      </c>
      <c r="HY42" s="66">
        <v>0</v>
      </c>
      <c r="HZ42" s="66">
        <v>0</v>
      </c>
      <c r="IA42" s="66">
        <v>0</v>
      </c>
      <c r="IB42" s="66">
        <v>0</v>
      </c>
      <c r="IC42" s="66">
        <v>0</v>
      </c>
      <c r="ID42" s="67" t="s">
        <v>1094</v>
      </c>
      <c r="IE42" s="67" t="s">
        <v>1094</v>
      </c>
      <c r="IF42" s="67">
        <v>0</v>
      </c>
      <c r="IG42" s="67">
        <v>0</v>
      </c>
      <c r="IH42" s="67">
        <v>0</v>
      </c>
    </row>
    <row r="43" spans="1:242" ht="15.75" x14ac:dyDescent="0.25">
      <c r="A43" s="68">
        <v>32</v>
      </c>
      <c r="B43" s="189" t="s">
        <v>93</v>
      </c>
      <c r="C43" s="66">
        <v>1.4241999999999999</v>
      </c>
      <c r="D43" s="66">
        <v>0</v>
      </c>
      <c r="E43" s="66">
        <v>4.3482000000000003</v>
      </c>
      <c r="F43" s="66">
        <v>1.4241999999999999</v>
      </c>
      <c r="G43" s="66">
        <v>2.9239999999999999</v>
      </c>
      <c r="H43" s="66">
        <v>1.4241999999999999</v>
      </c>
      <c r="I43" s="66">
        <v>0.12867877999999999</v>
      </c>
      <c r="J43" s="66">
        <v>4.3482000000000003</v>
      </c>
      <c r="K43" s="66">
        <v>1.4241999999999999</v>
      </c>
      <c r="L43" s="66">
        <v>0</v>
      </c>
      <c r="M43" s="66">
        <v>2.9239999999999999</v>
      </c>
      <c r="N43" s="67">
        <v>100</v>
      </c>
      <c r="O43" s="67">
        <v>100</v>
      </c>
      <c r="P43" s="67">
        <v>67.246216825353017</v>
      </c>
      <c r="Q43" s="66">
        <v>0.12867877999999999</v>
      </c>
      <c r="R43" s="67">
        <v>0</v>
      </c>
      <c r="S43" s="66">
        <v>1.4241999999999999</v>
      </c>
      <c r="T43" s="66">
        <v>0</v>
      </c>
      <c r="U43" s="66">
        <v>4.3482000000000003</v>
      </c>
      <c r="V43" s="66">
        <v>1.4241999999999999</v>
      </c>
      <c r="W43" s="66">
        <v>2.9239999999999999</v>
      </c>
      <c r="X43" s="66">
        <v>1.4241999999999999</v>
      </c>
      <c r="Y43" s="66">
        <v>0</v>
      </c>
      <c r="Z43" s="66">
        <v>4.3482000000000003</v>
      </c>
      <c r="AA43" s="66">
        <v>1.4241999999999999</v>
      </c>
      <c r="AB43" s="66">
        <v>0</v>
      </c>
      <c r="AC43" s="66">
        <v>2.9239999999999999</v>
      </c>
      <c r="AD43" s="67">
        <v>100</v>
      </c>
      <c r="AE43" s="67">
        <v>100</v>
      </c>
      <c r="AF43" s="67">
        <v>67.246216825353017</v>
      </c>
      <c r="AG43" s="67">
        <v>0</v>
      </c>
      <c r="AH43" s="67">
        <v>0</v>
      </c>
      <c r="AI43" s="66">
        <v>0</v>
      </c>
      <c r="AJ43" s="66">
        <v>0</v>
      </c>
      <c r="AK43" s="66">
        <v>0</v>
      </c>
      <c r="AL43" s="66">
        <v>0</v>
      </c>
      <c r="AM43" s="66">
        <v>0</v>
      </c>
      <c r="AN43" s="66">
        <v>0</v>
      </c>
      <c r="AO43" s="66">
        <v>0.12867877999999999</v>
      </c>
      <c r="AP43" s="66">
        <v>0</v>
      </c>
      <c r="AQ43" s="66">
        <v>0</v>
      </c>
      <c r="AR43" s="66">
        <v>0</v>
      </c>
      <c r="AS43" s="66">
        <v>0</v>
      </c>
      <c r="AT43" s="67" t="s">
        <v>1094</v>
      </c>
      <c r="AU43" s="67" t="s">
        <v>1094</v>
      </c>
      <c r="AV43" s="67">
        <v>0</v>
      </c>
      <c r="AW43" s="67">
        <v>0.12867877999999999</v>
      </c>
      <c r="AX43" s="67">
        <v>0</v>
      </c>
      <c r="AY43" s="66">
        <v>0</v>
      </c>
      <c r="AZ43" s="66">
        <v>0</v>
      </c>
      <c r="BA43" s="66">
        <v>0</v>
      </c>
      <c r="BB43" s="66">
        <v>0</v>
      </c>
      <c r="BC43" s="66">
        <v>0</v>
      </c>
      <c r="BD43" s="66">
        <v>0</v>
      </c>
      <c r="BE43" s="66">
        <v>0</v>
      </c>
      <c r="BF43" s="66">
        <v>0</v>
      </c>
      <c r="BG43" s="66">
        <v>0</v>
      </c>
      <c r="BH43" s="66">
        <v>0</v>
      </c>
      <c r="BI43" s="66">
        <v>0</v>
      </c>
      <c r="BJ43" s="67" t="s">
        <v>1094</v>
      </c>
      <c r="BK43" s="67" t="s">
        <v>1094</v>
      </c>
      <c r="BL43" s="67">
        <v>0</v>
      </c>
      <c r="BM43" s="67">
        <v>0</v>
      </c>
      <c r="BN43" s="67">
        <v>0</v>
      </c>
      <c r="BO43" s="66">
        <v>0</v>
      </c>
      <c r="BP43" s="66">
        <v>0</v>
      </c>
      <c r="BQ43" s="66">
        <v>0</v>
      </c>
      <c r="BR43" s="66">
        <v>0</v>
      </c>
      <c r="BS43" s="66">
        <v>0</v>
      </c>
      <c r="BT43" s="66">
        <v>0</v>
      </c>
      <c r="BU43" s="66">
        <v>0</v>
      </c>
      <c r="BV43" s="66">
        <v>0</v>
      </c>
      <c r="BW43" s="66">
        <v>0</v>
      </c>
      <c r="BX43" s="66">
        <v>0</v>
      </c>
      <c r="BY43" s="66">
        <v>0</v>
      </c>
      <c r="BZ43" s="67" t="s">
        <v>1094</v>
      </c>
      <c r="CA43" s="67" t="s">
        <v>1094</v>
      </c>
      <c r="CB43" s="67">
        <v>0</v>
      </c>
      <c r="CC43" s="67">
        <v>0</v>
      </c>
      <c r="CD43" s="67">
        <v>0</v>
      </c>
      <c r="CE43" s="66">
        <v>0</v>
      </c>
      <c r="CF43" s="66">
        <v>0</v>
      </c>
      <c r="CG43" s="66">
        <v>0</v>
      </c>
      <c r="CH43" s="66">
        <v>0</v>
      </c>
      <c r="CI43" s="66">
        <v>0</v>
      </c>
      <c r="CJ43" s="66">
        <v>0</v>
      </c>
      <c r="CK43" s="66">
        <v>0</v>
      </c>
      <c r="CL43" s="66">
        <v>0</v>
      </c>
      <c r="CM43" s="66">
        <v>0</v>
      </c>
      <c r="CN43" s="66">
        <v>0</v>
      </c>
      <c r="CO43" s="66">
        <v>0</v>
      </c>
      <c r="CP43" s="67" t="s">
        <v>1094</v>
      </c>
      <c r="CQ43" s="67" t="s">
        <v>1094</v>
      </c>
      <c r="CR43" s="67">
        <v>0</v>
      </c>
      <c r="CS43" s="67">
        <v>0</v>
      </c>
      <c r="CT43" s="67">
        <v>0</v>
      </c>
      <c r="CU43" s="66">
        <v>0</v>
      </c>
      <c r="CV43" s="66">
        <v>0</v>
      </c>
      <c r="CW43" s="66">
        <v>0</v>
      </c>
      <c r="CX43" s="66">
        <v>0</v>
      </c>
      <c r="CY43" s="66">
        <v>0</v>
      </c>
      <c r="CZ43" s="66">
        <v>0</v>
      </c>
      <c r="DA43" s="66">
        <v>0</v>
      </c>
      <c r="DB43" s="66">
        <v>0</v>
      </c>
      <c r="DC43" s="66">
        <v>0</v>
      </c>
      <c r="DD43" s="66">
        <v>0</v>
      </c>
      <c r="DE43" s="66">
        <v>0</v>
      </c>
      <c r="DF43" s="67" t="s">
        <v>1094</v>
      </c>
      <c r="DG43" s="67" t="s">
        <v>1094</v>
      </c>
      <c r="DH43" s="67">
        <v>0</v>
      </c>
      <c r="DI43" s="67">
        <v>0</v>
      </c>
      <c r="DJ43" s="67">
        <v>0</v>
      </c>
      <c r="DK43" s="66">
        <v>0</v>
      </c>
      <c r="DL43" s="66">
        <v>0</v>
      </c>
      <c r="DM43" s="66">
        <v>0</v>
      </c>
      <c r="DN43" s="66">
        <v>0</v>
      </c>
      <c r="DO43" s="66">
        <v>0</v>
      </c>
      <c r="DP43" s="66">
        <v>0</v>
      </c>
      <c r="DQ43" s="66">
        <v>0</v>
      </c>
      <c r="DR43" s="66">
        <v>0</v>
      </c>
      <c r="DS43" s="66">
        <v>0</v>
      </c>
      <c r="DT43" s="66">
        <v>0</v>
      </c>
      <c r="DU43" s="66">
        <v>0</v>
      </c>
      <c r="DV43" s="67" t="s">
        <v>1094</v>
      </c>
      <c r="DW43" s="67" t="s">
        <v>1094</v>
      </c>
      <c r="DX43" s="67">
        <v>0</v>
      </c>
      <c r="DY43" s="67">
        <v>0</v>
      </c>
      <c r="DZ43" s="67">
        <v>0</v>
      </c>
      <c r="EA43" s="66">
        <v>0</v>
      </c>
      <c r="EB43" s="66">
        <v>0</v>
      </c>
      <c r="EC43" s="66">
        <v>0</v>
      </c>
      <c r="ED43" s="66">
        <v>0</v>
      </c>
      <c r="EE43" s="66">
        <v>0</v>
      </c>
      <c r="EF43" s="66">
        <v>0</v>
      </c>
      <c r="EG43" s="66">
        <v>0</v>
      </c>
      <c r="EH43" s="66">
        <v>0</v>
      </c>
      <c r="EI43" s="66">
        <v>0</v>
      </c>
      <c r="EJ43" s="66">
        <v>0</v>
      </c>
      <c r="EK43" s="66">
        <v>0</v>
      </c>
      <c r="EL43" s="67" t="s">
        <v>1094</v>
      </c>
      <c r="EM43" s="67" t="s">
        <v>1094</v>
      </c>
      <c r="EN43" s="67">
        <v>0</v>
      </c>
      <c r="EO43" s="67">
        <v>0</v>
      </c>
      <c r="EP43" s="67">
        <v>0</v>
      </c>
      <c r="EQ43" s="66">
        <v>0</v>
      </c>
      <c r="ER43" s="66">
        <v>0</v>
      </c>
      <c r="ES43" s="66">
        <v>0</v>
      </c>
      <c r="ET43" s="66">
        <v>0</v>
      </c>
      <c r="EU43" s="66">
        <v>0</v>
      </c>
      <c r="EV43" s="66">
        <v>0</v>
      </c>
      <c r="EW43" s="66">
        <v>0</v>
      </c>
      <c r="EX43" s="66">
        <v>0</v>
      </c>
      <c r="EY43" s="66">
        <v>0</v>
      </c>
      <c r="EZ43" s="66">
        <v>0</v>
      </c>
      <c r="FA43" s="66">
        <v>0</v>
      </c>
      <c r="FB43" s="67" t="s">
        <v>1094</v>
      </c>
      <c r="FC43" s="67" t="s">
        <v>1094</v>
      </c>
      <c r="FD43" s="67">
        <v>0</v>
      </c>
      <c r="FE43" s="67">
        <v>0</v>
      </c>
      <c r="FF43" s="67">
        <v>0</v>
      </c>
      <c r="FG43" s="66">
        <v>0</v>
      </c>
      <c r="FH43" s="66">
        <v>0</v>
      </c>
      <c r="FI43" s="66">
        <v>0</v>
      </c>
      <c r="FJ43" s="66">
        <v>0</v>
      </c>
      <c r="FK43" s="66">
        <v>0</v>
      </c>
      <c r="FL43" s="66">
        <v>0</v>
      </c>
      <c r="FM43" s="66">
        <v>0</v>
      </c>
      <c r="FN43" s="66">
        <v>0</v>
      </c>
      <c r="FO43" s="66">
        <v>0</v>
      </c>
      <c r="FP43" s="66">
        <v>0</v>
      </c>
      <c r="FQ43" s="66">
        <v>0</v>
      </c>
      <c r="FR43" s="67" t="s">
        <v>1094</v>
      </c>
      <c r="FS43" s="67" t="s">
        <v>1094</v>
      </c>
      <c r="FT43" s="67">
        <v>0</v>
      </c>
      <c r="FU43" s="67">
        <v>0</v>
      </c>
      <c r="FV43" s="67">
        <v>0</v>
      </c>
      <c r="FW43" s="66">
        <v>0</v>
      </c>
      <c r="FX43" s="66">
        <v>0</v>
      </c>
      <c r="FY43" s="66">
        <v>0</v>
      </c>
      <c r="FZ43" s="66">
        <v>0</v>
      </c>
      <c r="GA43" s="66">
        <v>0</v>
      </c>
      <c r="GB43" s="66">
        <v>0</v>
      </c>
      <c r="GC43" s="66">
        <v>0</v>
      </c>
      <c r="GD43" s="66">
        <v>0</v>
      </c>
      <c r="GE43" s="66">
        <v>0</v>
      </c>
      <c r="GF43" s="66">
        <v>0</v>
      </c>
      <c r="GG43" s="66">
        <v>0</v>
      </c>
      <c r="GH43" s="67" t="s">
        <v>1094</v>
      </c>
      <c r="GI43" s="67" t="s">
        <v>1094</v>
      </c>
      <c r="GJ43" s="67">
        <v>0</v>
      </c>
      <c r="GK43" s="67">
        <v>0</v>
      </c>
      <c r="GL43" s="67">
        <v>0</v>
      </c>
      <c r="GM43" s="66">
        <v>0</v>
      </c>
      <c r="GN43" s="66">
        <v>0</v>
      </c>
      <c r="GO43" s="66">
        <v>0</v>
      </c>
      <c r="GP43" s="66">
        <v>0</v>
      </c>
      <c r="GQ43" s="66">
        <v>0</v>
      </c>
      <c r="GR43" s="66">
        <v>0</v>
      </c>
      <c r="GS43" s="66">
        <v>0</v>
      </c>
      <c r="GT43" s="66">
        <v>0</v>
      </c>
      <c r="GU43" s="66">
        <v>0</v>
      </c>
      <c r="GV43" s="66">
        <v>0</v>
      </c>
      <c r="GW43" s="66">
        <v>0</v>
      </c>
      <c r="GX43" s="67" t="s">
        <v>1094</v>
      </c>
      <c r="GY43" s="67" t="s">
        <v>1094</v>
      </c>
      <c r="GZ43" s="67">
        <v>0</v>
      </c>
      <c r="HA43" s="67">
        <v>0</v>
      </c>
      <c r="HB43" s="67">
        <v>0</v>
      </c>
      <c r="HC43" s="66">
        <v>0</v>
      </c>
      <c r="HD43" s="66">
        <v>0</v>
      </c>
      <c r="HE43" s="66">
        <v>0</v>
      </c>
      <c r="HF43" s="66">
        <v>0</v>
      </c>
      <c r="HG43" s="66">
        <v>0</v>
      </c>
      <c r="HH43" s="66">
        <v>0</v>
      </c>
      <c r="HI43" s="66">
        <v>0</v>
      </c>
      <c r="HJ43" s="66">
        <v>0</v>
      </c>
      <c r="HK43" s="66">
        <v>0</v>
      </c>
      <c r="HL43" s="66">
        <v>0</v>
      </c>
      <c r="HM43" s="66">
        <v>0</v>
      </c>
      <c r="HN43" s="67" t="s">
        <v>1094</v>
      </c>
      <c r="HO43" s="67" t="s">
        <v>1094</v>
      </c>
      <c r="HP43" s="67">
        <v>0</v>
      </c>
      <c r="HQ43" s="67">
        <v>0</v>
      </c>
      <c r="HR43" s="67">
        <v>0</v>
      </c>
      <c r="HS43" s="66">
        <v>0</v>
      </c>
      <c r="HT43" s="66">
        <v>0</v>
      </c>
      <c r="HU43" s="66">
        <v>0</v>
      </c>
      <c r="HV43" s="66">
        <v>0</v>
      </c>
      <c r="HW43" s="66">
        <v>0</v>
      </c>
      <c r="HX43" s="66">
        <v>0</v>
      </c>
      <c r="HY43" s="66">
        <v>0</v>
      </c>
      <c r="HZ43" s="66">
        <v>0</v>
      </c>
      <c r="IA43" s="66">
        <v>0</v>
      </c>
      <c r="IB43" s="66">
        <v>0</v>
      </c>
      <c r="IC43" s="66">
        <v>0</v>
      </c>
      <c r="ID43" s="67" t="s">
        <v>1094</v>
      </c>
      <c r="IE43" s="67" t="s">
        <v>1094</v>
      </c>
      <c r="IF43" s="67">
        <v>0</v>
      </c>
      <c r="IG43" s="67">
        <v>0</v>
      </c>
      <c r="IH43" s="67">
        <v>0</v>
      </c>
    </row>
    <row r="44" spans="1:242" ht="15.75" x14ac:dyDescent="0.25">
      <c r="A44" s="70">
        <v>33</v>
      </c>
      <c r="B44" s="191" t="s">
        <v>95</v>
      </c>
      <c r="C44" s="61">
        <v>504.03660000000002</v>
      </c>
      <c r="D44" s="61">
        <v>0</v>
      </c>
      <c r="E44" s="61">
        <v>1161.9896766000002</v>
      </c>
      <c r="F44" s="61">
        <v>504.03660000000002</v>
      </c>
      <c r="G44" s="61">
        <v>657.95307660000003</v>
      </c>
      <c r="H44" s="61">
        <v>492.16435196000003</v>
      </c>
      <c r="I44" s="61">
        <v>20.274456149999999</v>
      </c>
      <c r="J44" s="61">
        <v>1142.00605668</v>
      </c>
      <c r="K44" s="61">
        <v>492.16367454000004</v>
      </c>
      <c r="L44" s="61">
        <v>0</v>
      </c>
      <c r="M44" s="61">
        <v>649.84238213999993</v>
      </c>
      <c r="N44" s="61">
        <v>97.644431880542015</v>
      </c>
      <c r="O44" s="61">
        <v>98.767283754958271</v>
      </c>
      <c r="P44" s="61">
        <v>56.903584559717565</v>
      </c>
      <c r="Q44" s="61">
        <v>20.270567149999998</v>
      </c>
      <c r="R44" s="61">
        <v>4.5664200000018057E-3</v>
      </c>
      <c r="S44" s="61">
        <v>187.22059999999999</v>
      </c>
      <c r="T44" s="61">
        <v>0</v>
      </c>
      <c r="U44" s="61">
        <v>466.13060112000005</v>
      </c>
      <c r="V44" s="61">
        <v>187.22059999999999</v>
      </c>
      <c r="W44" s="61">
        <v>278.91000112</v>
      </c>
      <c r="X44" s="61">
        <v>187.16734485999999</v>
      </c>
      <c r="Y44" s="61">
        <v>16.672378889999997</v>
      </c>
      <c r="Z44" s="61">
        <v>465.92893671000002</v>
      </c>
      <c r="AA44" s="61">
        <v>187.16734485999999</v>
      </c>
      <c r="AB44" s="61">
        <v>0</v>
      </c>
      <c r="AC44" s="61">
        <v>278.76159185</v>
      </c>
      <c r="AD44" s="61">
        <v>99.971554871632719</v>
      </c>
      <c r="AE44" s="61">
        <v>99.94678954881357</v>
      </c>
      <c r="AF44" s="61">
        <v>59.829207822630835</v>
      </c>
      <c r="AG44" s="61">
        <v>16.672378889999997</v>
      </c>
      <c r="AH44" s="61">
        <v>-5.9952043329758453E-15</v>
      </c>
      <c r="AI44" s="61">
        <v>0</v>
      </c>
      <c r="AJ44" s="61">
        <v>0</v>
      </c>
      <c r="AK44" s="61">
        <v>0</v>
      </c>
      <c r="AL44" s="61">
        <v>0</v>
      </c>
      <c r="AM44" s="61">
        <v>0</v>
      </c>
      <c r="AN44" s="61">
        <v>0</v>
      </c>
      <c r="AO44" s="61">
        <v>2.6672452199999999</v>
      </c>
      <c r="AP44" s="61">
        <v>0</v>
      </c>
      <c r="AQ44" s="61">
        <v>0</v>
      </c>
      <c r="AR44" s="61">
        <v>0</v>
      </c>
      <c r="AS44" s="61">
        <v>0</v>
      </c>
      <c r="AT44" s="61" t="s">
        <v>1094</v>
      </c>
      <c r="AU44" s="61" t="s">
        <v>1094</v>
      </c>
      <c r="AV44" s="61">
        <v>0</v>
      </c>
      <c r="AW44" s="61">
        <v>2.6633562199999998</v>
      </c>
      <c r="AX44" s="61">
        <v>3.8890000000000313E-3</v>
      </c>
      <c r="AY44" s="61">
        <v>189.91150000000002</v>
      </c>
      <c r="AZ44" s="61">
        <v>0</v>
      </c>
      <c r="BA44" s="61">
        <v>422.64541428999996</v>
      </c>
      <c r="BB44" s="61">
        <v>189.91150000000002</v>
      </c>
      <c r="BC44" s="61">
        <v>232.73391428999997</v>
      </c>
      <c r="BD44" s="61">
        <v>182.80276081000002</v>
      </c>
      <c r="BE44" s="61">
        <v>0.85149304000000003</v>
      </c>
      <c r="BF44" s="61">
        <v>411.30027654000003</v>
      </c>
      <c r="BG44" s="61">
        <v>182.80276081000002</v>
      </c>
      <c r="BH44" s="61">
        <v>0</v>
      </c>
      <c r="BI44" s="61">
        <v>228.49751573</v>
      </c>
      <c r="BJ44" s="61">
        <v>96.256814784781326</v>
      </c>
      <c r="BK44" s="61">
        <v>98.179724440709919</v>
      </c>
      <c r="BL44" s="61">
        <v>55.554914198502367</v>
      </c>
      <c r="BM44" s="61">
        <v>0.85149304000000003</v>
      </c>
      <c r="BN44" s="61">
        <v>-6.7654215563095477E-16</v>
      </c>
      <c r="BO44" s="61">
        <v>0</v>
      </c>
      <c r="BP44" s="61">
        <v>0</v>
      </c>
      <c r="BQ44" s="61">
        <v>0</v>
      </c>
      <c r="BR44" s="61">
        <v>0</v>
      </c>
      <c r="BS44" s="61">
        <v>0</v>
      </c>
      <c r="BT44" s="61">
        <v>0</v>
      </c>
      <c r="BU44" s="61">
        <v>0</v>
      </c>
      <c r="BV44" s="61">
        <v>0</v>
      </c>
      <c r="BW44" s="61">
        <v>0</v>
      </c>
      <c r="BX44" s="61">
        <v>0</v>
      </c>
      <c r="BY44" s="61">
        <v>0</v>
      </c>
      <c r="BZ44" s="61" t="s">
        <v>1094</v>
      </c>
      <c r="CA44" s="61" t="s">
        <v>1094</v>
      </c>
      <c r="CB44" s="61">
        <v>0</v>
      </c>
      <c r="CC44" s="61">
        <v>0</v>
      </c>
      <c r="CD44" s="61">
        <v>0</v>
      </c>
      <c r="CE44" s="61">
        <v>25.852</v>
      </c>
      <c r="CF44" s="61">
        <v>0</v>
      </c>
      <c r="CG44" s="61">
        <v>88.574385720000009</v>
      </c>
      <c r="CH44" s="61">
        <v>25.852</v>
      </c>
      <c r="CI44" s="61">
        <v>62.722385720000005</v>
      </c>
      <c r="CJ44" s="61">
        <v>25.852</v>
      </c>
      <c r="CK44" s="61">
        <v>0</v>
      </c>
      <c r="CL44" s="61">
        <v>88.574385720000009</v>
      </c>
      <c r="CM44" s="61">
        <v>25.852</v>
      </c>
      <c r="CN44" s="61">
        <v>0</v>
      </c>
      <c r="CO44" s="61">
        <v>62.722385720000005</v>
      </c>
      <c r="CP44" s="61">
        <v>100</v>
      </c>
      <c r="CQ44" s="61">
        <v>100</v>
      </c>
      <c r="CR44" s="61">
        <v>70.813232527829257</v>
      </c>
      <c r="CS44" s="61">
        <v>0</v>
      </c>
      <c r="CT44" s="61">
        <v>0</v>
      </c>
      <c r="CU44" s="61">
        <v>0</v>
      </c>
      <c r="CV44" s="61">
        <v>0</v>
      </c>
      <c r="CW44" s="61">
        <v>0</v>
      </c>
      <c r="CX44" s="61">
        <v>0</v>
      </c>
      <c r="CY44" s="61">
        <v>0</v>
      </c>
      <c r="CZ44" s="61">
        <v>0</v>
      </c>
      <c r="DA44" s="61">
        <v>0</v>
      </c>
      <c r="DB44" s="61">
        <v>0</v>
      </c>
      <c r="DC44" s="61">
        <v>0</v>
      </c>
      <c r="DD44" s="61">
        <v>0</v>
      </c>
      <c r="DE44" s="61">
        <v>0</v>
      </c>
      <c r="DF44" s="61" t="s">
        <v>1094</v>
      </c>
      <c r="DG44" s="61" t="s">
        <v>1094</v>
      </c>
      <c r="DH44" s="61">
        <v>0</v>
      </c>
      <c r="DI44" s="61">
        <v>0</v>
      </c>
      <c r="DJ44" s="61">
        <v>0</v>
      </c>
      <c r="DK44" s="61">
        <v>29.664999999999999</v>
      </c>
      <c r="DL44" s="61">
        <v>0</v>
      </c>
      <c r="DM44" s="61">
        <v>54.035060679999994</v>
      </c>
      <c r="DN44" s="61">
        <v>29.664999999999999</v>
      </c>
      <c r="DO44" s="61">
        <v>24.370060680000002</v>
      </c>
      <c r="DP44" s="61">
        <v>29.664988129999998</v>
      </c>
      <c r="DQ44" s="61">
        <v>7.6059000000000002E-2</v>
      </c>
      <c r="DR44" s="61">
        <v>54.035024999999997</v>
      </c>
      <c r="DS44" s="61">
        <v>29.664988129999998</v>
      </c>
      <c r="DT44" s="61">
        <v>0</v>
      </c>
      <c r="DU44" s="61">
        <v>24.37003687</v>
      </c>
      <c r="DV44" s="61">
        <v>99.999959986516103</v>
      </c>
      <c r="DW44" s="61">
        <v>99.999902298150516</v>
      </c>
      <c r="DX44" s="61">
        <v>45.100445257497341</v>
      </c>
      <c r="DY44" s="61">
        <v>7.6059000000000002E-2</v>
      </c>
      <c r="DZ44" s="61">
        <v>7.6327832942979512E-16</v>
      </c>
      <c r="EA44" s="61">
        <v>0</v>
      </c>
      <c r="EB44" s="61">
        <v>0</v>
      </c>
      <c r="EC44" s="61">
        <v>0</v>
      </c>
      <c r="ED44" s="61">
        <v>0</v>
      </c>
      <c r="EE44" s="61">
        <v>0</v>
      </c>
      <c r="EF44" s="61">
        <v>0</v>
      </c>
      <c r="EG44" s="61">
        <v>0</v>
      </c>
      <c r="EH44" s="61">
        <v>0</v>
      </c>
      <c r="EI44" s="61">
        <v>0</v>
      </c>
      <c r="EJ44" s="61">
        <v>0</v>
      </c>
      <c r="EK44" s="61">
        <v>0</v>
      </c>
      <c r="EL44" s="61" t="s">
        <v>1094</v>
      </c>
      <c r="EM44" s="61" t="s">
        <v>1094</v>
      </c>
      <c r="EN44" s="61">
        <v>0</v>
      </c>
      <c r="EO44" s="61">
        <v>0</v>
      </c>
      <c r="EP44" s="61">
        <v>0</v>
      </c>
      <c r="EQ44" s="61">
        <v>33.411500000000004</v>
      </c>
      <c r="ER44" s="61">
        <v>0</v>
      </c>
      <c r="ES44" s="61">
        <v>48.433414789999993</v>
      </c>
      <c r="ET44" s="61">
        <v>33.411500000000004</v>
      </c>
      <c r="EU44" s="61">
        <v>15.02191479</v>
      </c>
      <c r="EV44" s="61">
        <v>31.145974650000003</v>
      </c>
      <c r="EW44" s="61">
        <v>0</v>
      </c>
      <c r="EX44" s="61">
        <v>45.695410960000004</v>
      </c>
      <c r="EY44" s="61">
        <v>31.145974650000003</v>
      </c>
      <c r="EZ44" s="61">
        <v>0</v>
      </c>
      <c r="FA44" s="61">
        <v>14.549436310000001</v>
      </c>
      <c r="FB44" s="61">
        <v>93.219324633733891</v>
      </c>
      <c r="FC44" s="61">
        <v>96.854738649466142</v>
      </c>
      <c r="FD44" s="61">
        <v>31.840038210261451</v>
      </c>
      <c r="FE44" s="61">
        <v>0</v>
      </c>
      <c r="FF44" s="61">
        <v>0</v>
      </c>
      <c r="FG44" s="61">
        <v>0</v>
      </c>
      <c r="FH44" s="61">
        <v>0</v>
      </c>
      <c r="FI44" s="61">
        <v>0</v>
      </c>
      <c r="FJ44" s="61">
        <v>0</v>
      </c>
      <c r="FK44" s="61">
        <v>0</v>
      </c>
      <c r="FL44" s="61">
        <v>0</v>
      </c>
      <c r="FM44" s="61">
        <v>0</v>
      </c>
      <c r="FN44" s="61">
        <v>0</v>
      </c>
      <c r="FO44" s="61">
        <v>0</v>
      </c>
      <c r="FP44" s="61">
        <v>0</v>
      </c>
      <c r="FQ44" s="61">
        <v>0</v>
      </c>
      <c r="FR44" s="61" t="s">
        <v>1094</v>
      </c>
      <c r="FS44" s="61" t="s">
        <v>1094</v>
      </c>
      <c r="FT44" s="61">
        <v>0</v>
      </c>
      <c r="FU44" s="61">
        <v>0</v>
      </c>
      <c r="FV44" s="61">
        <v>0</v>
      </c>
      <c r="FW44" s="61">
        <v>25.507100000000001</v>
      </c>
      <c r="FX44" s="61">
        <v>0</v>
      </c>
      <c r="FY44" s="61">
        <v>56.776400000000002</v>
      </c>
      <c r="FZ44" s="61">
        <v>25.507100000000001</v>
      </c>
      <c r="GA44" s="61">
        <v>31.269300000000001</v>
      </c>
      <c r="GB44" s="61">
        <v>23.062383510000004</v>
      </c>
      <c r="GC44" s="61">
        <v>0</v>
      </c>
      <c r="GD44" s="61">
        <v>51.078654800000002</v>
      </c>
      <c r="GE44" s="61">
        <v>23.062383510000004</v>
      </c>
      <c r="GF44" s="61">
        <v>0</v>
      </c>
      <c r="GG44" s="61">
        <v>28.016271289999999</v>
      </c>
      <c r="GH44" s="61">
        <v>90.415545122730549</v>
      </c>
      <c r="GI44" s="61">
        <v>89.596733185584583</v>
      </c>
      <c r="GJ44" s="61">
        <v>54.849273928020516</v>
      </c>
      <c r="GK44" s="61">
        <v>0</v>
      </c>
      <c r="GL44" s="61">
        <v>0</v>
      </c>
      <c r="GM44" s="61">
        <v>0</v>
      </c>
      <c r="GN44" s="61">
        <v>0</v>
      </c>
      <c r="GO44" s="61">
        <v>0</v>
      </c>
      <c r="GP44" s="61">
        <v>0</v>
      </c>
      <c r="GQ44" s="61">
        <v>0</v>
      </c>
      <c r="GR44" s="61">
        <v>0</v>
      </c>
      <c r="GS44" s="61">
        <v>0</v>
      </c>
      <c r="GT44" s="61">
        <v>0</v>
      </c>
      <c r="GU44" s="61">
        <v>0</v>
      </c>
      <c r="GV44" s="61">
        <v>0</v>
      </c>
      <c r="GW44" s="61">
        <v>0</v>
      </c>
      <c r="GX44" s="61" t="s">
        <v>1094</v>
      </c>
      <c r="GY44" s="61" t="s">
        <v>1094</v>
      </c>
      <c r="GZ44" s="61">
        <v>0</v>
      </c>
      <c r="HA44" s="61">
        <v>0</v>
      </c>
      <c r="HB44" s="61">
        <v>0</v>
      </c>
      <c r="HC44" s="61">
        <v>12.4689</v>
      </c>
      <c r="HD44" s="61">
        <v>0</v>
      </c>
      <c r="HE44" s="61">
        <v>25.394400000000001</v>
      </c>
      <c r="HF44" s="61">
        <v>12.4689</v>
      </c>
      <c r="HG44" s="61">
        <v>12.9255</v>
      </c>
      <c r="HH44" s="61">
        <v>12.4689</v>
      </c>
      <c r="HI44" s="61">
        <v>7.28E-3</v>
      </c>
      <c r="HJ44" s="61">
        <v>25.393366950000001</v>
      </c>
      <c r="HK44" s="61">
        <v>12.468222579999999</v>
      </c>
      <c r="HL44" s="61">
        <v>0</v>
      </c>
      <c r="HM44" s="61">
        <v>12.92514437</v>
      </c>
      <c r="HN44" s="61">
        <v>99.994567123002014</v>
      </c>
      <c r="HO44" s="61">
        <v>99.997248617074774</v>
      </c>
      <c r="HP44" s="61">
        <v>50.89968729018819</v>
      </c>
      <c r="HQ44" s="61">
        <v>7.28E-3</v>
      </c>
      <c r="HR44" s="61">
        <v>6.7741999999943771E-4</v>
      </c>
      <c r="HS44" s="61">
        <v>0</v>
      </c>
      <c r="HT44" s="61">
        <v>0</v>
      </c>
      <c r="HU44" s="61">
        <v>0</v>
      </c>
      <c r="HV44" s="61">
        <v>0</v>
      </c>
      <c r="HW44" s="61">
        <v>0</v>
      </c>
      <c r="HX44" s="61">
        <v>0</v>
      </c>
      <c r="HY44" s="61">
        <v>0</v>
      </c>
      <c r="HZ44" s="61">
        <v>0</v>
      </c>
      <c r="IA44" s="61">
        <v>0</v>
      </c>
      <c r="IB44" s="61">
        <v>0</v>
      </c>
      <c r="IC44" s="61">
        <v>0</v>
      </c>
      <c r="ID44" s="61" t="s">
        <v>1094</v>
      </c>
      <c r="IE44" s="61" t="s">
        <v>1094</v>
      </c>
      <c r="IF44" s="61">
        <v>0</v>
      </c>
      <c r="IG44" s="61">
        <v>0</v>
      </c>
      <c r="IH44" s="61">
        <v>0</v>
      </c>
    </row>
    <row r="45" spans="1:242" ht="15.75" x14ac:dyDescent="0.25">
      <c r="A45" s="72">
        <v>34</v>
      </c>
      <c r="B45" s="192" t="s">
        <v>97</v>
      </c>
      <c r="C45" s="66">
        <v>57.753700000000002</v>
      </c>
      <c r="D45" s="66">
        <v>0</v>
      </c>
      <c r="E45" s="66">
        <v>85.323035509999997</v>
      </c>
      <c r="F45" s="66">
        <v>57.753700000000002</v>
      </c>
      <c r="G45" s="66">
        <v>27.569335509999998</v>
      </c>
      <c r="H45" s="66">
        <v>57.753700000000002</v>
      </c>
      <c r="I45" s="66">
        <v>0.42431844000000002</v>
      </c>
      <c r="J45" s="66">
        <v>85.323035509999997</v>
      </c>
      <c r="K45" s="66">
        <v>57.753700000000002</v>
      </c>
      <c r="L45" s="66">
        <v>0</v>
      </c>
      <c r="M45" s="66">
        <v>27.569335509999998</v>
      </c>
      <c r="N45" s="67">
        <v>100</v>
      </c>
      <c r="O45" s="67">
        <v>100</v>
      </c>
      <c r="P45" s="67">
        <v>32.311714351476425</v>
      </c>
      <c r="Q45" s="66">
        <v>0.42431844000000002</v>
      </c>
      <c r="R45" s="67">
        <v>3.8857805861880479E-16</v>
      </c>
      <c r="S45" s="66">
        <v>6.7662000000000004</v>
      </c>
      <c r="T45" s="66">
        <v>0</v>
      </c>
      <c r="U45" s="66">
        <v>11.887210119999999</v>
      </c>
      <c r="V45" s="66">
        <v>6.7662000000000004</v>
      </c>
      <c r="W45" s="66">
        <v>5.1210101200000002</v>
      </c>
      <c r="X45" s="66">
        <v>6.7662000000000004</v>
      </c>
      <c r="Y45" s="66">
        <v>0</v>
      </c>
      <c r="Z45" s="66">
        <v>11.887210119999999</v>
      </c>
      <c r="AA45" s="66">
        <v>6.7662000000000004</v>
      </c>
      <c r="AB45" s="66">
        <v>0</v>
      </c>
      <c r="AC45" s="66">
        <v>5.1210101200000002</v>
      </c>
      <c r="AD45" s="67">
        <v>100</v>
      </c>
      <c r="AE45" s="67">
        <v>100</v>
      </c>
      <c r="AF45" s="67">
        <v>43.080000002557377</v>
      </c>
      <c r="AG45" s="67">
        <v>0</v>
      </c>
      <c r="AH45" s="67">
        <v>0</v>
      </c>
      <c r="AI45" s="66">
        <v>0</v>
      </c>
      <c r="AJ45" s="66">
        <v>0</v>
      </c>
      <c r="AK45" s="66">
        <v>0</v>
      </c>
      <c r="AL45" s="66">
        <v>0</v>
      </c>
      <c r="AM45" s="66">
        <v>0</v>
      </c>
      <c r="AN45" s="66">
        <v>0</v>
      </c>
      <c r="AO45" s="66">
        <v>0.42431844000000002</v>
      </c>
      <c r="AP45" s="66">
        <v>0</v>
      </c>
      <c r="AQ45" s="66">
        <v>0</v>
      </c>
      <c r="AR45" s="66">
        <v>0</v>
      </c>
      <c r="AS45" s="66">
        <v>0</v>
      </c>
      <c r="AT45" s="67" t="s">
        <v>1094</v>
      </c>
      <c r="AU45" s="67" t="s">
        <v>1094</v>
      </c>
      <c r="AV45" s="67">
        <v>0</v>
      </c>
      <c r="AW45" s="67">
        <v>0.42431844000000002</v>
      </c>
      <c r="AX45" s="67">
        <v>0</v>
      </c>
      <c r="AY45" s="66">
        <v>37.646500000000003</v>
      </c>
      <c r="AZ45" s="66">
        <v>0</v>
      </c>
      <c r="BA45" s="66">
        <v>53.780714289999999</v>
      </c>
      <c r="BB45" s="66">
        <v>37.646500000000003</v>
      </c>
      <c r="BC45" s="66">
        <v>16.134214289999999</v>
      </c>
      <c r="BD45" s="66">
        <v>37.646500000000003</v>
      </c>
      <c r="BE45" s="66">
        <v>0</v>
      </c>
      <c r="BF45" s="66">
        <v>53.780714289999999</v>
      </c>
      <c r="BG45" s="66">
        <v>37.646500000000003</v>
      </c>
      <c r="BH45" s="66">
        <v>0</v>
      </c>
      <c r="BI45" s="66">
        <v>16.134214289999999</v>
      </c>
      <c r="BJ45" s="67">
        <v>100</v>
      </c>
      <c r="BK45" s="67">
        <v>100</v>
      </c>
      <c r="BL45" s="67">
        <v>30.000000005578208</v>
      </c>
      <c r="BM45" s="67">
        <v>0</v>
      </c>
      <c r="BN45" s="67">
        <v>0</v>
      </c>
      <c r="BO45" s="66">
        <v>0</v>
      </c>
      <c r="BP45" s="66">
        <v>0</v>
      </c>
      <c r="BQ45" s="66">
        <v>0</v>
      </c>
      <c r="BR45" s="66">
        <v>0</v>
      </c>
      <c r="BS45" s="66">
        <v>0</v>
      </c>
      <c r="BT45" s="66">
        <v>0</v>
      </c>
      <c r="BU45" s="66">
        <v>0</v>
      </c>
      <c r="BV45" s="66">
        <v>0</v>
      </c>
      <c r="BW45" s="66">
        <v>0</v>
      </c>
      <c r="BX45" s="66">
        <v>0</v>
      </c>
      <c r="BY45" s="66">
        <v>0</v>
      </c>
      <c r="BZ45" s="67" t="s">
        <v>1094</v>
      </c>
      <c r="CA45" s="67" t="s">
        <v>1094</v>
      </c>
      <c r="CB45" s="67">
        <v>0</v>
      </c>
      <c r="CC45" s="67">
        <v>0</v>
      </c>
      <c r="CD45" s="67">
        <v>0</v>
      </c>
      <c r="CE45" s="66">
        <v>8.9770000000000003</v>
      </c>
      <c r="CF45" s="66">
        <v>0</v>
      </c>
      <c r="CG45" s="66">
        <v>12.824285720000001</v>
      </c>
      <c r="CH45" s="66">
        <v>8.9770000000000003</v>
      </c>
      <c r="CI45" s="66">
        <v>3.8472857200000004</v>
      </c>
      <c r="CJ45" s="66">
        <v>8.9770000000000003</v>
      </c>
      <c r="CK45" s="66">
        <v>0</v>
      </c>
      <c r="CL45" s="66">
        <v>12.824285720000001</v>
      </c>
      <c r="CM45" s="66">
        <v>8.9770000000000003</v>
      </c>
      <c r="CN45" s="66">
        <v>0</v>
      </c>
      <c r="CO45" s="66">
        <v>3.8472857200000004</v>
      </c>
      <c r="CP45" s="67">
        <v>100</v>
      </c>
      <c r="CQ45" s="67">
        <v>100</v>
      </c>
      <c r="CR45" s="67">
        <v>30.000000031190822</v>
      </c>
      <c r="CS45" s="67">
        <v>0</v>
      </c>
      <c r="CT45" s="67">
        <v>0</v>
      </c>
      <c r="CU45" s="66">
        <v>0</v>
      </c>
      <c r="CV45" s="66">
        <v>0</v>
      </c>
      <c r="CW45" s="66">
        <v>0</v>
      </c>
      <c r="CX45" s="66">
        <v>0</v>
      </c>
      <c r="CY45" s="66">
        <v>0</v>
      </c>
      <c r="CZ45" s="66">
        <v>0</v>
      </c>
      <c r="DA45" s="66">
        <v>0</v>
      </c>
      <c r="DB45" s="66">
        <v>0</v>
      </c>
      <c r="DC45" s="66">
        <v>0</v>
      </c>
      <c r="DD45" s="66">
        <v>0</v>
      </c>
      <c r="DE45" s="66">
        <v>0</v>
      </c>
      <c r="DF45" s="67" t="s">
        <v>1094</v>
      </c>
      <c r="DG45" s="67" t="s">
        <v>1094</v>
      </c>
      <c r="DH45" s="67">
        <v>0</v>
      </c>
      <c r="DI45" s="67">
        <v>0</v>
      </c>
      <c r="DJ45" s="67">
        <v>0</v>
      </c>
      <c r="DK45" s="66">
        <v>2.64</v>
      </c>
      <c r="DL45" s="66">
        <v>0</v>
      </c>
      <c r="DM45" s="66">
        <v>4.3679682400000006</v>
      </c>
      <c r="DN45" s="66">
        <v>2.64</v>
      </c>
      <c r="DO45" s="66">
        <v>1.72796824</v>
      </c>
      <c r="DP45" s="66">
        <v>2.64</v>
      </c>
      <c r="DQ45" s="66">
        <v>0</v>
      </c>
      <c r="DR45" s="66">
        <v>4.3679682400000006</v>
      </c>
      <c r="DS45" s="66">
        <v>2.64</v>
      </c>
      <c r="DT45" s="66">
        <v>0</v>
      </c>
      <c r="DU45" s="66">
        <v>1.72796824</v>
      </c>
      <c r="DV45" s="67">
        <v>100</v>
      </c>
      <c r="DW45" s="67">
        <v>100</v>
      </c>
      <c r="DX45" s="67">
        <v>39.560000097436607</v>
      </c>
      <c r="DY45" s="67">
        <v>0</v>
      </c>
      <c r="DZ45" s="67">
        <v>0</v>
      </c>
      <c r="EA45" s="66">
        <v>0</v>
      </c>
      <c r="EB45" s="66">
        <v>0</v>
      </c>
      <c r="EC45" s="66">
        <v>0</v>
      </c>
      <c r="ED45" s="66">
        <v>0</v>
      </c>
      <c r="EE45" s="66">
        <v>0</v>
      </c>
      <c r="EF45" s="66">
        <v>0</v>
      </c>
      <c r="EG45" s="66">
        <v>0</v>
      </c>
      <c r="EH45" s="66">
        <v>0</v>
      </c>
      <c r="EI45" s="66">
        <v>0</v>
      </c>
      <c r="EJ45" s="66">
        <v>0</v>
      </c>
      <c r="EK45" s="66">
        <v>0</v>
      </c>
      <c r="EL45" s="67" t="s">
        <v>1094</v>
      </c>
      <c r="EM45" s="67" t="s">
        <v>1094</v>
      </c>
      <c r="EN45" s="67">
        <v>0</v>
      </c>
      <c r="EO45" s="67">
        <v>0</v>
      </c>
      <c r="EP45" s="67">
        <v>0</v>
      </c>
      <c r="EQ45" s="66">
        <v>1.724</v>
      </c>
      <c r="ER45" s="66">
        <v>0</v>
      </c>
      <c r="ES45" s="66">
        <v>2.4628571400000001</v>
      </c>
      <c r="ET45" s="66">
        <v>1.724</v>
      </c>
      <c r="EU45" s="66">
        <v>0.73885714000000002</v>
      </c>
      <c r="EV45" s="66">
        <v>1.724</v>
      </c>
      <c r="EW45" s="66">
        <v>0</v>
      </c>
      <c r="EX45" s="66">
        <v>2.4628571400000001</v>
      </c>
      <c r="EY45" s="66">
        <v>1.724</v>
      </c>
      <c r="EZ45" s="66">
        <v>0</v>
      </c>
      <c r="FA45" s="66">
        <v>0.73885714000000002</v>
      </c>
      <c r="FB45" s="67">
        <v>100</v>
      </c>
      <c r="FC45" s="67">
        <v>100</v>
      </c>
      <c r="FD45" s="67">
        <v>29.999999918793502</v>
      </c>
      <c r="FE45" s="67">
        <v>0</v>
      </c>
      <c r="FF45" s="67">
        <v>0</v>
      </c>
      <c r="FG45" s="66">
        <v>0</v>
      </c>
      <c r="FH45" s="66">
        <v>0</v>
      </c>
      <c r="FI45" s="66">
        <v>0</v>
      </c>
      <c r="FJ45" s="66">
        <v>0</v>
      </c>
      <c r="FK45" s="66">
        <v>0</v>
      </c>
      <c r="FL45" s="66">
        <v>0</v>
      </c>
      <c r="FM45" s="66">
        <v>0</v>
      </c>
      <c r="FN45" s="66">
        <v>0</v>
      </c>
      <c r="FO45" s="66">
        <v>0</v>
      </c>
      <c r="FP45" s="66">
        <v>0</v>
      </c>
      <c r="FQ45" s="66">
        <v>0</v>
      </c>
      <c r="FR45" s="67" t="s">
        <v>1094</v>
      </c>
      <c r="FS45" s="67" t="s">
        <v>1094</v>
      </c>
      <c r="FT45" s="67">
        <v>0</v>
      </c>
      <c r="FU45" s="67">
        <v>0</v>
      </c>
      <c r="FV45" s="67">
        <v>0</v>
      </c>
      <c r="FW45" s="66">
        <v>0</v>
      </c>
      <c r="FX45" s="66">
        <v>0</v>
      </c>
      <c r="FY45" s="66">
        <v>0</v>
      </c>
      <c r="FZ45" s="66">
        <v>0</v>
      </c>
      <c r="GA45" s="66">
        <v>0</v>
      </c>
      <c r="GB45" s="66">
        <v>0</v>
      </c>
      <c r="GC45" s="66">
        <v>0</v>
      </c>
      <c r="GD45" s="66">
        <v>0</v>
      </c>
      <c r="GE45" s="66">
        <v>0</v>
      </c>
      <c r="GF45" s="66">
        <v>0</v>
      </c>
      <c r="GG45" s="66">
        <v>0</v>
      </c>
      <c r="GH45" s="67" t="s">
        <v>1094</v>
      </c>
      <c r="GI45" s="67" t="s">
        <v>1094</v>
      </c>
      <c r="GJ45" s="67">
        <v>0</v>
      </c>
      <c r="GK45" s="67">
        <v>0</v>
      </c>
      <c r="GL45" s="67">
        <v>0</v>
      </c>
      <c r="GM45" s="66">
        <v>0</v>
      </c>
      <c r="GN45" s="66">
        <v>0</v>
      </c>
      <c r="GO45" s="66">
        <v>0</v>
      </c>
      <c r="GP45" s="66">
        <v>0</v>
      </c>
      <c r="GQ45" s="66">
        <v>0</v>
      </c>
      <c r="GR45" s="66">
        <v>0</v>
      </c>
      <c r="GS45" s="66">
        <v>0</v>
      </c>
      <c r="GT45" s="66">
        <v>0</v>
      </c>
      <c r="GU45" s="66">
        <v>0</v>
      </c>
      <c r="GV45" s="66">
        <v>0</v>
      </c>
      <c r="GW45" s="66">
        <v>0</v>
      </c>
      <c r="GX45" s="67" t="s">
        <v>1094</v>
      </c>
      <c r="GY45" s="67" t="s">
        <v>1094</v>
      </c>
      <c r="GZ45" s="67">
        <v>0</v>
      </c>
      <c r="HA45" s="67">
        <v>0</v>
      </c>
      <c r="HB45" s="67">
        <v>0</v>
      </c>
      <c r="HC45" s="66">
        <v>0</v>
      </c>
      <c r="HD45" s="66">
        <v>0</v>
      </c>
      <c r="HE45" s="66">
        <v>0</v>
      </c>
      <c r="HF45" s="66">
        <v>0</v>
      </c>
      <c r="HG45" s="66">
        <v>0</v>
      </c>
      <c r="HH45" s="66">
        <v>0</v>
      </c>
      <c r="HI45" s="66">
        <v>0</v>
      </c>
      <c r="HJ45" s="66">
        <v>0</v>
      </c>
      <c r="HK45" s="66">
        <v>0</v>
      </c>
      <c r="HL45" s="66">
        <v>0</v>
      </c>
      <c r="HM45" s="66">
        <v>0</v>
      </c>
      <c r="HN45" s="67" t="s">
        <v>1094</v>
      </c>
      <c r="HO45" s="67" t="s">
        <v>1094</v>
      </c>
      <c r="HP45" s="67">
        <v>0</v>
      </c>
      <c r="HQ45" s="67">
        <v>0</v>
      </c>
      <c r="HR45" s="67">
        <v>0</v>
      </c>
      <c r="HS45" s="66">
        <v>0</v>
      </c>
      <c r="HT45" s="66">
        <v>0</v>
      </c>
      <c r="HU45" s="66">
        <v>0</v>
      </c>
      <c r="HV45" s="66">
        <v>0</v>
      </c>
      <c r="HW45" s="66">
        <v>0</v>
      </c>
      <c r="HX45" s="66">
        <v>0</v>
      </c>
      <c r="HY45" s="66">
        <v>0</v>
      </c>
      <c r="HZ45" s="66">
        <v>0</v>
      </c>
      <c r="IA45" s="66">
        <v>0</v>
      </c>
      <c r="IB45" s="66">
        <v>0</v>
      </c>
      <c r="IC45" s="66">
        <v>0</v>
      </c>
      <c r="ID45" s="67" t="s">
        <v>1094</v>
      </c>
      <c r="IE45" s="67" t="s">
        <v>1094</v>
      </c>
      <c r="IF45" s="67">
        <v>0</v>
      </c>
      <c r="IG45" s="67">
        <v>0</v>
      </c>
      <c r="IH45" s="67">
        <v>0</v>
      </c>
    </row>
    <row r="46" spans="1:242" ht="15.75" x14ac:dyDescent="0.25">
      <c r="A46" s="72">
        <v>35</v>
      </c>
      <c r="B46" s="192" t="s">
        <v>99</v>
      </c>
      <c r="C46" s="66">
        <v>35.5503</v>
      </c>
      <c r="D46" s="66">
        <v>0</v>
      </c>
      <c r="E46" s="66">
        <v>50.981000000000002</v>
      </c>
      <c r="F46" s="66">
        <v>35.5503</v>
      </c>
      <c r="G46" s="66">
        <v>15.430699999999998</v>
      </c>
      <c r="H46" s="66">
        <v>35.5503</v>
      </c>
      <c r="I46" s="66">
        <v>6.8790000000000004E-2</v>
      </c>
      <c r="J46" s="66">
        <v>50.981000000000002</v>
      </c>
      <c r="K46" s="66">
        <v>35.5503</v>
      </c>
      <c r="L46" s="66">
        <v>0</v>
      </c>
      <c r="M46" s="66">
        <v>15.430699999999998</v>
      </c>
      <c r="N46" s="67">
        <v>100</v>
      </c>
      <c r="O46" s="67">
        <v>100</v>
      </c>
      <c r="P46" s="67">
        <v>30.267550656126787</v>
      </c>
      <c r="Q46" s="66">
        <v>6.8790000000000004E-2</v>
      </c>
      <c r="R46" s="67">
        <v>-9.7144514654701197E-17</v>
      </c>
      <c r="S46" s="66">
        <v>4.9409000000000001</v>
      </c>
      <c r="T46" s="66">
        <v>0</v>
      </c>
      <c r="U46" s="66">
        <v>7.0609000000000002</v>
      </c>
      <c r="V46" s="66">
        <v>4.9409000000000001</v>
      </c>
      <c r="W46" s="66">
        <v>2.12</v>
      </c>
      <c r="X46" s="66">
        <v>4.9409000000000001</v>
      </c>
      <c r="Y46" s="66">
        <v>0</v>
      </c>
      <c r="Z46" s="66">
        <v>7.0609000000000002</v>
      </c>
      <c r="AA46" s="66">
        <v>4.9409000000000001</v>
      </c>
      <c r="AB46" s="66">
        <v>0</v>
      </c>
      <c r="AC46" s="66">
        <v>2.12</v>
      </c>
      <c r="AD46" s="67">
        <v>100</v>
      </c>
      <c r="AE46" s="67">
        <v>100</v>
      </c>
      <c r="AF46" s="67">
        <v>30.024501125918796</v>
      </c>
      <c r="AG46" s="67">
        <v>0</v>
      </c>
      <c r="AH46" s="67">
        <v>0</v>
      </c>
      <c r="AI46" s="66">
        <v>0</v>
      </c>
      <c r="AJ46" s="66">
        <v>0</v>
      </c>
      <c r="AK46" s="66">
        <v>0</v>
      </c>
      <c r="AL46" s="66">
        <v>0</v>
      </c>
      <c r="AM46" s="66">
        <v>0</v>
      </c>
      <c r="AN46" s="66">
        <v>0</v>
      </c>
      <c r="AO46" s="66">
        <v>6.8790000000000004E-2</v>
      </c>
      <c r="AP46" s="66">
        <v>0</v>
      </c>
      <c r="AQ46" s="66">
        <v>0</v>
      </c>
      <c r="AR46" s="66">
        <v>0</v>
      </c>
      <c r="AS46" s="66">
        <v>0</v>
      </c>
      <c r="AT46" s="67" t="s">
        <v>1094</v>
      </c>
      <c r="AU46" s="67" t="s">
        <v>1094</v>
      </c>
      <c r="AV46" s="67">
        <v>0</v>
      </c>
      <c r="AW46" s="67">
        <v>6.8790000000000004E-2</v>
      </c>
      <c r="AX46" s="67">
        <v>0</v>
      </c>
      <c r="AY46" s="66">
        <v>25.623000000000001</v>
      </c>
      <c r="AZ46" s="66">
        <v>0</v>
      </c>
      <c r="BA46" s="66">
        <v>36.604300000000002</v>
      </c>
      <c r="BB46" s="66">
        <v>25.623000000000001</v>
      </c>
      <c r="BC46" s="66">
        <v>10.981299999999999</v>
      </c>
      <c r="BD46" s="66">
        <v>25.623000000000001</v>
      </c>
      <c r="BE46" s="66">
        <v>0</v>
      </c>
      <c r="BF46" s="66">
        <v>36.604300000000002</v>
      </c>
      <c r="BG46" s="66">
        <v>25.623000000000001</v>
      </c>
      <c r="BH46" s="66">
        <v>0</v>
      </c>
      <c r="BI46" s="66">
        <v>10.981299999999999</v>
      </c>
      <c r="BJ46" s="67">
        <v>100</v>
      </c>
      <c r="BK46" s="67">
        <v>100</v>
      </c>
      <c r="BL46" s="67">
        <v>30.000027319194732</v>
      </c>
      <c r="BM46" s="67">
        <v>0</v>
      </c>
      <c r="BN46" s="67">
        <v>0</v>
      </c>
      <c r="BO46" s="66">
        <v>0</v>
      </c>
      <c r="BP46" s="66">
        <v>0</v>
      </c>
      <c r="BQ46" s="66">
        <v>0</v>
      </c>
      <c r="BR46" s="66">
        <v>0</v>
      </c>
      <c r="BS46" s="66">
        <v>0</v>
      </c>
      <c r="BT46" s="66">
        <v>0</v>
      </c>
      <c r="BU46" s="66">
        <v>0</v>
      </c>
      <c r="BV46" s="66">
        <v>0</v>
      </c>
      <c r="BW46" s="66">
        <v>0</v>
      </c>
      <c r="BX46" s="66">
        <v>0</v>
      </c>
      <c r="BY46" s="66">
        <v>0</v>
      </c>
      <c r="BZ46" s="67" t="s">
        <v>1094</v>
      </c>
      <c r="CA46" s="67" t="s">
        <v>1094</v>
      </c>
      <c r="CB46" s="67">
        <v>0</v>
      </c>
      <c r="CC46" s="67">
        <v>0</v>
      </c>
      <c r="CD46" s="67">
        <v>0</v>
      </c>
      <c r="CE46" s="66">
        <v>0</v>
      </c>
      <c r="CF46" s="66">
        <v>0</v>
      </c>
      <c r="CG46" s="66">
        <v>0</v>
      </c>
      <c r="CH46" s="66">
        <v>0</v>
      </c>
      <c r="CI46" s="66">
        <v>0</v>
      </c>
      <c r="CJ46" s="66">
        <v>0</v>
      </c>
      <c r="CK46" s="66">
        <v>0</v>
      </c>
      <c r="CL46" s="66">
        <v>0</v>
      </c>
      <c r="CM46" s="66">
        <v>0</v>
      </c>
      <c r="CN46" s="66">
        <v>0</v>
      </c>
      <c r="CO46" s="66">
        <v>0</v>
      </c>
      <c r="CP46" s="67" t="s">
        <v>1094</v>
      </c>
      <c r="CQ46" s="67" t="s">
        <v>1094</v>
      </c>
      <c r="CR46" s="67">
        <v>0</v>
      </c>
      <c r="CS46" s="67">
        <v>0</v>
      </c>
      <c r="CT46" s="67">
        <v>0</v>
      </c>
      <c r="CU46" s="66">
        <v>0</v>
      </c>
      <c r="CV46" s="66">
        <v>0</v>
      </c>
      <c r="CW46" s="66">
        <v>0</v>
      </c>
      <c r="CX46" s="66">
        <v>0</v>
      </c>
      <c r="CY46" s="66">
        <v>0</v>
      </c>
      <c r="CZ46" s="66">
        <v>0</v>
      </c>
      <c r="DA46" s="66">
        <v>0</v>
      </c>
      <c r="DB46" s="66">
        <v>0</v>
      </c>
      <c r="DC46" s="66">
        <v>0</v>
      </c>
      <c r="DD46" s="66">
        <v>0</v>
      </c>
      <c r="DE46" s="66">
        <v>0</v>
      </c>
      <c r="DF46" s="67" t="s">
        <v>1094</v>
      </c>
      <c r="DG46" s="67" t="s">
        <v>1094</v>
      </c>
      <c r="DH46" s="67">
        <v>0</v>
      </c>
      <c r="DI46" s="67">
        <v>0</v>
      </c>
      <c r="DJ46" s="67">
        <v>0</v>
      </c>
      <c r="DK46" s="66">
        <v>0</v>
      </c>
      <c r="DL46" s="66">
        <v>0</v>
      </c>
      <c r="DM46" s="66">
        <v>0</v>
      </c>
      <c r="DN46" s="66">
        <v>0</v>
      </c>
      <c r="DO46" s="66">
        <v>0</v>
      </c>
      <c r="DP46" s="66">
        <v>0</v>
      </c>
      <c r="DQ46" s="66">
        <v>0</v>
      </c>
      <c r="DR46" s="66">
        <v>0</v>
      </c>
      <c r="DS46" s="66">
        <v>0</v>
      </c>
      <c r="DT46" s="66">
        <v>0</v>
      </c>
      <c r="DU46" s="66">
        <v>0</v>
      </c>
      <c r="DV46" s="67" t="s">
        <v>1094</v>
      </c>
      <c r="DW46" s="67" t="s">
        <v>1094</v>
      </c>
      <c r="DX46" s="67">
        <v>0</v>
      </c>
      <c r="DY46" s="67">
        <v>0</v>
      </c>
      <c r="DZ46" s="67">
        <v>0</v>
      </c>
      <c r="EA46" s="66">
        <v>0</v>
      </c>
      <c r="EB46" s="66">
        <v>0</v>
      </c>
      <c r="EC46" s="66">
        <v>0</v>
      </c>
      <c r="ED46" s="66">
        <v>0</v>
      </c>
      <c r="EE46" s="66">
        <v>0</v>
      </c>
      <c r="EF46" s="66">
        <v>0</v>
      </c>
      <c r="EG46" s="66">
        <v>0</v>
      </c>
      <c r="EH46" s="66">
        <v>0</v>
      </c>
      <c r="EI46" s="66">
        <v>0</v>
      </c>
      <c r="EJ46" s="66">
        <v>0</v>
      </c>
      <c r="EK46" s="66">
        <v>0</v>
      </c>
      <c r="EL46" s="67" t="s">
        <v>1094</v>
      </c>
      <c r="EM46" s="67" t="s">
        <v>1094</v>
      </c>
      <c r="EN46" s="67">
        <v>0</v>
      </c>
      <c r="EO46" s="67">
        <v>0</v>
      </c>
      <c r="EP46" s="67">
        <v>0</v>
      </c>
      <c r="EQ46" s="66">
        <v>1.1964999999999999</v>
      </c>
      <c r="ER46" s="66">
        <v>0</v>
      </c>
      <c r="ES46" s="66">
        <v>1.8666</v>
      </c>
      <c r="ET46" s="66">
        <v>1.1964999999999999</v>
      </c>
      <c r="EU46" s="66">
        <v>0.67010000000000003</v>
      </c>
      <c r="EV46" s="66">
        <v>1.1964999999999999</v>
      </c>
      <c r="EW46" s="66">
        <v>0</v>
      </c>
      <c r="EX46" s="66">
        <v>1.8666</v>
      </c>
      <c r="EY46" s="66">
        <v>1.1964999999999999</v>
      </c>
      <c r="EZ46" s="66">
        <v>0</v>
      </c>
      <c r="FA46" s="66">
        <v>0.67010000000000003</v>
      </c>
      <c r="FB46" s="67">
        <v>100</v>
      </c>
      <c r="FC46" s="67">
        <v>100</v>
      </c>
      <c r="FD46" s="67">
        <v>35.899496410586096</v>
      </c>
      <c r="FE46" s="67">
        <v>0</v>
      </c>
      <c r="FF46" s="67">
        <v>0</v>
      </c>
      <c r="FG46" s="66">
        <v>0</v>
      </c>
      <c r="FH46" s="66">
        <v>0</v>
      </c>
      <c r="FI46" s="66">
        <v>0</v>
      </c>
      <c r="FJ46" s="66">
        <v>0</v>
      </c>
      <c r="FK46" s="66">
        <v>0</v>
      </c>
      <c r="FL46" s="66">
        <v>0</v>
      </c>
      <c r="FM46" s="66">
        <v>0</v>
      </c>
      <c r="FN46" s="66">
        <v>0</v>
      </c>
      <c r="FO46" s="66">
        <v>0</v>
      </c>
      <c r="FP46" s="66">
        <v>0</v>
      </c>
      <c r="FQ46" s="66">
        <v>0</v>
      </c>
      <c r="FR46" s="67" t="s">
        <v>1094</v>
      </c>
      <c r="FS46" s="67" t="s">
        <v>1094</v>
      </c>
      <c r="FT46" s="67">
        <v>0</v>
      </c>
      <c r="FU46" s="67">
        <v>0</v>
      </c>
      <c r="FV46" s="67">
        <v>0</v>
      </c>
      <c r="FW46" s="66">
        <v>2.9615</v>
      </c>
      <c r="FX46" s="66">
        <v>0</v>
      </c>
      <c r="FY46" s="66">
        <v>4.2308000000000003</v>
      </c>
      <c r="FZ46" s="66">
        <v>2.9615</v>
      </c>
      <c r="GA46" s="66">
        <v>1.2693000000000001</v>
      </c>
      <c r="GB46" s="66">
        <v>2.9615</v>
      </c>
      <c r="GC46" s="66">
        <v>0</v>
      </c>
      <c r="GD46" s="66">
        <v>4.2308000000000003</v>
      </c>
      <c r="GE46" s="66">
        <v>2.9615</v>
      </c>
      <c r="GF46" s="66">
        <v>0</v>
      </c>
      <c r="GG46" s="66">
        <v>1.2693000000000001</v>
      </c>
      <c r="GH46" s="67">
        <v>100</v>
      </c>
      <c r="GI46" s="67">
        <v>100</v>
      </c>
      <c r="GJ46" s="67">
        <v>30.001418171504206</v>
      </c>
      <c r="GK46" s="67">
        <v>0</v>
      </c>
      <c r="GL46" s="67">
        <v>0</v>
      </c>
      <c r="GM46" s="66">
        <v>0</v>
      </c>
      <c r="GN46" s="66">
        <v>0</v>
      </c>
      <c r="GO46" s="66">
        <v>0</v>
      </c>
      <c r="GP46" s="66">
        <v>0</v>
      </c>
      <c r="GQ46" s="66">
        <v>0</v>
      </c>
      <c r="GR46" s="66">
        <v>0</v>
      </c>
      <c r="GS46" s="66">
        <v>0</v>
      </c>
      <c r="GT46" s="66">
        <v>0</v>
      </c>
      <c r="GU46" s="66">
        <v>0</v>
      </c>
      <c r="GV46" s="66">
        <v>0</v>
      </c>
      <c r="GW46" s="66">
        <v>0</v>
      </c>
      <c r="GX46" s="67" t="s">
        <v>1094</v>
      </c>
      <c r="GY46" s="67" t="s">
        <v>1094</v>
      </c>
      <c r="GZ46" s="67">
        <v>0</v>
      </c>
      <c r="HA46" s="67">
        <v>0</v>
      </c>
      <c r="HB46" s="67">
        <v>0</v>
      </c>
      <c r="HC46" s="66">
        <v>0.82840000000000003</v>
      </c>
      <c r="HD46" s="66">
        <v>0</v>
      </c>
      <c r="HE46" s="66">
        <v>1.2183999999999999</v>
      </c>
      <c r="HF46" s="66">
        <v>0.82840000000000003</v>
      </c>
      <c r="HG46" s="66">
        <v>0.39</v>
      </c>
      <c r="HH46" s="66">
        <v>0.82840000000000003</v>
      </c>
      <c r="HI46" s="66">
        <v>0</v>
      </c>
      <c r="HJ46" s="66">
        <v>1.2183999999999999</v>
      </c>
      <c r="HK46" s="66">
        <v>0.82840000000000003</v>
      </c>
      <c r="HL46" s="66">
        <v>0</v>
      </c>
      <c r="HM46" s="66">
        <v>0.39</v>
      </c>
      <c r="HN46" s="67">
        <v>100</v>
      </c>
      <c r="HO46" s="67">
        <v>100</v>
      </c>
      <c r="HP46" s="67">
        <v>32.009192383453708</v>
      </c>
      <c r="HQ46" s="67">
        <v>0</v>
      </c>
      <c r="HR46" s="67">
        <v>0</v>
      </c>
      <c r="HS46" s="66">
        <v>0</v>
      </c>
      <c r="HT46" s="66">
        <v>0</v>
      </c>
      <c r="HU46" s="66">
        <v>0</v>
      </c>
      <c r="HV46" s="66">
        <v>0</v>
      </c>
      <c r="HW46" s="66">
        <v>0</v>
      </c>
      <c r="HX46" s="66">
        <v>0</v>
      </c>
      <c r="HY46" s="66">
        <v>0</v>
      </c>
      <c r="HZ46" s="66">
        <v>0</v>
      </c>
      <c r="IA46" s="66">
        <v>0</v>
      </c>
      <c r="IB46" s="66">
        <v>0</v>
      </c>
      <c r="IC46" s="66">
        <v>0</v>
      </c>
      <c r="ID46" s="67" t="s">
        <v>1094</v>
      </c>
      <c r="IE46" s="67" t="s">
        <v>1094</v>
      </c>
      <c r="IF46" s="67">
        <v>0</v>
      </c>
      <c r="IG46" s="67">
        <v>0</v>
      </c>
      <c r="IH46" s="67">
        <v>0</v>
      </c>
    </row>
    <row r="47" spans="1:242" s="126" customFormat="1" ht="15.75" x14ac:dyDescent="0.25">
      <c r="A47" s="136">
        <v>36</v>
      </c>
      <c r="B47" s="189" t="s">
        <v>318</v>
      </c>
      <c r="C47" s="66">
        <v>44.420400000000001</v>
      </c>
      <c r="D47" s="66">
        <v>0</v>
      </c>
      <c r="E47" s="66">
        <v>54.278599999999997</v>
      </c>
      <c r="F47" s="66">
        <v>44.420400000000001</v>
      </c>
      <c r="G47" s="66">
        <v>9.8582000000000001</v>
      </c>
      <c r="H47" s="66">
        <v>41.483124720000006</v>
      </c>
      <c r="I47" s="66">
        <v>6.3119631600000004</v>
      </c>
      <c r="J47" s="66">
        <v>50.7563265</v>
      </c>
      <c r="K47" s="66">
        <v>41.482447300000004</v>
      </c>
      <c r="L47" s="66">
        <v>0</v>
      </c>
      <c r="M47" s="66">
        <v>9.2738791999999997</v>
      </c>
      <c r="N47" s="67">
        <v>93.386028266292072</v>
      </c>
      <c r="O47" s="67">
        <v>94.072743502870708</v>
      </c>
      <c r="P47" s="67">
        <v>18.271375884541211</v>
      </c>
      <c r="Q47" s="66">
        <v>6.3119631600000004</v>
      </c>
      <c r="R47" s="67">
        <v>6.7741999999970659E-4</v>
      </c>
      <c r="S47" s="66">
        <v>17.3048</v>
      </c>
      <c r="T47" s="66">
        <v>0</v>
      </c>
      <c r="U47" s="66">
        <v>20.5153</v>
      </c>
      <c r="V47" s="66">
        <v>17.3048</v>
      </c>
      <c r="W47" s="66">
        <v>3.2105000000000001</v>
      </c>
      <c r="X47" s="66">
        <v>17.3048</v>
      </c>
      <c r="Y47" s="66">
        <v>5.4771890000000001</v>
      </c>
      <c r="Z47" s="66">
        <v>20.5153</v>
      </c>
      <c r="AA47" s="66">
        <v>17.3048</v>
      </c>
      <c r="AB47" s="66">
        <v>0</v>
      </c>
      <c r="AC47" s="66">
        <v>3.2105000000000001</v>
      </c>
      <c r="AD47" s="67">
        <v>100</v>
      </c>
      <c r="AE47" s="67">
        <v>100</v>
      </c>
      <c r="AF47" s="67">
        <v>15.649295891359133</v>
      </c>
      <c r="AG47" s="67">
        <v>5.4771890000000001</v>
      </c>
      <c r="AH47" s="67">
        <v>-8.8817841970012523E-16</v>
      </c>
      <c r="AI47" s="66">
        <v>0</v>
      </c>
      <c r="AJ47" s="66">
        <v>0</v>
      </c>
      <c r="AK47" s="66">
        <v>0</v>
      </c>
      <c r="AL47" s="66">
        <v>0</v>
      </c>
      <c r="AM47" s="66">
        <v>0</v>
      </c>
      <c r="AN47" s="66">
        <v>0</v>
      </c>
      <c r="AO47" s="66">
        <v>0</v>
      </c>
      <c r="AP47" s="66">
        <v>0</v>
      </c>
      <c r="AQ47" s="66">
        <v>0</v>
      </c>
      <c r="AR47" s="66">
        <v>0</v>
      </c>
      <c r="AS47" s="66">
        <v>0</v>
      </c>
      <c r="AT47" s="67" t="s">
        <v>1094</v>
      </c>
      <c r="AU47" s="67" t="s">
        <v>1094</v>
      </c>
      <c r="AV47" s="67">
        <v>0</v>
      </c>
      <c r="AW47" s="67">
        <v>0</v>
      </c>
      <c r="AX47" s="67">
        <v>0</v>
      </c>
      <c r="AY47" s="66">
        <v>12.581</v>
      </c>
      <c r="AZ47" s="66">
        <v>0</v>
      </c>
      <c r="BA47" s="66">
        <v>14.669</v>
      </c>
      <c r="BB47" s="66">
        <v>12.581</v>
      </c>
      <c r="BC47" s="66">
        <v>2.0880000000000001</v>
      </c>
      <c r="BD47" s="66">
        <v>11.909250009999999</v>
      </c>
      <c r="BE47" s="66">
        <v>0.83477416000000004</v>
      </c>
      <c r="BF47" s="66">
        <v>13.885763320000001</v>
      </c>
      <c r="BG47" s="66">
        <v>11.909250009999999</v>
      </c>
      <c r="BH47" s="66">
        <v>0</v>
      </c>
      <c r="BI47" s="66">
        <v>1.9765133100000001</v>
      </c>
      <c r="BJ47" s="67">
        <v>94.660599395914474</v>
      </c>
      <c r="BK47" s="67">
        <v>94.66059913793103</v>
      </c>
      <c r="BL47" s="67">
        <v>14.234099087323346</v>
      </c>
      <c r="BM47" s="67">
        <v>0.83477416000000004</v>
      </c>
      <c r="BN47" s="67">
        <v>2.2204460492503131E-16</v>
      </c>
      <c r="BO47" s="66">
        <v>0</v>
      </c>
      <c r="BP47" s="66">
        <v>0</v>
      </c>
      <c r="BQ47" s="66">
        <v>0</v>
      </c>
      <c r="BR47" s="66">
        <v>0</v>
      </c>
      <c r="BS47" s="66">
        <v>0</v>
      </c>
      <c r="BT47" s="66">
        <v>0</v>
      </c>
      <c r="BU47" s="66">
        <v>0</v>
      </c>
      <c r="BV47" s="66">
        <v>0</v>
      </c>
      <c r="BW47" s="66">
        <v>0</v>
      </c>
      <c r="BX47" s="66">
        <v>0</v>
      </c>
      <c r="BY47" s="66">
        <v>0</v>
      </c>
      <c r="BZ47" s="67" t="s">
        <v>1094</v>
      </c>
      <c r="CA47" s="67" t="s">
        <v>1094</v>
      </c>
      <c r="CB47" s="67">
        <v>0</v>
      </c>
      <c r="CC47" s="67">
        <v>0</v>
      </c>
      <c r="CD47" s="67">
        <v>0</v>
      </c>
      <c r="CE47" s="66">
        <v>0</v>
      </c>
      <c r="CF47" s="66">
        <v>0</v>
      </c>
      <c r="CG47" s="66">
        <v>0</v>
      </c>
      <c r="CH47" s="66">
        <v>0</v>
      </c>
      <c r="CI47" s="66">
        <v>0</v>
      </c>
      <c r="CJ47" s="66">
        <v>0</v>
      </c>
      <c r="CK47" s="66">
        <v>0</v>
      </c>
      <c r="CL47" s="66">
        <v>0</v>
      </c>
      <c r="CM47" s="66">
        <v>0</v>
      </c>
      <c r="CN47" s="66">
        <v>0</v>
      </c>
      <c r="CO47" s="66">
        <v>0</v>
      </c>
      <c r="CP47" s="67" t="s">
        <v>1094</v>
      </c>
      <c r="CQ47" s="67" t="s">
        <v>1094</v>
      </c>
      <c r="CR47" s="67">
        <v>0</v>
      </c>
      <c r="CS47" s="67">
        <v>0</v>
      </c>
      <c r="CT47" s="67">
        <v>0</v>
      </c>
      <c r="CU47" s="66">
        <v>0</v>
      </c>
      <c r="CV47" s="66">
        <v>0</v>
      </c>
      <c r="CW47" s="66">
        <v>0</v>
      </c>
      <c r="CX47" s="66">
        <v>0</v>
      </c>
      <c r="CY47" s="66">
        <v>0</v>
      </c>
      <c r="CZ47" s="66">
        <v>0</v>
      </c>
      <c r="DA47" s="66">
        <v>0</v>
      </c>
      <c r="DB47" s="66">
        <v>0</v>
      </c>
      <c r="DC47" s="66">
        <v>0</v>
      </c>
      <c r="DD47" s="66">
        <v>0</v>
      </c>
      <c r="DE47" s="66">
        <v>0</v>
      </c>
      <c r="DF47" s="67" t="s">
        <v>1094</v>
      </c>
      <c r="DG47" s="67" t="s">
        <v>1094</v>
      </c>
      <c r="DH47" s="67">
        <v>0</v>
      </c>
      <c r="DI47" s="67">
        <v>0</v>
      </c>
      <c r="DJ47" s="67">
        <v>0</v>
      </c>
      <c r="DK47" s="66">
        <v>0</v>
      </c>
      <c r="DL47" s="66">
        <v>0</v>
      </c>
      <c r="DM47" s="66">
        <v>0</v>
      </c>
      <c r="DN47" s="66">
        <v>0</v>
      </c>
      <c r="DO47" s="66">
        <v>0</v>
      </c>
      <c r="DP47" s="66">
        <v>0</v>
      </c>
      <c r="DQ47" s="66">
        <v>0</v>
      </c>
      <c r="DR47" s="66">
        <v>0</v>
      </c>
      <c r="DS47" s="66">
        <v>0</v>
      </c>
      <c r="DT47" s="66">
        <v>0</v>
      </c>
      <c r="DU47" s="66">
        <v>0</v>
      </c>
      <c r="DV47" s="67" t="s">
        <v>1094</v>
      </c>
      <c r="DW47" s="67" t="s">
        <v>1094</v>
      </c>
      <c r="DX47" s="67">
        <v>0</v>
      </c>
      <c r="DY47" s="67">
        <v>0</v>
      </c>
      <c r="DZ47" s="67">
        <v>0</v>
      </c>
      <c r="EA47" s="66">
        <v>0</v>
      </c>
      <c r="EB47" s="66">
        <v>0</v>
      </c>
      <c r="EC47" s="66">
        <v>0</v>
      </c>
      <c r="ED47" s="66">
        <v>0</v>
      </c>
      <c r="EE47" s="66">
        <v>0</v>
      </c>
      <c r="EF47" s="66">
        <v>0</v>
      </c>
      <c r="EG47" s="66">
        <v>0</v>
      </c>
      <c r="EH47" s="66">
        <v>0</v>
      </c>
      <c r="EI47" s="66">
        <v>0</v>
      </c>
      <c r="EJ47" s="66">
        <v>0</v>
      </c>
      <c r="EK47" s="66">
        <v>0</v>
      </c>
      <c r="EL47" s="67" t="s">
        <v>1094</v>
      </c>
      <c r="EM47" s="67" t="s">
        <v>1094</v>
      </c>
      <c r="EN47" s="67">
        <v>0</v>
      </c>
      <c r="EO47" s="67">
        <v>0</v>
      </c>
      <c r="EP47" s="67">
        <v>0</v>
      </c>
      <c r="EQ47" s="66">
        <v>9.7059999999999995</v>
      </c>
      <c r="ER47" s="66">
        <v>0</v>
      </c>
      <c r="ES47" s="66">
        <v>11.7302</v>
      </c>
      <c r="ET47" s="66">
        <v>9.7059999999999995</v>
      </c>
      <c r="EU47" s="66">
        <v>2.0242</v>
      </c>
      <c r="EV47" s="66">
        <v>7.4404747100000002</v>
      </c>
      <c r="EW47" s="66">
        <v>0</v>
      </c>
      <c r="EX47" s="66">
        <v>8.9921962300000011</v>
      </c>
      <c r="EY47" s="66">
        <v>7.4404747100000002</v>
      </c>
      <c r="EZ47" s="66">
        <v>0</v>
      </c>
      <c r="FA47" s="66">
        <v>1.5517215200000001</v>
      </c>
      <c r="FB47" s="67">
        <v>76.658507212033797</v>
      </c>
      <c r="FC47" s="67">
        <v>76.658508052563974</v>
      </c>
      <c r="FD47" s="67">
        <v>17.256312921898946</v>
      </c>
      <c r="FE47" s="67">
        <v>0</v>
      </c>
      <c r="FF47" s="67">
        <v>0</v>
      </c>
      <c r="FG47" s="66">
        <v>0</v>
      </c>
      <c r="FH47" s="66">
        <v>0</v>
      </c>
      <c r="FI47" s="66">
        <v>0</v>
      </c>
      <c r="FJ47" s="66">
        <v>0</v>
      </c>
      <c r="FK47" s="66">
        <v>0</v>
      </c>
      <c r="FL47" s="66">
        <v>0</v>
      </c>
      <c r="FM47" s="66">
        <v>0</v>
      </c>
      <c r="FN47" s="66">
        <v>0</v>
      </c>
      <c r="FO47" s="66">
        <v>0</v>
      </c>
      <c r="FP47" s="66">
        <v>0</v>
      </c>
      <c r="FQ47" s="66">
        <v>0</v>
      </c>
      <c r="FR47" s="67" t="s">
        <v>1094</v>
      </c>
      <c r="FS47" s="67" t="s">
        <v>1094</v>
      </c>
      <c r="FT47" s="67">
        <v>0</v>
      </c>
      <c r="FU47" s="67">
        <v>0</v>
      </c>
      <c r="FV47" s="67">
        <v>0</v>
      </c>
      <c r="FW47" s="66">
        <v>0</v>
      </c>
      <c r="FX47" s="66">
        <v>0</v>
      </c>
      <c r="FY47" s="66">
        <v>0</v>
      </c>
      <c r="FZ47" s="66">
        <v>0</v>
      </c>
      <c r="GA47" s="66">
        <v>0</v>
      </c>
      <c r="GB47" s="66">
        <v>0</v>
      </c>
      <c r="GC47" s="66">
        <v>0</v>
      </c>
      <c r="GD47" s="66">
        <v>0</v>
      </c>
      <c r="GE47" s="66">
        <v>0</v>
      </c>
      <c r="GF47" s="66">
        <v>0</v>
      </c>
      <c r="GG47" s="66">
        <v>0</v>
      </c>
      <c r="GH47" s="67" t="s">
        <v>1094</v>
      </c>
      <c r="GI47" s="67" t="s">
        <v>1094</v>
      </c>
      <c r="GJ47" s="67">
        <v>0</v>
      </c>
      <c r="GK47" s="67">
        <v>0</v>
      </c>
      <c r="GL47" s="67">
        <v>0</v>
      </c>
      <c r="GM47" s="66">
        <v>0</v>
      </c>
      <c r="GN47" s="66">
        <v>0</v>
      </c>
      <c r="GO47" s="66">
        <v>0</v>
      </c>
      <c r="GP47" s="66">
        <v>0</v>
      </c>
      <c r="GQ47" s="66">
        <v>0</v>
      </c>
      <c r="GR47" s="66">
        <v>0</v>
      </c>
      <c r="GS47" s="66">
        <v>0</v>
      </c>
      <c r="GT47" s="66">
        <v>0</v>
      </c>
      <c r="GU47" s="66">
        <v>0</v>
      </c>
      <c r="GV47" s="66">
        <v>0</v>
      </c>
      <c r="GW47" s="66">
        <v>0</v>
      </c>
      <c r="GX47" s="67" t="s">
        <v>1094</v>
      </c>
      <c r="GY47" s="67" t="s">
        <v>1094</v>
      </c>
      <c r="GZ47" s="67">
        <v>0</v>
      </c>
      <c r="HA47" s="67">
        <v>0</v>
      </c>
      <c r="HB47" s="67">
        <v>0</v>
      </c>
      <c r="HC47" s="66">
        <v>4.8285999999999998</v>
      </c>
      <c r="HD47" s="66">
        <v>0</v>
      </c>
      <c r="HE47" s="66">
        <v>7.3640999999999996</v>
      </c>
      <c r="HF47" s="66">
        <v>4.8285999999999998</v>
      </c>
      <c r="HG47" s="66">
        <v>2.5354999999999999</v>
      </c>
      <c r="HH47" s="66">
        <v>4.8285999999999998</v>
      </c>
      <c r="HI47" s="66">
        <v>0</v>
      </c>
      <c r="HJ47" s="66">
        <v>7.3630669500000003</v>
      </c>
      <c r="HK47" s="66">
        <v>4.8279225800000001</v>
      </c>
      <c r="HL47" s="66">
        <v>0</v>
      </c>
      <c r="HM47" s="66">
        <v>2.5351443700000003</v>
      </c>
      <c r="HN47" s="67">
        <v>99.985970674729742</v>
      </c>
      <c r="HO47" s="67">
        <v>99.985973969631246</v>
      </c>
      <c r="HP47" s="67">
        <v>34.430548944010354</v>
      </c>
      <c r="HQ47" s="67">
        <v>0</v>
      </c>
      <c r="HR47" s="67">
        <v>6.7741999999970659E-4</v>
      </c>
      <c r="HS47" s="66">
        <v>0</v>
      </c>
      <c r="HT47" s="66">
        <v>0</v>
      </c>
      <c r="HU47" s="66">
        <v>0</v>
      </c>
      <c r="HV47" s="66">
        <v>0</v>
      </c>
      <c r="HW47" s="66">
        <v>0</v>
      </c>
      <c r="HX47" s="66">
        <v>0</v>
      </c>
      <c r="HY47" s="66">
        <v>0</v>
      </c>
      <c r="HZ47" s="66">
        <v>0</v>
      </c>
      <c r="IA47" s="66">
        <v>0</v>
      </c>
      <c r="IB47" s="66">
        <v>0</v>
      </c>
      <c r="IC47" s="66">
        <v>0</v>
      </c>
      <c r="ID47" s="67" t="s">
        <v>1094</v>
      </c>
      <c r="IE47" s="67" t="s">
        <v>1094</v>
      </c>
      <c r="IF47" s="67">
        <v>0</v>
      </c>
      <c r="IG47" s="67">
        <v>0</v>
      </c>
      <c r="IH47" s="67">
        <v>0</v>
      </c>
    </row>
    <row r="48" spans="1:242" ht="15.75" x14ac:dyDescent="0.25">
      <c r="A48" s="72">
        <v>37</v>
      </c>
      <c r="B48" s="192" t="s">
        <v>101</v>
      </c>
      <c r="C48" s="66">
        <v>98.440799999999996</v>
      </c>
      <c r="D48" s="66">
        <v>0</v>
      </c>
      <c r="E48" s="66">
        <v>152.35860000000002</v>
      </c>
      <c r="F48" s="66">
        <v>98.440799999999996</v>
      </c>
      <c r="G48" s="66">
        <v>53.9178</v>
      </c>
      <c r="H48" s="66">
        <v>98.440799820000009</v>
      </c>
      <c r="I48" s="66">
        <v>2.6618896599999999</v>
      </c>
      <c r="J48" s="66">
        <v>152.35859981999999</v>
      </c>
      <c r="K48" s="66">
        <v>98.440799820000009</v>
      </c>
      <c r="L48" s="66">
        <v>0</v>
      </c>
      <c r="M48" s="66">
        <v>53.9178</v>
      </c>
      <c r="N48" s="67">
        <v>99.999999817149003</v>
      </c>
      <c r="O48" s="67">
        <v>100</v>
      </c>
      <c r="P48" s="67">
        <v>35.388747378684073</v>
      </c>
      <c r="Q48" s="66">
        <v>2.6580006599999999</v>
      </c>
      <c r="R48" s="67">
        <v>3.8890000000000313E-3</v>
      </c>
      <c r="S48" s="66">
        <v>34.595799999999997</v>
      </c>
      <c r="T48" s="66">
        <v>0</v>
      </c>
      <c r="U48" s="66">
        <v>54.765700000000002</v>
      </c>
      <c r="V48" s="66">
        <v>34.595799999999997</v>
      </c>
      <c r="W48" s="66">
        <v>20.169899999999998</v>
      </c>
      <c r="X48" s="66">
        <v>34.595799999999997</v>
      </c>
      <c r="Y48" s="66">
        <v>1.95425925</v>
      </c>
      <c r="Z48" s="66">
        <v>54.765700000000002</v>
      </c>
      <c r="AA48" s="66">
        <v>34.595799999999997</v>
      </c>
      <c r="AB48" s="66">
        <v>0</v>
      </c>
      <c r="AC48" s="66">
        <v>20.169899999999998</v>
      </c>
      <c r="AD48" s="67">
        <v>100</v>
      </c>
      <c r="AE48" s="67">
        <v>100</v>
      </c>
      <c r="AF48" s="67">
        <v>36.829438864106542</v>
      </c>
      <c r="AG48" s="67">
        <v>1.95425925</v>
      </c>
      <c r="AH48" s="67">
        <v>-2.2204460492503131E-16</v>
      </c>
      <c r="AI48" s="66">
        <v>0</v>
      </c>
      <c r="AJ48" s="66">
        <v>0</v>
      </c>
      <c r="AK48" s="66">
        <v>0</v>
      </c>
      <c r="AL48" s="66">
        <v>0</v>
      </c>
      <c r="AM48" s="66">
        <v>0</v>
      </c>
      <c r="AN48" s="66">
        <v>0</v>
      </c>
      <c r="AO48" s="66">
        <v>0.61485253000000006</v>
      </c>
      <c r="AP48" s="66">
        <v>0</v>
      </c>
      <c r="AQ48" s="66">
        <v>0</v>
      </c>
      <c r="AR48" s="66">
        <v>0</v>
      </c>
      <c r="AS48" s="66">
        <v>0</v>
      </c>
      <c r="AT48" s="67" t="s">
        <v>1094</v>
      </c>
      <c r="AU48" s="67" t="s">
        <v>1094</v>
      </c>
      <c r="AV48" s="67">
        <v>0</v>
      </c>
      <c r="AW48" s="67">
        <v>0.61096353000000003</v>
      </c>
      <c r="AX48" s="67">
        <v>3.8890000000000313E-3</v>
      </c>
      <c r="AY48" s="66">
        <v>26.106000000000002</v>
      </c>
      <c r="AZ48" s="66">
        <v>0</v>
      </c>
      <c r="BA48" s="66">
        <v>43.6798</v>
      </c>
      <c r="BB48" s="66">
        <v>26.106000000000002</v>
      </c>
      <c r="BC48" s="66">
        <v>17.573799999999999</v>
      </c>
      <c r="BD48" s="66">
        <v>26.106000000000002</v>
      </c>
      <c r="BE48" s="66">
        <v>1.6718880000000002E-2</v>
      </c>
      <c r="BF48" s="66">
        <v>43.6798</v>
      </c>
      <c r="BG48" s="66">
        <v>26.106000000000002</v>
      </c>
      <c r="BH48" s="66">
        <v>0</v>
      </c>
      <c r="BI48" s="66">
        <v>17.573799999999999</v>
      </c>
      <c r="BJ48" s="67">
        <v>100</v>
      </c>
      <c r="BK48" s="67">
        <v>100</v>
      </c>
      <c r="BL48" s="67">
        <v>40.233242826203416</v>
      </c>
      <c r="BM48" s="67">
        <v>1.6718880000000002E-2</v>
      </c>
      <c r="BN48" s="67">
        <v>-8.9858676055598607E-16</v>
      </c>
      <c r="BO48" s="66">
        <v>0</v>
      </c>
      <c r="BP48" s="66">
        <v>0</v>
      </c>
      <c r="BQ48" s="66">
        <v>0</v>
      </c>
      <c r="BR48" s="66">
        <v>0</v>
      </c>
      <c r="BS48" s="66">
        <v>0</v>
      </c>
      <c r="BT48" s="66">
        <v>0</v>
      </c>
      <c r="BU48" s="66">
        <v>0</v>
      </c>
      <c r="BV48" s="66">
        <v>0</v>
      </c>
      <c r="BW48" s="66">
        <v>0</v>
      </c>
      <c r="BX48" s="66">
        <v>0</v>
      </c>
      <c r="BY48" s="66">
        <v>0</v>
      </c>
      <c r="BZ48" s="67" t="s">
        <v>1094</v>
      </c>
      <c r="CA48" s="67" t="s">
        <v>1094</v>
      </c>
      <c r="CB48" s="67">
        <v>0</v>
      </c>
      <c r="CC48" s="67">
        <v>0</v>
      </c>
      <c r="CD48" s="67">
        <v>0</v>
      </c>
      <c r="CE48" s="66">
        <v>0</v>
      </c>
      <c r="CF48" s="66">
        <v>0</v>
      </c>
      <c r="CG48" s="66">
        <v>0</v>
      </c>
      <c r="CH48" s="66">
        <v>0</v>
      </c>
      <c r="CI48" s="66">
        <v>0</v>
      </c>
      <c r="CJ48" s="66">
        <v>0</v>
      </c>
      <c r="CK48" s="66">
        <v>0</v>
      </c>
      <c r="CL48" s="66">
        <v>0</v>
      </c>
      <c r="CM48" s="66">
        <v>0</v>
      </c>
      <c r="CN48" s="66">
        <v>0</v>
      </c>
      <c r="CO48" s="66">
        <v>0</v>
      </c>
      <c r="CP48" s="67" t="s">
        <v>1094</v>
      </c>
      <c r="CQ48" s="67" t="s">
        <v>1094</v>
      </c>
      <c r="CR48" s="67">
        <v>0</v>
      </c>
      <c r="CS48" s="67">
        <v>0</v>
      </c>
      <c r="CT48" s="67">
        <v>0</v>
      </c>
      <c r="CU48" s="66">
        <v>0</v>
      </c>
      <c r="CV48" s="66">
        <v>0</v>
      </c>
      <c r="CW48" s="66">
        <v>0</v>
      </c>
      <c r="CX48" s="66">
        <v>0</v>
      </c>
      <c r="CY48" s="66">
        <v>0</v>
      </c>
      <c r="CZ48" s="66">
        <v>0</v>
      </c>
      <c r="DA48" s="66">
        <v>0</v>
      </c>
      <c r="DB48" s="66">
        <v>0</v>
      </c>
      <c r="DC48" s="66">
        <v>0</v>
      </c>
      <c r="DD48" s="66">
        <v>0</v>
      </c>
      <c r="DE48" s="66">
        <v>0</v>
      </c>
      <c r="DF48" s="67" t="s">
        <v>1094</v>
      </c>
      <c r="DG48" s="67" t="s">
        <v>1094</v>
      </c>
      <c r="DH48" s="67">
        <v>0</v>
      </c>
      <c r="DI48" s="67">
        <v>0</v>
      </c>
      <c r="DJ48" s="67">
        <v>0</v>
      </c>
      <c r="DK48" s="66">
        <v>20.445</v>
      </c>
      <c r="DL48" s="66">
        <v>0</v>
      </c>
      <c r="DM48" s="66">
        <v>29.2073</v>
      </c>
      <c r="DN48" s="66">
        <v>20.445</v>
      </c>
      <c r="DO48" s="66">
        <v>8.7622999999999998</v>
      </c>
      <c r="DP48" s="66">
        <v>20.444999879999997</v>
      </c>
      <c r="DQ48" s="66">
        <v>7.6059000000000002E-2</v>
      </c>
      <c r="DR48" s="66">
        <v>29.207299879999997</v>
      </c>
      <c r="DS48" s="66">
        <v>20.444999879999997</v>
      </c>
      <c r="DT48" s="66">
        <v>0</v>
      </c>
      <c r="DU48" s="66">
        <v>8.7622999999999998</v>
      </c>
      <c r="DV48" s="67">
        <v>99.999999413059413</v>
      </c>
      <c r="DW48" s="67">
        <v>100</v>
      </c>
      <c r="DX48" s="67">
        <v>30.000376741432632</v>
      </c>
      <c r="DY48" s="67">
        <v>7.6059000000000002E-2</v>
      </c>
      <c r="DZ48" s="67">
        <v>7.6327832942979512E-16</v>
      </c>
      <c r="EA48" s="66">
        <v>0</v>
      </c>
      <c r="EB48" s="66">
        <v>0</v>
      </c>
      <c r="EC48" s="66">
        <v>0</v>
      </c>
      <c r="ED48" s="66">
        <v>0</v>
      </c>
      <c r="EE48" s="66">
        <v>0</v>
      </c>
      <c r="EF48" s="66">
        <v>0</v>
      </c>
      <c r="EG48" s="66">
        <v>0</v>
      </c>
      <c r="EH48" s="66">
        <v>0</v>
      </c>
      <c r="EI48" s="66">
        <v>0</v>
      </c>
      <c r="EJ48" s="66">
        <v>0</v>
      </c>
      <c r="EK48" s="66">
        <v>0</v>
      </c>
      <c r="EL48" s="67" t="s">
        <v>1094</v>
      </c>
      <c r="EM48" s="67" t="s">
        <v>1094</v>
      </c>
      <c r="EN48" s="67">
        <v>0</v>
      </c>
      <c r="EO48" s="67">
        <v>0</v>
      </c>
      <c r="EP48" s="67">
        <v>0</v>
      </c>
      <c r="EQ48" s="66">
        <v>17.294</v>
      </c>
      <c r="ER48" s="66">
        <v>0</v>
      </c>
      <c r="ES48" s="66">
        <v>24.7058</v>
      </c>
      <c r="ET48" s="66">
        <v>17.294</v>
      </c>
      <c r="EU48" s="66">
        <v>7.4118000000000004</v>
      </c>
      <c r="EV48" s="66">
        <v>17.293999940000003</v>
      </c>
      <c r="EW48" s="66">
        <v>0</v>
      </c>
      <c r="EX48" s="66">
        <v>24.705799940000002</v>
      </c>
      <c r="EY48" s="66">
        <v>17.293999940000003</v>
      </c>
      <c r="EZ48" s="66">
        <v>0</v>
      </c>
      <c r="FA48" s="66">
        <v>7.4118000000000004</v>
      </c>
      <c r="FB48" s="67">
        <v>99.999999653058879</v>
      </c>
      <c r="FC48" s="67">
        <v>100</v>
      </c>
      <c r="FD48" s="67">
        <v>30.000242930810355</v>
      </c>
      <c r="FE48" s="67">
        <v>0</v>
      </c>
      <c r="FF48" s="67">
        <v>0</v>
      </c>
      <c r="FG48" s="66">
        <v>0</v>
      </c>
      <c r="FH48" s="66">
        <v>0</v>
      </c>
      <c r="FI48" s="66">
        <v>0</v>
      </c>
      <c r="FJ48" s="66">
        <v>0</v>
      </c>
      <c r="FK48" s="66">
        <v>0</v>
      </c>
      <c r="FL48" s="66">
        <v>0</v>
      </c>
      <c r="FM48" s="66">
        <v>0</v>
      </c>
      <c r="FN48" s="66">
        <v>0</v>
      </c>
      <c r="FO48" s="66">
        <v>0</v>
      </c>
      <c r="FP48" s="66">
        <v>0</v>
      </c>
      <c r="FQ48" s="66">
        <v>0</v>
      </c>
      <c r="FR48" s="67" t="s">
        <v>1094</v>
      </c>
      <c r="FS48" s="67" t="s">
        <v>1094</v>
      </c>
      <c r="FT48" s="67">
        <v>0</v>
      </c>
      <c r="FU48" s="67">
        <v>0</v>
      </c>
      <c r="FV48" s="67">
        <v>0</v>
      </c>
      <c r="FW48" s="66">
        <v>0</v>
      </c>
      <c r="FX48" s="66">
        <v>0</v>
      </c>
      <c r="FY48" s="66">
        <v>0</v>
      </c>
      <c r="FZ48" s="66">
        <v>0</v>
      </c>
      <c r="GA48" s="66">
        <v>0</v>
      </c>
      <c r="GB48" s="66">
        <v>0</v>
      </c>
      <c r="GC48" s="66">
        <v>0</v>
      </c>
      <c r="GD48" s="66">
        <v>0</v>
      </c>
      <c r="GE48" s="66">
        <v>0</v>
      </c>
      <c r="GF48" s="66">
        <v>0</v>
      </c>
      <c r="GG48" s="66">
        <v>0</v>
      </c>
      <c r="GH48" s="67" t="s">
        <v>1094</v>
      </c>
      <c r="GI48" s="67" t="s">
        <v>1094</v>
      </c>
      <c r="GJ48" s="67">
        <v>0</v>
      </c>
      <c r="GK48" s="67">
        <v>0</v>
      </c>
      <c r="GL48" s="67">
        <v>0</v>
      </c>
      <c r="GM48" s="66">
        <v>0</v>
      </c>
      <c r="GN48" s="66">
        <v>0</v>
      </c>
      <c r="GO48" s="66">
        <v>0</v>
      </c>
      <c r="GP48" s="66">
        <v>0</v>
      </c>
      <c r="GQ48" s="66">
        <v>0</v>
      </c>
      <c r="GR48" s="66">
        <v>0</v>
      </c>
      <c r="GS48" s="66">
        <v>0</v>
      </c>
      <c r="GT48" s="66">
        <v>0</v>
      </c>
      <c r="GU48" s="66">
        <v>0</v>
      </c>
      <c r="GV48" s="66">
        <v>0</v>
      </c>
      <c r="GW48" s="66">
        <v>0</v>
      </c>
      <c r="GX48" s="67" t="s">
        <v>1094</v>
      </c>
      <c r="GY48" s="67" t="s">
        <v>1094</v>
      </c>
      <c r="GZ48" s="67">
        <v>0</v>
      </c>
      <c r="HA48" s="67">
        <v>0</v>
      </c>
      <c r="HB48" s="67">
        <v>0</v>
      </c>
      <c r="HC48" s="66">
        <v>0</v>
      </c>
      <c r="HD48" s="66">
        <v>0</v>
      </c>
      <c r="HE48" s="66">
        <v>0</v>
      </c>
      <c r="HF48" s="66">
        <v>0</v>
      </c>
      <c r="HG48" s="66">
        <v>0</v>
      </c>
      <c r="HH48" s="66">
        <v>0</v>
      </c>
      <c r="HI48" s="66">
        <v>0</v>
      </c>
      <c r="HJ48" s="66">
        <v>0</v>
      </c>
      <c r="HK48" s="66">
        <v>0</v>
      </c>
      <c r="HL48" s="66">
        <v>0</v>
      </c>
      <c r="HM48" s="66">
        <v>0</v>
      </c>
      <c r="HN48" s="67" t="s">
        <v>1094</v>
      </c>
      <c r="HO48" s="67" t="s">
        <v>1094</v>
      </c>
      <c r="HP48" s="67">
        <v>0</v>
      </c>
      <c r="HQ48" s="67">
        <v>0</v>
      </c>
      <c r="HR48" s="67">
        <v>0</v>
      </c>
      <c r="HS48" s="66">
        <v>0</v>
      </c>
      <c r="HT48" s="66">
        <v>0</v>
      </c>
      <c r="HU48" s="66">
        <v>0</v>
      </c>
      <c r="HV48" s="66">
        <v>0</v>
      </c>
      <c r="HW48" s="66">
        <v>0</v>
      </c>
      <c r="HX48" s="66">
        <v>0</v>
      </c>
      <c r="HY48" s="66">
        <v>0</v>
      </c>
      <c r="HZ48" s="66">
        <v>0</v>
      </c>
      <c r="IA48" s="66">
        <v>0</v>
      </c>
      <c r="IB48" s="66">
        <v>0</v>
      </c>
      <c r="IC48" s="66">
        <v>0</v>
      </c>
      <c r="ID48" s="67" t="s">
        <v>1094</v>
      </c>
      <c r="IE48" s="67" t="s">
        <v>1094</v>
      </c>
      <c r="IF48" s="67">
        <v>0</v>
      </c>
      <c r="IG48" s="67">
        <v>0</v>
      </c>
      <c r="IH48" s="67">
        <v>0</v>
      </c>
    </row>
    <row r="49" spans="1:242" ht="15.75" x14ac:dyDescent="0.25">
      <c r="A49" s="72">
        <v>38</v>
      </c>
      <c r="B49" s="192" t="s">
        <v>103</v>
      </c>
      <c r="C49" s="66">
        <v>27.035</v>
      </c>
      <c r="D49" s="66">
        <v>0</v>
      </c>
      <c r="E49" s="66">
        <v>51.721199999999996</v>
      </c>
      <c r="F49" s="66">
        <v>27.035</v>
      </c>
      <c r="G49" s="66">
        <v>24.686199999999999</v>
      </c>
      <c r="H49" s="66">
        <v>20.60052005</v>
      </c>
      <c r="I49" s="66">
        <v>0</v>
      </c>
      <c r="J49" s="66">
        <v>41.172953999999997</v>
      </c>
      <c r="K49" s="66">
        <v>20.60052005</v>
      </c>
      <c r="L49" s="66">
        <v>0</v>
      </c>
      <c r="M49" s="66">
        <v>20.572433950000001</v>
      </c>
      <c r="N49" s="67">
        <v>76.199445348622149</v>
      </c>
      <c r="O49" s="67">
        <v>83.335766339088238</v>
      </c>
      <c r="P49" s="67">
        <v>49.965892537125228</v>
      </c>
      <c r="Q49" s="66">
        <v>0</v>
      </c>
      <c r="R49" s="67">
        <v>0</v>
      </c>
      <c r="S49" s="66">
        <v>0</v>
      </c>
      <c r="T49" s="66">
        <v>0</v>
      </c>
      <c r="U49" s="66">
        <v>0</v>
      </c>
      <c r="V49" s="66">
        <v>0</v>
      </c>
      <c r="W49" s="66">
        <v>0</v>
      </c>
      <c r="X49" s="66">
        <v>0</v>
      </c>
      <c r="Y49" s="66">
        <v>0</v>
      </c>
      <c r="Z49" s="66">
        <v>0</v>
      </c>
      <c r="AA49" s="66">
        <v>0</v>
      </c>
      <c r="AB49" s="66">
        <v>0</v>
      </c>
      <c r="AC49" s="66">
        <v>0</v>
      </c>
      <c r="AD49" s="67" t="s">
        <v>1094</v>
      </c>
      <c r="AE49" s="67" t="s">
        <v>1094</v>
      </c>
      <c r="AF49" s="67">
        <v>0</v>
      </c>
      <c r="AG49" s="67">
        <v>0</v>
      </c>
      <c r="AH49" s="67">
        <v>0</v>
      </c>
      <c r="AI49" s="66">
        <v>0</v>
      </c>
      <c r="AJ49" s="66">
        <v>0</v>
      </c>
      <c r="AK49" s="66">
        <v>0</v>
      </c>
      <c r="AL49" s="66">
        <v>0</v>
      </c>
      <c r="AM49" s="66">
        <v>0</v>
      </c>
      <c r="AN49" s="66">
        <v>0</v>
      </c>
      <c r="AO49" s="66">
        <v>0</v>
      </c>
      <c r="AP49" s="66">
        <v>0</v>
      </c>
      <c r="AQ49" s="66">
        <v>0</v>
      </c>
      <c r="AR49" s="66">
        <v>0</v>
      </c>
      <c r="AS49" s="66">
        <v>0</v>
      </c>
      <c r="AT49" s="67" t="s">
        <v>1094</v>
      </c>
      <c r="AU49" s="67" t="s">
        <v>1094</v>
      </c>
      <c r="AV49" s="67">
        <v>0</v>
      </c>
      <c r="AW49" s="67">
        <v>0</v>
      </c>
      <c r="AX49" s="67">
        <v>0</v>
      </c>
      <c r="AY49" s="66">
        <v>23.981000000000002</v>
      </c>
      <c r="AZ49" s="66">
        <v>0</v>
      </c>
      <c r="BA49" s="66">
        <v>42.427199999999999</v>
      </c>
      <c r="BB49" s="66">
        <v>23.981000000000002</v>
      </c>
      <c r="BC49" s="66">
        <v>18.446200000000001</v>
      </c>
      <c r="BD49" s="66">
        <v>17.5465318</v>
      </c>
      <c r="BE49" s="66">
        <v>0</v>
      </c>
      <c r="BF49" s="66">
        <v>31.878989559999997</v>
      </c>
      <c r="BG49" s="66">
        <v>17.5465318</v>
      </c>
      <c r="BH49" s="66">
        <v>0</v>
      </c>
      <c r="BI49" s="66">
        <v>14.33245776</v>
      </c>
      <c r="BJ49" s="67">
        <v>73.168474208748592</v>
      </c>
      <c r="BK49" s="67">
        <v>77.698700870640025</v>
      </c>
      <c r="BL49" s="67">
        <v>44.958946183111088</v>
      </c>
      <c r="BM49" s="67">
        <v>0</v>
      </c>
      <c r="BN49" s="67">
        <v>0</v>
      </c>
      <c r="BO49" s="66">
        <v>0</v>
      </c>
      <c r="BP49" s="66">
        <v>0</v>
      </c>
      <c r="BQ49" s="66">
        <v>0</v>
      </c>
      <c r="BR49" s="66">
        <v>0</v>
      </c>
      <c r="BS49" s="66">
        <v>0</v>
      </c>
      <c r="BT49" s="66">
        <v>0</v>
      </c>
      <c r="BU49" s="66">
        <v>0</v>
      </c>
      <c r="BV49" s="66">
        <v>0</v>
      </c>
      <c r="BW49" s="66">
        <v>0</v>
      </c>
      <c r="BX49" s="66">
        <v>0</v>
      </c>
      <c r="BY49" s="66">
        <v>0</v>
      </c>
      <c r="BZ49" s="67" t="s">
        <v>1094</v>
      </c>
      <c r="CA49" s="67" t="s">
        <v>1094</v>
      </c>
      <c r="CB49" s="67">
        <v>0</v>
      </c>
      <c r="CC49" s="67">
        <v>0</v>
      </c>
      <c r="CD49" s="67">
        <v>0</v>
      </c>
      <c r="CE49" s="66">
        <v>0</v>
      </c>
      <c r="CF49" s="66">
        <v>0</v>
      </c>
      <c r="CG49" s="66">
        <v>0</v>
      </c>
      <c r="CH49" s="66">
        <v>0</v>
      </c>
      <c r="CI49" s="66">
        <v>0</v>
      </c>
      <c r="CJ49" s="66">
        <v>0</v>
      </c>
      <c r="CK49" s="66">
        <v>0</v>
      </c>
      <c r="CL49" s="66">
        <v>0</v>
      </c>
      <c r="CM49" s="66">
        <v>0</v>
      </c>
      <c r="CN49" s="66">
        <v>0</v>
      </c>
      <c r="CO49" s="66">
        <v>0</v>
      </c>
      <c r="CP49" s="67" t="s">
        <v>1094</v>
      </c>
      <c r="CQ49" s="67" t="s">
        <v>1094</v>
      </c>
      <c r="CR49" s="67">
        <v>0</v>
      </c>
      <c r="CS49" s="67">
        <v>0</v>
      </c>
      <c r="CT49" s="67">
        <v>0</v>
      </c>
      <c r="CU49" s="66">
        <v>0</v>
      </c>
      <c r="CV49" s="66">
        <v>0</v>
      </c>
      <c r="CW49" s="66">
        <v>0</v>
      </c>
      <c r="CX49" s="66">
        <v>0</v>
      </c>
      <c r="CY49" s="66">
        <v>0</v>
      </c>
      <c r="CZ49" s="66">
        <v>0</v>
      </c>
      <c r="DA49" s="66">
        <v>0</v>
      </c>
      <c r="DB49" s="66">
        <v>0</v>
      </c>
      <c r="DC49" s="66">
        <v>0</v>
      </c>
      <c r="DD49" s="66">
        <v>0</v>
      </c>
      <c r="DE49" s="66">
        <v>0</v>
      </c>
      <c r="DF49" s="67" t="s">
        <v>1094</v>
      </c>
      <c r="DG49" s="67" t="s">
        <v>1094</v>
      </c>
      <c r="DH49" s="67">
        <v>0</v>
      </c>
      <c r="DI49" s="67">
        <v>0</v>
      </c>
      <c r="DJ49" s="67">
        <v>0</v>
      </c>
      <c r="DK49" s="66">
        <v>3.0539999999999998</v>
      </c>
      <c r="DL49" s="66">
        <v>0</v>
      </c>
      <c r="DM49" s="66">
        <v>9.2940000000000005</v>
      </c>
      <c r="DN49" s="66">
        <v>3.0539999999999998</v>
      </c>
      <c r="DO49" s="66">
        <v>6.24</v>
      </c>
      <c r="DP49" s="66">
        <v>3.0539882500000002</v>
      </c>
      <c r="DQ49" s="66">
        <v>0</v>
      </c>
      <c r="DR49" s="66">
        <v>9.2939644399999999</v>
      </c>
      <c r="DS49" s="66">
        <v>3.0539882500000002</v>
      </c>
      <c r="DT49" s="66">
        <v>0</v>
      </c>
      <c r="DU49" s="66">
        <v>6.2399761900000001</v>
      </c>
      <c r="DV49" s="67">
        <v>99.999615258677153</v>
      </c>
      <c r="DW49" s="67">
        <v>99.999618429487185</v>
      </c>
      <c r="DX49" s="67">
        <v>67.14009108044317</v>
      </c>
      <c r="DY49" s="67">
        <v>0</v>
      </c>
      <c r="DZ49" s="67">
        <v>0</v>
      </c>
      <c r="EA49" s="66">
        <v>0</v>
      </c>
      <c r="EB49" s="66">
        <v>0</v>
      </c>
      <c r="EC49" s="66">
        <v>0</v>
      </c>
      <c r="ED49" s="66">
        <v>0</v>
      </c>
      <c r="EE49" s="66">
        <v>0</v>
      </c>
      <c r="EF49" s="66">
        <v>0</v>
      </c>
      <c r="EG49" s="66">
        <v>0</v>
      </c>
      <c r="EH49" s="66">
        <v>0</v>
      </c>
      <c r="EI49" s="66">
        <v>0</v>
      </c>
      <c r="EJ49" s="66">
        <v>0</v>
      </c>
      <c r="EK49" s="66">
        <v>0</v>
      </c>
      <c r="EL49" s="67" t="s">
        <v>1094</v>
      </c>
      <c r="EM49" s="67" t="s">
        <v>1094</v>
      </c>
      <c r="EN49" s="67">
        <v>0</v>
      </c>
      <c r="EO49" s="67">
        <v>0</v>
      </c>
      <c r="EP49" s="67">
        <v>0</v>
      </c>
      <c r="EQ49" s="66">
        <v>0</v>
      </c>
      <c r="ER49" s="66">
        <v>0</v>
      </c>
      <c r="ES49" s="66">
        <v>0</v>
      </c>
      <c r="ET49" s="66">
        <v>0</v>
      </c>
      <c r="EU49" s="66">
        <v>0</v>
      </c>
      <c r="EV49" s="66">
        <v>0</v>
      </c>
      <c r="EW49" s="66">
        <v>0</v>
      </c>
      <c r="EX49" s="66">
        <v>0</v>
      </c>
      <c r="EY49" s="66">
        <v>0</v>
      </c>
      <c r="EZ49" s="66">
        <v>0</v>
      </c>
      <c r="FA49" s="66">
        <v>0</v>
      </c>
      <c r="FB49" s="67" t="s">
        <v>1094</v>
      </c>
      <c r="FC49" s="67" t="s">
        <v>1094</v>
      </c>
      <c r="FD49" s="67">
        <v>0</v>
      </c>
      <c r="FE49" s="67">
        <v>0</v>
      </c>
      <c r="FF49" s="67">
        <v>0</v>
      </c>
      <c r="FG49" s="66">
        <v>0</v>
      </c>
      <c r="FH49" s="66">
        <v>0</v>
      </c>
      <c r="FI49" s="66">
        <v>0</v>
      </c>
      <c r="FJ49" s="66">
        <v>0</v>
      </c>
      <c r="FK49" s="66">
        <v>0</v>
      </c>
      <c r="FL49" s="66">
        <v>0</v>
      </c>
      <c r="FM49" s="66">
        <v>0</v>
      </c>
      <c r="FN49" s="66">
        <v>0</v>
      </c>
      <c r="FO49" s="66">
        <v>0</v>
      </c>
      <c r="FP49" s="66">
        <v>0</v>
      </c>
      <c r="FQ49" s="66">
        <v>0</v>
      </c>
      <c r="FR49" s="67" t="s">
        <v>1094</v>
      </c>
      <c r="FS49" s="67" t="s">
        <v>1094</v>
      </c>
      <c r="FT49" s="67">
        <v>0</v>
      </c>
      <c r="FU49" s="67">
        <v>0</v>
      </c>
      <c r="FV49" s="67">
        <v>0</v>
      </c>
      <c r="FW49" s="66">
        <v>0</v>
      </c>
      <c r="FX49" s="66">
        <v>0</v>
      </c>
      <c r="FY49" s="66">
        <v>0</v>
      </c>
      <c r="FZ49" s="66">
        <v>0</v>
      </c>
      <c r="GA49" s="66">
        <v>0</v>
      </c>
      <c r="GB49" s="66">
        <v>0</v>
      </c>
      <c r="GC49" s="66">
        <v>0</v>
      </c>
      <c r="GD49" s="66">
        <v>0</v>
      </c>
      <c r="GE49" s="66">
        <v>0</v>
      </c>
      <c r="GF49" s="66">
        <v>0</v>
      </c>
      <c r="GG49" s="66">
        <v>0</v>
      </c>
      <c r="GH49" s="67" t="s">
        <v>1094</v>
      </c>
      <c r="GI49" s="67" t="s">
        <v>1094</v>
      </c>
      <c r="GJ49" s="67">
        <v>0</v>
      </c>
      <c r="GK49" s="67">
        <v>0</v>
      </c>
      <c r="GL49" s="67">
        <v>0</v>
      </c>
      <c r="GM49" s="66">
        <v>0</v>
      </c>
      <c r="GN49" s="66">
        <v>0</v>
      </c>
      <c r="GO49" s="66">
        <v>0</v>
      </c>
      <c r="GP49" s="66">
        <v>0</v>
      </c>
      <c r="GQ49" s="66">
        <v>0</v>
      </c>
      <c r="GR49" s="66">
        <v>0</v>
      </c>
      <c r="GS49" s="66">
        <v>0</v>
      </c>
      <c r="GT49" s="66">
        <v>0</v>
      </c>
      <c r="GU49" s="66">
        <v>0</v>
      </c>
      <c r="GV49" s="66">
        <v>0</v>
      </c>
      <c r="GW49" s="66">
        <v>0</v>
      </c>
      <c r="GX49" s="67" t="s">
        <v>1094</v>
      </c>
      <c r="GY49" s="67" t="s">
        <v>1094</v>
      </c>
      <c r="GZ49" s="67">
        <v>0</v>
      </c>
      <c r="HA49" s="67">
        <v>0</v>
      </c>
      <c r="HB49" s="67">
        <v>0</v>
      </c>
      <c r="HC49" s="66">
        <v>0</v>
      </c>
      <c r="HD49" s="66">
        <v>0</v>
      </c>
      <c r="HE49" s="66">
        <v>0</v>
      </c>
      <c r="HF49" s="66">
        <v>0</v>
      </c>
      <c r="HG49" s="66">
        <v>0</v>
      </c>
      <c r="HH49" s="66">
        <v>0</v>
      </c>
      <c r="HI49" s="66">
        <v>0</v>
      </c>
      <c r="HJ49" s="66">
        <v>0</v>
      </c>
      <c r="HK49" s="66">
        <v>0</v>
      </c>
      <c r="HL49" s="66">
        <v>0</v>
      </c>
      <c r="HM49" s="66">
        <v>0</v>
      </c>
      <c r="HN49" s="67" t="s">
        <v>1094</v>
      </c>
      <c r="HO49" s="67" t="s">
        <v>1094</v>
      </c>
      <c r="HP49" s="67">
        <v>0</v>
      </c>
      <c r="HQ49" s="67">
        <v>0</v>
      </c>
      <c r="HR49" s="67">
        <v>0</v>
      </c>
      <c r="HS49" s="66">
        <v>0</v>
      </c>
      <c r="HT49" s="66">
        <v>0</v>
      </c>
      <c r="HU49" s="66">
        <v>0</v>
      </c>
      <c r="HV49" s="66">
        <v>0</v>
      </c>
      <c r="HW49" s="66">
        <v>0</v>
      </c>
      <c r="HX49" s="66">
        <v>0</v>
      </c>
      <c r="HY49" s="66">
        <v>0</v>
      </c>
      <c r="HZ49" s="66">
        <v>0</v>
      </c>
      <c r="IA49" s="66">
        <v>0</v>
      </c>
      <c r="IB49" s="66">
        <v>0</v>
      </c>
      <c r="IC49" s="66">
        <v>0</v>
      </c>
      <c r="ID49" s="67" t="s">
        <v>1094</v>
      </c>
      <c r="IE49" s="67" t="s">
        <v>1094</v>
      </c>
      <c r="IF49" s="67">
        <v>0</v>
      </c>
      <c r="IG49" s="67">
        <v>0</v>
      </c>
      <c r="IH49" s="67">
        <v>0</v>
      </c>
    </row>
    <row r="50" spans="1:242" ht="15.75" x14ac:dyDescent="0.25">
      <c r="A50" s="72">
        <v>39</v>
      </c>
      <c r="B50" s="192" t="s">
        <v>105</v>
      </c>
      <c r="C50" s="66">
        <v>104.27329999999999</v>
      </c>
      <c r="D50" s="66">
        <v>0</v>
      </c>
      <c r="E50" s="66">
        <v>244.02244109</v>
      </c>
      <c r="F50" s="66">
        <v>104.27329999999999</v>
      </c>
      <c r="G50" s="66">
        <v>139.74914108999999</v>
      </c>
      <c r="H50" s="66">
        <v>104.27329999999999</v>
      </c>
      <c r="I50" s="66">
        <v>6.2777306399999997</v>
      </c>
      <c r="J50" s="66">
        <v>244.02244109</v>
      </c>
      <c r="K50" s="66">
        <v>104.27329999999999</v>
      </c>
      <c r="L50" s="66">
        <v>0</v>
      </c>
      <c r="M50" s="66">
        <v>139.74914108999999</v>
      </c>
      <c r="N50" s="67">
        <v>100</v>
      </c>
      <c r="O50" s="67">
        <v>100</v>
      </c>
      <c r="P50" s="67">
        <v>57.268971028143234</v>
      </c>
      <c r="Q50" s="66">
        <v>6.2777306399999997</v>
      </c>
      <c r="R50" s="67">
        <v>1.7763568394002505E-15</v>
      </c>
      <c r="S50" s="66">
        <v>47.575899999999997</v>
      </c>
      <c r="T50" s="66">
        <v>0</v>
      </c>
      <c r="U50" s="66">
        <v>83.974290999999994</v>
      </c>
      <c r="V50" s="66">
        <v>47.575899999999997</v>
      </c>
      <c r="W50" s="66">
        <v>36.398390999999997</v>
      </c>
      <c r="X50" s="66">
        <v>47.575899999999997</v>
      </c>
      <c r="Y50" s="66">
        <v>6.27045064</v>
      </c>
      <c r="Z50" s="66">
        <v>83.974290999999994</v>
      </c>
      <c r="AA50" s="66">
        <v>47.575899999999997</v>
      </c>
      <c r="AB50" s="66">
        <v>0</v>
      </c>
      <c r="AC50" s="66">
        <v>36.398390999999997</v>
      </c>
      <c r="AD50" s="67">
        <v>100</v>
      </c>
      <c r="AE50" s="67">
        <v>100</v>
      </c>
      <c r="AF50" s="67">
        <v>43.344683910460162</v>
      </c>
      <c r="AG50" s="67">
        <v>6.27045064</v>
      </c>
      <c r="AH50" s="67">
        <v>0</v>
      </c>
      <c r="AI50" s="66">
        <v>0</v>
      </c>
      <c r="AJ50" s="66">
        <v>0</v>
      </c>
      <c r="AK50" s="66">
        <v>0</v>
      </c>
      <c r="AL50" s="66">
        <v>0</v>
      </c>
      <c r="AM50" s="66">
        <v>0</v>
      </c>
      <c r="AN50" s="66">
        <v>0</v>
      </c>
      <c r="AO50" s="66">
        <v>0</v>
      </c>
      <c r="AP50" s="66">
        <v>0</v>
      </c>
      <c r="AQ50" s="66">
        <v>0</v>
      </c>
      <c r="AR50" s="66">
        <v>0</v>
      </c>
      <c r="AS50" s="66">
        <v>0</v>
      </c>
      <c r="AT50" s="67" t="s">
        <v>1094</v>
      </c>
      <c r="AU50" s="67" t="s">
        <v>1094</v>
      </c>
      <c r="AV50" s="67">
        <v>0</v>
      </c>
      <c r="AW50" s="67">
        <v>0</v>
      </c>
      <c r="AX50" s="67">
        <v>0</v>
      </c>
      <c r="AY50" s="66">
        <v>25.993500000000001</v>
      </c>
      <c r="AZ50" s="66">
        <v>0</v>
      </c>
      <c r="BA50" s="66">
        <v>48.6524</v>
      </c>
      <c r="BB50" s="66">
        <v>25.993500000000001</v>
      </c>
      <c r="BC50" s="66">
        <v>22.658899999999999</v>
      </c>
      <c r="BD50" s="66">
        <v>25.993500000000001</v>
      </c>
      <c r="BE50" s="66">
        <v>0</v>
      </c>
      <c r="BF50" s="66">
        <v>48.6524</v>
      </c>
      <c r="BG50" s="66">
        <v>25.993500000000001</v>
      </c>
      <c r="BH50" s="66">
        <v>0</v>
      </c>
      <c r="BI50" s="66">
        <v>22.658899999999999</v>
      </c>
      <c r="BJ50" s="67">
        <v>100</v>
      </c>
      <c r="BK50" s="67">
        <v>100</v>
      </c>
      <c r="BL50" s="67">
        <v>46.573036479187046</v>
      </c>
      <c r="BM50" s="67">
        <v>0</v>
      </c>
      <c r="BN50" s="67">
        <v>0</v>
      </c>
      <c r="BO50" s="66">
        <v>0</v>
      </c>
      <c r="BP50" s="66">
        <v>0</v>
      </c>
      <c r="BQ50" s="66">
        <v>0</v>
      </c>
      <c r="BR50" s="66">
        <v>0</v>
      </c>
      <c r="BS50" s="66">
        <v>0</v>
      </c>
      <c r="BT50" s="66">
        <v>0</v>
      </c>
      <c r="BU50" s="66">
        <v>0</v>
      </c>
      <c r="BV50" s="66">
        <v>0</v>
      </c>
      <c r="BW50" s="66">
        <v>0</v>
      </c>
      <c r="BX50" s="66">
        <v>0</v>
      </c>
      <c r="BY50" s="66">
        <v>0</v>
      </c>
      <c r="BZ50" s="67" t="s">
        <v>1094</v>
      </c>
      <c r="CA50" s="67" t="s">
        <v>1094</v>
      </c>
      <c r="CB50" s="67">
        <v>0</v>
      </c>
      <c r="CC50" s="67">
        <v>0</v>
      </c>
      <c r="CD50" s="67">
        <v>0</v>
      </c>
      <c r="CE50" s="66">
        <v>16.875</v>
      </c>
      <c r="CF50" s="66">
        <v>0</v>
      </c>
      <c r="CG50" s="66">
        <v>75.750100000000003</v>
      </c>
      <c r="CH50" s="66">
        <v>16.875</v>
      </c>
      <c r="CI50" s="66">
        <v>58.875100000000003</v>
      </c>
      <c r="CJ50" s="66">
        <v>16.875</v>
      </c>
      <c r="CK50" s="66">
        <v>0</v>
      </c>
      <c r="CL50" s="66">
        <v>75.750100000000003</v>
      </c>
      <c r="CM50" s="66">
        <v>16.875</v>
      </c>
      <c r="CN50" s="66">
        <v>0</v>
      </c>
      <c r="CO50" s="66">
        <v>58.875100000000003</v>
      </c>
      <c r="CP50" s="67">
        <v>100</v>
      </c>
      <c r="CQ50" s="67">
        <v>100</v>
      </c>
      <c r="CR50" s="67">
        <v>77.722801686070383</v>
      </c>
      <c r="CS50" s="67">
        <v>0</v>
      </c>
      <c r="CT50" s="67">
        <v>0</v>
      </c>
      <c r="CU50" s="66">
        <v>0</v>
      </c>
      <c r="CV50" s="66">
        <v>0</v>
      </c>
      <c r="CW50" s="66">
        <v>0</v>
      </c>
      <c r="CX50" s="66">
        <v>0</v>
      </c>
      <c r="CY50" s="66">
        <v>0</v>
      </c>
      <c r="CZ50" s="66">
        <v>0</v>
      </c>
      <c r="DA50" s="66">
        <v>0</v>
      </c>
      <c r="DB50" s="66">
        <v>0</v>
      </c>
      <c r="DC50" s="66">
        <v>0</v>
      </c>
      <c r="DD50" s="66">
        <v>0</v>
      </c>
      <c r="DE50" s="66">
        <v>0</v>
      </c>
      <c r="DF50" s="67" t="s">
        <v>1094</v>
      </c>
      <c r="DG50" s="67" t="s">
        <v>1094</v>
      </c>
      <c r="DH50" s="67">
        <v>0</v>
      </c>
      <c r="DI50" s="67">
        <v>0</v>
      </c>
      <c r="DJ50" s="67">
        <v>0</v>
      </c>
      <c r="DK50" s="66">
        <v>3.5259999999999998</v>
      </c>
      <c r="DL50" s="66">
        <v>0</v>
      </c>
      <c r="DM50" s="66">
        <v>11.165792439999999</v>
      </c>
      <c r="DN50" s="66">
        <v>3.5259999999999998</v>
      </c>
      <c r="DO50" s="66">
        <v>7.6397924400000008</v>
      </c>
      <c r="DP50" s="66">
        <v>3.5259999999999998</v>
      </c>
      <c r="DQ50" s="66">
        <v>0</v>
      </c>
      <c r="DR50" s="66">
        <v>11.165792439999999</v>
      </c>
      <c r="DS50" s="66">
        <v>3.5259999999999998</v>
      </c>
      <c r="DT50" s="66">
        <v>0</v>
      </c>
      <c r="DU50" s="66">
        <v>7.6397924400000008</v>
      </c>
      <c r="DV50" s="67">
        <v>100</v>
      </c>
      <c r="DW50" s="67">
        <v>100</v>
      </c>
      <c r="DX50" s="67">
        <v>68.421408342066599</v>
      </c>
      <c r="DY50" s="67">
        <v>0</v>
      </c>
      <c r="DZ50" s="67">
        <v>0</v>
      </c>
      <c r="EA50" s="66">
        <v>0</v>
      </c>
      <c r="EB50" s="66">
        <v>0</v>
      </c>
      <c r="EC50" s="66">
        <v>0</v>
      </c>
      <c r="ED50" s="66">
        <v>0</v>
      </c>
      <c r="EE50" s="66">
        <v>0</v>
      </c>
      <c r="EF50" s="66">
        <v>0</v>
      </c>
      <c r="EG50" s="66">
        <v>0</v>
      </c>
      <c r="EH50" s="66">
        <v>0</v>
      </c>
      <c r="EI50" s="66">
        <v>0</v>
      </c>
      <c r="EJ50" s="66">
        <v>0</v>
      </c>
      <c r="EK50" s="66">
        <v>0</v>
      </c>
      <c r="EL50" s="67" t="s">
        <v>1094</v>
      </c>
      <c r="EM50" s="67" t="s">
        <v>1094</v>
      </c>
      <c r="EN50" s="67">
        <v>0</v>
      </c>
      <c r="EO50" s="67">
        <v>0</v>
      </c>
      <c r="EP50" s="67">
        <v>0</v>
      </c>
      <c r="EQ50" s="66">
        <v>3.4910000000000001</v>
      </c>
      <c r="ER50" s="66">
        <v>0</v>
      </c>
      <c r="ES50" s="66">
        <v>7.66795765</v>
      </c>
      <c r="ET50" s="66">
        <v>3.4910000000000001</v>
      </c>
      <c r="EU50" s="66">
        <v>4.1769576500000003</v>
      </c>
      <c r="EV50" s="66">
        <v>3.4910000000000001</v>
      </c>
      <c r="EW50" s="66">
        <v>0</v>
      </c>
      <c r="EX50" s="66">
        <v>7.66795765</v>
      </c>
      <c r="EY50" s="66">
        <v>3.4910000000000001</v>
      </c>
      <c r="EZ50" s="66">
        <v>0</v>
      </c>
      <c r="FA50" s="66">
        <v>4.1769576500000003</v>
      </c>
      <c r="FB50" s="67">
        <v>100</v>
      </c>
      <c r="FC50" s="67">
        <v>100</v>
      </c>
      <c r="FD50" s="67">
        <v>54.472883662835571</v>
      </c>
      <c r="FE50" s="67">
        <v>0</v>
      </c>
      <c r="FF50" s="67">
        <v>0</v>
      </c>
      <c r="FG50" s="66">
        <v>0</v>
      </c>
      <c r="FH50" s="66">
        <v>0</v>
      </c>
      <c r="FI50" s="66">
        <v>0</v>
      </c>
      <c r="FJ50" s="66">
        <v>0</v>
      </c>
      <c r="FK50" s="66">
        <v>0</v>
      </c>
      <c r="FL50" s="66">
        <v>0</v>
      </c>
      <c r="FM50" s="66">
        <v>0</v>
      </c>
      <c r="FN50" s="66">
        <v>0</v>
      </c>
      <c r="FO50" s="66">
        <v>0</v>
      </c>
      <c r="FP50" s="66">
        <v>0</v>
      </c>
      <c r="FQ50" s="66">
        <v>0</v>
      </c>
      <c r="FR50" s="67" t="s">
        <v>1094</v>
      </c>
      <c r="FS50" s="67" t="s">
        <v>1094</v>
      </c>
      <c r="FT50" s="67">
        <v>0</v>
      </c>
      <c r="FU50" s="67">
        <v>0</v>
      </c>
      <c r="FV50" s="67">
        <v>0</v>
      </c>
      <c r="FW50" s="66">
        <v>0</v>
      </c>
      <c r="FX50" s="66">
        <v>0</v>
      </c>
      <c r="FY50" s="66">
        <v>0</v>
      </c>
      <c r="FZ50" s="66">
        <v>0</v>
      </c>
      <c r="GA50" s="66">
        <v>0</v>
      </c>
      <c r="GB50" s="66">
        <v>0</v>
      </c>
      <c r="GC50" s="66">
        <v>0</v>
      </c>
      <c r="GD50" s="66">
        <v>0</v>
      </c>
      <c r="GE50" s="66">
        <v>0</v>
      </c>
      <c r="GF50" s="66">
        <v>0</v>
      </c>
      <c r="GG50" s="66">
        <v>0</v>
      </c>
      <c r="GH50" s="67" t="s">
        <v>1094</v>
      </c>
      <c r="GI50" s="67" t="s">
        <v>1094</v>
      </c>
      <c r="GJ50" s="67">
        <v>0</v>
      </c>
      <c r="GK50" s="67">
        <v>0</v>
      </c>
      <c r="GL50" s="67">
        <v>0</v>
      </c>
      <c r="GM50" s="66">
        <v>0</v>
      </c>
      <c r="GN50" s="66">
        <v>0</v>
      </c>
      <c r="GO50" s="66">
        <v>0</v>
      </c>
      <c r="GP50" s="66">
        <v>0</v>
      </c>
      <c r="GQ50" s="66">
        <v>0</v>
      </c>
      <c r="GR50" s="66">
        <v>0</v>
      </c>
      <c r="GS50" s="66">
        <v>0</v>
      </c>
      <c r="GT50" s="66">
        <v>0</v>
      </c>
      <c r="GU50" s="66">
        <v>0</v>
      </c>
      <c r="GV50" s="66">
        <v>0</v>
      </c>
      <c r="GW50" s="66">
        <v>0</v>
      </c>
      <c r="GX50" s="67" t="s">
        <v>1094</v>
      </c>
      <c r="GY50" s="67" t="s">
        <v>1094</v>
      </c>
      <c r="GZ50" s="67">
        <v>0</v>
      </c>
      <c r="HA50" s="67">
        <v>0</v>
      </c>
      <c r="HB50" s="67">
        <v>0</v>
      </c>
      <c r="HC50" s="66">
        <v>6.8118999999999996</v>
      </c>
      <c r="HD50" s="66">
        <v>0</v>
      </c>
      <c r="HE50" s="66">
        <v>16.811900000000001</v>
      </c>
      <c r="HF50" s="66">
        <v>6.8118999999999996</v>
      </c>
      <c r="HG50" s="66">
        <v>10</v>
      </c>
      <c r="HH50" s="66">
        <v>6.8118999999999996</v>
      </c>
      <c r="HI50" s="66">
        <v>7.28E-3</v>
      </c>
      <c r="HJ50" s="66">
        <v>16.811900000000001</v>
      </c>
      <c r="HK50" s="66">
        <v>6.8118999999999996</v>
      </c>
      <c r="HL50" s="66">
        <v>0</v>
      </c>
      <c r="HM50" s="66">
        <v>10</v>
      </c>
      <c r="HN50" s="67">
        <v>100</v>
      </c>
      <c r="HO50" s="67">
        <v>100</v>
      </c>
      <c r="HP50" s="67">
        <v>59.481676669501958</v>
      </c>
      <c r="HQ50" s="67">
        <v>7.28E-3</v>
      </c>
      <c r="HR50" s="67">
        <v>-2.688821387764051E-16</v>
      </c>
      <c r="HS50" s="66">
        <v>0</v>
      </c>
      <c r="HT50" s="66">
        <v>0</v>
      </c>
      <c r="HU50" s="66">
        <v>0</v>
      </c>
      <c r="HV50" s="66">
        <v>0</v>
      </c>
      <c r="HW50" s="66">
        <v>0</v>
      </c>
      <c r="HX50" s="66">
        <v>0</v>
      </c>
      <c r="HY50" s="66">
        <v>0</v>
      </c>
      <c r="HZ50" s="66">
        <v>0</v>
      </c>
      <c r="IA50" s="66">
        <v>0</v>
      </c>
      <c r="IB50" s="66">
        <v>0</v>
      </c>
      <c r="IC50" s="66">
        <v>0</v>
      </c>
      <c r="ID50" s="67" t="s">
        <v>1094</v>
      </c>
      <c r="IE50" s="67" t="s">
        <v>1094</v>
      </c>
      <c r="IF50" s="67">
        <v>0</v>
      </c>
      <c r="IG50" s="67">
        <v>0</v>
      </c>
      <c r="IH50" s="67">
        <v>0</v>
      </c>
    </row>
    <row r="51" spans="1:242" s="126" customFormat="1" ht="15.75" x14ac:dyDescent="0.25">
      <c r="A51" s="68">
        <v>40</v>
      </c>
      <c r="B51" s="192" t="s">
        <v>107</v>
      </c>
      <c r="C51" s="66">
        <v>136.56310000000002</v>
      </c>
      <c r="D51" s="66">
        <v>0</v>
      </c>
      <c r="E51" s="66">
        <v>523.3048</v>
      </c>
      <c r="F51" s="66">
        <v>136.56310000000002</v>
      </c>
      <c r="G51" s="66">
        <v>386.74169999999998</v>
      </c>
      <c r="H51" s="66">
        <v>134.06260737000002</v>
      </c>
      <c r="I51" s="66">
        <v>4.5297642499999995</v>
      </c>
      <c r="J51" s="66">
        <v>517.39169976000005</v>
      </c>
      <c r="K51" s="66">
        <v>134.06260737000002</v>
      </c>
      <c r="L51" s="66">
        <v>0</v>
      </c>
      <c r="M51" s="66">
        <v>383.32909238999997</v>
      </c>
      <c r="N51" s="67">
        <v>98.168983693252414</v>
      </c>
      <c r="O51" s="67">
        <v>99.117600297562944</v>
      </c>
      <c r="P51" s="67">
        <v>74.088759554475445</v>
      </c>
      <c r="Q51" s="66">
        <v>4.5297642499999995</v>
      </c>
      <c r="R51" s="67">
        <v>0</v>
      </c>
      <c r="S51" s="66">
        <v>76.037000000000006</v>
      </c>
      <c r="T51" s="66">
        <v>0</v>
      </c>
      <c r="U51" s="66">
        <v>287.92720000000003</v>
      </c>
      <c r="V51" s="66">
        <v>76.037000000000006</v>
      </c>
      <c r="W51" s="66">
        <v>211.89019999999999</v>
      </c>
      <c r="X51" s="66">
        <v>75.983744860000002</v>
      </c>
      <c r="Y51" s="66">
        <v>2.9704799999999998</v>
      </c>
      <c r="Z51" s="66">
        <v>287.72553558999999</v>
      </c>
      <c r="AA51" s="66">
        <v>75.983744860000002</v>
      </c>
      <c r="AB51" s="66">
        <v>0</v>
      </c>
      <c r="AC51" s="66">
        <v>211.74179072999999</v>
      </c>
      <c r="AD51" s="67">
        <v>99.929961545037287</v>
      </c>
      <c r="AE51" s="67">
        <v>99.929959351588707</v>
      </c>
      <c r="AF51" s="67">
        <v>73.591588002715724</v>
      </c>
      <c r="AG51" s="67">
        <v>2.9704799999999998</v>
      </c>
      <c r="AH51" s="67">
        <v>-4.8849813083506888E-15</v>
      </c>
      <c r="AI51" s="66">
        <v>0</v>
      </c>
      <c r="AJ51" s="66">
        <v>0</v>
      </c>
      <c r="AK51" s="66">
        <v>0</v>
      </c>
      <c r="AL51" s="66">
        <v>0</v>
      </c>
      <c r="AM51" s="66">
        <v>0</v>
      </c>
      <c r="AN51" s="66">
        <v>0</v>
      </c>
      <c r="AO51" s="66">
        <v>1.5592842499999999</v>
      </c>
      <c r="AP51" s="66">
        <v>0</v>
      </c>
      <c r="AQ51" s="66">
        <v>0</v>
      </c>
      <c r="AR51" s="66">
        <v>0</v>
      </c>
      <c r="AS51" s="66">
        <v>0</v>
      </c>
      <c r="AT51" s="67" t="s">
        <v>1094</v>
      </c>
      <c r="AU51" s="67" t="s">
        <v>1094</v>
      </c>
      <c r="AV51" s="67">
        <v>0</v>
      </c>
      <c r="AW51" s="67">
        <v>1.5592842499999999</v>
      </c>
      <c r="AX51" s="67">
        <v>0</v>
      </c>
      <c r="AY51" s="66">
        <v>37.980499999999999</v>
      </c>
      <c r="AZ51" s="66">
        <v>0</v>
      </c>
      <c r="BA51" s="66">
        <v>182.83199999999999</v>
      </c>
      <c r="BB51" s="66">
        <v>37.980499999999999</v>
      </c>
      <c r="BC51" s="66">
        <v>144.85149999999999</v>
      </c>
      <c r="BD51" s="66">
        <v>37.977978999999998</v>
      </c>
      <c r="BE51" s="66">
        <v>0</v>
      </c>
      <c r="BF51" s="66">
        <v>182.81830937000001</v>
      </c>
      <c r="BG51" s="66">
        <v>37.977978999999998</v>
      </c>
      <c r="BH51" s="66">
        <v>0</v>
      </c>
      <c r="BI51" s="66">
        <v>144.84033037</v>
      </c>
      <c r="BJ51" s="67">
        <v>99.993362383328289</v>
      </c>
      <c r="BK51" s="67">
        <v>99.992288909676475</v>
      </c>
      <c r="BL51" s="67">
        <v>79.226381027768056</v>
      </c>
      <c r="BM51" s="67">
        <v>0</v>
      </c>
      <c r="BN51" s="67">
        <v>0</v>
      </c>
      <c r="BO51" s="66">
        <v>0</v>
      </c>
      <c r="BP51" s="66">
        <v>0</v>
      </c>
      <c r="BQ51" s="66">
        <v>0</v>
      </c>
      <c r="BR51" s="66">
        <v>0</v>
      </c>
      <c r="BS51" s="66">
        <v>0</v>
      </c>
      <c r="BT51" s="66">
        <v>0</v>
      </c>
      <c r="BU51" s="66">
        <v>0</v>
      </c>
      <c r="BV51" s="66">
        <v>0</v>
      </c>
      <c r="BW51" s="66">
        <v>0</v>
      </c>
      <c r="BX51" s="66">
        <v>0</v>
      </c>
      <c r="BY51" s="66">
        <v>0</v>
      </c>
      <c r="BZ51" s="67" t="s">
        <v>1094</v>
      </c>
      <c r="CA51" s="67" t="s">
        <v>1094</v>
      </c>
      <c r="CB51" s="67">
        <v>0</v>
      </c>
      <c r="CC51" s="67">
        <v>0</v>
      </c>
      <c r="CD51" s="67">
        <v>0</v>
      </c>
      <c r="CE51" s="66">
        <v>0</v>
      </c>
      <c r="CF51" s="66">
        <v>0</v>
      </c>
      <c r="CG51" s="66">
        <v>0</v>
      </c>
      <c r="CH51" s="66">
        <v>0</v>
      </c>
      <c r="CI51" s="66">
        <v>0</v>
      </c>
      <c r="CJ51" s="66">
        <v>0</v>
      </c>
      <c r="CK51" s="66">
        <v>0</v>
      </c>
      <c r="CL51" s="66">
        <v>0</v>
      </c>
      <c r="CM51" s="66">
        <v>0</v>
      </c>
      <c r="CN51" s="66">
        <v>0</v>
      </c>
      <c r="CO51" s="66">
        <v>0</v>
      </c>
      <c r="CP51" s="67" t="s">
        <v>1094</v>
      </c>
      <c r="CQ51" s="67" t="s">
        <v>1094</v>
      </c>
      <c r="CR51" s="67">
        <v>0</v>
      </c>
      <c r="CS51" s="67">
        <v>0</v>
      </c>
      <c r="CT51" s="67">
        <v>0</v>
      </c>
      <c r="CU51" s="66">
        <v>0</v>
      </c>
      <c r="CV51" s="66">
        <v>0</v>
      </c>
      <c r="CW51" s="66">
        <v>0</v>
      </c>
      <c r="CX51" s="66">
        <v>0</v>
      </c>
      <c r="CY51" s="66">
        <v>0</v>
      </c>
      <c r="CZ51" s="66">
        <v>0</v>
      </c>
      <c r="DA51" s="66">
        <v>0</v>
      </c>
      <c r="DB51" s="66">
        <v>0</v>
      </c>
      <c r="DC51" s="66">
        <v>0</v>
      </c>
      <c r="DD51" s="66">
        <v>0</v>
      </c>
      <c r="DE51" s="66">
        <v>0</v>
      </c>
      <c r="DF51" s="67" t="s">
        <v>1094</v>
      </c>
      <c r="DG51" s="67" t="s">
        <v>1094</v>
      </c>
      <c r="DH51" s="67">
        <v>0</v>
      </c>
      <c r="DI51" s="67">
        <v>0</v>
      </c>
      <c r="DJ51" s="67">
        <v>0</v>
      </c>
      <c r="DK51" s="66">
        <v>0</v>
      </c>
      <c r="DL51" s="66">
        <v>0</v>
      </c>
      <c r="DM51" s="66">
        <v>0</v>
      </c>
      <c r="DN51" s="66">
        <v>0</v>
      </c>
      <c r="DO51" s="66">
        <v>0</v>
      </c>
      <c r="DP51" s="66">
        <v>0</v>
      </c>
      <c r="DQ51" s="66">
        <v>0</v>
      </c>
      <c r="DR51" s="66">
        <v>0</v>
      </c>
      <c r="DS51" s="66">
        <v>0</v>
      </c>
      <c r="DT51" s="66">
        <v>0</v>
      </c>
      <c r="DU51" s="66">
        <v>0</v>
      </c>
      <c r="DV51" s="67" t="s">
        <v>1094</v>
      </c>
      <c r="DW51" s="67" t="s">
        <v>1094</v>
      </c>
      <c r="DX51" s="67">
        <v>0</v>
      </c>
      <c r="DY51" s="67">
        <v>0</v>
      </c>
      <c r="DZ51" s="67">
        <v>0</v>
      </c>
      <c r="EA51" s="66">
        <v>0</v>
      </c>
      <c r="EB51" s="66">
        <v>0</v>
      </c>
      <c r="EC51" s="66">
        <v>0</v>
      </c>
      <c r="ED51" s="66">
        <v>0</v>
      </c>
      <c r="EE51" s="66">
        <v>0</v>
      </c>
      <c r="EF51" s="66">
        <v>0</v>
      </c>
      <c r="EG51" s="66">
        <v>0</v>
      </c>
      <c r="EH51" s="66">
        <v>0</v>
      </c>
      <c r="EI51" s="66">
        <v>0</v>
      </c>
      <c r="EJ51" s="66">
        <v>0</v>
      </c>
      <c r="EK51" s="66">
        <v>0</v>
      </c>
      <c r="EL51" s="67" t="s">
        <v>1094</v>
      </c>
      <c r="EM51" s="67" t="s">
        <v>1094</v>
      </c>
      <c r="EN51" s="67">
        <v>0</v>
      </c>
      <c r="EO51" s="67">
        <v>0</v>
      </c>
      <c r="EP51" s="67">
        <v>0</v>
      </c>
      <c r="EQ51" s="66">
        <v>0</v>
      </c>
      <c r="ER51" s="66">
        <v>0</v>
      </c>
      <c r="ES51" s="66">
        <v>0</v>
      </c>
      <c r="ET51" s="66">
        <v>0</v>
      </c>
      <c r="EU51" s="66">
        <v>0</v>
      </c>
      <c r="EV51" s="66">
        <v>0</v>
      </c>
      <c r="EW51" s="66">
        <v>0</v>
      </c>
      <c r="EX51" s="66">
        <v>0</v>
      </c>
      <c r="EY51" s="66">
        <v>0</v>
      </c>
      <c r="EZ51" s="66">
        <v>0</v>
      </c>
      <c r="FA51" s="66">
        <v>0</v>
      </c>
      <c r="FB51" s="67" t="s">
        <v>1094</v>
      </c>
      <c r="FC51" s="67" t="s">
        <v>1094</v>
      </c>
      <c r="FD51" s="67">
        <v>0</v>
      </c>
      <c r="FE51" s="67">
        <v>0</v>
      </c>
      <c r="FF51" s="67">
        <v>0</v>
      </c>
      <c r="FG51" s="66">
        <v>0</v>
      </c>
      <c r="FH51" s="66">
        <v>0</v>
      </c>
      <c r="FI51" s="66">
        <v>0</v>
      </c>
      <c r="FJ51" s="66">
        <v>0</v>
      </c>
      <c r="FK51" s="66">
        <v>0</v>
      </c>
      <c r="FL51" s="66">
        <v>0</v>
      </c>
      <c r="FM51" s="66">
        <v>0</v>
      </c>
      <c r="FN51" s="66">
        <v>0</v>
      </c>
      <c r="FO51" s="66">
        <v>0</v>
      </c>
      <c r="FP51" s="66">
        <v>0</v>
      </c>
      <c r="FQ51" s="66">
        <v>0</v>
      </c>
      <c r="FR51" s="67" t="s">
        <v>1094</v>
      </c>
      <c r="FS51" s="67" t="s">
        <v>1094</v>
      </c>
      <c r="FT51" s="67">
        <v>0</v>
      </c>
      <c r="FU51" s="67">
        <v>0</v>
      </c>
      <c r="FV51" s="67">
        <v>0</v>
      </c>
      <c r="FW51" s="66">
        <v>22.5456</v>
      </c>
      <c r="FX51" s="66">
        <v>0</v>
      </c>
      <c r="FY51" s="66">
        <v>52.5456</v>
      </c>
      <c r="FZ51" s="66">
        <v>22.5456</v>
      </c>
      <c r="GA51" s="66">
        <v>30</v>
      </c>
      <c r="GB51" s="66">
        <v>20.100883510000003</v>
      </c>
      <c r="GC51" s="66">
        <v>0</v>
      </c>
      <c r="GD51" s="66">
        <v>46.8478548</v>
      </c>
      <c r="GE51" s="66">
        <v>20.100883510000003</v>
      </c>
      <c r="GF51" s="66">
        <v>0</v>
      </c>
      <c r="GG51" s="66">
        <v>26.746971289999998</v>
      </c>
      <c r="GH51" s="67">
        <v>89.156569397132941</v>
      </c>
      <c r="GI51" s="67">
        <v>89.156570966666663</v>
      </c>
      <c r="GJ51" s="67">
        <v>57.093267993137644</v>
      </c>
      <c r="GK51" s="67">
        <v>0</v>
      </c>
      <c r="GL51" s="67">
        <v>0</v>
      </c>
      <c r="GM51" s="66">
        <v>0</v>
      </c>
      <c r="GN51" s="66">
        <v>0</v>
      </c>
      <c r="GO51" s="66">
        <v>0</v>
      </c>
      <c r="GP51" s="66">
        <v>0</v>
      </c>
      <c r="GQ51" s="66">
        <v>0</v>
      </c>
      <c r="GR51" s="66">
        <v>0</v>
      </c>
      <c r="GS51" s="66">
        <v>0</v>
      </c>
      <c r="GT51" s="66">
        <v>0</v>
      </c>
      <c r="GU51" s="66">
        <v>0</v>
      </c>
      <c r="GV51" s="66">
        <v>0</v>
      </c>
      <c r="GW51" s="66">
        <v>0</v>
      </c>
      <c r="GX51" s="67" t="s">
        <v>1094</v>
      </c>
      <c r="GY51" s="67" t="s">
        <v>1094</v>
      </c>
      <c r="GZ51" s="67">
        <v>0</v>
      </c>
      <c r="HA51" s="67">
        <v>0</v>
      </c>
      <c r="HB51" s="67">
        <v>0</v>
      </c>
      <c r="HC51" s="66">
        <v>0</v>
      </c>
      <c r="HD51" s="66">
        <v>0</v>
      </c>
      <c r="HE51" s="66">
        <v>0</v>
      </c>
      <c r="HF51" s="66">
        <v>0</v>
      </c>
      <c r="HG51" s="66">
        <v>0</v>
      </c>
      <c r="HH51" s="66">
        <v>0</v>
      </c>
      <c r="HI51" s="66">
        <v>0</v>
      </c>
      <c r="HJ51" s="66">
        <v>0</v>
      </c>
      <c r="HK51" s="66">
        <v>0</v>
      </c>
      <c r="HL51" s="66">
        <v>0</v>
      </c>
      <c r="HM51" s="66">
        <v>0</v>
      </c>
      <c r="HN51" s="67" t="s">
        <v>1094</v>
      </c>
      <c r="HO51" s="67" t="s">
        <v>1094</v>
      </c>
      <c r="HP51" s="67">
        <v>0</v>
      </c>
      <c r="HQ51" s="67">
        <v>0</v>
      </c>
      <c r="HR51" s="67">
        <v>0</v>
      </c>
      <c r="HS51" s="66">
        <v>0</v>
      </c>
      <c r="HT51" s="66">
        <v>0</v>
      </c>
      <c r="HU51" s="66">
        <v>0</v>
      </c>
      <c r="HV51" s="66">
        <v>0</v>
      </c>
      <c r="HW51" s="66">
        <v>0</v>
      </c>
      <c r="HX51" s="66">
        <v>0</v>
      </c>
      <c r="HY51" s="66">
        <v>0</v>
      </c>
      <c r="HZ51" s="66">
        <v>0</v>
      </c>
      <c r="IA51" s="66">
        <v>0</v>
      </c>
      <c r="IB51" s="66">
        <v>0</v>
      </c>
      <c r="IC51" s="66">
        <v>0</v>
      </c>
      <c r="ID51" s="67" t="s">
        <v>1094</v>
      </c>
      <c r="IE51" s="67" t="s">
        <v>1094</v>
      </c>
      <c r="IF51" s="67">
        <v>0</v>
      </c>
      <c r="IG51" s="67">
        <v>0</v>
      </c>
      <c r="IH51" s="67">
        <v>0</v>
      </c>
    </row>
    <row r="52" spans="1:242" ht="15.75" x14ac:dyDescent="0.25">
      <c r="A52" s="136">
        <v>41</v>
      </c>
      <c r="B52" s="189" t="s">
        <v>319</v>
      </c>
      <c r="C52" s="66">
        <v>0</v>
      </c>
      <c r="D52" s="66">
        <v>0</v>
      </c>
      <c r="E52" s="66">
        <v>0</v>
      </c>
      <c r="F52" s="66">
        <v>0</v>
      </c>
      <c r="G52" s="66">
        <v>0</v>
      </c>
      <c r="H52" s="66">
        <v>0</v>
      </c>
      <c r="I52" s="66">
        <v>0</v>
      </c>
      <c r="J52" s="66">
        <v>0</v>
      </c>
      <c r="K52" s="66">
        <v>0</v>
      </c>
      <c r="L52" s="66">
        <v>0</v>
      </c>
      <c r="M52" s="66">
        <v>0</v>
      </c>
      <c r="N52" s="67" t="s">
        <v>1094</v>
      </c>
      <c r="O52" s="67" t="s">
        <v>1094</v>
      </c>
      <c r="P52" s="67">
        <v>0</v>
      </c>
      <c r="Q52" s="66">
        <v>0</v>
      </c>
      <c r="R52" s="67">
        <v>0</v>
      </c>
      <c r="S52" s="66">
        <v>0</v>
      </c>
      <c r="T52" s="66">
        <v>0</v>
      </c>
      <c r="U52" s="66">
        <v>0</v>
      </c>
      <c r="V52" s="66">
        <v>0</v>
      </c>
      <c r="W52" s="66">
        <v>0</v>
      </c>
      <c r="X52" s="66">
        <v>0</v>
      </c>
      <c r="Y52" s="66">
        <v>0</v>
      </c>
      <c r="Z52" s="66">
        <v>0</v>
      </c>
      <c r="AA52" s="66">
        <v>0</v>
      </c>
      <c r="AB52" s="66">
        <v>0</v>
      </c>
      <c r="AC52" s="66">
        <v>0</v>
      </c>
      <c r="AD52" s="67" t="s">
        <v>1094</v>
      </c>
      <c r="AE52" s="67" t="s">
        <v>1094</v>
      </c>
      <c r="AF52" s="67">
        <v>0</v>
      </c>
      <c r="AG52" s="67">
        <v>0</v>
      </c>
      <c r="AH52" s="67">
        <v>0</v>
      </c>
      <c r="AI52" s="66">
        <v>0</v>
      </c>
      <c r="AJ52" s="66">
        <v>0</v>
      </c>
      <c r="AK52" s="66">
        <v>0</v>
      </c>
      <c r="AL52" s="66">
        <v>0</v>
      </c>
      <c r="AM52" s="66">
        <v>0</v>
      </c>
      <c r="AN52" s="66">
        <v>0</v>
      </c>
      <c r="AO52" s="66">
        <v>0</v>
      </c>
      <c r="AP52" s="66">
        <v>0</v>
      </c>
      <c r="AQ52" s="66">
        <v>0</v>
      </c>
      <c r="AR52" s="66">
        <v>0</v>
      </c>
      <c r="AS52" s="66">
        <v>0</v>
      </c>
      <c r="AT52" s="67" t="s">
        <v>1094</v>
      </c>
      <c r="AU52" s="67" t="s">
        <v>1094</v>
      </c>
      <c r="AV52" s="67">
        <v>0</v>
      </c>
      <c r="AW52" s="67">
        <v>0</v>
      </c>
      <c r="AX52" s="67">
        <v>0</v>
      </c>
      <c r="AY52" s="66">
        <v>0</v>
      </c>
      <c r="AZ52" s="66">
        <v>0</v>
      </c>
      <c r="BA52" s="66">
        <v>0</v>
      </c>
      <c r="BB52" s="66">
        <v>0</v>
      </c>
      <c r="BC52" s="66">
        <v>0</v>
      </c>
      <c r="BD52" s="66">
        <v>0</v>
      </c>
      <c r="BE52" s="66">
        <v>0</v>
      </c>
      <c r="BF52" s="66">
        <v>0</v>
      </c>
      <c r="BG52" s="66">
        <v>0</v>
      </c>
      <c r="BH52" s="66">
        <v>0</v>
      </c>
      <c r="BI52" s="66">
        <v>0</v>
      </c>
      <c r="BJ52" s="67" t="s">
        <v>1094</v>
      </c>
      <c r="BK52" s="67" t="s">
        <v>1094</v>
      </c>
      <c r="BL52" s="67">
        <v>0</v>
      </c>
      <c r="BM52" s="67">
        <v>0</v>
      </c>
      <c r="BN52" s="67">
        <v>0</v>
      </c>
      <c r="BO52" s="66">
        <v>0</v>
      </c>
      <c r="BP52" s="66">
        <v>0</v>
      </c>
      <c r="BQ52" s="66">
        <v>0</v>
      </c>
      <c r="BR52" s="66">
        <v>0</v>
      </c>
      <c r="BS52" s="66">
        <v>0</v>
      </c>
      <c r="BT52" s="66">
        <v>0</v>
      </c>
      <c r="BU52" s="66">
        <v>0</v>
      </c>
      <c r="BV52" s="66">
        <v>0</v>
      </c>
      <c r="BW52" s="66">
        <v>0</v>
      </c>
      <c r="BX52" s="66">
        <v>0</v>
      </c>
      <c r="BY52" s="66">
        <v>0</v>
      </c>
      <c r="BZ52" s="67" t="s">
        <v>1094</v>
      </c>
      <c r="CA52" s="67" t="s">
        <v>1094</v>
      </c>
      <c r="CB52" s="67">
        <v>0</v>
      </c>
      <c r="CC52" s="67">
        <v>0</v>
      </c>
      <c r="CD52" s="67">
        <v>0</v>
      </c>
      <c r="CE52" s="66">
        <v>0</v>
      </c>
      <c r="CF52" s="66">
        <v>0</v>
      </c>
      <c r="CG52" s="66">
        <v>0</v>
      </c>
      <c r="CH52" s="66">
        <v>0</v>
      </c>
      <c r="CI52" s="66">
        <v>0</v>
      </c>
      <c r="CJ52" s="66">
        <v>0</v>
      </c>
      <c r="CK52" s="66">
        <v>0</v>
      </c>
      <c r="CL52" s="66">
        <v>0</v>
      </c>
      <c r="CM52" s="66">
        <v>0</v>
      </c>
      <c r="CN52" s="66">
        <v>0</v>
      </c>
      <c r="CO52" s="66">
        <v>0</v>
      </c>
      <c r="CP52" s="67" t="s">
        <v>1094</v>
      </c>
      <c r="CQ52" s="67" t="s">
        <v>1094</v>
      </c>
      <c r="CR52" s="67">
        <v>0</v>
      </c>
      <c r="CS52" s="67">
        <v>0</v>
      </c>
      <c r="CT52" s="67">
        <v>0</v>
      </c>
      <c r="CU52" s="66">
        <v>0</v>
      </c>
      <c r="CV52" s="66">
        <v>0</v>
      </c>
      <c r="CW52" s="66">
        <v>0</v>
      </c>
      <c r="CX52" s="66">
        <v>0</v>
      </c>
      <c r="CY52" s="66">
        <v>0</v>
      </c>
      <c r="CZ52" s="66">
        <v>0</v>
      </c>
      <c r="DA52" s="66">
        <v>0</v>
      </c>
      <c r="DB52" s="66">
        <v>0</v>
      </c>
      <c r="DC52" s="66">
        <v>0</v>
      </c>
      <c r="DD52" s="66">
        <v>0</v>
      </c>
      <c r="DE52" s="66">
        <v>0</v>
      </c>
      <c r="DF52" s="67" t="s">
        <v>1094</v>
      </c>
      <c r="DG52" s="67" t="s">
        <v>1094</v>
      </c>
      <c r="DH52" s="67">
        <v>0</v>
      </c>
      <c r="DI52" s="67">
        <v>0</v>
      </c>
      <c r="DJ52" s="67">
        <v>0</v>
      </c>
      <c r="DK52" s="66">
        <v>0</v>
      </c>
      <c r="DL52" s="66">
        <v>0</v>
      </c>
      <c r="DM52" s="66">
        <v>0</v>
      </c>
      <c r="DN52" s="66">
        <v>0</v>
      </c>
      <c r="DO52" s="66">
        <v>0</v>
      </c>
      <c r="DP52" s="66">
        <v>0</v>
      </c>
      <c r="DQ52" s="66">
        <v>0</v>
      </c>
      <c r="DR52" s="66">
        <v>0</v>
      </c>
      <c r="DS52" s="66">
        <v>0</v>
      </c>
      <c r="DT52" s="66">
        <v>0</v>
      </c>
      <c r="DU52" s="66">
        <v>0</v>
      </c>
      <c r="DV52" s="67" t="s">
        <v>1094</v>
      </c>
      <c r="DW52" s="67" t="s">
        <v>1094</v>
      </c>
      <c r="DX52" s="67">
        <v>0</v>
      </c>
      <c r="DY52" s="67">
        <v>0</v>
      </c>
      <c r="DZ52" s="67">
        <v>0</v>
      </c>
      <c r="EA52" s="66">
        <v>0</v>
      </c>
      <c r="EB52" s="66">
        <v>0</v>
      </c>
      <c r="EC52" s="66">
        <v>0</v>
      </c>
      <c r="ED52" s="66">
        <v>0</v>
      </c>
      <c r="EE52" s="66">
        <v>0</v>
      </c>
      <c r="EF52" s="66">
        <v>0</v>
      </c>
      <c r="EG52" s="66">
        <v>0</v>
      </c>
      <c r="EH52" s="66">
        <v>0</v>
      </c>
      <c r="EI52" s="66">
        <v>0</v>
      </c>
      <c r="EJ52" s="66">
        <v>0</v>
      </c>
      <c r="EK52" s="66">
        <v>0</v>
      </c>
      <c r="EL52" s="67" t="s">
        <v>1094</v>
      </c>
      <c r="EM52" s="67" t="s">
        <v>1094</v>
      </c>
      <c r="EN52" s="67">
        <v>0</v>
      </c>
      <c r="EO52" s="67">
        <v>0</v>
      </c>
      <c r="EP52" s="67">
        <v>0</v>
      </c>
      <c r="EQ52" s="66">
        <v>0</v>
      </c>
      <c r="ER52" s="66">
        <v>0</v>
      </c>
      <c r="ES52" s="66">
        <v>0</v>
      </c>
      <c r="ET52" s="66">
        <v>0</v>
      </c>
      <c r="EU52" s="66">
        <v>0</v>
      </c>
      <c r="EV52" s="66">
        <v>0</v>
      </c>
      <c r="EW52" s="66">
        <v>0</v>
      </c>
      <c r="EX52" s="66">
        <v>0</v>
      </c>
      <c r="EY52" s="66">
        <v>0</v>
      </c>
      <c r="EZ52" s="66">
        <v>0</v>
      </c>
      <c r="FA52" s="66">
        <v>0</v>
      </c>
      <c r="FB52" s="67" t="s">
        <v>1094</v>
      </c>
      <c r="FC52" s="67" t="s">
        <v>1094</v>
      </c>
      <c r="FD52" s="67">
        <v>0</v>
      </c>
      <c r="FE52" s="67">
        <v>0</v>
      </c>
      <c r="FF52" s="67">
        <v>0</v>
      </c>
      <c r="FG52" s="66">
        <v>0</v>
      </c>
      <c r="FH52" s="66">
        <v>0</v>
      </c>
      <c r="FI52" s="66">
        <v>0</v>
      </c>
      <c r="FJ52" s="66">
        <v>0</v>
      </c>
      <c r="FK52" s="66">
        <v>0</v>
      </c>
      <c r="FL52" s="66">
        <v>0</v>
      </c>
      <c r="FM52" s="66">
        <v>0</v>
      </c>
      <c r="FN52" s="66">
        <v>0</v>
      </c>
      <c r="FO52" s="66">
        <v>0</v>
      </c>
      <c r="FP52" s="66">
        <v>0</v>
      </c>
      <c r="FQ52" s="66">
        <v>0</v>
      </c>
      <c r="FR52" s="67" t="s">
        <v>1094</v>
      </c>
      <c r="FS52" s="67" t="s">
        <v>1094</v>
      </c>
      <c r="FT52" s="67">
        <v>0</v>
      </c>
      <c r="FU52" s="67">
        <v>0</v>
      </c>
      <c r="FV52" s="67">
        <v>0</v>
      </c>
      <c r="FW52" s="66">
        <v>0</v>
      </c>
      <c r="FX52" s="66">
        <v>0</v>
      </c>
      <c r="FY52" s="66">
        <v>0</v>
      </c>
      <c r="FZ52" s="66">
        <v>0</v>
      </c>
      <c r="GA52" s="66">
        <v>0</v>
      </c>
      <c r="GB52" s="66">
        <v>0</v>
      </c>
      <c r="GC52" s="66">
        <v>0</v>
      </c>
      <c r="GD52" s="66">
        <v>0</v>
      </c>
      <c r="GE52" s="66">
        <v>0</v>
      </c>
      <c r="GF52" s="66">
        <v>0</v>
      </c>
      <c r="GG52" s="66">
        <v>0</v>
      </c>
      <c r="GH52" s="67" t="s">
        <v>1094</v>
      </c>
      <c r="GI52" s="67" t="s">
        <v>1094</v>
      </c>
      <c r="GJ52" s="67">
        <v>0</v>
      </c>
      <c r="GK52" s="67">
        <v>0</v>
      </c>
      <c r="GL52" s="67">
        <v>0</v>
      </c>
      <c r="GM52" s="66">
        <v>0</v>
      </c>
      <c r="GN52" s="66">
        <v>0</v>
      </c>
      <c r="GO52" s="66">
        <v>0</v>
      </c>
      <c r="GP52" s="66">
        <v>0</v>
      </c>
      <c r="GQ52" s="66">
        <v>0</v>
      </c>
      <c r="GR52" s="66">
        <v>0</v>
      </c>
      <c r="GS52" s="66">
        <v>0</v>
      </c>
      <c r="GT52" s="66">
        <v>0</v>
      </c>
      <c r="GU52" s="66">
        <v>0</v>
      </c>
      <c r="GV52" s="66">
        <v>0</v>
      </c>
      <c r="GW52" s="66">
        <v>0</v>
      </c>
      <c r="GX52" s="67" t="s">
        <v>1094</v>
      </c>
      <c r="GY52" s="67" t="s">
        <v>1094</v>
      </c>
      <c r="GZ52" s="67">
        <v>0</v>
      </c>
      <c r="HA52" s="67">
        <v>0</v>
      </c>
      <c r="HB52" s="67">
        <v>0</v>
      </c>
      <c r="HC52" s="66">
        <v>0</v>
      </c>
      <c r="HD52" s="66">
        <v>0</v>
      </c>
      <c r="HE52" s="66">
        <v>0</v>
      </c>
      <c r="HF52" s="66">
        <v>0</v>
      </c>
      <c r="HG52" s="66">
        <v>0</v>
      </c>
      <c r="HH52" s="66">
        <v>0</v>
      </c>
      <c r="HI52" s="66">
        <v>0</v>
      </c>
      <c r="HJ52" s="66">
        <v>0</v>
      </c>
      <c r="HK52" s="66">
        <v>0</v>
      </c>
      <c r="HL52" s="66">
        <v>0</v>
      </c>
      <c r="HM52" s="66">
        <v>0</v>
      </c>
      <c r="HN52" s="67" t="s">
        <v>1094</v>
      </c>
      <c r="HO52" s="67" t="s">
        <v>1094</v>
      </c>
      <c r="HP52" s="67">
        <v>0</v>
      </c>
      <c r="HQ52" s="67">
        <v>0</v>
      </c>
      <c r="HR52" s="67">
        <v>0</v>
      </c>
      <c r="HS52" s="66">
        <v>0</v>
      </c>
      <c r="HT52" s="66">
        <v>0</v>
      </c>
      <c r="HU52" s="66">
        <v>0</v>
      </c>
      <c r="HV52" s="66">
        <v>0</v>
      </c>
      <c r="HW52" s="66">
        <v>0</v>
      </c>
      <c r="HX52" s="66">
        <v>0</v>
      </c>
      <c r="HY52" s="66">
        <v>0</v>
      </c>
      <c r="HZ52" s="66">
        <v>0</v>
      </c>
      <c r="IA52" s="66">
        <v>0</v>
      </c>
      <c r="IB52" s="66">
        <v>0</v>
      </c>
      <c r="IC52" s="66">
        <v>0</v>
      </c>
      <c r="ID52" s="67" t="s">
        <v>1094</v>
      </c>
      <c r="IE52" s="67" t="s">
        <v>1094</v>
      </c>
      <c r="IF52" s="67">
        <v>0</v>
      </c>
      <c r="IG52" s="67">
        <v>0</v>
      </c>
      <c r="IH52" s="67">
        <v>0</v>
      </c>
    </row>
    <row r="53" spans="1:242" ht="15.75" x14ac:dyDescent="0.25">
      <c r="A53" s="70">
        <v>42</v>
      </c>
      <c r="B53" s="193" t="s">
        <v>109</v>
      </c>
      <c r="C53" s="61">
        <v>909.97799999999995</v>
      </c>
      <c r="D53" s="61">
        <v>0</v>
      </c>
      <c r="E53" s="61">
        <v>1404.31202093</v>
      </c>
      <c r="F53" s="61">
        <v>909.97799999999995</v>
      </c>
      <c r="G53" s="61">
        <v>494.33402093000001</v>
      </c>
      <c r="H53" s="61">
        <v>908.21400859000005</v>
      </c>
      <c r="I53" s="61">
        <v>71.16275985</v>
      </c>
      <c r="J53" s="61">
        <v>1399.8697348000001</v>
      </c>
      <c r="K53" s="61">
        <v>907.95105137999985</v>
      </c>
      <c r="L53" s="61">
        <v>0</v>
      </c>
      <c r="M53" s="61">
        <v>491.91868341999998</v>
      </c>
      <c r="N53" s="61">
        <v>99.777253008314474</v>
      </c>
      <c r="O53" s="61">
        <v>99.511395654004147</v>
      </c>
      <c r="P53" s="61">
        <v>35.140318501869785</v>
      </c>
      <c r="Q53" s="61">
        <v>71.16275985</v>
      </c>
      <c r="R53" s="61">
        <v>0.26295721000001226</v>
      </c>
      <c r="S53" s="61">
        <v>409.64280000000002</v>
      </c>
      <c r="T53" s="61">
        <v>0</v>
      </c>
      <c r="U53" s="61">
        <v>494.03264251000002</v>
      </c>
      <c r="V53" s="61">
        <v>409.64280000000002</v>
      </c>
      <c r="W53" s="61">
        <v>84.389842509999994</v>
      </c>
      <c r="X53" s="61">
        <v>409.64279928000002</v>
      </c>
      <c r="Y53" s="61">
        <v>0.52085718999999997</v>
      </c>
      <c r="Z53" s="61">
        <v>494.03262729000005</v>
      </c>
      <c r="AA53" s="61">
        <v>409.64279928000002</v>
      </c>
      <c r="AB53" s="61">
        <v>0</v>
      </c>
      <c r="AC53" s="61">
        <v>84.389828010000002</v>
      </c>
      <c r="AD53" s="61">
        <v>99.999999824237122</v>
      </c>
      <c r="AE53" s="61">
        <v>99.999982817837363</v>
      </c>
      <c r="AF53" s="61">
        <v>17.081832929318384</v>
      </c>
      <c r="AG53" s="61">
        <v>0.52085718999999997</v>
      </c>
      <c r="AH53" s="61">
        <v>9.9920072216264089E-16</v>
      </c>
      <c r="AI53" s="61">
        <v>0</v>
      </c>
      <c r="AJ53" s="61">
        <v>0</v>
      </c>
      <c r="AK53" s="61">
        <v>0</v>
      </c>
      <c r="AL53" s="61">
        <v>0</v>
      </c>
      <c r="AM53" s="61">
        <v>0</v>
      </c>
      <c r="AN53" s="61">
        <v>0</v>
      </c>
      <c r="AO53" s="61">
        <v>0</v>
      </c>
      <c r="AP53" s="61">
        <v>0</v>
      </c>
      <c r="AQ53" s="61">
        <v>0</v>
      </c>
      <c r="AR53" s="61">
        <v>0</v>
      </c>
      <c r="AS53" s="61">
        <v>0</v>
      </c>
      <c r="AT53" s="61" t="s">
        <v>1094</v>
      </c>
      <c r="AU53" s="61" t="s">
        <v>1094</v>
      </c>
      <c r="AV53" s="61">
        <v>0</v>
      </c>
      <c r="AW53" s="61">
        <v>0</v>
      </c>
      <c r="AX53" s="61">
        <v>0</v>
      </c>
      <c r="AY53" s="61">
        <v>213.72739999999999</v>
      </c>
      <c r="AZ53" s="61">
        <v>0</v>
      </c>
      <c r="BA53" s="61">
        <v>483.03788498</v>
      </c>
      <c r="BB53" s="61">
        <v>213.72739999999999</v>
      </c>
      <c r="BC53" s="61">
        <v>269.31048498000001</v>
      </c>
      <c r="BD53" s="61">
        <v>212.83985493000003</v>
      </c>
      <c r="BE53" s="61">
        <v>21.26100366</v>
      </c>
      <c r="BF53" s="61">
        <v>481.08607572999995</v>
      </c>
      <c r="BG53" s="61">
        <v>212.57739855000003</v>
      </c>
      <c r="BH53" s="61">
        <v>0</v>
      </c>
      <c r="BI53" s="61">
        <v>268.50867718000001</v>
      </c>
      <c r="BJ53" s="61">
        <v>99.461930735132725</v>
      </c>
      <c r="BK53" s="61">
        <v>99.702273827155466</v>
      </c>
      <c r="BL53" s="61">
        <v>55.813021977941254</v>
      </c>
      <c r="BM53" s="61">
        <v>21.26100366</v>
      </c>
      <c r="BN53" s="61">
        <v>0.26245637999999882</v>
      </c>
      <c r="BO53" s="61">
        <v>0</v>
      </c>
      <c r="BP53" s="61">
        <v>0</v>
      </c>
      <c r="BQ53" s="61">
        <v>0</v>
      </c>
      <c r="BR53" s="61">
        <v>0</v>
      </c>
      <c r="BS53" s="61">
        <v>0</v>
      </c>
      <c r="BT53" s="61">
        <v>0</v>
      </c>
      <c r="BU53" s="61">
        <v>0</v>
      </c>
      <c r="BV53" s="61">
        <v>0</v>
      </c>
      <c r="BW53" s="61">
        <v>0</v>
      </c>
      <c r="BX53" s="61">
        <v>0</v>
      </c>
      <c r="BY53" s="61">
        <v>0</v>
      </c>
      <c r="BZ53" s="61" t="s">
        <v>1094</v>
      </c>
      <c r="CA53" s="61" t="s">
        <v>1094</v>
      </c>
      <c r="CB53" s="61">
        <v>0</v>
      </c>
      <c r="CC53" s="61">
        <v>0</v>
      </c>
      <c r="CD53" s="61">
        <v>0</v>
      </c>
      <c r="CE53" s="61">
        <v>157.727</v>
      </c>
      <c r="CF53" s="61">
        <v>0</v>
      </c>
      <c r="CG53" s="61">
        <v>207.76994286000001</v>
      </c>
      <c r="CH53" s="61">
        <v>157.727</v>
      </c>
      <c r="CI53" s="61">
        <v>50.042942859999997</v>
      </c>
      <c r="CJ53" s="61">
        <v>157.72607592</v>
      </c>
      <c r="CK53" s="61">
        <v>16.221619</v>
      </c>
      <c r="CL53" s="61">
        <v>207.76849290999999</v>
      </c>
      <c r="CM53" s="61">
        <v>157.72557509000001</v>
      </c>
      <c r="CN53" s="61">
        <v>0</v>
      </c>
      <c r="CO53" s="61">
        <v>50.04291782</v>
      </c>
      <c r="CP53" s="61">
        <v>99.999096597285188</v>
      </c>
      <c r="CQ53" s="61">
        <v>99.999949962974668</v>
      </c>
      <c r="CR53" s="61">
        <v>24.085903073704884</v>
      </c>
      <c r="CS53" s="61">
        <v>16.221619</v>
      </c>
      <c r="CT53" s="61">
        <v>5.0083000000356037E-4</v>
      </c>
      <c r="CU53" s="61">
        <v>0</v>
      </c>
      <c r="CV53" s="61">
        <v>0</v>
      </c>
      <c r="CW53" s="61">
        <v>0</v>
      </c>
      <c r="CX53" s="61">
        <v>0</v>
      </c>
      <c r="CY53" s="61">
        <v>0</v>
      </c>
      <c r="CZ53" s="61">
        <v>0</v>
      </c>
      <c r="DA53" s="61">
        <v>0</v>
      </c>
      <c r="DB53" s="61">
        <v>0</v>
      </c>
      <c r="DC53" s="61">
        <v>0</v>
      </c>
      <c r="DD53" s="61">
        <v>0</v>
      </c>
      <c r="DE53" s="61">
        <v>0</v>
      </c>
      <c r="DF53" s="61" t="s">
        <v>1094</v>
      </c>
      <c r="DG53" s="61" t="s">
        <v>1094</v>
      </c>
      <c r="DH53" s="61">
        <v>0</v>
      </c>
      <c r="DI53" s="61">
        <v>0</v>
      </c>
      <c r="DJ53" s="61">
        <v>0</v>
      </c>
      <c r="DK53" s="61">
        <v>39.417000000000002</v>
      </c>
      <c r="DL53" s="61">
        <v>0</v>
      </c>
      <c r="DM53" s="61">
        <v>59.834923380000006</v>
      </c>
      <c r="DN53" s="61">
        <v>39.417000000000002</v>
      </c>
      <c r="DO53" s="61">
        <v>20.417923380000001</v>
      </c>
      <c r="DP53" s="61">
        <v>39.416977059999994</v>
      </c>
      <c r="DQ53" s="61">
        <v>0</v>
      </c>
      <c r="DR53" s="61">
        <v>59.834900440000006</v>
      </c>
      <c r="DS53" s="61">
        <v>39.416977059999994</v>
      </c>
      <c r="DT53" s="61">
        <v>0</v>
      </c>
      <c r="DU53" s="61">
        <v>20.417923380000001</v>
      </c>
      <c r="DV53" s="61">
        <v>99.999941801760642</v>
      </c>
      <c r="DW53" s="61">
        <v>100</v>
      </c>
      <c r="DX53" s="61">
        <v>34.123769288250529</v>
      </c>
      <c r="DY53" s="61">
        <v>0</v>
      </c>
      <c r="DZ53" s="61">
        <v>0</v>
      </c>
      <c r="EA53" s="61">
        <v>0</v>
      </c>
      <c r="EB53" s="61">
        <v>0</v>
      </c>
      <c r="EC53" s="61">
        <v>0</v>
      </c>
      <c r="ED53" s="61">
        <v>0</v>
      </c>
      <c r="EE53" s="61">
        <v>0</v>
      </c>
      <c r="EF53" s="61">
        <v>0</v>
      </c>
      <c r="EG53" s="61">
        <v>0</v>
      </c>
      <c r="EH53" s="61">
        <v>0</v>
      </c>
      <c r="EI53" s="61">
        <v>0</v>
      </c>
      <c r="EJ53" s="61">
        <v>0</v>
      </c>
      <c r="EK53" s="61">
        <v>0</v>
      </c>
      <c r="EL53" s="61" t="s">
        <v>1094</v>
      </c>
      <c r="EM53" s="61" t="s">
        <v>1094</v>
      </c>
      <c r="EN53" s="61">
        <v>0</v>
      </c>
      <c r="EO53" s="61">
        <v>0</v>
      </c>
      <c r="EP53" s="61">
        <v>0</v>
      </c>
      <c r="EQ53" s="61">
        <v>37.841999999999999</v>
      </c>
      <c r="ER53" s="61">
        <v>0</v>
      </c>
      <c r="ES53" s="61">
        <v>97.641166409999997</v>
      </c>
      <c r="ET53" s="61">
        <v>37.841999999999999</v>
      </c>
      <c r="EU53" s="61">
        <v>59.799166409999998</v>
      </c>
      <c r="EV53" s="61">
        <v>36.966501399999999</v>
      </c>
      <c r="EW53" s="61">
        <v>22.76736</v>
      </c>
      <c r="EX53" s="61">
        <v>95.152177639999991</v>
      </c>
      <c r="EY53" s="61">
        <v>36.966501399999999</v>
      </c>
      <c r="EZ53" s="61">
        <v>0</v>
      </c>
      <c r="FA53" s="61">
        <v>58.185676240000006</v>
      </c>
      <c r="FB53" s="61">
        <v>97.686436763384592</v>
      </c>
      <c r="FC53" s="61">
        <v>97.301818291349676</v>
      </c>
      <c r="FD53" s="61">
        <v>61.150125707201852</v>
      </c>
      <c r="FE53" s="61">
        <v>22.76736</v>
      </c>
      <c r="FF53" s="61">
        <v>3.5527136788005009E-15</v>
      </c>
      <c r="FG53" s="61">
        <v>0</v>
      </c>
      <c r="FH53" s="61">
        <v>0</v>
      </c>
      <c r="FI53" s="61">
        <v>0</v>
      </c>
      <c r="FJ53" s="61">
        <v>0</v>
      </c>
      <c r="FK53" s="61">
        <v>0</v>
      </c>
      <c r="FL53" s="61">
        <v>0</v>
      </c>
      <c r="FM53" s="61">
        <v>0</v>
      </c>
      <c r="FN53" s="61">
        <v>0</v>
      </c>
      <c r="FO53" s="61">
        <v>0</v>
      </c>
      <c r="FP53" s="61">
        <v>0</v>
      </c>
      <c r="FQ53" s="61">
        <v>0</v>
      </c>
      <c r="FR53" s="61" t="s">
        <v>1094</v>
      </c>
      <c r="FS53" s="61" t="s">
        <v>1094</v>
      </c>
      <c r="FT53" s="61">
        <v>0</v>
      </c>
      <c r="FU53" s="61">
        <v>0</v>
      </c>
      <c r="FV53" s="61">
        <v>0</v>
      </c>
      <c r="FW53" s="61">
        <v>50.544600000000003</v>
      </c>
      <c r="FX53" s="61">
        <v>0</v>
      </c>
      <c r="FY53" s="61">
        <v>60.589300000000001</v>
      </c>
      <c r="FZ53" s="61">
        <v>50.544600000000003</v>
      </c>
      <c r="GA53" s="61">
        <v>10.044700000000001</v>
      </c>
      <c r="GB53" s="61">
        <v>50.544600000000003</v>
      </c>
      <c r="GC53" s="61">
        <v>10.391920000000001</v>
      </c>
      <c r="GD53" s="61">
        <v>60.589300000000001</v>
      </c>
      <c r="GE53" s="61">
        <v>50.544600000000003</v>
      </c>
      <c r="GF53" s="61">
        <v>0</v>
      </c>
      <c r="GG53" s="61">
        <v>10.044700000000001</v>
      </c>
      <c r="GH53" s="61">
        <v>100</v>
      </c>
      <c r="GI53" s="61">
        <v>100</v>
      </c>
      <c r="GJ53" s="61">
        <v>16.578339739855057</v>
      </c>
      <c r="GK53" s="61">
        <v>10.391920000000001</v>
      </c>
      <c r="GL53" s="61">
        <v>-1.7763568394002505E-15</v>
      </c>
      <c r="GM53" s="61">
        <v>0</v>
      </c>
      <c r="GN53" s="61">
        <v>0</v>
      </c>
      <c r="GO53" s="61">
        <v>0</v>
      </c>
      <c r="GP53" s="61">
        <v>0</v>
      </c>
      <c r="GQ53" s="61">
        <v>0</v>
      </c>
      <c r="GR53" s="61">
        <v>0</v>
      </c>
      <c r="GS53" s="61">
        <v>0</v>
      </c>
      <c r="GT53" s="61">
        <v>0</v>
      </c>
      <c r="GU53" s="61">
        <v>0</v>
      </c>
      <c r="GV53" s="61">
        <v>0</v>
      </c>
      <c r="GW53" s="61">
        <v>0</v>
      </c>
      <c r="GX53" s="61" t="s">
        <v>1094</v>
      </c>
      <c r="GY53" s="61" t="s">
        <v>1094</v>
      </c>
      <c r="GZ53" s="61">
        <v>0</v>
      </c>
      <c r="HA53" s="61">
        <v>0</v>
      </c>
      <c r="HB53" s="61">
        <v>0</v>
      </c>
      <c r="HC53" s="61">
        <v>1.0771999999999999</v>
      </c>
      <c r="HD53" s="61">
        <v>0</v>
      </c>
      <c r="HE53" s="61">
        <v>1.4061607899999999</v>
      </c>
      <c r="HF53" s="61">
        <v>1.0771999999999999</v>
      </c>
      <c r="HG53" s="61">
        <v>0.32896079</v>
      </c>
      <c r="HH53" s="61">
        <v>1.0771999999999999</v>
      </c>
      <c r="HI53" s="61">
        <v>0</v>
      </c>
      <c r="HJ53" s="61">
        <v>1.4061607899999999</v>
      </c>
      <c r="HK53" s="61">
        <v>1.0771999999999999</v>
      </c>
      <c r="HL53" s="61">
        <v>0</v>
      </c>
      <c r="HM53" s="61">
        <v>0.32896079</v>
      </c>
      <c r="HN53" s="61">
        <v>100</v>
      </c>
      <c r="HO53" s="61">
        <v>100</v>
      </c>
      <c r="HP53" s="61">
        <v>23.394251378606569</v>
      </c>
      <c r="HQ53" s="61">
        <v>0</v>
      </c>
      <c r="HR53" s="61">
        <v>0</v>
      </c>
      <c r="HS53" s="61">
        <v>0</v>
      </c>
      <c r="HT53" s="61">
        <v>0</v>
      </c>
      <c r="HU53" s="61">
        <v>0</v>
      </c>
      <c r="HV53" s="61">
        <v>0</v>
      </c>
      <c r="HW53" s="61">
        <v>0</v>
      </c>
      <c r="HX53" s="61">
        <v>0</v>
      </c>
      <c r="HY53" s="61">
        <v>0</v>
      </c>
      <c r="HZ53" s="61">
        <v>0</v>
      </c>
      <c r="IA53" s="61">
        <v>0</v>
      </c>
      <c r="IB53" s="61">
        <v>0</v>
      </c>
      <c r="IC53" s="61">
        <v>0</v>
      </c>
      <c r="ID53" s="61" t="s">
        <v>1094</v>
      </c>
      <c r="IE53" s="61" t="s">
        <v>1094</v>
      </c>
      <c r="IF53" s="61">
        <v>0</v>
      </c>
      <c r="IG53" s="61">
        <v>0</v>
      </c>
      <c r="IH53" s="61">
        <v>0</v>
      </c>
    </row>
    <row r="54" spans="1:242" ht="15.75" x14ac:dyDescent="0.25">
      <c r="A54" s="72">
        <v>43</v>
      </c>
      <c r="B54" s="192" t="s">
        <v>111</v>
      </c>
      <c r="C54" s="66">
        <v>479.58510000000001</v>
      </c>
      <c r="D54" s="66">
        <v>0</v>
      </c>
      <c r="E54" s="66">
        <v>750.27210000000002</v>
      </c>
      <c r="F54" s="66">
        <v>479.58510000000001</v>
      </c>
      <c r="G54" s="66">
        <v>270.68700000000001</v>
      </c>
      <c r="H54" s="66">
        <v>479.58412414999998</v>
      </c>
      <c r="I54" s="66">
        <v>63.644805000000005</v>
      </c>
      <c r="J54" s="66">
        <v>750.27108284999997</v>
      </c>
      <c r="K54" s="66">
        <v>479.58412414999998</v>
      </c>
      <c r="L54" s="66">
        <v>0</v>
      </c>
      <c r="M54" s="66">
        <v>270.68695869999999</v>
      </c>
      <c r="N54" s="67">
        <v>99.999796522035382</v>
      </c>
      <c r="O54" s="67">
        <v>99.999984742525498</v>
      </c>
      <c r="P54" s="67">
        <v>36.078554123632387</v>
      </c>
      <c r="Q54" s="66">
        <v>63.644805000000005</v>
      </c>
      <c r="R54" s="67">
        <v>1.4210854715202004E-14</v>
      </c>
      <c r="S54" s="66">
        <v>238.08250000000001</v>
      </c>
      <c r="T54" s="66">
        <v>0</v>
      </c>
      <c r="U54" s="66">
        <v>251.08250000000001</v>
      </c>
      <c r="V54" s="66">
        <v>238.08250000000001</v>
      </c>
      <c r="W54" s="66">
        <v>13</v>
      </c>
      <c r="X54" s="66">
        <v>238.08250000000001</v>
      </c>
      <c r="Y54" s="66">
        <v>0</v>
      </c>
      <c r="Z54" s="66">
        <v>251.08250000000001</v>
      </c>
      <c r="AA54" s="66">
        <v>238.08250000000001</v>
      </c>
      <c r="AB54" s="66">
        <v>0</v>
      </c>
      <c r="AC54" s="66">
        <v>13</v>
      </c>
      <c r="AD54" s="67">
        <v>100</v>
      </c>
      <c r="AE54" s="67">
        <v>100</v>
      </c>
      <c r="AF54" s="67">
        <v>5.1775810739497965</v>
      </c>
      <c r="AG54" s="67">
        <v>0</v>
      </c>
      <c r="AH54" s="67">
        <v>0</v>
      </c>
      <c r="AI54" s="66">
        <v>0</v>
      </c>
      <c r="AJ54" s="66">
        <v>0</v>
      </c>
      <c r="AK54" s="66">
        <v>0</v>
      </c>
      <c r="AL54" s="66">
        <v>0</v>
      </c>
      <c r="AM54" s="66">
        <v>0</v>
      </c>
      <c r="AN54" s="66">
        <v>0</v>
      </c>
      <c r="AO54" s="66">
        <v>0</v>
      </c>
      <c r="AP54" s="66">
        <v>0</v>
      </c>
      <c r="AQ54" s="66">
        <v>0</v>
      </c>
      <c r="AR54" s="66">
        <v>0</v>
      </c>
      <c r="AS54" s="66">
        <v>0</v>
      </c>
      <c r="AT54" s="67" t="s">
        <v>1094</v>
      </c>
      <c r="AU54" s="67" t="s">
        <v>1094</v>
      </c>
      <c r="AV54" s="67">
        <v>0</v>
      </c>
      <c r="AW54" s="67">
        <v>0</v>
      </c>
      <c r="AX54" s="67">
        <v>0</v>
      </c>
      <c r="AY54" s="66">
        <v>47.558</v>
      </c>
      <c r="AZ54" s="66">
        <v>0</v>
      </c>
      <c r="BA54" s="66">
        <v>221.0838</v>
      </c>
      <c r="BB54" s="66">
        <v>47.558</v>
      </c>
      <c r="BC54" s="66">
        <v>173.5258</v>
      </c>
      <c r="BD54" s="66">
        <v>47.557971090000002</v>
      </c>
      <c r="BE54" s="66">
        <v>14.263906</v>
      </c>
      <c r="BF54" s="66">
        <v>221.08372978999998</v>
      </c>
      <c r="BG54" s="66">
        <v>47.557971090000002</v>
      </c>
      <c r="BH54" s="66">
        <v>0</v>
      </c>
      <c r="BI54" s="66">
        <v>173.52575869999998</v>
      </c>
      <c r="BJ54" s="67">
        <v>99.999939211068607</v>
      </c>
      <c r="BK54" s="67">
        <v>99.999976199504616</v>
      </c>
      <c r="BL54" s="67">
        <v>78.488706005107787</v>
      </c>
      <c r="BM54" s="67">
        <v>14.263906</v>
      </c>
      <c r="BN54" s="67">
        <v>-1.7763568394002505E-15</v>
      </c>
      <c r="BO54" s="66">
        <v>0</v>
      </c>
      <c r="BP54" s="66">
        <v>0</v>
      </c>
      <c r="BQ54" s="66">
        <v>0</v>
      </c>
      <c r="BR54" s="66">
        <v>0</v>
      </c>
      <c r="BS54" s="66">
        <v>0</v>
      </c>
      <c r="BT54" s="66">
        <v>0</v>
      </c>
      <c r="BU54" s="66">
        <v>0</v>
      </c>
      <c r="BV54" s="66">
        <v>0</v>
      </c>
      <c r="BW54" s="66">
        <v>0</v>
      </c>
      <c r="BX54" s="66">
        <v>0</v>
      </c>
      <c r="BY54" s="66">
        <v>0</v>
      </c>
      <c r="BZ54" s="67" t="s">
        <v>1094</v>
      </c>
      <c r="CA54" s="67" t="s">
        <v>1094</v>
      </c>
      <c r="CB54" s="67">
        <v>0</v>
      </c>
      <c r="CC54" s="67">
        <v>0</v>
      </c>
      <c r="CD54" s="67">
        <v>0</v>
      </c>
      <c r="CE54" s="66">
        <v>103.536</v>
      </c>
      <c r="CF54" s="66">
        <v>0</v>
      </c>
      <c r="CG54" s="66">
        <v>128.59280000000001</v>
      </c>
      <c r="CH54" s="66">
        <v>103.536</v>
      </c>
      <c r="CI54" s="66">
        <v>25.056799999999999</v>
      </c>
      <c r="CJ54" s="66">
        <v>103.53507592</v>
      </c>
      <c r="CK54" s="66">
        <v>16.221619</v>
      </c>
      <c r="CL54" s="66">
        <v>128.59187592000001</v>
      </c>
      <c r="CM54" s="66">
        <v>103.53507592</v>
      </c>
      <c r="CN54" s="66">
        <v>0</v>
      </c>
      <c r="CO54" s="66">
        <v>25.056799999999999</v>
      </c>
      <c r="CP54" s="67">
        <v>99.999107479524028</v>
      </c>
      <c r="CQ54" s="67">
        <v>100</v>
      </c>
      <c r="CR54" s="67">
        <v>19.485523343316352</v>
      </c>
      <c r="CS54" s="67">
        <v>16.221619</v>
      </c>
      <c r="CT54" s="67">
        <v>3.5527136788005009E-15</v>
      </c>
      <c r="CU54" s="66">
        <v>0</v>
      </c>
      <c r="CV54" s="66">
        <v>0</v>
      </c>
      <c r="CW54" s="66">
        <v>0</v>
      </c>
      <c r="CX54" s="66">
        <v>0</v>
      </c>
      <c r="CY54" s="66">
        <v>0</v>
      </c>
      <c r="CZ54" s="66">
        <v>0</v>
      </c>
      <c r="DA54" s="66">
        <v>0</v>
      </c>
      <c r="DB54" s="66">
        <v>0</v>
      </c>
      <c r="DC54" s="66">
        <v>0</v>
      </c>
      <c r="DD54" s="66">
        <v>0</v>
      </c>
      <c r="DE54" s="66">
        <v>0</v>
      </c>
      <c r="DF54" s="67" t="s">
        <v>1094</v>
      </c>
      <c r="DG54" s="67" t="s">
        <v>1094</v>
      </c>
      <c r="DH54" s="67">
        <v>0</v>
      </c>
      <c r="DI54" s="67">
        <v>0</v>
      </c>
      <c r="DJ54" s="67">
        <v>0</v>
      </c>
      <c r="DK54" s="66">
        <v>22.766999999999999</v>
      </c>
      <c r="DL54" s="66">
        <v>0</v>
      </c>
      <c r="DM54" s="66">
        <v>36.3277</v>
      </c>
      <c r="DN54" s="66">
        <v>22.766999999999999</v>
      </c>
      <c r="DO54" s="66">
        <v>13.560700000000001</v>
      </c>
      <c r="DP54" s="66">
        <v>22.766977140000002</v>
      </c>
      <c r="DQ54" s="66">
        <v>0</v>
      </c>
      <c r="DR54" s="66">
        <v>36.327677139999999</v>
      </c>
      <c r="DS54" s="66">
        <v>22.766977140000002</v>
      </c>
      <c r="DT54" s="66">
        <v>0</v>
      </c>
      <c r="DU54" s="66">
        <v>13.560700000000001</v>
      </c>
      <c r="DV54" s="67">
        <v>99.999899591514037</v>
      </c>
      <c r="DW54" s="67">
        <v>100</v>
      </c>
      <c r="DX54" s="67">
        <v>37.328838691611431</v>
      </c>
      <c r="DY54" s="67">
        <v>0</v>
      </c>
      <c r="DZ54" s="67">
        <v>0</v>
      </c>
      <c r="EA54" s="66">
        <v>0</v>
      </c>
      <c r="EB54" s="66">
        <v>0</v>
      </c>
      <c r="EC54" s="66">
        <v>0</v>
      </c>
      <c r="ED54" s="66">
        <v>0</v>
      </c>
      <c r="EE54" s="66">
        <v>0</v>
      </c>
      <c r="EF54" s="66">
        <v>0</v>
      </c>
      <c r="EG54" s="66">
        <v>0</v>
      </c>
      <c r="EH54" s="66">
        <v>0</v>
      </c>
      <c r="EI54" s="66">
        <v>0</v>
      </c>
      <c r="EJ54" s="66">
        <v>0</v>
      </c>
      <c r="EK54" s="66">
        <v>0</v>
      </c>
      <c r="EL54" s="67" t="s">
        <v>1094</v>
      </c>
      <c r="EM54" s="67" t="s">
        <v>1094</v>
      </c>
      <c r="EN54" s="67">
        <v>0</v>
      </c>
      <c r="EO54" s="67">
        <v>0</v>
      </c>
      <c r="EP54" s="67">
        <v>0</v>
      </c>
      <c r="EQ54" s="66">
        <v>17.097000000000001</v>
      </c>
      <c r="ER54" s="66">
        <v>0</v>
      </c>
      <c r="ES54" s="66">
        <v>52.595999999999997</v>
      </c>
      <c r="ET54" s="66">
        <v>17.097000000000001</v>
      </c>
      <c r="EU54" s="66">
        <v>35.499000000000002</v>
      </c>
      <c r="EV54" s="66">
        <v>17.097000000000001</v>
      </c>
      <c r="EW54" s="66">
        <v>22.76736</v>
      </c>
      <c r="EX54" s="66">
        <v>52.595999999999997</v>
      </c>
      <c r="EY54" s="66">
        <v>17.097000000000001</v>
      </c>
      <c r="EZ54" s="66">
        <v>0</v>
      </c>
      <c r="FA54" s="66">
        <v>35.499000000000002</v>
      </c>
      <c r="FB54" s="67">
        <v>100</v>
      </c>
      <c r="FC54" s="67">
        <v>100</v>
      </c>
      <c r="FD54" s="67">
        <v>67.49372575861284</v>
      </c>
      <c r="FE54" s="67">
        <v>22.76736</v>
      </c>
      <c r="FF54" s="67">
        <v>3.5527136788005009E-15</v>
      </c>
      <c r="FG54" s="66">
        <v>0</v>
      </c>
      <c r="FH54" s="66">
        <v>0</v>
      </c>
      <c r="FI54" s="66">
        <v>0</v>
      </c>
      <c r="FJ54" s="66">
        <v>0</v>
      </c>
      <c r="FK54" s="66">
        <v>0</v>
      </c>
      <c r="FL54" s="66">
        <v>0</v>
      </c>
      <c r="FM54" s="66">
        <v>0</v>
      </c>
      <c r="FN54" s="66">
        <v>0</v>
      </c>
      <c r="FO54" s="66">
        <v>0</v>
      </c>
      <c r="FP54" s="66">
        <v>0</v>
      </c>
      <c r="FQ54" s="66">
        <v>0</v>
      </c>
      <c r="FR54" s="67" t="s">
        <v>1094</v>
      </c>
      <c r="FS54" s="67" t="s">
        <v>1094</v>
      </c>
      <c r="FT54" s="67">
        <v>0</v>
      </c>
      <c r="FU54" s="67">
        <v>0</v>
      </c>
      <c r="FV54" s="67">
        <v>0</v>
      </c>
      <c r="FW54" s="66">
        <v>50.544600000000003</v>
      </c>
      <c r="FX54" s="66">
        <v>0</v>
      </c>
      <c r="FY54" s="66">
        <v>60.589300000000001</v>
      </c>
      <c r="FZ54" s="66">
        <v>50.544600000000003</v>
      </c>
      <c r="GA54" s="66">
        <v>10.044700000000001</v>
      </c>
      <c r="GB54" s="66">
        <v>50.544600000000003</v>
      </c>
      <c r="GC54" s="66">
        <v>10.391920000000001</v>
      </c>
      <c r="GD54" s="66">
        <v>60.589300000000001</v>
      </c>
      <c r="GE54" s="66">
        <v>50.544600000000003</v>
      </c>
      <c r="GF54" s="66">
        <v>0</v>
      </c>
      <c r="GG54" s="66">
        <v>10.044700000000001</v>
      </c>
      <c r="GH54" s="67">
        <v>100</v>
      </c>
      <c r="GI54" s="67">
        <v>100</v>
      </c>
      <c r="GJ54" s="67">
        <v>16.578339739855057</v>
      </c>
      <c r="GK54" s="67">
        <v>10.391920000000001</v>
      </c>
      <c r="GL54" s="67">
        <v>-1.7763568394002505E-15</v>
      </c>
      <c r="GM54" s="66">
        <v>0</v>
      </c>
      <c r="GN54" s="66">
        <v>0</v>
      </c>
      <c r="GO54" s="66">
        <v>0</v>
      </c>
      <c r="GP54" s="66">
        <v>0</v>
      </c>
      <c r="GQ54" s="66">
        <v>0</v>
      </c>
      <c r="GR54" s="66">
        <v>0</v>
      </c>
      <c r="GS54" s="66">
        <v>0</v>
      </c>
      <c r="GT54" s="66">
        <v>0</v>
      </c>
      <c r="GU54" s="66">
        <v>0</v>
      </c>
      <c r="GV54" s="66">
        <v>0</v>
      </c>
      <c r="GW54" s="66">
        <v>0</v>
      </c>
      <c r="GX54" s="67" t="s">
        <v>1094</v>
      </c>
      <c r="GY54" s="67" t="s">
        <v>1094</v>
      </c>
      <c r="GZ54" s="67">
        <v>0</v>
      </c>
      <c r="HA54" s="67">
        <v>0</v>
      </c>
      <c r="HB54" s="67">
        <v>0</v>
      </c>
      <c r="HC54" s="66">
        <v>0</v>
      </c>
      <c r="HD54" s="66">
        <v>0</v>
      </c>
      <c r="HE54" s="66">
        <v>0</v>
      </c>
      <c r="HF54" s="66">
        <v>0</v>
      </c>
      <c r="HG54" s="66">
        <v>0</v>
      </c>
      <c r="HH54" s="66">
        <v>0</v>
      </c>
      <c r="HI54" s="66">
        <v>0</v>
      </c>
      <c r="HJ54" s="66">
        <v>0</v>
      </c>
      <c r="HK54" s="66">
        <v>0</v>
      </c>
      <c r="HL54" s="66">
        <v>0</v>
      </c>
      <c r="HM54" s="66">
        <v>0</v>
      </c>
      <c r="HN54" s="67" t="s">
        <v>1094</v>
      </c>
      <c r="HO54" s="67" t="s">
        <v>1094</v>
      </c>
      <c r="HP54" s="67">
        <v>0</v>
      </c>
      <c r="HQ54" s="67">
        <v>0</v>
      </c>
      <c r="HR54" s="67">
        <v>0</v>
      </c>
      <c r="HS54" s="66">
        <v>0</v>
      </c>
      <c r="HT54" s="66">
        <v>0</v>
      </c>
      <c r="HU54" s="66">
        <v>0</v>
      </c>
      <c r="HV54" s="66">
        <v>0</v>
      </c>
      <c r="HW54" s="66">
        <v>0</v>
      </c>
      <c r="HX54" s="66">
        <v>0</v>
      </c>
      <c r="HY54" s="66">
        <v>0</v>
      </c>
      <c r="HZ54" s="66">
        <v>0</v>
      </c>
      <c r="IA54" s="66">
        <v>0</v>
      </c>
      <c r="IB54" s="66">
        <v>0</v>
      </c>
      <c r="IC54" s="66">
        <v>0</v>
      </c>
      <c r="ID54" s="67" t="s">
        <v>1094</v>
      </c>
      <c r="IE54" s="67" t="s">
        <v>1094</v>
      </c>
      <c r="IF54" s="67">
        <v>0</v>
      </c>
      <c r="IG54" s="67">
        <v>0</v>
      </c>
      <c r="IH54" s="67">
        <v>0</v>
      </c>
    </row>
    <row r="55" spans="1:242" ht="15.75" x14ac:dyDescent="0.25">
      <c r="A55" s="72">
        <v>44</v>
      </c>
      <c r="B55" s="192" t="s">
        <v>113</v>
      </c>
      <c r="C55" s="66">
        <v>95.204100000000011</v>
      </c>
      <c r="D55" s="66">
        <v>0</v>
      </c>
      <c r="E55" s="66">
        <v>100.75809999999998</v>
      </c>
      <c r="F55" s="66">
        <v>95.204100000000011</v>
      </c>
      <c r="G55" s="66">
        <v>5.5540000000000003</v>
      </c>
      <c r="H55" s="66">
        <v>95.204100000000011</v>
      </c>
      <c r="I55" s="66">
        <v>0</v>
      </c>
      <c r="J55" s="66">
        <v>100.75757412999999</v>
      </c>
      <c r="K55" s="66">
        <v>95.203599170000018</v>
      </c>
      <c r="L55" s="66">
        <v>0</v>
      </c>
      <c r="M55" s="66">
        <v>5.5539749599999997</v>
      </c>
      <c r="N55" s="67">
        <v>99.999473940723149</v>
      </c>
      <c r="O55" s="67">
        <v>99.999549153763041</v>
      </c>
      <c r="P55" s="67">
        <v>5.5122158388153721</v>
      </c>
      <c r="Q55" s="66">
        <v>0</v>
      </c>
      <c r="R55" s="67">
        <v>5.0082999999290223E-4</v>
      </c>
      <c r="S55" s="66">
        <v>36.488300000000002</v>
      </c>
      <c r="T55" s="66">
        <v>0</v>
      </c>
      <c r="U55" s="66">
        <v>38.488300000000002</v>
      </c>
      <c r="V55" s="66">
        <v>36.488300000000002</v>
      </c>
      <c r="W55" s="66">
        <v>2</v>
      </c>
      <c r="X55" s="66">
        <v>36.488300000000002</v>
      </c>
      <c r="Y55" s="66">
        <v>0</v>
      </c>
      <c r="Z55" s="66">
        <v>38.488300000000002</v>
      </c>
      <c r="AA55" s="66">
        <v>36.488300000000002</v>
      </c>
      <c r="AB55" s="66">
        <v>0</v>
      </c>
      <c r="AC55" s="66">
        <v>2</v>
      </c>
      <c r="AD55" s="67">
        <v>100</v>
      </c>
      <c r="AE55" s="67">
        <v>100</v>
      </c>
      <c r="AF55" s="67">
        <v>5.1963843557652583</v>
      </c>
      <c r="AG55" s="67">
        <v>0</v>
      </c>
      <c r="AH55" s="67">
        <v>0</v>
      </c>
      <c r="AI55" s="66">
        <v>0</v>
      </c>
      <c r="AJ55" s="66">
        <v>0</v>
      </c>
      <c r="AK55" s="66">
        <v>0</v>
      </c>
      <c r="AL55" s="66">
        <v>0</v>
      </c>
      <c r="AM55" s="66">
        <v>0</v>
      </c>
      <c r="AN55" s="66">
        <v>0</v>
      </c>
      <c r="AO55" s="66">
        <v>0</v>
      </c>
      <c r="AP55" s="66">
        <v>0</v>
      </c>
      <c r="AQ55" s="66">
        <v>0</v>
      </c>
      <c r="AR55" s="66">
        <v>0</v>
      </c>
      <c r="AS55" s="66">
        <v>0</v>
      </c>
      <c r="AT55" s="67" t="s">
        <v>1094</v>
      </c>
      <c r="AU55" s="67" t="s">
        <v>1094</v>
      </c>
      <c r="AV55" s="67">
        <v>0</v>
      </c>
      <c r="AW55" s="67">
        <v>0</v>
      </c>
      <c r="AX55" s="67">
        <v>0</v>
      </c>
      <c r="AY55" s="66">
        <v>27.4344</v>
      </c>
      <c r="AZ55" s="66">
        <v>0</v>
      </c>
      <c r="BA55" s="66">
        <v>28.894400000000001</v>
      </c>
      <c r="BB55" s="66">
        <v>27.4344</v>
      </c>
      <c r="BC55" s="66">
        <v>1.46</v>
      </c>
      <c r="BD55" s="66">
        <v>27.4344</v>
      </c>
      <c r="BE55" s="66">
        <v>0</v>
      </c>
      <c r="BF55" s="66">
        <v>28.894400000000001</v>
      </c>
      <c r="BG55" s="66">
        <v>27.4344</v>
      </c>
      <c r="BH55" s="66">
        <v>0</v>
      </c>
      <c r="BI55" s="66">
        <v>1.46</v>
      </c>
      <c r="BJ55" s="67">
        <v>100</v>
      </c>
      <c r="BK55" s="67">
        <v>100</v>
      </c>
      <c r="BL55" s="67">
        <v>5.052882219391992</v>
      </c>
      <c r="BM55" s="67">
        <v>0</v>
      </c>
      <c r="BN55" s="67">
        <v>0</v>
      </c>
      <c r="BO55" s="66">
        <v>0</v>
      </c>
      <c r="BP55" s="66">
        <v>0</v>
      </c>
      <c r="BQ55" s="66">
        <v>0</v>
      </c>
      <c r="BR55" s="66">
        <v>0</v>
      </c>
      <c r="BS55" s="66">
        <v>0</v>
      </c>
      <c r="BT55" s="66">
        <v>0</v>
      </c>
      <c r="BU55" s="66">
        <v>0</v>
      </c>
      <c r="BV55" s="66">
        <v>0</v>
      </c>
      <c r="BW55" s="66">
        <v>0</v>
      </c>
      <c r="BX55" s="66">
        <v>0</v>
      </c>
      <c r="BY55" s="66">
        <v>0</v>
      </c>
      <c r="BZ55" s="67" t="s">
        <v>1094</v>
      </c>
      <c r="CA55" s="67" t="s">
        <v>1094</v>
      </c>
      <c r="CB55" s="67">
        <v>0</v>
      </c>
      <c r="CC55" s="67">
        <v>0</v>
      </c>
      <c r="CD55" s="67">
        <v>0</v>
      </c>
      <c r="CE55" s="66">
        <v>23.056000000000001</v>
      </c>
      <c r="CF55" s="66">
        <v>0</v>
      </c>
      <c r="CG55" s="66">
        <v>24.27</v>
      </c>
      <c r="CH55" s="66">
        <v>23.056000000000001</v>
      </c>
      <c r="CI55" s="66">
        <v>1.214</v>
      </c>
      <c r="CJ55" s="66">
        <v>23.056000000000001</v>
      </c>
      <c r="CK55" s="66">
        <v>0</v>
      </c>
      <c r="CL55" s="66">
        <v>24.269474129999999</v>
      </c>
      <c r="CM55" s="66">
        <v>23.055499170000001</v>
      </c>
      <c r="CN55" s="66">
        <v>0</v>
      </c>
      <c r="CO55" s="66">
        <v>1.21397496</v>
      </c>
      <c r="CP55" s="67">
        <v>99.997827767175579</v>
      </c>
      <c r="CQ55" s="67">
        <v>99.997937397034605</v>
      </c>
      <c r="CR55" s="67">
        <v>5.0020653661357271</v>
      </c>
      <c r="CS55" s="67">
        <v>0</v>
      </c>
      <c r="CT55" s="67">
        <v>5.0083000000000766E-4</v>
      </c>
      <c r="CU55" s="66">
        <v>0</v>
      </c>
      <c r="CV55" s="66">
        <v>0</v>
      </c>
      <c r="CW55" s="66">
        <v>0</v>
      </c>
      <c r="CX55" s="66">
        <v>0</v>
      </c>
      <c r="CY55" s="66">
        <v>0</v>
      </c>
      <c r="CZ55" s="66">
        <v>0</v>
      </c>
      <c r="DA55" s="66">
        <v>0</v>
      </c>
      <c r="DB55" s="66">
        <v>0</v>
      </c>
      <c r="DC55" s="66">
        <v>0</v>
      </c>
      <c r="DD55" s="66">
        <v>0</v>
      </c>
      <c r="DE55" s="66">
        <v>0</v>
      </c>
      <c r="DF55" s="67" t="s">
        <v>1094</v>
      </c>
      <c r="DG55" s="67" t="s">
        <v>1094</v>
      </c>
      <c r="DH55" s="67">
        <v>0</v>
      </c>
      <c r="DI55" s="67">
        <v>0</v>
      </c>
      <c r="DJ55" s="67">
        <v>0</v>
      </c>
      <c r="DK55" s="66">
        <v>4.1349999999999998</v>
      </c>
      <c r="DL55" s="66">
        <v>0</v>
      </c>
      <c r="DM55" s="66">
        <v>4.4749999999999996</v>
      </c>
      <c r="DN55" s="66">
        <v>4.1349999999999998</v>
      </c>
      <c r="DO55" s="66">
        <v>0.34</v>
      </c>
      <c r="DP55" s="66">
        <v>4.1349999999999998</v>
      </c>
      <c r="DQ55" s="66">
        <v>0</v>
      </c>
      <c r="DR55" s="66">
        <v>4.4749999999999996</v>
      </c>
      <c r="DS55" s="66">
        <v>4.1349999999999998</v>
      </c>
      <c r="DT55" s="66">
        <v>0</v>
      </c>
      <c r="DU55" s="66">
        <v>0.34</v>
      </c>
      <c r="DV55" s="67">
        <v>100</v>
      </c>
      <c r="DW55" s="67">
        <v>100</v>
      </c>
      <c r="DX55" s="67">
        <v>7.5977653631284934</v>
      </c>
      <c r="DY55" s="67">
        <v>0</v>
      </c>
      <c r="DZ55" s="67">
        <v>0</v>
      </c>
      <c r="EA55" s="66">
        <v>0</v>
      </c>
      <c r="EB55" s="66">
        <v>0</v>
      </c>
      <c r="EC55" s="66">
        <v>0</v>
      </c>
      <c r="ED55" s="66">
        <v>0</v>
      </c>
      <c r="EE55" s="66">
        <v>0</v>
      </c>
      <c r="EF55" s="66">
        <v>0</v>
      </c>
      <c r="EG55" s="66">
        <v>0</v>
      </c>
      <c r="EH55" s="66">
        <v>0</v>
      </c>
      <c r="EI55" s="66">
        <v>0</v>
      </c>
      <c r="EJ55" s="66">
        <v>0</v>
      </c>
      <c r="EK55" s="66">
        <v>0</v>
      </c>
      <c r="EL55" s="67" t="s">
        <v>1094</v>
      </c>
      <c r="EM55" s="67" t="s">
        <v>1094</v>
      </c>
      <c r="EN55" s="67">
        <v>0</v>
      </c>
      <c r="EO55" s="67">
        <v>0</v>
      </c>
      <c r="EP55" s="67">
        <v>0</v>
      </c>
      <c r="EQ55" s="66">
        <v>3.4769999999999999</v>
      </c>
      <c r="ER55" s="66">
        <v>0</v>
      </c>
      <c r="ES55" s="66">
        <v>3.887</v>
      </c>
      <c r="ET55" s="66">
        <v>3.4769999999999999</v>
      </c>
      <c r="EU55" s="66">
        <v>0.41</v>
      </c>
      <c r="EV55" s="66">
        <v>3.4769999999999999</v>
      </c>
      <c r="EW55" s="66">
        <v>0</v>
      </c>
      <c r="EX55" s="66">
        <v>3.887</v>
      </c>
      <c r="EY55" s="66">
        <v>3.4769999999999999</v>
      </c>
      <c r="EZ55" s="66">
        <v>0</v>
      </c>
      <c r="FA55" s="66">
        <v>0.41</v>
      </c>
      <c r="FB55" s="67">
        <v>100</v>
      </c>
      <c r="FC55" s="67">
        <v>100</v>
      </c>
      <c r="FD55" s="67">
        <v>10.547980447645999</v>
      </c>
      <c r="FE55" s="67">
        <v>0</v>
      </c>
      <c r="FF55" s="67">
        <v>0</v>
      </c>
      <c r="FG55" s="66">
        <v>0</v>
      </c>
      <c r="FH55" s="66">
        <v>0</v>
      </c>
      <c r="FI55" s="66">
        <v>0</v>
      </c>
      <c r="FJ55" s="66">
        <v>0</v>
      </c>
      <c r="FK55" s="66">
        <v>0</v>
      </c>
      <c r="FL55" s="66">
        <v>0</v>
      </c>
      <c r="FM55" s="66">
        <v>0</v>
      </c>
      <c r="FN55" s="66">
        <v>0</v>
      </c>
      <c r="FO55" s="66">
        <v>0</v>
      </c>
      <c r="FP55" s="66">
        <v>0</v>
      </c>
      <c r="FQ55" s="66">
        <v>0</v>
      </c>
      <c r="FR55" s="67" t="s">
        <v>1094</v>
      </c>
      <c r="FS55" s="67" t="s">
        <v>1094</v>
      </c>
      <c r="FT55" s="67">
        <v>0</v>
      </c>
      <c r="FU55" s="67">
        <v>0</v>
      </c>
      <c r="FV55" s="67">
        <v>0</v>
      </c>
      <c r="FW55" s="66">
        <v>0</v>
      </c>
      <c r="FX55" s="66">
        <v>0</v>
      </c>
      <c r="FY55" s="66">
        <v>0</v>
      </c>
      <c r="FZ55" s="66">
        <v>0</v>
      </c>
      <c r="GA55" s="66">
        <v>0</v>
      </c>
      <c r="GB55" s="66">
        <v>0</v>
      </c>
      <c r="GC55" s="66">
        <v>0</v>
      </c>
      <c r="GD55" s="66">
        <v>0</v>
      </c>
      <c r="GE55" s="66">
        <v>0</v>
      </c>
      <c r="GF55" s="66">
        <v>0</v>
      </c>
      <c r="GG55" s="66">
        <v>0</v>
      </c>
      <c r="GH55" s="67" t="s">
        <v>1094</v>
      </c>
      <c r="GI55" s="67" t="s">
        <v>1094</v>
      </c>
      <c r="GJ55" s="67">
        <v>0</v>
      </c>
      <c r="GK55" s="67">
        <v>0</v>
      </c>
      <c r="GL55" s="67">
        <v>0</v>
      </c>
      <c r="GM55" s="66">
        <v>0</v>
      </c>
      <c r="GN55" s="66">
        <v>0</v>
      </c>
      <c r="GO55" s="66">
        <v>0</v>
      </c>
      <c r="GP55" s="66">
        <v>0</v>
      </c>
      <c r="GQ55" s="66">
        <v>0</v>
      </c>
      <c r="GR55" s="66">
        <v>0</v>
      </c>
      <c r="GS55" s="66">
        <v>0</v>
      </c>
      <c r="GT55" s="66">
        <v>0</v>
      </c>
      <c r="GU55" s="66">
        <v>0</v>
      </c>
      <c r="GV55" s="66">
        <v>0</v>
      </c>
      <c r="GW55" s="66">
        <v>0</v>
      </c>
      <c r="GX55" s="67" t="s">
        <v>1094</v>
      </c>
      <c r="GY55" s="67" t="s">
        <v>1094</v>
      </c>
      <c r="GZ55" s="67">
        <v>0</v>
      </c>
      <c r="HA55" s="67">
        <v>0</v>
      </c>
      <c r="HB55" s="67">
        <v>0</v>
      </c>
      <c r="HC55" s="66">
        <v>0.61339999999999995</v>
      </c>
      <c r="HD55" s="66">
        <v>0</v>
      </c>
      <c r="HE55" s="66">
        <v>0.74339999999999995</v>
      </c>
      <c r="HF55" s="66">
        <v>0.61339999999999995</v>
      </c>
      <c r="HG55" s="66">
        <v>0.13</v>
      </c>
      <c r="HH55" s="66">
        <v>0.61339999999999995</v>
      </c>
      <c r="HI55" s="66">
        <v>0</v>
      </c>
      <c r="HJ55" s="66">
        <v>0.74339999999999995</v>
      </c>
      <c r="HK55" s="66">
        <v>0.61339999999999995</v>
      </c>
      <c r="HL55" s="66">
        <v>0</v>
      </c>
      <c r="HM55" s="66">
        <v>0.13</v>
      </c>
      <c r="HN55" s="67">
        <v>100</v>
      </c>
      <c r="HO55" s="67">
        <v>100</v>
      </c>
      <c r="HP55" s="67">
        <v>17.487220877051389</v>
      </c>
      <c r="HQ55" s="67">
        <v>0</v>
      </c>
      <c r="HR55" s="67">
        <v>0</v>
      </c>
      <c r="HS55" s="66">
        <v>0</v>
      </c>
      <c r="HT55" s="66">
        <v>0</v>
      </c>
      <c r="HU55" s="66">
        <v>0</v>
      </c>
      <c r="HV55" s="66">
        <v>0</v>
      </c>
      <c r="HW55" s="66">
        <v>0</v>
      </c>
      <c r="HX55" s="66">
        <v>0</v>
      </c>
      <c r="HY55" s="66">
        <v>0</v>
      </c>
      <c r="HZ55" s="66">
        <v>0</v>
      </c>
      <c r="IA55" s="66">
        <v>0</v>
      </c>
      <c r="IB55" s="66">
        <v>0</v>
      </c>
      <c r="IC55" s="66">
        <v>0</v>
      </c>
      <c r="ID55" s="67" t="s">
        <v>1094</v>
      </c>
      <c r="IE55" s="67" t="s">
        <v>1094</v>
      </c>
      <c r="IF55" s="67">
        <v>0</v>
      </c>
      <c r="IG55" s="67">
        <v>0</v>
      </c>
      <c r="IH55" s="67">
        <v>0</v>
      </c>
    </row>
    <row r="56" spans="1:242" ht="31.5" x14ac:dyDescent="0.25">
      <c r="A56" s="72">
        <v>45</v>
      </c>
      <c r="B56" s="192" t="s">
        <v>115</v>
      </c>
      <c r="C56" s="66">
        <v>62.194199999999995</v>
      </c>
      <c r="D56" s="66">
        <v>0</v>
      </c>
      <c r="E56" s="66">
        <v>96.569099999999992</v>
      </c>
      <c r="F56" s="66">
        <v>62.194199999999995</v>
      </c>
      <c r="G56" s="66">
        <v>34.374900000000004</v>
      </c>
      <c r="H56" s="66">
        <v>61.571734729999996</v>
      </c>
      <c r="I56" s="66">
        <v>0</v>
      </c>
      <c r="J56" s="66">
        <v>95.531183139999996</v>
      </c>
      <c r="K56" s="66">
        <v>61.571734729999996</v>
      </c>
      <c r="L56" s="66">
        <v>0</v>
      </c>
      <c r="M56" s="66">
        <v>33.95944841</v>
      </c>
      <c r="N56" s="67">
        <v>98.999158651449818</v>
      </c>
      <c r="O56" s="67">
        <v>98.791410040465564</v>
      </c>
      <c r="P56" s="67">
        <v>35.54802452329389</v>
      </c>
      <c r="Q56" s="66">
        <v>0</v>
      </c>
      <c r="R56" s="67">
        <v>0</v>
      </c>
      <c r="S56" s="66">
        <v>32.550199999999997</v>
      </c>
      <c r="T56" s="66">
        <v>0</v>
      </c>
      <c r="U56" s="66">
        <v>46.500300000000003</v>
      </c>
      <c r="V56" s="66">
        <v>32.550199999999997</v>
      </c>
      <c r="W56" s="66">
        <v>13.950100000000001</v>
      </c>
      <c r="X56" s="66">
        <v>32.550199499999998</v>
      </c>
      <c r="Y56" s="66">
        <v>0</v>
      </c>
      <c r="Z56" s="66">
        <v>46.500284999999998</v>
      </c>
      <c r="AA56" s="66">
        <v>32.550199499999998</v>
      </c>
      <c r="AB56" s="66">
        <v>0</v>
      </c>
      <c r="AC56" s="66">
        <v>13.9500855</v>
      </c>
      <c r="AD56" s="67">
        <v>99.999998463911126</v>
      </c>
      <c r="AE56" s="67">
        <v>99.999896058092759</v>
      </c>
      <c r="AF56" s="67">
        <v>30</v>
      </c>
      <c r="AG56" s="67">
        <v>0</v>
      </c>
      <c r="AH56" s="67">
        <v>0</v>
      </c>
      <c r="AI56" s="66">
        <v>0</v>
      </c>
      <c r="AJ56" s="66">
        <v>0</v>
      </c>
      <c r="AK56" s="66">
        <v>0</v>
      </c>
      <c r="AL56" s="66">
        <v>0</v>
      </c>
      <c r="AM56" s="66">
        <v>0</v>
      </c>
      <c r="AN56" s="66">
        <v>0</v>
      </c>
      <c r="AO56" s="66">
        <v>0</v>
      </c>
      <c r="AP56" s="66">
        <v>0</v>
      </c>
      <c r="AQ56" s="66">
        <v>0</v>
      </c>
      <c r="AR56" s="66">
        <v>0</v>
      </c>
      <c r="AS56" s="66">
        <v>0</v>
      </c>
      <c r="AT56" s="67" t="s">
        <v>1094</v>
      </c>
      <c r="AU56" s="67" t="s">
        <v>1094</v>
      </c>
      <c r="AV56" s="67">
        <v>0</v>
      </c>
      <c r="AW56" s="67">
        <v>0</v>
      </c>
      <c r="AX56" s="67">
        <v>0</v>
      </c>
      <c r="AY56" s="66">
        <v>20.295000000000002</v>
      </c>
      <c r="AZ56" s="66">
        <v>0</v>
      </c>
      <c r="BA56" s="66">
        <v>34.58</v>
      </c>
      <c r="BB56" s="66">
        <v>20.295000000000002</v>
      </c>
      <c r="BC56" s="66">
        <v>14.285</v>
      </c>
      <c r="BD56" s="66">
        <v>19.679005449999998</v>
      </c>
      <c r="BE56" s="66">
        <v>0</v>
      </c>
      <c r="BF56" s="66">
        <v>33.55334242</v>
      </c>
      <c r="BG56" s="66">
        <v>19.679005449999998</v>
      </c>
      <c r="BH56" s="66">
        <v>0</v>
      </c>
      <c r="BI56" s="66">
        <v>13.87433697</v>
      </c>
      <c r="BJ56" s="67">
        <v>96.964796501601356</v>
      </c>
      <c r="BK56" s="67">
        <v>97.12521505075253</v>
      </c>
      <c r="BL56" s="67">
        <v>41.350089050234182</v>
      </c>
      <c r="BM56" s="67">
        <v>0</v>
      </c>
      <c r="BN56" s="67">
        <v>0</v>
      </c>
      <c r="BO56" s="66">
        <v>0</v>
      </c>
      <c r="BP56" s="66">
        <v>0</v>
      </c>
      <c r="BQ56" s="66">
        <v>0</v>
      </c>
      <c r="BR56" s="66">
        <v>0</v>
      </c>
      <c r="BS56" s="66">
        <v>0</v>
      </c>
      <c r="BT56" s="66">
        <v>0</v>
      </c>
      <c r="BU56" s="66">
        <v>0</v>
      </c>
      <c r="BV56" s="66">
        <v>0</v>
      </c>
      <c r="BW56" s="66">
        <v>0</v>
      </c>
      <c r="BX56" s="66">
        <v>0</v>
      </c>
      <c r="BY56" s="66">
        <v>0</v>
      </c>
      <c r="BZ56" s="67" t="s">
        <v>1094</v>
      </c>
      <c r="CA56" s="67" t="s">
        <v>1094</v>
      </c>
      <c r="CB56" s="67">
        <v>0</v>
      </c>
      <c r="CC56" s="67">
        <v>0</v>
      </c>
      <c r="CD56" s="67">
        <v>0</v>
      </c>
      <c r="CE56" s="66">
        <v>0</v>
      </c>
      <c r="CF56" s="66">
        <v>0</v>
      </c>
      <c r="CG56" s="66">
        <v>0</v>
      </c>
      <c r="CH56" s="66">
        <v>0</v>
      </c>
      <c r="CI56" s="66">
        <v>0</v>
      </c>
      <c r="CJ56" s="66">
        <v>0</v>
      </c>
      <c r="CK56" s="66">
        <v>0</v>
      </c>
      <c r="CL56" s="66">
        <v>0</v>
      </c>
      <c r="CM56" s="66">
        <v>0</v>
      </c>
      <c r="CN56" s="66">
        <v>0</v>
      </c>
      <c r="CO56" s="66">
        <v>0</v>
      </c>
      <c r="CP56" s="67" t="s">
        <v>1094</v>
      </c>
      <c r="CQ56" s="67" t="s">
        <v>1094</v>
      </c>
      <c r="CR56" s="67">
        <v>0</v>
      </c>
      <c r="CS56" s="67">
        <v>0</v>
      </c>
      <c r="CT56" s="67">
        <v>0</v>
      </c>
      <c r="CU56" s="66">
        <v>0</v>
      </c>
      <c r="CV56" s="66">
        <v>0</v>
      </c>
      <c r="CW56" s="66">
        <v>0</v>
      </c>
      <c r="CX56" s="66">
        <v>0</v>
      </c>
      <c r="CY56" s="66">
        <v>0</v>
      </c>
      <c r="CZ56" s="66">
        <v>0</v>
      </c>
      <c r="DA56" s="66">
        <v>0</v>
      </c>
      <c r="DB56" s="66">
        <v>0</v>
      </c>
      <c r="DC56" s="66">
        <v>0</v>
      </c>
      <c r="DD56" s="66">
        <v>0</v>
      </c>
      <c r="DE56" s="66">
        <v>0</v>
      </c>
      <c r="DF56" s="67" t="s">
        <v>1094</v>
      </c>
      <c r="DG56" s="67" t="s">
        <v>1094</v>
      </c>
      <c r="DH56" s="67">
        <v>0</v>
      </c>
      <c r="DI56" s="67">
        <v>0</v>
      </c>
      <c r="DJ56" s="67">
        <v>0</v>
      </c>
      <c r="DK56" s="66">
        <v>5.73</v>
      </c>
      <c r="DL56" s="66">
        <v>0</v>
      </c>
      <c r="DM56" s="66">
        <v>9.1995000000000005</v>
      </c>
      <c r="DN56" s="66">
        <v>5.73</v>
      </c>
      <c r="DO56" s="66">
        <v>3.4695</v>
      </c>
      <c r="DP56" s="66">
        <v>5.72999992</v>
      </c>
      <c r="DQ56" s="66">
        <v>0</v>
      </c>
      <c r="DR56" s="66">
        <v>9.1994999199999992</v>
      </c>
      <c r="DS56" s="66">
        <v>5.72999992</v>
      </c>
      <c r="DT56" s="66">
        <v>0</v>
      </c>
      <c r="DU56" s="66">
        <v>3.4695</v>
      </c>
      <c r="DV56" s="67">
        <v>99.99999860383943</v>
      </c>
      <c r="DW56" s="67">
        <v>100</v>
      </c>
      <c r="DX56" s="67">
        <v>37.714006523954623</v>
      </c>
      <c r="DY56" s="67">
        <v>0</v>
      </c>
      <c r="DZ56" s="67">
        <v>0</v>
      </c>
      <c r="EA56" s="66">
        <v>0</v>
      </c>
      <c r="EB56" s="66">
        <v>0</v>
      </c>
      <c r="EC56" s="66">
        <v>0</v>
      </c>
      <c r="ED56" s="66">
        <v>0</v>
      </c>
      <c r="EE56" s="66">
        <v>0</v>
      </c>
      <c r="EF56" s="66">
        <v>0</v>
      </c>
      <c r="EG56" s="66">
        <v>0</v>
      </c>
      <c r="EH56" s="66">
        <v>0</v>
      </c>
      <c r="EI56" s="66">
        <v>0</v>
      </c>
      <c r="EJ56" s="66">
        <v>0</v>
      </c>
      <c r="EK56" s="66">
        <v>0</v>
      </c>
      <c r="EL56" s="67" t="s">
        <v>1094</v>
      </c>
      <c r="EM56" s="67" t="s">
        <v>1094</v>
      </c>
      <c r="EN56" s="67">
        <v>0</v>
      </c>
      <c r="EO56" s="67">
        <v>0</v>
      </c>
      <c r="EP56" s="67">
        <v>0</v>
      </c>
      <c r="EQ56" s="66">
        <v>3.6190000000000002</v>
      </c>
      <c r="ER56" s="66">
        <v>0</v>
      </c>
      <c r="ES56" s="66">
        <v>6.2892999999999999</v>
      </c>
      <c r="ET56" s="66">
        <v>3.6190000000000002</v>
      </c>
      <c r="EU56" s="66">
        <v>2.6703000000000001</v>
      </c>
      <c r="EV56" s="66">
        <v>3.61252986</v>
      </c>
      <c r="EW56" s="66">
        <v>0</v>
      </c>
      <c r="EX56" s="66">
        <v>6.2780557999999997</v>
      </c>
      <c r="EY56" s="66">
        <v>3.61252986</v>
      </c>
      <c r="EZ56" s="66">
        <v>0</v>
      </c>
      <c r="FA56" s="66">
        <v>2.6655259399999998</v>
      </c>
      <c r="FB56" s="67">
        <v>99.821217463387669</v>
      </c>
      <c r="FC56" s="67">
        <v>99.82121634273301</v>
      </c>
      <c r="FD56" s="67">
        <v>42.457824920893501</v>
      </c>
      <c r="FE56" s="67">
        <v>0</v>
      </c>
      <c r="FF56" s="67">
        <v>0</v>
      </c>
      <c r="FG56" s="66">
        <v>0</v>
      </c>
      <c r="FH56" s="66">
        <v>0</v>
      </c>
      <c r="FI56" s="66">
        <v>0</v>
      </c>
      <c r="FJ56" s="66">
        <v>0</v>
      </c>
      <c r="FK56" s="66">
        <v>0</v>
      </c>
      <c r="FL56" s="66">
        <v>0</v>
      </c>
      <c r="FM56" s="66">
        <v>0</v>
      </c>
      <c r="FN56" s="66">
        <v>0</v>
      </c>
      <c r="FO56" s="66">
        <v>0</v>
      </c>
      <c r="FP56" s="66">
        <v>0</v>
      </c>
      <c r="FQ56" s="66">
        <v>0</v>
      </c>
      <c r="FR56" s="67" t="s">
        <v>1094</v>
      </c>
      <c r="FS56" s="67" t="s">
        <v>1094</v>
      </c>
      <c r="FT56" s="67">
        <v>0</v>
      </c>
      <c r="FU56" s="67">
        <v>0</v>
      </c>
      <c r="FV56" s="67">
        <v>0</v>
      </c>
      <c r="FW56" s="66">
        <v>0</v>
      </c>
      <c r="FX56" s="66">
        <v>0</v>
      </c>
      <c r="FY56" s="66">
        <v>0</v>
      </c>
      <c r="FZ56" s="66">
        <v>0</v>
      </c>
      <c r="GA56" s="66">
        <v>0</v>
      </c>
      <c r="GB56" s="66">
        <v>0</v>
      </c>
      <c r="GC56" s="66">
        <v>0</v>
      </c>
      <c r="GD56" s="66">
        <v>0</v>
      </c>
      <c r="GE56" s="66">
        <v>0</v>
      </c>
      <c r="GF56" s="66">
        <v>0</v>
      </c>
      <c r="GG56" s="66">
        <v>0</v>
      </c>
      <c r="GH56" s="67" t="s">
        <v>1094</v>
      </c>
      <c r="GI56" s="67" t="s">
        <v>1094</v>
      </c>
      <c r="GJ56" s="67">
        <v>0</v>
      </c>
      <c r="GK56" s="67">
        <v>0</v>
      </c>
      <c r="GL56" s="67">
        <v>0</v>
      </c>
      <c r="GM56" s="66">
        <v>0</v>
      </c>
      <c r="GN56" s="66">
        <v>0</v>
      </c>
      <c r="GO56" s="66">
        <v>0</v>
      </c>
      <c r="GP56" s="66">
        <v>0</v>
      </c>
      <c r="GQ56" s="66">
        <v>0</v>
      </c>
      <c r="GR56" s="66">
        <v>0</v>
      </c>
      <c r="GS56" s="66">
        <v>0</v>
      </c>
      <c r="GT56" s="66">
        <v>0</v>
      </c>
      <c r="GU56" s="66">
        <v>0</v>
      </c>
      <c r="GV56" s="66">
        <v>0</v>
      </c>
      <c r="GW56" s="66">
        <v>0</v>
      </c>
      <c r="GX56" s="67" t="s">
        <v>1094</v>
      </c>
      <c r="GY56" s="67" t="s">
        <v>1094</v>
      </c>
      <c r="GZ56" s="67">
        <v>0</v>
      </c>
      <c r="HA56" s="67">
        <v>0</v>
      </c>
      <c r="HB56" s="67">
        <v>0</v>
      </c>
      <c r="HC56" s="66">
        <v>0</v>
      </c>
      <c r="HD56" s="66">
        <v>0</v>
      </c>
      <c r="HE56" s="66">
        <v>0</v>
      </c>
      <c r="HF56" s="66">
        <v>0</v>
      </c>
      <c r="HG56" s="66">
        <v>0</v>
      </c>
      <c r="HH56" s="66">
        <v>0</v>
      </c>
      <c r="HI56" s="66">
        <v>0</v>
      </c>
      <c r="HJ56" s="66">
        <v>0</v>
      </c>
      <c r="HK56" s="66">
        <v>0</v>
      </c>
      <c r="HL56" s="66">
        <v>0</v>
      </c>
      <c r="HM56" s="66">
        <v>0</v>
      </c>
      <c r="HN56" s="67" t="s">
        <v>1094</v>
      </c>
      <c r="HO56" s="67" t="s">
        <v>1094</v>
      </c>
      <c r="HP56" s="67">
        <v>0</v>
      </c>
      <c r="HQ56" s="67">
        <v>0</v>
      </c>
      <c r="HR56" s="67">
        <v>0</v>
      </c>
      <c r="HS56" s="66">
        <v>0</v>
      </c>
      <c r="HT56" s="66">
        <v>0</v>
      </c>
      <c r="HU56" s="66">
        <v>0</v>
      </c>
      <c r="HV56" s="66">
        <v>0</v>
      </c>
      <c r="HW56" s="66">
        <v>0</v>
      </c>
      <c r="HX56" s="66">
        <v>0</v>
      </c>
      <c r="HY56" s="66">
        <v>0</v>
      </c>
      <c r="HZ56" s="66">
        <v>0</v>
      </c>
      <c r="IA56" s="66">
        <v>0</v>
      </c>
      <c r="IB56" s="66">
        <v>0</v>
      </c>
      <c r="IC56" s="66">
        <v>0</v>
      </c>
      <c r="ID56" s="67" t="s">
        <v>1094</v>
      </c>
      <c r="IE56" s="67" t="s">
        <v>1094</v>
      </c>
      <c r="IF56" s="67">
        <v>0</v>
      </c>
      <c r="IG56" s="67">
        <v>0</v>
      </c>
      <c r="IH56" s="67">
        <v>0</v>
      </c>
    </row>
    <row r="57" spans="1:242" ht="31.5" x14ac:dyDescent="0.25">
      <c r="A57" s="72">
        <v>46</v>
      </c>
      <c r="B57" s="192" t="s">
        <v>117</v>
      </c>
      <c r="C57" s="66">
        <v>57.549499999999995</v>
      </c>
      <c r="D57" s="66">
        <v>0</v>
      </c>
      <c r="E57" s="66">
        <v>82.214729610000006</v>
      </c>
      <c r="F57" s="66">
        <v>57.549499999999995</v>
      </c>
      <c r="G57" s="66">
        <v>24.665229610000004</v>
      </c>
      <c r="H57" s="66">
        <v>57.549499999999995</v>
      </c>
      <c r="I57" s="66">
        <v>0</v>
      </c>
      <c r="J57" s="66">
        <v>82.214729610000006</v>
      </c>
      <c r="K57" s="66">
        <v>57.549499999999995</v>
      </c>
      <c r="L57" s="66">
        <v>0</v>
      </c>
      <c r="M57" s="66">
        <v>24.665229610000004</v>
      </c>
      <c r="N57" s="67">
        <v>100</v>
      </c>
      <c r="O57" s="67">
        <v>100</v>
      </c>
      <c r="P57" s="67">
        <v>30.000986109184876</v>
      </c>
      <c r="Q57" s="66">
        <v>0</v>
      </c>
      <c r="R57" s="67">
        <v>0</v>
      </c>
      <c r="S57" s="66">
        <v>0.63370000000000004</v>
      </c>
      <c r="T57" s="66">
        <v>0</v>
      </c>
      <c r="U57" s="66">
        <v>0.90567385999999994</v>
      </c>
      <c r="V57" s="66">
        <v>0.63370000000000004</v>
      </c>
      <c r="W57" s="66">
        <v>0.27197386000000001</v>
      </c>
      <c r="X57" s="66">
        <v>0.63370000000000004</v>
      </c>
      <c r="Y57" s="66">
        <v>0</v>
      </c>
      <c r="Z57" s="66">
        <v>0.90567385999999994</v>
      </c>
      <c r="AA57" s="66">
        <v>0.63370000000000004</v>
      </c>
      <c r="AB57" s="66">
        <v>0</v>
      </c>
      <c r="AC57" s="66">
        <v>0.27197386000000001</v>
      </c>
      <c r="AD57" s="67">
        <v>100</v>
      </c>
      <c r="AE57" s="67">
        <v>100</v>
      </c>
      <c r="AF57" s="67">
        <v>30.029999982554429</v>
      </c>
      <c r="AG57" s="67">
        <v>0</v>
      </c>
      <c r="AH57" s="67">
        <v>0</v>
      </c>
      <c r="AI57" s="66">
        <v>0</v>
      </c>
      <c r="AJ57" s="66">
        <v>0</v>
      </c>
      <c r="AK57" s="66">
        <v>0</v>
      </c>
      <c r="AL57" s="66">
        <v>0</v>
      </c>
      <c r="AM57" s="66">
        <v>0</v>
      </c>
      <c r="AN57" s="66">
        <v>0</v>
      </c>
      <c r="AO57" s="66">
        <v>0</v>
      </c>
      <c r="AP57" s="66">
        <v>0</v>
      </c>
      <c r="AQ57" s="66">
        <v>0</v>
      </c>
      <c r="AR57" s="66">
        <v>0</v>
      </c>
      <c r="AS57" s="66">
        <v>0</v>
      </c>
      <c r="AT57" s="67" t="s">
        <v>1094</v>
      </c>
      <c r="AU57" s="67" t="s">
        <v>1094</v>
      </c>
      <c r="AV57" s="67">
        <v>0</v>
      </c>
      <c r="AW57" s="67">
        <v>0</v>
      </c>
      <c r="AX57" s="67">
        <v>0</v>
      </c>
      <c r="AY57" s="66">
        <v>39.067999999999998</v>
      </c>
      <c r="AZ57" s="66">
        <v>0</v>
      </c>
      <c r="BA57" s="66">
        <v>55.811428549999995</v>
      </c>
      <c r="BB57" s="66">
        <v>39.067999999999998</v>
      </c>
      <c r="BC57" s="66">
        <v>16.743428550000001</v>
      </c>
      <c r="BD57" s="66">
        <v>39.067999999999998</v>
      </c>
      <c r="BE57" s="66">
        <v>0</v>
      </c>
      <c r="BF57" s="66">
        <v>55.811428549999995</v>
      </c>
      <c r="BG57" s="66">
        <v>39.067999999999998</v>
      </c>
      <c r="BH57" s="66">
        <v>0</v>
      </c>
      <c r="BI57" s="66">
        <v>16.743428550000001</v>
      </c>
      <c r="BJ57" s="67">
        <v>100</v>
      </c>
      <c r="BK57" s="67">
        <v>100</v>
      </c>
      <c r="BL57" s="67">
        <v>29.999999973123785</v>
      </c>
      <c r="BM57" s="67">
        <v>0</v>
      </c>
      <c r="BN57" s="67">
        <v>0</v>
      </c>
      <c r="BO57" s="66">
        <v>0</v>
      </c>
      <c r="BP57" s="66">
        <v>0</v>
      </c>
      <c r="BQ57" s="66">
        <v>0</v>
      </c>
      <c r="BR57" s="66">
        <v>0</v>
      </c>
      <c r="BS57" s="66">
        <v>0</v>
      </c>
      <c r="BT57" s="66">
        <v>0</v>
      </c>
      <c r="BU57" s="66">
        <v>0</v>
      </c>
      <c r="BV57" s="66">
        <v>0</v>
      </c>
      <c r="BW57" s="66">
        <v>0</v>
      </c>
      <c r="BX57" s="66">
        <v>0</v>
      </c>
      <c r="BY57" s="66">
        <v>0</v>
      </c>
      <c r="BZ57" s="67" t="s">
        <v>1094</v>
      </c>
      <c r="CA57" s="67" t="s">
        <v>1094</v>
      </c>
      <c r="CB57" s="67">
        <v>0</v>
      </c>
      <c r="CC57" s="67">
        <v>0</v>
      </c>
      <c r="CD57" s="67">
        <v>0</v>
      </c>
      <c r="CE57" s="66">
        <v>11.135</v>
      </c>
      <c r="CF57" s="66">
        <v>0</v>
      </c>
      <c r="CG57" s="66">
        <v>15.907142859999999</v>
      </c>
      <c r="CH57" s="66">
        <v>11.135</v>
      </c>
      <c r="CI57" s="66">
        <v>4.7721428600000007</v>
      </c>
      <c r="CJ57" s="66">
        <v>11.135</v>
      </c>
      <c r="CK57" s="66">
        <v>0</v>
      </c>
      <c r="CL57" s="66">
        <v>15.907142859999999</v>
      </c>
      <c r="CM57" s="66">
        <v>11.135</v>
      </c>
      <c r="CN57" s="66">
        <v>0</v>
      </c>
      <c r="CO57" s="66">
        <v>4.7721428600000007</v>
      </c>
      <c r="CP57" s="67">
        <v>100</v>
      </c>
      <c r="CQ57" s="67">
        <v>100</v>
      </c>
      <c r="CR57" s="67">
        <v>30.000000012572976</v>
      </c>
      <c r="CS57" s="67">
        <v>0</v>
      </c>
      <c r="CT57" s="67">
        <v>0</v>
      </c>
      <c r="CU57" s="66">
        <v>0</v>
      </c>
      <c r="CV57" s="66">
        <v>0</v>
      </c>
      <c r="CW57" s="66">
        <v>0</v>
      </c>
      <c r="CX57" s="66">
        <v>0</v>
      </c>
      <c r="CY57" s="66">
        <v>0</v>
      </c>
      <c r="CZ57" s="66">
        <v>0</v>
      </c>
      <c r="DA57" s="66">
        <v>0</v>
      </c>
      <c r="DB57" s="66">
        <v>0</v>
      </c>
      <c r="DC57" s="66">
        <v>0</v>
      </c>
      <c r="DD57" s="66">
        <v>0</v>
      </c>
      <c r="DE57" s="66">
        <v>0</v>
      </c>
      <c r="DF57" s="67" t="s">
        <v>1094</v>
      </c>
      <c r="DG57" s="67" t="s">
        <v>1094</v>
      </c>
      <c r="DH57" s="67">
        <v>0</v>
      </c>
      <c r="DI57" s="67">
        <v>0</v>
      </c>
      <c r="DJ57" s="67">
        <v>0</v>
      </c>
      <c r="DK57" s="66">
        <v>3.4039999999999999</v>
      </c>
      <c r="DL57" s="66">
        <v>0</v>
      </c>
      <c r="DM57" s="66">
        <v>4.86285714</v>
      </c>
      <c r="DN57" s="66">
        <v>3.4039999999999999</v>
      </c>
      <c r="DO57" s="66">
        <v>1.4588571399999999</v>
      </c>
      <c r="DP57" s="66">
        <v>3.4039999999999999</v>
      </c>
      <c r="DQ57" s="66">
        <v>0</v>
      </c>
      <c r="DR57" s="66">
        <v>4.86285714</v>
      </c>
      <c r="DS57" s="66">
        <v>3.4039999999999999</v>
      </c>
      <c r="DT57" s="66">
        <v>0</v>
      </c>
      <c r="DU57" s="66">
        <v>1.4588571399999999</v>
      </c>
      <c r="DV57" s="67">
        <v>100</v>
      </c>
      <c r="DW57" s="67">
        <v>100</v>
      </c>
      <c r="DX57" s="67">
        <v>29.999999958871914</v>
      </c>
      <c r="DY57" s="67">
        <v>0</v>
      </c>
      <c r="DZ57" s="67">
        <v>0</v>
      </c>
      <c r="EA57" s="66">
        <v>0</v>
      </c>
      <c r="EB57" s="66">
        <v>0</v>
      </c>
      <c r="EC57" s="66">
        <v>0</v>
      </c>
      <c r="ED57" s="66">
        <v>0</v>
      </c>
      <c r="EE57" s="66">
        <v>0</v>
      </c>
      <c r="EF57" s="66">
        <v>0</v>
      </c>
      <c r="EG57" s="66">
        <v>0</v>
      </c>
      <c r="EH57" s="66">
        <v>0</v>
      </c>
      <c r="EI57" s="66">
        <v>0</v>
      </c>
      <c r="EJ57" s="66">
        <v>0</v>
      </c>
      <c r="EK57" s="66">
        <v>0</v>
      </c>
      <c r="EL57" s="67" t="s">
        <v>1094</v>
      </c>
      <c r="EM57" s="67" t="s">
        <v>1094</v>
      </c>
      <c r="EN57" s="67">
        <v>0</v>
      </c>
      <c r="EO57" s="67">
        <v>0</v>
      </c>
      <c r="EP57" s="67">
        <v>0</v>
      </c>
      <c r="EQ57" s="66">
        <v>2.8450000000000002</v>
      </c>
      <c r="ER57" s="66">
        <v>0</v>
      </c>
      <c r="ES57" s="66">
        <v>4.0648664100000005</v>
      </c>
      <c r="ET57" s="66">
        <v>2.8450000000000002</v>
      </c>
      <c r="EU57" s="66">
        <v>1.2198664099999998</v>
      </c>
      <c r="EV57" s="66">
        <v>2.8450000000000002</v>
      </c>
      <c r="EW57" s="66">
        <v>0</v>
      </c>
      <c r="EX57" s="66">
        <v>4.0648664100000005</v>
      </c>
      <c r="EY57" s="66">
        <v>2.8450000000000002</v>
      </c>
      <c r="EZ57" s="66">
        <v>0</v>
      </c>
      <c r="FA57" s="66">
        <v>1.2198664099999998</v>
      </c>
      <c r="FB57" s="67">
        <v>100</v>
      </c>
      <c r="FC57" s="67">
        <v>100</v>
      </c>
      <c r="FD57" s="67">
        <v>30.010000008831771</v>
      </c>
      <c r="FE57" s="67">
        <v>0</v>
      </c>
      <c r="FF57" s="67">
        <v>0</v>
      </c>
      <c r="FG57" s="66">
        <v>0</v>
      </c>
      <c r="FH57" s="66">
        <v>0</v>
      </c>
      <c r="FI57" s="66">
        <v>0</v>
      </c>
      <c r="FJ57" s="66">
        <v>0</v>
      </c>
      <c r="FK57" s="66">
        <v>0</v>
      </c>
      <c r="FL57" s="66">
        <v>0</v>
      </c>
      <c r="FM57" s="66">
        <v>0</v>
      </c>
      <c r="FN57" s="66">
        <v>0</v>
      </c>
      <c r="FO57" s="66">
        <v>0</v>
      </c>
      <c r="FP57" s="66">
        <v>0</v>
      </c>
      <c r="FQ57" s="66">
        <v>0</v>
      </c>
      <c r="FR57" s="67" t="s">
        <v>1094</v>
      </c>
      <c r="FS57" s="67" t="s">
        <v>1094</v>
      </c>
      <c r="FT57" s="67">
        <v>0</v>
      </c>
      <c r="FU57" s="67">
        <v>0</v>
      </c>
      <c r="FV57" s="67">
        <v>0</v>
      </c>
      <c r="FW57" s="66">
        <v>0</v>
      </c>
      <c r="FX57" s="66">
        <v>0</v>
      </c>
      <c r="FY57" s="66">
        <v>0</v>
      </c>
      <c r="FZ57" s="66">
        <v>0</v>
      </c>
      <c r="GA57" s="66">
        <v>0</v>
      </c>
      <c r="GB57" s="66">
        <v>0</v>
      </c>
      <c r="GC57" s="66">
        <v>0</v>
      </c>
      <c r="GD57" s="66">
        <v>0</v>
      </c>
      <c r="GE57" s="66">
        <v>0</v>
      </c>
      <c r="GF57" s="66">
        <v>0</v>
      </c>
      <c r="GG57" s="66">
        <v>0</v>
      </c>
      <c r="GH57" s="67" t="s">
        <v>1094</v>
      </c>
      <c r="GI57" s="67" t="s">
        <v>1094</v>
      </c>
      <c r="GJ57" s="67">
        <v>0</v>
      </c>
      <c r="GK57" s="67">
        <v>0</v>
      </c>
      <c r="GL57" s="67">
        <v>0</v>
      </c>
      <c r="GM57" s="66">
        <v>0</v>
      </c>
      <c r="GN57" s="66">
        <v>0</v>
      </c>
      <c r="GO57" s="66">
        <v>0</v>
      </c>
      <c r="GP57" s="66">
        <v>0</v>
      </c>
      <c r="GQ57" s="66">
        <v>0</v>
      </c>
      <c r="GR57" s="66">
        <v>0</v>
      </c>
      <c r="GS57" s="66">
        <v>0</v>
      </c>
      <c r="GT57" s="66">
        <v>0</v>
      </c>
      <c r="GU57" s="66">
        <v>0</v>
      </c>
      <c r="GV57" s="66">
        <v>0</v>
      </c>
      <c r="GW57" s="66">
        <v>0</v>
      </c>
      <c r="GX57" s="67" t="s">
        <v>1094</v>
      </c>
      <c r="GY57" s="67" t="s">
        <v>1094</v>
      </c>
      <c r="GZ57" s="67">
        <v>0</v>
      </c>
      <c r="HA57" s="67">
        <v>0</v>
      </c>
      <c r="HB57" s="67">
        <v>0</v>
      </c>
      <c r="HC57" s="66">
        <v>0.46379999999999999</v>
      </c>
      <c r="HD57" s="66">
        <v>0</v>
      </c>
      <c r="HE57" s="66">
        <v>0.66276078999999999</v>
      </c>
      <c r="HF57" s="66">
        <v>0.46379999999999999</v>
      </c>
      <c r="HG57" s="66">
        <v>0.19896079</v>
      </c>
      <c r="HH57" s="66">
        <v>0.46379999999999999</v>
      </c>
      <c r="HI57" s="66">
        <v>0</v>
      </c>
      <c r="HJ57" s="66">
        <v>0.66276078999999999</v>
      </c>
      <c r="HK57" s="66">
        <v>0.46379999999999999</v>
      </c>
      <c r="HL57" s="66">
        <v>0</v>
      </c>
      <c r="HM57" s="66">
        <v>0.19896079</v>
      </c>
      <c r="HN57" s="67">
        <v>100</v>
      </c>
      <c r="HO57" s="67">
        <v>100</v>
      </c>
      <c r="HP57" s="67">
        <v>30.020000127044327</v>
      </c>
      <c r="HQ57" s="67">
        <v>0</v>
      </c>
      <c r="HR57" s="67">
        <v>0</v>
      </c>
      <c r="HS57" s="66">
        <v>0</v>
      </c>
      <c r="HT57" s="66">
        <v>0</v>
      </c>
      <c r="HU57" s="66">
        <v>0</v>
      </c>
      <c r="HV57" s="66">
        <v>0</v>
      </c>
      <c r="HW57" s="66">
        <v>0</v>
      </c>
      <c r="HX57" s="66">
        <v>0</v>
      </c>
      <c r="HY57" s="66">
        <v>0</v>
      </c>
      <c r="HZ57" s="66">
        <v>0</v>
      </c>
      <c r="IA57" s="66">
        <v>0</v>
      </c>
      <c r="IB57" s="66">
        <v>0</v>
      </c>
      <c r="IC57" s="66">
        <v>0</v>
      </c>
      <c r="ID57" s="67" t="s">
        <v>1094</v>
      </c>
      <c r="IE57" s="67" t="s">
        <v>1094</v>
      </c>
      <c r="IF57" s="67">
        <v>0</v>
      </c>
      <c r="IG57" s="67">
        <v>0</v>
      </c>
      <c r="IH57" s="67">
        <v>0</v>
      </c>
    </row>
    <row r="58" spans="1:242" ht="31.5" x14ac:dyDescent="0.25">
      <c r="A58" s="72">
        <v>47</v>
      </c>
      <c r="B58" s="192" t="s">
        <v>119</v>
      </c>
      <c r="C58" s="66">
        <v>35.397800000000004</v>
      </c>
      <c r="D58" s="66">
        <v>0</v>
      </c>
      <c r="E58" s="66">
        <v>59.139291320000005</v>
      </c>
      <c r="F58" s="66">
        <v>35.397800000000004</v>
      </c>
      <c r="G58" s="66">
        <v>23.741491320000002</v>
      </c>
      <c r="H58" s="66">
        <v>35.397800000000004</v>
      </c>
      <c r="I58" s="66">
        <v>6.9970976600000006</v>
      </c>
      <c r="J58" s="66">
        <v>59.139291320000005</v>
      </c>
      <c r="K58" s="66">
        <v>35.397800000000004</v>
      </c>
      <c r="L58" s="66">
        <v>0</v>
      </c>
      <c r="M58" s="66">
        <v>23.741491320000002</v>
      </c>
      <c r="N58" s="67">
        <v>100</v>
      </c>
      <c r="O58" s="67">
        <v>100</v>
      </c>
      <c r="P58" s="67">
        <v>40.145038586167487</v>
      </c>
      <c r="Q58" s="66">
        <v>6.9970976600000006</v>
      </c>
      <c r="R58" s="67">
        <v>8.8817841970012523E-16</v>
      </c>
      <c r="S58" s="66">
        <v>8.7338000000000005</v>
      </c>
      <c r="T58" s="66">
        <v>0</v>
      </c>
      <c r="U58" s="66">
        <v>12.590168650000001</v>
      </c>
      <c r="V58" s="66">
        <v>8.7338000000000005</v>
      </c>
      <c r="W58" s="66">
        <v>3.8563686499999998</v>
      </c>
      <c r="X58" s="66">
        <v>8.7338000000000005</v>
      </c>
      <c r="Y58" s="66">
        <v>0</v>
      </c>
      <c r="Z58" s="66">
        <v>12.590168650000001</v>
      </c>
      <c r="AA58" s="66">
        <v>8.7338000000000005</v>
      </c>
      <c r="AB58" s="66">
        <v>0</v>
      </c>
      <c r="AC58" s="66">
        <v>3.8563686499999998</v>
      </c>
      <c r="AD58" s="67">
        <v>100</v>
      </c>
      <c r="AE58" s="67">
        <v>100</v>
      </c>
      <c r="AF58" s="67">
        <v>30.629999940469421</v>
      </c>
      <c r="AG58" s="67">
        <v>0</v>
      </c>
      <c r="AH58" s="67">
        <v>0</v>
      </c>
      <c r="AI58" s="66">
        <v>0</v>
      </c>
      <c r="AJ58" s="66">
        <v>0</v>
      </c>
      <c r="AK58" s="66">
        <v>0</v>
      </c>
      <c r="AL58" s="66">
        <v>0</v>
      </c>
      <c r="AM58" s="66">
        <v>0</v>
      </c>
      <c r="AN58" s="66">
        <v>0</v>
      </c>
      <c r="AO58" s="66">
        <v>0</v>
      </c>
      <c r="AP58" s="66">
        <v>0</v>
      </c>
      <c r="AQ58" s="66">
        <v>0</v>
      </c>
      <c r="AR58" s="66">
        <v>0</v>
      </c>
      <c r="AS58" s="66">
        <v>0</v>
      </c>
      <c r="AT58" s="67" t="s">
        <v>1094</v>
      </c>
      <c r="AU58" s="67" t="s">
        <v>1094</v>
      </c>
      <c r="AV58" s="67">
        <v>0</v>
      </c>
      <c r="AW58" s="67">
        <v>0</v>
      </c>
      <c r="AX58" s="67">
        <v>0</v>
      </c>
      <c r="AY58" s="66">
        <v>23.283000000000001</v>
      </c>
      <c r="AZ58" s="66">
        <v>0</v>
      </c>
      <c r="BA58" s="66">
        <v>41.579256430000001</v>
      </c>
      <c r="BB58" s="66">
        <v>23.283000000000001</v>
      </c>
      <c r="BC58" s="66">
        <v>18.29625643</v>
      </c>
      <c r="BD58" s="66">
        <v>23.283000000000001</v>
      </c>
      <c r="BE58" s="66">
        <v>6.9970976600000006</v>
      </c>
      <c r="BF58" s="66">
        <v>41.579256430000001</v>
      </c>
      <c r="BG58" s="66">
        <v>23.283000000000001</v>
      </c>
      <c r="BH58" s="66">
        <v>0</v>
      </c>
      <c r="BI58" s="66">
        <v>18.29625643</v>
      </c>
      <c r="BJ58" s="67">
        <v>100</v>
      </c>
      <c r="BK58" s="67">
        <v>100</v>
      </c>
      <c r="BL58" s="67">
        <v>44.003327622759024</v>
      </c>
      <c r="BM58" s="67">
        <v>6.9970976600000006</v>
      </c>
      <c r="BN58" s="67">
        <v>8.8817841970012523E-16</v>
      </c>
      <c r="BO58" s="66">
        <v>0</v>
      </c>
      <c r="BP58" s="66">
        <v>0</v>
      </c>
      <c r="BQ58" s="66">
        <v>0</v>
      </c>
      <c r="BR58" s="66">
        <v>0</v>
      </c>
      <c r="BS58" s="66">
        <v>0</v>
      </c>
      <c r="BT58" s="66">
        <v>0</v>
      </c>
      <c r="BU58" s="66">
        <v>0</v>
      </c>
      <c r="BV58" s="66">
        <v>0</v>
      </c>
      <c r="BW58" s="66">
        <v>0</v>
      </c>
      <c r="BX58" s="66">
        <v>0</v>
      </c>
      <c r="BY58" s="66">
        <v>0</v>
      </c>
      <c r="BZ58" s="67" t="s">
        <v>1094</v>
      </c>
      <c r="CA58" s="67" t="s">
        <v>1094</v>
      </c>
      <c r="CB58" s="67">
        <v>0</v>
      </c>
      <c r="CC58" s="67">
        <v>0</v>
      </c>
      <c r="CD58" s="67">
        <v>0</v>
      </c>
      <c r="CE58" s="66">
        <v>0</v>
      </c>
      <c r="CF58" s="66">
        <v>0</v>
      </c>
      <c r="CG58" s="66">
        <v>0</v>
      </c>
      <c r="CH58" s="66">
        <v>0</v>
      </c>
      <c r="CI58" s="66">
        <v>0</v>
      </c>
      <c r="CJ58" s="66">
        <v>0</v>
      </c>
      <c r="CK58" s="66">
        <v>0</v>
      </c>
      <c r="CL58" s="66">
        <v>0</v>
      </c>
      <c r="CM58" s="66">
        <v>0</v>
      </c>
      <c r="CN58" s="66">
        <v>0</v>
      </c>
      <c r="CO58" s="66">
        <v>0</v>
      </c>
      <c r="CP58" s="67" t="s">
        <v>1094</v>
      </c>
      <c r="CQ58" s="67" t="s">
        <v>1094</v>
      </c>
      <c r="CR58" s="67">
        <v>0</v>
      </c>
      <c r="CS58" s="67">
        <v>0</v>
      </c>
      <c r="CT58" s="67">
        <v>0</v>
      </c>
      <c r="CU58" s="66">
        <v>0</v>
      </c>
      <c r="CV58" s="66">
        <v>0</v>
      </c>
      <c r="CW58" s="66">
        <v>0</v>
      </c>
      <c r="CX58" s="66">
        <v>0</v>
      </c>
      <c r="CY58" s="66">
        <v>0</v>
      </c>
      <c r="CZ58" s="66">
        <v>0</v>
      </c>
      <c r="DA58" s="66">
        <v>0</v>
      </c>
      <c r="DB58" s="66">
        <v>0</v>
      </c>
      <c r="DC58" s="66">
        <v>0</v>
      </c>
      <c r="DD58" s="66">
        <v>0</v>
      </c>
      <c r="DE58" s="66">
        <v>0</v>
      </c>
      <c r="DF58" s="67" t="s">
        <v>1094</v>
      </c>
      <c r="DG58" s="67" t="s">
        <v>1094</v>
      </c>
      <c r="DH58" s="67">
        <v>0</v>
      </c>
      <c r="DI58" s="67">
        <v>0</v>
      </c>
      <c r="DJ58" s="67">
        <v>0</v>
      </c>
      <c r="DK58" s="66">
        <v>3.3809999999999998</v>
      </c>
      <c r="DL58" s="66">
        <v>0</v>
      </c>
      <c r="DM58" s="66">
        <v>4.96986624</v>
      </c>
      <c r="DN58" s="66">
        <v>3.3809999999999998</v>
      </c>
      <c r="DO58" s="66">
        <v>1.58886624</v>
      </c>
      <c r="DP58" s="66">
        <v>3.3809999999999998</v>
      </c>
      <c r="DQ58" s="66">
        <v>0</v>
      </c>
      <c r="DR58" s="66">
        <v>4.96986624</v>
      </c>
      <c r="DS58" s="66">
        <v>3.3809999999999998</v>
      </c>
      <c r="DT58" s="66">
        <v>0</v>
      </c>
      <c r="DU58" s="66">
        <v>1.58886624</v>
      </c>
      <c r="DV58" s="67">
        <v>100</v>
      </c>
      <c r="DW58" s="67">
        <v>100</v>
      </c>
      <c r="DX58" s="67">
        <v>31.970000061812531</v>
      </c>
      <c r="DY58" s="67">
        <v>0</v>
      </c>
      <c r="DZ58" s="67">
        <v>0</v>
      </c>
      <c r="EA58" s="66">
        <v>0</v>
      </c>
      <c r="EB58" s="66">
        <v>0</v>
      </c>
      <c r="EC58" s="66">
        <v>0</v>
      </c>
      <c r="ED58" s="66">
        <v>0</v>
      </c>
      <c r="EE58" s="66">
        <v>0</v>
      </c>
      <c r="EF58" s="66">
        <v>0</v>
      </c>
      <c r="EG58" s="66">
        <v>0</v>
      </c>
      <c r="EH58" s="66">
        <v>0</v>
      </c>
      <c r="EI58" s="66">
        <v>0</v>
      </c>
      <c r="EJ58" s="66">
        <v>0</v>
      </c>
      <c r="EK58" s="66">
        <v>0</v>
      </c>
      <c r="EL58" s="67" t="s">
        <v>1094</v>
      </c>
      <c r="EM58" s="67" t="s">
        <v>1094</v>
      </c>
      <c r="EN58" s="67">
        <v>0</v>
      </c>
      <c r="EO58" s="67">
        <v>0</v>
      </c>
      <c r="EP58" s="67">
        <v>0</v>
      </c>
      <c r="EQ58" s="66">
        <v>0</v>
      </c>
      <c r="ER58" s="66">
        <v>0</v>
      </c>
      <c r="ES58" s="66">
        <v>0</v>
      </c>
      <c r="ET58" s="66">
        <v>0</v>
      </c>
      <c r="EU58" s="66">
        <v>0</v>
      </c>
      <c r="EV58" s="66">
        <v>0</v>
      </c>
      <c r="EW58" s="66">
        <v>0</v>
      </c>
      <c r="EX58" s="66">
        <v>0</v>
      </c>
      <c r="EY58" s="66">
        <v>0</v>
      </c>
      <c r="EZ58" s="66">
        <v>0</v>
      </c>
      <c r="FA58" s="66">
        <v>0</v>
      </c>
      <c r="FB58" s="67" t="s">
        <v>1094</v>
      </c>
      <c r="FC58" s="67" t="s">
        <v>1094</v>
      </c>
      <c r="FD58" s="67">
        <v>0</v>
      </c>
      <c r="FE58" s="67">
        <v>0</v>
      </c>
      <c r="FF58" s="67">
        <v>0</v>
      </c>
      <c r="FG58" s="66">
        <v>0</v>
      </c>
      <c r="FH58" s="66">
        <v>0</v>
      </c>
      <c r="FI58" s="66">
        <v>0</v>
      </c>
      <c r="FJ58" s="66">
        <v>0</v>
      </c>
      <c r="FK58" s="66">
        <v>0</v>
      </c>
      <c r="FL58" s="66">
        <v>0</v>
      </c>
      <c r="FM58" s="66">
        <v>0</v>
      </c>
      <c r="FN58" s="66">
        <v>0</v>
      </c>
      <c r="FO58" s="66">
        <v>0</v>
      </c>
      <c r="FP58" s="66">
        <v>0</v>
      </c>
      <c r="FQ58" s="66">
        <v>0</v>
      </c>
      <c r="FR58" s="67" t="s">
        <v>1094</v>
      </c>
      <c r="FS58" s="67" t="s">
        <v>1094</v>
      </c>
      <c r="FT58" s="67">
        <v>0</v>
      </c>
      <c r="FU58" s="67">
        <v>0</v>
      </c>
      <c r="FV58" s="67">
        <v>0</v>
      </c>
      <c r="FW58" s="66">
        <v>0</v>
      </c>
      <c r="FX58" s="66">
        <v>0</v>
      </c>
      <c r="FY58" s="66">
        <v>0</v>
      </c>
      <c r="FZ58" s="66">
        <v>0</v>
      </c>
      <c r="GA58" s="66">
        <v>0</v>
      </c>
      <c r="GB58" s="66">
        <v>0</v>
      </c>
      <c r="GC58" s="66">
        <v>0</v>
      </c>
      <c r="GD58" s="66">
        <v>0</v>
      </c>
      <c r="GE58" s="66">
        <v>0</v>
      </c>
      <c r="GF58" s="66">
        <v>0</v>
      </c>
      <c r="GG58" s="66">
        <v>0</v>
      </c>
      <c r="GH58" s="67" t="s">
        <v>1094</v>
      </c>
      <c r="GI58" s="67" t="s">
        <v>1094</v>
      </c>
      <c r="GJ58" s="67">
        <v>0</v>
      </c>
      <c r="GK58" s="67">
        <v>0</v>
      </c>
      <c r="GL58" s="67">
        <v>0</v>
      </c>
      <c r="GM58" s="66">
        <v>0</v>
      </c>
      <c r="GN58" s="66">
        <v>0</v>
      </c>
      <c r="GO58" s="66">
        <v>0</v>
      </c>
      <c r="GP58" s="66">
        <v>0</v>
      </c>
      <c r="GQ58" s="66">
        <v>0</v>
      </c>
      <c r="GR58" s="66">
        <v>0</v>
      </c>
      <c r="GS58" s="66">
        <v>0</v>
      </c>
      <c r="GT58" s="66">
        <v>0</v>
      </c>
      <c r="GU58" s="66">
        <v>0</v>
      </c>
      <c r="GV58" s="66">
        <v>0</v>
      </c>
      <c r="GW58" s="66">
        <v>0</v>
      </c>
      <c r="GX58" s="67" t="s">
        <v>1094</v>
      </c>
      <c r="GY58" s="67" t="s">
        <v>1094</v>
      </c>
      <c r="GZ58" s="67">
        <v>0</v>
      </c>
      <c r="HA58" s="67">
        <v>0</v>
      </c>
      <c r="HB58" s="67">
        <v>0</v>
      </c>
      <c r="HC58" s="66">
        <v>0</v>
      </c>
      <c r="HD58" s="66">
        <v>0</v>
      </c>
      <c r="HE58" s="66">
        <v>0</v>
      </c>
      <c r="HF58" s="66">
        <v>0</v>
      </c>
      <c r="HG58" s="66">
        <v>0</v>
      </c>
      <c r="HH58" s="66">
        <v>0</v>
      </c>
      <c r="HI58" s="66">
        <v>0</v>
      </c>
      <c r="HJ58" s="66">
        <v>0</v>
      </c>
      <c r="HK58" s="66">
        <v>0</v>
      </c>
      <c r="HL58" s="66">
        <v>0</v>
      </c>
      <c r="HM58" s="66">
        <v>0</v>
      </c>
      <c r="HN58" s="67" t="s">
        <v>1094</v>
      </c>
      <c r="HO58" s="67" t="s">
        <v>1094</v>
      </c>
      <c r="HP58" s="67">
        <v>0</v>
      </c>
      <c r="HQ58" s="67">
        <v>0</v>
      </c>
      <c r="HR58" s="67">
        <v>0</v>
      </c>
      <c r="HS58" s="66">
        <v>0</v>
      </c>
      <c r="HT58" s="66">
        <v>0</v>
      </c>
      <c r="HU58" s="66">
        <v>0</v>
      </c>
      <c r="HV58" s="66">
        <v>0</v>
      </c>
      <c r="HW58" s="66">
        <v>0</v>
      </c>
      <c r="HX58" s="66">
        <v>0</v>
      </c>
      <c r="HY58" s="66">
        <v>0</v>
      </c>
      <c r="HZ58" s="66">
        <v>0</v>
      </c>
      <c r="IA58" s="66">
        <v>0</v>
      </c>
      <c r="IB58" s="66">
        <v>0</v>
      </c>
      <c r="IC58" s="66">
        <v>0</v>
      </c>
      <c r="ID58" s="67" t="s">
        <v>1094</v>
      </c>
      <c r="IE58" s="67" t="s">
        <v>1094</v>
      </c>
      <c r="IF58" s="67">
        <v>0</v>
      </c>
      <c r="IG58" s="67">
        <v>0</v>
      </c>
      <c r="IH58" s="67">
        <v>0</v>
      </c>
    </row>
    <row r="59" spans="1:242" ht="15.75" x14ac:dyDescent="0.25">
      <c r="A59" s="11">
        <v>48</v>
      </c>
      <c r="B59" s="192" t="s">
        <v>122</v>
      </c>
      <c r="C59" s="66">
        <v>52.099800000000002</v>
      </c>
      <c r="D59" s="66">
        <v>0</v>
      </c>
      <c r="E59" s="66">
        <v>64.956199999999995</v>
      </c>
      <c r="F59" s="66">
        <v>52.099800000000002</v>
      </c>
      <c r="G59" s="66">
        <v>12.856400000000001</v>
      </c>
      <c r="H59" s="66">
        <v>52.099799700000005</v>
      </c>
      <c r="I59" s="66">
        <v>0</v>
      </c>
      <c r="J59" s="66">
        <v>64.956199699999999</v>
      </c>
      <c r="K59" s="66">
        <v>52.099799700000005</v>
      </c>
      <c r="L59" s="66">
        <v>0</v>
      </c>
      <c r="M59" s="66">
        <v>12.856400000000001</v>
      </c>
      <c r="N59" s="67">
        <v>99.999999424182064</v>
      </c>
      <c r="O59" s="67">
        <v>100</v>
      </c>
      <c r="P59" s="67">
        <v>19.792414056513842</v>
      </c>
      <c r="Q59" s="66">
        <v>0</v>
      </c>
      <c r="R59" s="67">
        <v>0</v>
      </c>
      <c r="S59" s="66">
        <v>20.075800000000001</v>
      </c>
      <c r="T59" s="66">
        <v>0</v>
      </c>
      <c r="U59" s="66">
        <v>27.932200000000002</v>
      </c>
      <c r="V59" s="66">
        <v>20.075800000000001</v>
      </c>
      <c r="W59" s="66">
        <v>7.8563999999999998</v>
      </c>
      <c r="X59" s="66">
        <v>20.075799780000001</v>
      </c>
      <c r="Y59" s="66">
        <v>0</v>
      </c>
      <c r="Z59" s="66">
        <v>27.932199780000001</v>
      </c>
      <c r="AA59" s="66">
        <v>20.075799780000001</v>
      </c>
      <c r="AB59" s="66">
        <v>0</v>
      </c>
      <c r="AC59" s="66">
        <v>7.8563999999999998</v>
      </c>
      <c r="AD59" s="67">
        <v>99.999998904153259</v>
      </c>
      <c r="AE59" s="67">
        <v>100</v>
      </c>
      <c r="AF59" s="67">
        <v>28.126678392245118</v>
      </c>
      <c r="AG59" s="67">
        <v>0</v>
      </c>
      <c r="AH59" s="67">
        <v>0</v>
      </c>
      <c r="AI59" s="66">
        <v>0</v>
      </c>
      <c r="AJ59" s="66">
        <v>0</v>
      </c>
      <c r="AK59" s="66">
        <v>0</v>
      </c>
      <c r="AL59" s="66">
        <v>0</v>
      </c>
      <c r="AM59" s="66">
        <v>0</v>
      </c>
      <c r="AN59" s="66">
        <v>0</v>
      </c>
      <c r="AO59" s="66">
        <v>0</v>
      </c>
      <c r="AP59" s="66">
        <v>0</v>
      </c>
      <c r="AQ59" s="66">
        <v>0</v>
      </c>
      <c r="AR59" s="66">
        <v>0</v>
      </c>
      <c r="AS59" s="66">
        <v>0</v>
      </c>
      <c r="AT59" s="67" t="s">
        <v>1094</v>
      </c>
      <c r="AU59" s="67" t="s">
        <v>1094</v>
      </c>
      <c r="AV59" s="67">
        <v>0</v>
      </c>
      <c r="AW59" s="67">
        <v>0</v>
      </c>
      <c r="AX59" s="67">
        <v>0</v>
      </c>
      <c r="AY59" s="66">
        <v>32.024000000000001</v>
      </c>
      <c r="AZ59" s="66">
        <v>0</v>
      </c>
      <c r="BA59" s="66">
        <v>37.024000000000001</v>
      </c>
      <c r="BB59" s="66">
        <v>32.024000000000001</v>
      </c>
      <c r="BC59" s="66">
        <v>5</v>
      </c>
      <c r="BD59" s="66">
        <v>32.023999920000001</v>
      </c>
      <c r="BE59" s="66">
        <v>0</v>
      </c>
      <c r="BF59" s="66">
        <v>37.023999920000001</v>
      </c>
      <c r="BG59" s="66">
        <v>32.023999920000001</v>
      </c>
      <c r="BH59" s="66">
        <v>0</v>
      </c>
      <c r="BI59" s="66">
        <v>5</v>
      </c>
      <c r="BJ59" s="67">
        <v>99.999999750187357</v>
      </c>
      <c r="BK59" s="67">
        <v>100</v>
      </c>
      <c r="BL59" s="67">
        <v>13.504753702473538</v>
      </c>
      <c r="BM59" s="67">
        <v>0</v>
      </c>
      <c r="BN59" s="67">
        <v>0</v>
      </c>
      <c r="BO59" s="66">
        <v>0</v>
      </c>
      <c r="BP59" s="66">
        <v>0</v>
      </c>
      <c r="BQ59" s="66">
        <v>0</v>
      </c>
      <c r="BR59" s="66">
        <v>0</v>
      </c>
      <c r="BS59" s="66">
        <v>0</v>
      </c>
      <c r="BT59" s="66">
        <v>0</v>
      </c>
      <c r="BU59" s="66">
        <v>0</v>
      </c>
      <c r="BV59" s="66">
        <v>0</v>
      </c>
      <c r="BW59" s="66">
        <v>0</v>
      </c>
      <c r="BX59" s="66">
        <v>0</v>
      </c>
      <c r="BY59" s="66">
        <v>0</v>
      </c>
      <c r="BZ59" s="67" t="s">
        <v>1094</v>
      </c>
      <c r="CA59" s="67" t="s">
        <v>1094</v>
      </c>
      <c r="CB59" s="67">
        <v>0</v>
      </c>
      <c r="CC59" s="67">
        <v>0</v>
      </c>
      <c r="CD59" s="67">
        <v>0</v>
      </c>
      <c r="CE59" s="66">
        <v>0</v>
      </c>
      <c r="CF59" s="66">
        <v>0</v>
      </c>
      <c r="CG59" s="66">
        <v>0</v>
      </c>
      <c r="CH59" s="66">
        <v>0</v>
      </c>
      <c r="CI59" s="66">
        <v>0</v>
      </c>
      <c r="CJ59" s="66">
        <v>0</v>
      </c>
      <c r="CK59" s="66">
        <v>0</v>
      </c>
      <c r="CL59" s="66">
        <v>0</v>
      </c>
      <c r="CM59" s="66">
        <v>0</v>
      </c>
      <c r="CN59" s="66">
        <v>0</v>
      </c>
      <c r="CO59" s="66">
        <v>0</v>
      </c>
      <c r="CP59" s="67" t="s">
        <v>1094</v>
      </c>
      <c r="CQ59" s="67" t="s">
        <v>1094</v>
      </c>
      <c r="CR59" s="67">
        <v>0</v>
      </c>
      <c r="CS59" s="67">
        <v>0</v>
      </c>
      <c r="CT59" s="67">
        <v>0</v>
      </c>
      <c r="CU59" s="66">
        <v>0</v>
      </c>
      <c r="CV59" s="66">
        <v>0</v>
      </c>
      <c r="CW59" s="66">
        <v>0</v>
      </c>
      <c r="CX59" s="66">
        <v>0</v>
      </c>
      <c r="CY59" s="66">
        <v>0</v>
      </c>
      <c r="CZ59" s="66">
        <v>0</v>
      </c>
      <c r="DA59" s="66">
        <v>0</v>
      </c>
      <c r="DB59" s="66">
        <v>0</v>
      </c>
      <c r="DC59" s="66">
        <v>0</v>
      </c>
      <c r="DD59" s="66">
        <v>0</v>
      </c>
      <c r="DE59" s="66">
        <v>0</v>
      </c>
      <c r="DF59" s="67" t="s">
        <v>1094</v>
      </c>
      <c r="DG59" s="67" t="s">
        <v>1094</v>
      </c>
      <c r="DH59" s="67">
        <v>0</v>
      </c>
      <c r="DI59" s="67">
        <v>0</v>
      </c>
      <c r="DJ59" s="67">
        <v>0</v>
      </c>
      <c r="DK59" s="66">
        <v>0</v>
      </c>
      <c r="DL59" s="66">
        <v>0</v>
      </c>
      <c r="DM59" s="66">
        <v>0</v>
      </c>
      <c r="DN59" s="66">
        <v>0</v>
      </c>
      <c r="DO59" s="66">
        <v>0</v>
      </c>
      <c r="DP59" s="66">
        <v>0</v>
      </c>
      <c r="DQ59" s="66">
        <v>0</v>
      </c>
      <c r="DR59" s="66">
        <v>0</v>
      </c>
      <c r="DS59" s="66">
        <v>0</v>
      </c>
      <c r="DT59" s="66">
        <v>0</v>
      </c>
      <c r="DU59" s="66">
        <v>0</v>
      </c>
      <c r="DV59" s="67" t="s">
        <v>1094</v>
      </c>
      <c r="DW59" s="67" t="s">
        <v>1094</v>
      </c>
      <c r="DX59" s="67">
        <v>0</v>
      </c>
      <c r="DY59" s="67">
        <v>0</v>
      </c>
      <c r="DZ59" s="67">
        <v>0</v>
      </c>
      <c r="EA59" s="66">
        <v>0</v>
      </c>
      <c r="EB59" s="66">
        <v>0</v>
      </c>
      <c r="EC59" s="66">
        <v>0</v>
      </c>
      <c r="ED59" s="66">
        <v>0</v>
      </c>
      <c r="EE59" s="66">
        <v>0</v>
      </c>
      <c r="EF59" s="66">
        <v>0</v>
      </c>
      <c r="EG59" s="66">
        <v>0</v>
      </c>
      <c r="EH59" s="66">
        <v>0</v>
      </c>
      <c r="EI59" s="66">
        <v>0</v>
      </c>
      <c r="EJ59" s="66">
        <v>0</v>
      </c>
      <c r="EK59" s="66">
        <v>0</v>
      </c>
      <c r="EL59" s="67" t="s">
        <v>1094</v>
      </c>
      <c r="EM59" s="67" t="s">
        <v>1094</v>
      </c>
      <c r="EN59" s="67">
        <v>0</v>
      </c>
      <c r="EO59" s="67">
        <v>0</v>
      </c>
      <c r="EP59" s="67">
        <v>0</v>
      </c>
      <c r="EQ59" s="66">
        <v>0</v>
      </c>
      <c r="ER59" s="66">
        <v>0</v>
      </c>
      <c r="ES59" s="66">
        <v>0</v>
      </c>
      <c r="ET59" s="66">
        <v>0</v>
      </c>
      <c r="EU59" s="66">
        <v>0</v>
      </c>
      <c r="EV59" s="66">
        <v>0</v>
      </c>
      <c r="EW59" s="66">
        <v>0</v>
      </c>
      <c r="EX59" s="66">
        <v>0</v>
      </c>
      <c r="EY59" s="66">
        <v>0</v>
      </c>
      <c r="EZ59" s="66">
        <v>0</v>
      </c>
      <c r="FA59" s="66">
        <v>0</v>
      </c>
      <c r="FB59" s="67" t="s">
        <v>1094</v>
      </c>
      <c r="FC59" s="67" t="s">
        <v>1094</v>
      </c>
      <c r="FD59" s="67">
        <v>0</v>
      </c>
      <c r="FE59" s="67">
        <v>0</v>
      </c>
      <c r="FF59" s="67">
        <v>0</v>
      </c>
      <c r="FG59" s="66">
        <v>0</v>
      </c>
      <c r="FH59" s="66">
        <v>0</v>
      </c>
      <c r="FI59" s="66">
        <v>0</v>
      </c>
      <c r="FJ59" s="66">
        <v>0</v>
      </c>
      <c r="FK59" s="66">
        <v>0</v>
      </c>
      <c r="FL59" s="66">
        <v>0</v>
      </c>
      <c r="FM59" s="66">
        <v>0</v>
      </c>
      <c r="FN59" s="66">
        <v>0</v>
      </c>
      <c r="FO59" s="66">
        <v>0</v>
      </c>
      <c r="FP59" s="66">
        <v>0</v>
      </c>
      <c r="FQ59" s="66">
        <v>0</v>
      </c>
      <c r="FR59" s="67" t="s">
        <v>1094</v>
      </c>
      <c r="FS59" s="67" t="s">
        <v>1094</v>
      </c>
      <c r="FT59" s="67">
        <v>0</v>
      </c>
      <c r="FU59" s="67">
        <v>0</v>
      </c>
      <c r="FV59" s="67">
        <v>0</v>
      </c>
      <c r="FW59" s="66">
        <v>0</v>
      </c>
      <c r="FX59" s="66">
        <v>0</v>
      </c>
      <c r="FY59" s="66">
        <v>0</v>
      </c>
      <c r="FZ59" s="66">
        <v>0</v>
      </c>
      <c r="GA59" s="66">
        <v>0</v>
      </c>
      <c r="GB59" s="66">
        <v>0</v>
      </c>
      <c r="GC59" s="66">
        <v>0</v>
      </c>
      <c r="GD59" s="66">
        <v>0</v>
      </c>
      <c r="GE59" s="66">
        <v>0</v>
      </c>
      <c r="GF59" s="66">
        <v>0</v>
      </c>
      <c r="GG59" s="66">
        <v>0</v>
      </c>
      <c r="GH59" s="67" t="s">
        <v>1094</v>
      </c>
      <c r="GI59" s="67" t="s">
        <v>1094</v>
      </c>
      <c r="GJ59" s="67">
        <v>0</v>
      </c>
      <c r="GK59" s="67">
        <v>0</v>
      </c>
      <c r="GL59" s="67">
        <v>0</v>
      </c>
      <c r="GM59" s="66">
        <v>0</v>
      </c>
      <c r="GN59" s="66">
        <v>0</v>
      </c>
      <c r="GO59" s="66">
        <v>0</v>
      </c>
      <c r="GP59" s="66">
        <v>0</v>
      </c>
      <c r="GQ59" s="66">
        <v>0</v>
      </c>
      <c r="GR59" s="66">
        <v>0</v>
      </c>
      <c r="GS59" s="66">
        <v>0</v>
      </c>
      <c r="GT59" s="66">
        <v>0</v>
      </c>
      <c r="GU59" s="66">
        <v>0</v>
      </c>
      <c r="GV59" s="66">
        <v>0</v>
      </c>
      <c r="GW59" s="66">
        <v>0</v>
      </c>
      <c r="GX59" s="67" t="s">
        <v>1094</v>
      </c>
      <c r="GY59" s="67" t="s">
        <v>1094</v>
      </c>
      <c r="GZ59" s="67">
        <v>0</v>
      </c>
      <c r="HA59" s="67">
        <v>0</v>
      </c>
      <c r="HB59" s="67">
        <v>0</v>
      </c>
      <c r="HC59" s="66">
        <v>0</v>
      </c>
      <c r="HD59" s="66">
        <v>0</v>
      </c>
      <c r="HE59" s="66">
        <v>0</v>
      </c>
      <c r="HF59" s="66">
        <v>0</v>
      </c>
      <c r="HG59" s="66">
        <v>0</v>
      </c>
      <c r="HH59" s="66">
        <v>0</v>
      </c>
      <c r="HI59" s="66">
        <v>0</v>
      </c>
      <c r="HJ59" s="66">
        <v>0</v>
      </c>
      <c r="HK59" s="66">
        <v>0</v>
      </c>
      <c r="HL59" s="66">
        <v>0</v>
      </c>
      <c r="HM59" s="66">
        <v>0</v>
      </c>
      <c r="HN59" s="67" t="s">
        <v>1094</v>
      </c>
      <c r="HO59" s="67" t="s">
        <v>1094</v>
      </c>
      <c r="HP59" s="67">
        <v>0</v>
      </c>
      <c r="HQ59" s="67">
        <v>0</v>
      </c>
      <c r="HR59" s="67">
        <v>0</v>
      </c>
      <c r="HS59" s="66">
        <v>0</v>
      </c>
      <c r="HT59" s="66">
        <v>0</v>
      </c>
      <c r="HU59" s="66">
        <v>0</v>
      </c>
      <c r="HV59" s="66">
        <v>0</v>
      </c>
      <c r="HW59" s="66">
        <v>0</v>
      </c>
      <c r="HX59" s="66">
        <v>0</v>
      </c>
      <c r="HY59" s="66">
        <v>0</v>
      </c>
      <c r="HZ59" s="66">
        <v>0</v>
      </c>
      <c r="IA59" s="66">
        <v>0</v>
      </c>
      <c r="IB59" s="66">
        <v>0</v>
      </c>
      <c r="IC59" s="66">
        <v>0</v>
      </c>
      <c r="ID59" s="67" t="s">
        <v>1094</v>
      </c>
      <c r="IE59" s="67" t="s">
        <v>1094</v>
      </c>
      <c r="IF59" s="67">
        <v>0</v>
      </c>
      <c r="IG59" s="67">
        <v>0</v>
      </c>
      <c r="IH59" s="67">
        <v>0</v>
      </c>
    </row>
    <row r="60" spans="1:242" ht="15.75" x14ac:dyDescent="0.25">
      <c r="A60" s="74">
        <v>49</v>
      </c>
      <c r="B60" s="192" t="s">
        <v>125</v>
      </c>
      <c r="C60" s="66">
        <v>127.94750000000001</v>
      </c>
      <c r="D60" s="66">
        <v>0</v>
      </c>
      <c r="E60" s="66">
        <v>250.4025</v>
      </c>
      <c r="F60" s="66">
        <v>127.94750000000001</v>
      </c>
      <c r="G60" s="66">
        <v>122.455</v>
      </c>
      <c r="H60" s="66">
        <v>126.80695001000001</v>
      </c>
      <c r="I60" s="66">
        <v>0.52085718999999997</v>
      </c>
      <c r="J60" s="66">
        <v>246.99967405000001</v>
      </c>
      <c r="K60" s="66">
        <v>126.54449363000001</v>
      </c>
      <c r="L60" s="66">
        <v>0</v>
      </c>
      <c r="M60" s="66">
        <v>120.45518041999999</v>
      </c>
      <c r="N60" s="67">
        <v>98.903451517223857</v>
      </c>
      <c r="O60" s="67">
        <v>98.366894304030055</v>
      </c>
      <c r="P60" s="67">
        <v>48.767343877391639</v>
      </c>
      <c r="Q60" s="66">
        <v>0.52085718999999997</v>
      </c>
      <c r="R60" s="67">
        <v>0.26245638000000426</v>
      </c>
      <c r="S60" s="66">
        <v>73.078500000000005</v>
      </c>
      <c r="T60" s="66">
        <v>0</v>
      </c>
      <c r="U60" s="66">
        <v>116.5335</v>
      </c>
      <c r="V60" s="66">
        <v>73.078500000000005</v>
      </c>
      <c r="W60" s="66">
        <v>43.454999999999998</v>
      </c>
      <c r="X60" s="66">
        <v>73.078500000000005</v>
      </c>
      <c r="Y60" s="66">
        <v>0.52085718999999997</v>
      </c>
      <c r="Z60" s="66">
        <v>116.5335</v>
      </c>
      <c r="AA60" s="66">
        <v>73.078500000000005</v>
      </c>
      <c r="AB60" s="66">
        <v>0</v>
      </c>
      <c r="AC60" s="66">
        <v>43.454999999999998</v>
      </c>
      <c r="AD60" s="67">
        <v>100</v>
      </c>
      <c r="AE60" s="67">
        <v>100</v>
      </c>
      <c r="AF60" s="67">
        <v>37.289706393440511</v>
      </c>
      <c r="AG60" s="67">
        <v>0.52085718999999997</v>
      </c>
      <c r="AH60" s="67">
        <v>9.9920072216264089E-16</v>
      </c>
      <c r="AI60" s="66">
        <v>0</v>
      </c>
      <c r="AJ60" s="66">
        <v>0</v>
      </c>
      <c r="AK60" s="66">
        <v>0</v>
      </c>
      <c r="AL60" s="66">
        <v>0</v>
      </c>
      <c r="AM60" s="66">
        <v>0</v>
      </c>
      <c r="AN60" s="66">
        <v>0</v>
      </c>
      <c r="AO60" s="66">
        <v>0</v>
      </c>
      <c r="AP60" s="66">
        <v>0</v>
      </c>
      <c r="AQ60" s="66">
        <v>0</v>
      </c>
      <c r="AR60" s="66">
        <v>0</v>
      </c>
      <c r="AS60" s="66">
        <v>0</v>
      </c>
      <c r="AT60" s="67" t="s">
        <v>1094</v>
      </c>
      <c r="AU60" s="67" t="s">
        <v>1094</v>
      </c>
      <c r="AV60" s="67">
        <v>0</v>
      </c>
      <c r="AW60" s="67">
        <v>0</v>
      </c>
      <c r="AX60" s="67">
        <v>0</v>
      </c>
      <c r="AY60" s="66">
        <v>24.065000000000001</v>
      </c>
      <c r="AZ60" s="66">
        <v>0</v>
      </c>
      <c r="BA60" s="66">
        <v>64.064999999999998</v>
      </c>
      <c r="BB60" s="66">
        <v>24.065000000000001</v>
      </c>
      <c r="BC60" s="66">
        <v>40</v>
      </c>
      <c r="BD60" s="66">
        <v>23.79347847</v>
      </c>
      <c r="BE60" s="66">
        <v>0</v>
      </c>
      <c r="BF60" s="66">
        <v>63.139918619999996</v>
      </c>
      <c r="BG60" s="66">
        <v>23.53102209</v>
      </c>
      <c r="BH60" s="66">
        <v>0</v>
      </c>
      <c r="BI60" s="66">
        <v>39.608896530000003</v>
      </c>
      <c r="BJ60" s="67">
        <v>97.781101558279659</v>
      </c>
      <c r="BK60" s="67">
        <v>99.02224132500001</v>
      </c>
      <c r="BL60" s="67">
        <v>62.731941053616779</v>
      </c>
      <c r="BM60" s="67">
        <v>0</v>
      </c>
      <c r="BN60" s="67">
        <v>0.26245637999999971</v>
      </c>
      <c r="BO60" s="66">
        <v>0</v>
      </c>
      <c r="BP60" s="66">
        <v>0</v>
      </c>
      <c r="BQ60" s="66">
        <v>0</v>
      </c>
      <c r="BR60" s="66">
        <v>0</v>
      </c>
      <c r="BS60" s="66">
        <v>0</v>
      </c>
      <c r="BT60" s="66">
        <v>0</v>
      </c>
      <c r="BU60" s="66">
        <v>0</v>
      </c>
      <c r="BV60" s="66">
        <v>0</v>
      </c>
      <c r="BW60" s="66">
        <v>0</v>
      </c>
      <c r="BX60" s="66">
        <v>0</v>
      </c>
      <c r="BY60" s="66">
        <v>0</v>
      </c>
      <c r="BZ60" s="67" t="s">
        <v>1094</v>
      </c>
      <c r="CA60" s="67" t="s">
        <v>1094</v>
      </c>
      <c r="CB60" s="67">
        <v>0</v>
      </c>
      <c r="CC60" s="67">
        <v>0</v>
      </c>
      <c r="CD60" s="67">
        <v>0</v>
      </c>
      <c r="CE60" s="66">
        <v>20</v>
      </c>
      <c r="CF60" s="66">
        <v>0</v>
      </c>
      <c r="CG60" s="66">
        <v>39</v>
      </c>
      <c r="CH60" s="66">
        <v>20</v>
      </c>
      <c r="CI60" s="66">
        <v>19</v>
      </c>
      <c r="CJ60" s="66">
        <v>20</v>
      </c>
      <c r="CK60" s="66">
        <v>0</v>
      </c>
      <c r="CL60" s="66">
        <v>39</v>
      </c>
      <c r="CM60" s="66">
        <v>20</v>
      </c>
      <c r="CN60" s="66">
        <v>0</v>
      </c>
      <c r="CO60" s="66">
        <v>19</v>
      </c>
      <c r="CP60" s="67">
        <v>100</v>
      </c>
      <c r="CQ60" s="67">
        <v>100</v>
      </c>
      <c r="CR60" s="67">
        <v>48.717948717948715</v>
      </c>
      <c r="CS60" s="67">
        <v>0</v>
      </c>
      <c r="CT60" s="67">
        <v>0</v>
      </c>
      <c r="CU60" s="66">
        <v>0</v>
      </c>
      <c r="CV60" s="66">
        <v>0</v>
      </c>
      <c r="CW60" s="66">
        <v>0</v>
      </c>
      <c r="CX60" s="66">
        <v>0</v>
      </c>
      <c r="CY60" s="66">
        <v>0</v>
      </c>
      <c r="CZ60" s="66">
        <v>0</v>
      </c>
      <c r="DA60" s="66">
        <v>0</v>
      </c>
      <c r="DB60" s="66">
        <v>0</v>
      </c>
      <c r="DC60" s="66">
        <v>0</v>
      </c>
      <c r="DD60" s="66">
        <v>0</v>
      </c>
      <c r="DE60" s="66">
        <v>0</v>
      </c>
      <c r="DF60" s="67" t="s">
        <v>1094</v>
      </c>
      <c r="DG60" s="67" t="s">
        <v>1094</v>
      </c>
      <c r="DH60" s="67">
        <v>0</v>
      </c>
      <c r="DI60" s="67">
        <v>0</v>
      </c>
      <c r="DJ60" s="67">
        <v>0</v>
      </c>
      <c r="DK60" s="66">
        <v>0</v>
      </c>
      <c r="DL60" s="66">
        <v>0</v>
      </c>
      <c r="DM60" s="66">
        <v>0</v>
      </c>
      <c r="DN60" s="66">
        <v>0</v>
      </c>
      <c r="DO60" s="66">
        <v>0</v>
      </c>
      <c r="DP60" s="66">
        <v>0</v>
      </c>
      <c r="DQ60" s="66">
        <v>0</v>
      </c>
      <c r="DR60" s="66">
        <v>0</v>
      </c>
      <c r="DS60" s="66">
        <v>0</v>
      </c>
      <c r="DT60" s="66">
        <v>0</v>
      </c>
      <c r="DU60" s="66">
        <v>0</v>
      </c>
      <c r="DV60" s="67" t="s">
        <v>1094</v>
      </c>
      <c r="DW60" s="67" t="s">
        <v>1094</v>
      </c>
      <c r="DX60" s="67">
        <v>0</v>
      </c>
      <c r="DY60" s="67">
        <v>0</v>
      </c>
      <c r="DZ60" s="67">
        <v>0</v>
      </c>
      <c r="EA60" s="66">
        <v>0</v>
      </c>
      <c r="EB60" s="66">
        <v>0</v>
      </c>
      <c r="EC60" s="66">
        <v>0</v>
      </c>
      <c r="ED60" s="66">
        <v>0</v>
      </c>
      <c r="EE60" s="66">
        <v>0</v>
      </c>
      <c r="EF60" s="66">
        <v>0</v>
      </c>
      <c r="EG60" s="66">
        <v>0</v>
      </c>
      <c r="EH60" s="66">
        <v>0</v>
      </c>
      <c r="EI60" s="66">
        <v>0</v>
      </c>
      <c r="EJ60" s="66">
        <v>0</v>
      </c>
      <c r="EK60" s="66">
        <v>0</v>
      </c>
      <c r="EL60" s="67" t="s">
        <v>1094</v>
      </c>
      <c r="EM60" s="67" t="s">
        <v>1094</v>
      </c>
      <c r="EN60" s="67">
        <v>0</v>
      </c>
      <c r="EO60" s="67">
        <v>0</v>
      </c>
      <c r="EP60" s="67">
        <v>0</v>
      </c>
      <c r="EQ60" s="66">
        <v>10.804</v>
      </c>
      <c r="ER60" s="66">
        <v>0</v>
      </c>
      <c r="ES60" s="66">
        <v>30.803999999999998</v>
      </c>
      <c r="ET60" s="66">
        <v>10.804</v>
      </c>
      <c r="EU60" s="66">
        <v>20</v>
      </c>
      <c r="EV60" s="66">
        <v>9.9349715399999994</v>
      </c>
      <c r="EW60" s="66">
        <v>0</v>
      </c>
      <c r="EX60" s="66">
        <v>28.32625543</v>
      </c>
      <c r="EY60" s="66">
        <v>9.9349715399999994</v>
      </c>
      <c r="EZ60" s="66">
        <v>0</v>
      </c>
      <c r="FA60" s="66">
        <v>18.39128389</v>
      </c>
      <c r="FB60" s="67">
        <v>91.956419289152151</v>
      </c>
      <c r="FC60" s="67">
        <v>91.956419449999999</v>
      </c>
      <c r="FD60" s="67">
        <v>64.926632944649683</v>
      </c>
      <c r="FE60" s="67">
        <v>0</v>
      </c>
      <c r="FF60" s="67">
        <v>0</v>
      </c>
      <c r="FG60" s="66">
        <v>0</v>
      </c>
      <c r="FH60" s="66">
        <v>0</v>
      </c>
      <c r="FI60" s="66">
        <v>0</v>
      </c>
      <c r="FJ60" s="66">
        <v>0</v>
      </c>
      <c r="FK60" s="66">
        <v>0</v>
      </c>
      <c r="FL60" s="66">
        <v>0</v>
      </c>
      <c r="FM60" s="66">
        <v>0</v>
      </c>
      <c r="FN60" s="66">
        <v>0</v>
      </c>
      <c r="FO60" s="66">
        <v>0</v>
      </c>
      <c r="FP60" s="66">
        <v>0</v>
      </c>
      <c r="FQ60" s="66">
        <v>0</v>
      </c>
      <c r="FR60" s="67" t="s">
        <v>1094</v>
      </c>
      <c r="FS60" s="67" t="s">
        <v>1094</v>
      </c>
      <c r="FT60" s="67">
        <v>0</v>
      </c>
      <c r="FU60" s="67">
        <v>0</v>
      </c>
      <c r="FV60" s="67">
        <v>0</v>
      </c>
      <c r="FW60" s="66">
        <v>0</v>
      </c>
      <c r="FX60" s="66">
        <v>0</v>
      </c>
      <c r="FY60" s="66">
        <v>0</v>
      </c>
      <c r="FZ60" s="66">
        <v>0</v>
      </c>
      <c r="GA60" s="66">
        <v>0</v>
      </c>
      <c r="GB60" s="66">
        <v>0</v>
      </c>
      <c r="GC60" s="66">
        <v>0</v>
      </c>
      <c r="GD60" s="66">
        <v>0</v>
      </c>
      <c r="GE60" s="66">
        <v>0</v>
      </c>
      <c r="GF60" s="66">
        <v>0</v>
      </c>
      <c r="GG60" s="66">
        <v>0</v>
      </c>
      <c r="GH60" s="67" t="s">
        <v>1094</v>
      </c>
      <c r="GI60" s="67" t="s">
        <v>1094</v>
      </c>
      <c r="GJ60" s="67">
        <v>0</v>
      </c>
      <c r="GK60" s="67">
        <v>0</v>
      </c>
      <c r="GL60" s="67">
        <v>0</v>
      </c>
      <c r="GM60" s="66">
        <v>0</v>
      </c>
      <c r="GN60" s="66">
        <v>0</v>
      </c>
      <c r="GO60" s="66">
        <v>0</v>
      </c>
      <c r="GP60" s="66">
        <v>0</v>
      </c>
      <c r="GQ60" s="66">
        <v>0</v>
      </c>
      <c r="GR60" s="66">
        <v>0</v>
      </c>
      <c r="GS60" s="66">
        <v>0</v>
      </c>
      <c r="GT60" s="66">
        <v>0</v>
      </c>
      <c r="GU60" s="66">
        <v>0</v>
      </c>
      <c r="GV60" s="66">
        <v>0</v>
      </c>
      <c r="GW60" s="66">
        <v>0</v>
      </c>
      <c r="GX60" s="67" t="s">
        <v>1094</v>
      </c>
      <c r="GY60" s="67" t="s">
        <v>1094</v>
      </c>
      <c r="GZ60" s="67">
        <v>0</v>
      </c>
      <c r="HA60" s="67">
        <v>0</v>
      </c>
      <c r="HB60" s="67">
        <v>0</v>
      </c>
      <c r="HC60" s="66">
        <v>0</v>
      </c>
      <c r="HD60" s="66">
        <v>0</v>
      </c>
      <c r="HE60" s="66">
        <v>0</v>
      </c>
      <c r="HF60" s="66">
        <v>0</v>
      </c>
      <c r="HG60" s="66">
        <v>0</v>
      </c>
      <c r="HH60" s="66">
        <v>0</v>
      </c>
      <c r="HI60" s="66">
        <v>0</v>
      </c>
      <c r="HJ60" s="66">
        <v>0</v>
      </c>
      <c r="HK60" s="66">
        <v>0</v>
      </c>
      <c r="HL60" s="66">
        <v>0</v>
      </c>
      <c r="HM60" s="66">
        <v>0</v>
      </c>
      <c r="HN60" s="67" t="s">
        <v>1094</v>
      </c>
      <c r="HO60" s="67" t="s">
        <v>1094</v>
      </c>
      <c r="HP60" s="67">
        <v>0</v>
      </c>
      <c r="HQ60" s="67">
        <v>0</v>
      </c>
      <c r="HR60" s="67">
        <v>0</v>
      </c>
      <c r="HS60" s="66">
        <v>0</v>
      </c>
      <c r="HT60" s="66">
        <v>0</v>
      </c>
      <c r="HU60" s="66">
        <v>0</v>
      </c>
      <c r="HV60" s="66">
        <v>0</v>
      </c>
      <c r="HW60" s="66">
        <v>0</v>
      </c>
      <c r="HX60" s="66">
        <v>0</v>
      </c>
      <c r="HY60" s="66">
        <v>0</v>
      </c>
      <c r="HZ60" s="66">
        <v>0</v>
      </c>
      <c r="IA60" s="66">
        <v>0</v>
      </c>
      <c r="IB60" s="66">
        <v>0</v>
      </c>
      <c r="IC60" s="66">
        <v>0</v>
      </c>
      <c r="ID60" s="67" t="s">
        <v>1094</v>
      </c>
      <c r="IE60" s="67" t="s">
        <v>1094</v>
      </c>
      <c r="IF60" s="67">
        <v>0</v>
      </c>
      <c r="IG60" s="67">
        <v>0</v>
      </c>
      <c r="IH60" s="67">
        <v>0</v>
      </c>
    </row>
    <row r="61" spans="1:242" ht="15.75" x14ac:dyDescent="0.25">
      <c r="A61" s="57">
        <v>50</v>
      </c>
      <c r="B61" s="190" t="s">
        <v>128</v>
      </c>
      <c r="C61" s="61">
        <v>1857.7109000000003</v>
      </c>
      <c r="D61" s="61">
        <v>0</v>
      </c>
      <c r="E61" s="61">
        <v>3458.2690955300004</v>
      </c>
      <c r="F61" s="61">
        <v>1857.7109000000003</v>
      </c>
      <c r="G61" s="61">
        <v>1600.5581955299999</v>
      </c>
      <c r="H61" s="61">
        <v>1852.9146771199999</v>
      </c>
      <c r="I61" s="61">
        <v>18.147198070000002</v>
      </c>
      <c r="J61" s="61">
        <v>3431.42529104</v>
      </c>
      <c r="K61" s="61">
        <v>1847.25881278</v>
      </c>
      <c r="L61" s="61">
        <v>0</v>
      </c>
      <c r="M61" s="61">
        <v>1584.1664782599998</v>
      </c>
      <c r="N61" s="61">
        <v>99.437367395540377</v>
      </c>
      <c r="O61" s="61">
        <v>98.975874959387383</v>
      </c>
      <c r="P61" s="61">
        <v>46.166427763894838</v>
      </c>
      <c r="Q61" s="61">
        <v>17.765668380000001</v>
      </c>
      <c r="R61" s="61">
        <v>6.0373940299999909</v>
      </c>
      <c r="S61" s="61">
        <v>1116.4152000000001</v>
      </c>
      <c r="T61" s="61">
        <v>0</v>
      </c>
      <c r="U61" s="61">
        <v>1819.48319659</v>
      </c>
      <c r="V61" s="61">
        <v>1116.4152000000001</v>
      </c>
      <c r="W61" s="61">
        <v>703.06799659000001</v>
      </c>
      <c r="X61" s="61">
        <v>1115.3981857800002</v>
      </c>
      <c r="Y61" s="61">
        <v>7.5176966700000003</v>
      </c>
      <c r="Z61" s="61">
        <v>1817.48401255</v>
      </c>
      <c r="AA61" s="61">
        <v>1115.01218148</v>
      </c>
      <c r="AB61" s="61">
        <v>0</v>
      </c>
      <c r="AC61" s="61">
        <v>702.47183107000001</v>
      </c>
      <c r="AD61" s="61">
        <v>99.874328249919913</v>
      </c>
      <c r="AE61" s="61">
        <v>99.915205140485483</v>
      </c>
      <c r="AF61" s="61">
        <v>38.650784613197501</v>
      </c>
      <c r="AG61" s="61">
        <v>7.51669667</v>
      </c>
      <c r="AH61" s="61">
        <v>0.38700430000001962</v>
      </c>
      <c r="AI61" s="61">
        <v>0</v>
      </c>
      <c r="AJ61" s="61">
        <v>0</v>
      </c>
      <c r="AK61" s="61">
        <v>0</v>
      </c>
      <c r="AL61" s="61">
        <v>0</v>
      </c>
      <c r="AM61" s="61">
        <v>0</v>
      </c>
      <c r="AN61" s="61">
        <v>0</v>
      </c>
      <c r="AO61" s="61">
        <v>10.215852570000001</v>
      </c>
      <c r="AP61" s="61">
        <v>0</v>
      </c>
      <c r="AQ61" s="61">
        <v>0</v>
      </c>
      <c r="AR61" s="61">
        <v>0</v>
      </c>
      <c r="AS61" s="61">
        <v>0</v>
      </c>
      <c r="AT61" s="61" t="s">
        <v>1094</v>
      </c>
      <c r="AU61" s="61" t="s">
        <v>1094</v>
      </c>
      <c r="AV61" s="61">
        <v>0</v>
      </c>
      <c r="AW61" s="61">
        <v>9.8353228800000014</v>
      </c>
      <c r="AX61" s="61">
        <v>0.38052969000000003</v>
      </c>
      <c r="AY61" s="61">
        <v>281.19850000000002</v>
      </c>
      <c r="AZ61" s="61">
        <v>0</v>
      </c>
      <c r="BA61" s="61">
        <v>642.6525276399999</v>
      </c>
      <c r="BB61" s="61">
        <v>281.19850000000002</v>
      </c>
      <c r="BC61" s="61">
        <v>361.45402764000005</v>
      </c>
      <c r="BD61" s="61">
        <v>278.8971598</v>
      </c>
      <c r="BE61" s="61">
        <v>0</v>
      </c>
      <c r="BF61" s="61">
        <v>620.83730161000005</v>
      </c>
      <c r="BG61" s="61">
        <v>273.62778476</v>
      </c>
      <c r="BH61" s="61">
        <v>0</v>
      </c>
      <c r="BI61" s="61">
        <v>347.20951685</v>
      </c>
      <c r="BJ61" s="61">
        <v>97.307697146321885</v>
      </c>
      <c r="BK61" s="61">
        <v>96.059108572394365</v>
      </c>
      <c r="BL61" s="61">
        <v>55.926007659267775</v>
      </c>
      <c r="BM61" s="61">
        <v>0</v>
      </c>
      <c r="BN61" s="61">
        <v>5.2693750399999928</v>
      </c>
      <c r="BO61" s="61">
        <v>0</v>
      </c>
      <c r="BP61" s="61">
        <v>0</v>
      </c>
      <c r="BQ61" s="61">
        <v>0</v>
      </c>
      <c r="BR61" s="61">
        <v>0</v>
      </c>
      <c r="BS61" s="61">
        <v>0</v>
      </c>
      <c r="BT61" s="61">
        <v>0</v>
      </c>
      <c r="BU61" s="61">
        <v>0.41364883000000002</v>
      </c>
      <c r="BV61" s="61">
        <v>0</v>
      </c>
      <c r="BW61" s="61">
        <v>0</v>
      </c>
      <c r="BX61" s="61">
        <v>0</v>
      </c>
      <c r="BY61" s="61">
        <v>0</v>
      </c>
      <c r="BZ61" s="61" t="s">
        <v>1094</v>
      </c>
      <c r="CA61" s="61" t="s">
        <v>1094</v>
      </c>
      <c r="CB61" s="61">
        <v>0</v>
      </c>
      <c r="CC61" s="61">
        <v>0.41364883000000002</v>
      </c>
      <c r="CD61" s="61">
        <v>0</v>
      </c>
      <c r="CE61" s="61">
        <v>62.948999999999998</v>
      </c>
      <c r="CF61" s="61">
        <v>0</v>
      </c>
      <c r="CG61" s="61">
        <v>172.20699999999999</v>
      </c>
      <c r="CH61" s="61">
        <v>62.948999999999998</v>
      </c>
      <c r="CI61" s="61">
        <v>109.25800000000001</v>
      </c>
      <c r="CJ61" s="61">
        <v>62.865324990000005</v>
      </c>
      <c r="CK61" s="61">
        <v>0</v>
      </c>
      <c r="CL61" s="61">
        <v>172.08339993999999</v>
      </c>
      <c r="CM61" s="61">
        <v>62.865324990000005</v>
      </c>
      <c r="CN61" s="61">
        <v>0</v>
      </c>
      <c r="CO61" s="61">
        <v>109.21807495</v>
      </c>
      <c r="CP61" s="61">
        <v>99.867074917790603</v>
      </c>
      <c r="CQ61" s="61">
        <v>99.96345800765161</v>
      </c>
      <c r="CR61" s="61">
        <v>63.468106155550664</v>
      </c>
      <c r="CS61" s="61">
        <v>0</v>
      </c>
      <c r="CT61" s="61">
        <v>0</v>
      </c>
      <c r="CU61" s="61">
        <v>0</v>
      </c>
      <c r="CV61" s="61">
        <v>0</v>
      </c>
      <c r="CW61" s="61">
        <v>0</v>
      </c>
      <c r="CX61" s="61">
        <v>0</v>
      </c>
      <c r="CY61" s="61">
        <v>0</v>
      </c>
      <c r="CZ61" s="61">
        <v>0</v>
      </c>
      <c r="DA61" s="61">
        <v>0</v>
      </c>
      <c r="DB61" s="61">
        <v>0</v>
      </c>
      <c r="DC61" s="61">
        <v>0</v>
      </c>
      <c r="DD61" s="61">
        <v>0</v>
      </c>
      <c r="DE61" s="61">
        <v>0</v>
      </c>
      <c r="DF61" s="61" t="s">
        <v>1094</v>
      </c>
      <c r="DG61" s="61" t="s">
        <v>1094</v>
      </c>
      <c r="DH61" s="61">
        <v>0</v>
      </c>
      <c r="DI61" s="61">
        <v>0</v>
      </c>
      <c r="DJ61" s="61">
        <v>0</v>
      </c>
      <c r="DK61" s="61">
        <v>27.382000000000001</v>
      </c>
      <c r="DL61" s="61">
        <v>0</v>
      </c>
      <c r="DM61" s="61">
        <v>171.32669380999999</v>
      </c>
      <c r="DN61" s="61">
        <v>27.382000000000001</v>
      </c>
      <c r="DO61" s="61">
        <v>143.94469380999999</v>
      </c>
      <c r="DP61" s="61">
        <v>26.625194029999999</v>
      </c>
      <c r="DQ61" s="61">
        <v>0</v>
      </c>
      <c r="DR61" s="61">
        <v>169.49251986000002</v>
      </c>
      <c r="DS61" s="61">
        <v>26.625194029999999</v>
      </c>
      <c r="DT61" s="61">
        <v>0</v>
      </c>
      <c r="DU61" s="61">
        <v>142.86732583</v>
      </c>
      <c r="DV61" s="61">
        <v>97.236118727631279</v>
      </c>
      <c r="DW61" s="61">
        <v>99.251540330189542</v>
      </c>
      <c r="DX61" s="61">
        <v>84.291227688400468</v>
      </c>
      <c r="DY61" s="61">
        <v>0</v>
      </c>
      <c r="DZ61" s="61">
        <v>0</v>
      </c>
      <c r="EA61" s="61">
        <v>0</v>
      </c>
      <c r="EB61" s="61">
        <v>0</v>
      </c>
      <c r="EC61" s="61">
        <v>0</v>
      </c>
      <c r="ED61" s="61">
        <v>0</v>
      </c>
      <c r="EE61" s="61">
        <v>0</v>
      </c>
      <c r="EF61" s="61">
        <v>0</v>
      </c>
      <c r="EG61" s="61">
        <v>0</v>
      </c>
      <c r="EH61" s="61">
        <v>0</v>
      </c>
      <c r="EI61" s="61">
        <v>0</v>
      </c>
      <c r="EJ61" s="61">
        <v>0</v>
      </c>
      <c r="EK61" s="61">
        <v>0</v>
      </c>
      <c r="EL61" s="61" t="s">
        <v>1094</v>
      </c>
      <c r="EM61" s="61" t="s">
        <v>1094</v>
      </c>
      <c r="EN61" s="61">
        <v>0</v>
      </c>
      <c r="EO61" s="61">
        <v>0</v>
      </c>
      <c r="EP61" s="61">
        <v>0</v>
      </c>
      <c r="EQ61" s="61">
        <v>19.310000000000002</v>
      </c>
      <c r="ER61" s="61">
        <v>0</v>
      </c>
      <c r="ES61" s="61">
        <v>41.970132239999998</v>
      </c>
      <c r="ET61" s="61">
        <v>19.310000000000002</v>
      </c>
      <c r="EU61" s="61">
        <v>22.660132239999999</v>
      </c>
      <c r="EV61" s="61">
        <v>18.84777695</v>
      </c>
      <c r="EW61" s="61">
        <v>0</v>
      </c>
      <c r="EX61" s="61">
        <v>41.249841709999998</v>
      </c>
      <c r="EY61" s="61">
        <v>18.84777695</v>
      </c>
      <c r="EZ61" s="61">
        <v>0</v>
      </c>
      <c r="FA61" s="61">
        <v>22.402064759999998</v>
      </c>
      <c r="FB61" s="61">
        <v>97.606302175038834</v>
      </c>
      <c r="FC61" s="61">
        <v>98.861138685040601</v>
      </c>
      <c r="FD61" s="61">
        <v>54.308244180653851</v>
      </c>
      <c r="FE61" s="61">
        <v>0</v>
      </c>
      <c r="FF61" s="61">
        <v>0</v>
      </c>
      <c r="FG61" s="61">
        <v>0</v>
      </c>
      <c r="FH61" s="61">
        <v>0</v>
      </c>
      <c r="FI61" s="61">
        <v>0</v>
      </c>
      <c r="FJ61" s="61">
        <v>0</v>
      </c>
      <c r="FK61" s="61">
        <v>0</v>
      </c>
      <c r="FL61" s="61">
        <v>0</v>
      </c>
      <c r="FM61" s="61">
        <v>0</v>
      </c>
      <c r="FN61" s="61">
        <v>0</v>
      </c>
      <c r="FO61" s="61">
        <v>0</v>
      </c>
      <c r="FP61" s="61">
        <v>0</v>
      </c>
      <c r="FQ61" s="61">
        <v>0</v>
      </c>
      <c r="FR61" s="61" t="s">
        <v>1094</v>
      </c>
      <c r="FS61" s="61" t="s">
        <v>1094</v>
      </c>
      <c r="FT61" s="61">
        <v>0</v>
      </c>
      <c r="FU61" s="61">
        <v>0</v>
      </c>
      <c r="FV61" s="61">
        <v>0</v>
      </c>
      <c r="FW61" s="61">
        <v>337.15860000000004</v>
      </c>
      <c r="FX61" s="61">
        <v>0</v>
      </c>
      <c r="FY61" s="61">
        <v>576.88333716</v>
      </c>
      <c r="FZ61" s="61">
        <v>337.15860000000004</v>
      </c>
      <c r="GA61" s="61">
        <v>239.72473716000002</v>
      </c>
      <c r="GB61" s="61">
        <v>337.04211869</v>
      </c>
      <c r="GC61" s="61">
        <v>0</v>
      </c>
      <c r="GD61" s="61">
        <v>576.71427716000005</v>
      </c>
      <c r="GE61" s="61">
        <v>337.04163642000003</v>
      </c>
      <c r="GF61" s="61">
        <v>0</v>
      </c>
      <c r="GG61" s="61">
        <v>239.67264074000002</v>
      </c>
      <c r="GH61" s="61">
        <v>99.965309032603642</v>
      </c>
      <c r="GI61" s="61">
        <v>99.978268233551034</v>
      </c>
      <c r="GJ61" s="61">
        <v>41.55829849058977</v>
      </c>
      <c r="GK61" s="61">
        <v>0</v>
      </c>
      <c r="GL61" s="61">
        <v>4.8226999999201325E-4</v>
      </c>
      <c r="GM61" s="61">
        <v>0</v>
      </c>
      <c r="GN61" s="61">
        <v>0</v>
      </c>
      <c r="GO61" s="61">
        <v>0</v>
      </c>
      <c r="GP61" s="61">
        <v>0</v>
      </c>
      <c r="GQ61" s="61">
        <v>0</v>
      </c>
      <c r="GR61" s="61">
        <v>0</v>
      </c>
      <c r="GS61" s="61">
        <v>0</v>
      </c>
      <c r="GT61" s="61">
        <v>0</v>
      </c>
      <c r="GU61" s="61">
        <v>0</v>
      </c>
      <c r="GV61" s="61">
        <v>0</v>
      </c>
      <c r="GW61" s="61">
        <v>0</v>
      </c>
      <c r="GX61" s="61" t="s">
        <v>1094</v>
      </c>
      <c r="GY61" s="61" t="s">
        <v>1094</v>
      </c>
      <c r="GZ61" s="61">
        <v>0</v>
      </c>
      <c r="HA61" s="61">
        <v>0</v>
      </c>
      <c r="HB61" s="61">
        <v>0</v>
      </c>
      <c r="HC61" s="61">
        <v>13.297600000000003</v>
      </c>
      <c r="HD61" s="61">
        <v>0</v>
      </c>
      <c r="HE61" s="61">
        <v>33.746208089999996</v>
      </c>
      <c r="HF61" s="61">
        <v>13.297600000000003</v>
      </c>
      <c r="HG61" s="61">
        <v>20.44860809</v>
      </c>
      <c r="HH61" s="61">
        <v>13.238916880000001</v>
      </c>
      <c r="HI61" s="61">
        <v>0</v>
      </c>
      <c r="HJ61" s="61">
        <v>33.563938209999996</v>
      </c>
      <c r="HK61" s="61">
        <v>13.238914149999999</v>
      </c>
      <c r="HL61" s="61">
        <v>0</v>
      </c>
      <c r="HM61" s="61">
        <v>20.325024059999997</v>
      </c>
      <c r="HN61" s="61">
        <v>99.558673369630583</v>
      </c>
      <c r="HO61" s="61">
        <v>99.395635979446254</v>
      </c>
      <c r="HP61" s="61">
        <v>60.556135971983124</v>
      </c>
      <c r="HQ61" s="61">
        <v>0</v>
      </c>
      <c r="HR61" s="61">
        <v>2.729999999839805E-6</v>
      </c>
      <c r="HS61" s="61">
        <v>0</v>
      </c>
      <c r="HT61" s="61">
        <v>0</v>
      </c>
      <c r="HU61" s="61">
        <v>0</v>
      </c>
      <c r="HV61" s="61">
        <v>0</v>
      </c>
      <c r="HW61" s="61">
        <v>0</v>
      </c>
      <c r="HX61" s="61">
        <v>0</v>
      </c>
      <c r="HY61" s="61">
        <v>0</v>
      </c>
      <c r="HZ61" s="61">
        <v>0</v>
      </c>
      <c r="IA61" s="61">
        <v>0</v>
      </c>
      <c r="IB61" s="61">
        <v>0</v>
      </c>
      <c r="IC61" s="61">
        <v>0</v>
      </c>
      <c r="ID61" s="61" t="s">
        <v>1094</v>
      </c>
      <c r="IE61" s="61" t="s">
        <v>1094</v>
      </c>
      <c r="IF61" s="61">
        <v>0</v>
      </c>
      <c r="IG61" s="61">
        <v>0</v>
      </c>
      <c r="IH61" s="61">
        <v>0</v>
      </c>
    </row>
    <row r="62" spans="1:242" ht="15.75" x14ac:dyDescent="0.25">
      <c r="A62" s="11">
        <v>51</v>
      </c>
      <c r="B62" s="189" t="s">
        <v>131</v>
      </c>
      <c r="C62" s="66">
        <v>355.17259999999999</v>
      </c>
      <c r="D62" s="66">
        <v>0</v>
      </c>
      <c r="E62" s="66">
        <v>751.05190490000007</v>
      </c>
      <c r="F62" s="66">
        <v>355.17259999999999</v>
      </c>
      <c r="G62" s="66">
        <v>395.87930490000002</v>
      </c>
      <c r="H62" s="66">
        <v>355.17259999999999</v>
      </c>
      <c r="I62" s="66">
        <v>0.82311460000000003</v>
      </c>
      <c r="J62" s="66">
        <v>736.94914116999996</v>
      </c>
      <c r="K62" s="66">
        <v>352.10131340999999</v>
      </c>
      <c r="L62" s="66">
        <v>0</v>
      </c>
      <c r="M62" s="66">
        <v>384.84782776000003</v>
      </c>
      <c r="N62" s="67">
        <v>99.135269277528721</v>
      </c>
      <c r="O62" s="67">
        <v>97.213424141283028</v>
      </c>
      <c r="P62" s="67">
        <v>52.221762162447924</v>
      </c>
      <c r="Q62" s="66">
        <v>0.59728910000000002</v>
      </c>
      <c r="R62" s="67">
        <v>3.2971120899999962</v>
      </c>
      <c r="S62" s="66">
        <v>244.50239999999999</v>
      </c>
      <c r="T62" s="66">
        <v>0</v>
      </c>
      <c r="U62" s="66">
        <v>448.38144138999996</v>
      </c>
      <c r="V62" s="66">
        <v>244.50239999999999</v>
      </c>
      <c r="W62" s="66">
        <v>203.87904139</v>
      </c>
      <c r="X62" s="66">
        <v>244.50239999999999</v>
      </c>
      <c r="Y62" s="66">
        <v>0</v>
      </c>
      <c r="Z62" s="66">
        <v>448.34764379000001</v>
      </c>
      <c r="AA62" s="66">
        <v>244.48397016999999</v>
      </c>
      <c r="AB62" s="66">
        <v>0</v>
      </c>
      <c r="AC62" s="66">
        <v>203.86367362000001</v>
      </c>
      <c r="AD62" s="67">
        <v>99.992462311208399</v>
      </c>
      <c r="AE62" s="67">
        <v>99.992462310056382</v>
      </c>
      <c r="AF62" s="67">
        <v>45.469999997476741</v>
      </c>
      <c r="AG62" s="67">
        <v>0</v>
      </c>
      <c r="AH62" s="67">
        <v>1.8429830000002312E-2</v>
      </c>
      <c r="AI62" s="66">
        <v>0</v>
      </c>
      <c r="AJ62" s="66">
        <v>0</v>
      </c>
      <c r="AK62" s="66">
        <v>0</v>
      </c>
      <c r="AL62" s="66">
        <v>0</v>
      </c>
      <c r="AM62" s="66">
        <v>0</v>
      </c>
      <c r="AN62" s="66">
        <v>0</v>
      </c>
      <c r="AO62" s="66">
        <v>0.73701159999999999</v>
      </c>
      <c r="AP62" s="66">
        <v>0</v>
      </c>
      <c r="AQ62" s="66">
        <v>0</v>
      </c>
      <c r="AR62" s="66">
        <v>0</v>
      </c>
      <c r="AS62" s="66">
        <v>0</v>
      </c>
      <c r="AT62" s="67" t="s">
        <v>1094</v>
      </c>
      <c r="AU62" s="67" t="s">
        <v>1094</v>
      </c>
      <c r="AV62" s="67">
        <v>0</v>
      </c>
      <c r="AW62" s="67">
        <v>0.51118609999999998</v>
      </c>
      <c r="AX62" s="67">
        <v>0.22582550000000001</v>
      </c>
      <c r="AY62" s="66">
        <v>32.994999999999997</v>
      </c>
      <c r="AZ62" s="66">
        <v>0</v>
      </c>
      <c r="BA62" s="66">
        <v>152.995</v>
      </c>
      <c r="BB62" s="66">
        <v>32.994999999999997</v>
      </c>
      <c r="BC62" s="66">
        <v>120</v>
      </c>
      <c r="BD62" s="66">
        <v>32.994999999999997</v>
      </c>
      <c r="BE62" s="66">
        <v>0</v>
      </c>
      <c r="BF62" s="66">
        <v>138.92603387</v>
      </c>
      <c r="BG62" s="66">
        <v>29.94214324</v>
      </c>
      <c r="BH62" s="66">
        <v>0</v>
      </c>
      <c r="BI62" s="66">
        <v>108.98389062999999</v>
      </c>
      <c r="BJ62" s="67">
        <v>90.747517017729962</v>
      </c>
      <c r="BK62" s="67">
        <v>90.819908858333321</v>
      </c>
      <c r="BL62" s="67">
        <v>78.44742097221436</v>
      </c>
      <c r="BM62" s="67">
        <v>0</v>
      </c>
      <c r="BN62" s="67">
        <v>3.0528567599999974</v>
      </c>
      <c r="BO62" s="66">
        <v>0</v>
      </c>
      <c r="BP62" s="66">
        <v>0</v>
      </c>
      <c r="BQ62" s="66">
        <v>0</v>
      </c>
      <c r="BR62" s="66">
        <v>0</v>
      </c>
      <c r="BS62" s="66">
        <v>0</v>
      </c>
      <c r="BT62" s="66">
        <v>0</v>
      </c>
      <c r="BU62" s="66">
        <v>8.6102999999999999E-2</v>
      </c>
      <c r="BV62" s="66">
        <v>0</v>
      </c>
      <c r="BW62" s="66">
        <v>0</v>
      </c>
      <c r="BX62" s="66">
        <v>0</v>
      </c>
      <c r="BY62" s="66">
        <v>0</v>
      </c>
      <c r="BZ62" s="67" t="s">
        <v>1094</v>
      </c>
      <c r="CA62" s="67" t="s">
        <v>1094</v>
      </c>
      <c r="CB62" s="67">
        <v>0</v>
      </c>
      <c r="CC62" s="67">
        <v>8.6102999999999999E-2</v>
      </c>
      <c r="CD62" s="67">
        <v>0</v>
      </c>
      <c r="CE62" s="66">
        <v>0</v>
      </c>
      <c r="CF62" s="66">
        <v>0</v>
      </c>
      <c r="CG62" s="66">
        <v>0</v>
      </c>
      <c r="CH62" s="66">
        <v>0</v>
      </c>
      <c r="CI62" s="66">
        <v>0</v>
      </c>
      <c r="CJ62" s="66">
        <v>0</v>
      </c>
      <c r="CK62" s="66">
        <v>0</v>
      </c>
      <c r="CL62" s="66">
        <v>0</v>
      </c>
      <c r="CM62" s="66">
        <v>0</v>
      </c>
      <c r="CN62" s="66">
        <v>0</v>
      </c>
      <c r="CO62" s="66">
        <v>0</v>
      </c>
      <c r="CP62" s="67" t="s">
        <v>1094</v>
      </c>
      <c r="CQ62" s="67" t="s">
        <v>1094</v>
      </c>
      <c r="CR62" s="67">
        <v>0</v>
      </c>
      <c r="CS62" s="67">
        <v>0</v>
      </c>
      <c r="CT62" s="67">
        <v>0</v>
      </c>
      <c r="CU62" s="66">
        <v>0</v>
      </c>
      <c r="CV62" s="66">
        <v>0</v>
      </c>
      <c r="CW62" s="66">
        <v>0</v>
      </c>
      <c r="CX62" s="66">
        <v>0</v>
      </c>
      <c r="CY62" s="66">
        <v>0</v>
      </c>
      <c r="CZ62" s="66">
        <v>0</v>
      </c>
      <c r="DA62" s="66">
        <v>0</v>
      </c>
      <c r="DB62" s="66">
        <v>0</v>
      </c>
      <c r="DC62" s="66">
        <v>0</v>
      </c>
      <c r="DD62" s="66">
        <v>0</v>
      </c>
      <c r="DE62" s="66">
        <v>0</v>
      </c>
      <c r="DF62" s="67" t="s">
        <v>1094</v>
      </c>
      <c r="DG62" s="67" t="s">
        <v>1094</v>
      </c>
      <c r="DH62" s="67">
        <v>0</v>
      </c>
      <c r="DI62" s="67">
        <v>0</v>
      </c>
      <c r="DJ62" s="67">
        <v>0</v>
      </c>
      <c r="DK62" s="66">
        <v>7.5469999999999997</v>
      </c>
      <c r="DL62" s="66">
        <v>0</v>
      </c>
      <c r="DM62" s="66">
        <v>17.547000000000001</v>
      </c>
      <c r="DN62" s="66">
        <v>7.5469999999999997</v>
      </c>
      <c r="DO62" s="66">
        <v>10</v>
      </c>
      <c r="DP62" s="66">
        <v>7.5469999999999997</v>
      </c>
      <c r="DQ62" s="66">
        <v>0</v>
      </c>
      <c r="DR62" s="66">
        <v>17.547000000000001</v>
      </c>
      <c r="DS62" s="66">
        <v>7.5469999999999997</v>
      </c>
      <c r="DT62" s="66">
        <v>0</v>
      </c>
      <c r="DU62" s="66">
        <v>10</v>
      </c>
      <c r="DV62" s="67">
        <v>100</v>
      </c>
      <c r="DW62" s="67">
        <v>100</v>
      </c>
      <c r="DX62" s="67">
        <v>56.989798826010144</v>
      </c>
      <c r="DY62" s="67">
        <v>0</v>
      </c>
      <c r="DZ62" s="67">
        <v>0</v>
      </c>
      <c r="EA62" s="66">
        <v>0</v>
      </c>
      <c r="EB62" s="66">
        <v>0</v>
      </c>
      <c r="EC62" s="66">
        <v>0</v>
      </c>
      <c r="ED62" s="66">
        <v>0</v>
      </c>
      <c r="EE62" s="66">
        <v>0</v>
      </c>
      <c r="EF62" s="66">
        <v>0</v>
      </c>
      <c r="EG62" s="66">
        <v>0</v>
      </c>
      <c r="EH62" s="66">
        <v>0</v>
      </c>
      <c r="EI62" s="66">
        <v>0</v>
      </c>
      <c r="EJ62" s="66">
        <v>0</v>
      </c>
      <c r="EK62" s="66">
        <v>0</v>
      </c>
      <c r="EL62" s="67" t="s">
        <v>1094</v>
      </c>
      <c r="EM62" s="67" t="s">
        <v>1094</v>
      </c>
      <c r="EN62" s="67">
        <v>0</v>
      </c>
      <c r="EO62" s="67">
        <v>0</v>
      </c>
      <c r="EP62" s="67">
        <v>0</v>
      </c>
      <c r="EQ62" s="66">
        <v>0</v>
      </c>
      <c r="ER62" s="66">
        <v>0</v>
      </c>
      <c r="ES62" s="66">
        <v>0</v>
      </c>
      <c r="ET62" s="66">
        <v>0</v>
      </c>
      <c r="EU62" s="66">
        <v>0</v>
      </c>
      <c r="EV62" s="66">
        <v>0</v>
      </c>
      <c r="EW62" s="66">
        <v>0</v>
      </c>
      <c r="EX62" s="66">
        <v>0</v>
      </c>
      <c r="EY62" s="66">
        <v>0</v>
      </c>
      <c r="EZ62" s="66">
        <v>0</v>
      </c>
      <c r="FA62" s="66">
        <v>0</v>
      </c>
      <c r="FB62" s="67" t="s">
        <v>1094</v>
      </c>
      <c r="FC62" s="67" t="s">
        <v>1094</v>
      </c>
      <c r="FD62" s="67">
        <v>0</v>
      </c>
      <c r="FE62" s="67">
        <v>0</v>
      </c>
      <c r="FF62" s="67">
        <v>0</v>
      </c>
      <c r="FG62" s="66">
        <v>0</v>
      </c>
      <c r="FH62" s="66">
        <v>0</v>
      </c>
      <c r="FI62" s="66">
        <v>0</v>
      </c>
      <c r="FJ62" s="66">
        <v>0</v>
      </c>
      <c r="FK62" s="66">
        <v>0</v>
      </c>
      <c r="FL62" s="66">
        <v>0</v>
      </c>
      <c r="FM62" s="66">
        <v>0</v>
      </c>
      <c r="FN62" s="66">
        <v>0</v>
      </c>
      <c r="FO62" s="66">
        <v>0</v>
      </c>
      <c r="FP62" s="66">
        <v>0</v>
      </c>
      <c r="FQ62" s="66">
        <v>0</v>
      </c>
      <c r="FR62" s="67" t="s">
        <v>1094</v>
      </c>
      <c r="FS62" s="67" t="s">
        <v>1094</v>
      </c>
      <c r="FT62" s="67">
        <v>0</v>
      </c>
      <c r="FU62" s="67">
        <v>0</v>
      </c>
      <c r="FV62" s="67">
        <v>0</v>
      </c>
      <c r="FW62" s="66">
        <v>68.6678</v>
      </c>
      <c r="FX62" s="66">
        <v>0</v>
      </c>
      <c r="FY62" s="66">
        <v>128.6678</v>
      </c>
      <c r="FZ62" s="66">
        <v>68.6678</v>
      </c>
      <c r="GA62" s="66">
        <v>60</v>
      </c>
      <c r="GB62" s="66">
        <v>68.6678</v>
      </c>
      <c r="GC62" s="66">
        <v>0</v>
      </c>
      <c r="GD62" s="66">
        <v>128.6678</v>
      </c>
      <c r="GE62" s="66">
        <v>68.6678</v>
      </c>
      <c r="GF62" s="66">
        <v>0</v>
      </c>
      <c r="GG62" s="66">
        <v>60</v>
      </c>
      <c r="GH62" s="67">
        <v>100</v>
      </c>
      <c r="GI62" s="67">
        <v>100</v>
      </c>
      <c r="GJ62" s="67">
        <v>46.631713606667716</v>
      </c>
      <c r="GK62" s="67">
        <v>0</v>
      </c>
      <c r="GL62" s="67">
        <v>0</v>
      </c>
      <c r="GM62" s="66">
        <v>0</v>
      </c>
      <c r="GN62" s="66">
        <v>0</v>
      </c>
      <c r="GO62" s="66">
        <v>0</v>
      </c>
      <c r="GP62" s="66">
        <v>0</v>
      </c>
      <c r="GQ62" s="66">
        <v>0</v>
      </c>
      <c r="GR62" s="66">
        <v>0</v>
      </c>
      <c r="GS62" s="66">
        <v>0</v>
      </c>
      <c r="GT62" s="66">
        <v>0</v>
      </c>
      <c r="GU62" s="66">
        <v>0</v>
      </c>
      <c r="GV62" s="66">
        <v>0</v>
      </c>
      <c r="GW62" s="66">
        <v>0</v>
      </c>
      <c r="GX62" s="67" t="s">
        <v>1094</v>
      </c>
      <c r="GY62" s="67" t="s">
        <v>1094</v>
      </c>
      <c r="GZ62" s="67">
        <v>0</v>
      </c>
      <c r="HA62" s="67">
        <v>0</v>
      </c>
      <c r="HB62" s="67">
        <v>0</v>
      </c>
      <c r="HC62" s="66">
        <v>1.4603999999999999</v>
      </c>
      <c r="HD62" s="66">
        <v>0</v>
      </c>
      <c r="HE62" s="66">
        <v>3.4606635099999998</v>
      </c>
      <c r="HF62" s="66">
        <v>1.4603999999999999</v>
      </c>
      <c r="HG62" s="66">
        <v>2.0002635099999999</v>
      </c>
      <c r="HH62" s="66">
        <v>1.4603999999999999</v>
      </c>
      <c r="HI62" s="66">
        <v>0</v>
      </c>
      <c r="HJ62" s="66">
        <v>3.4606635099999998</v>
      </c>
      <c r="HK62" s="66">
        <v>1.4603999999999999</v>
      </c>
      <c r="HL62" s="66">
        <v>0</v>
      </c>
      <c r="HM62" s="66">
        <v>2.0002635099999999</v>
      </c>
      <c r="HN62" s="67">
        <v>100</v>
      </c>
      <c r="HO62" s="67">
        <v>100</v>
      </c>
      <c r="HP62" s="67">
        <v>57.800000035253355</v>
      </c>
      <c r="HQ62" s="67">
        <v>0</v>
      </c>
      <c r="HR62" s="67">
        <v>0</v>
      </c>
      <c r="HS62" s="66">
        <v>0</v>
      </c>
      <c r="HT62" s="66">
        <v>0</v>
      </c>
      <c r="HU62" s="66">
        <v>0</v>
      </c>
      <c r="HV62" s="66">
        <v>0</v>
      </c>
      <c r="HW62" s="66">
        <v>0</v>
      </c>
      <c r="HX62" s="66">
        <v>0</v>
      </c>
      <c r="HY62" s="66">
        <v>0</v>
      </c>
      <c r="HZ62" s="66">
        <v>0</v>
      </c>
      <c r="IA62" s="66">
        <v>0</v>
      </c>
      <c r="IB62" s="66">
        <v>0</v>
      </c>
      <c r="IC62" s="66">
        <v>0</v>
      </c>
      <c r="ID62" s="67" t="s">
        <v>1094</v>
      </c>
      <c r="IE62" s="67" t="s">
        <v>1094</v>
      </c>
      <c r="IF62" s="67">
        <v>0</v>
      </c>
      <c r="IG62" s="67">
        <v>0</v>
      </c>
      <c r="IH62" s="67">
        <v>0</v>
      </c>
    </row>
    <row r="63" spans="1:242" ht="15.75" x14ac:dyDescent="0.25">
      <c r="A63" s="11">
        <v>52</v>
      </c>
      <c r="B63" s="189" t="s">
        <v>134</v>
      </c>
      <c r="C63" s="66">
        <v>14.853400000000001</v>
      </c>
      <c r="D63" s="66">
        <v>0</v>
      </c>
      <c r="E63" s="66">
        <v>22.891707320000002</v>
      </c>
      <c r="F63" s="66">
        <v>14.853400000000001</v>
      </c>
      <c r="G63" s="66">
        <v>8.0383073200000013</v>
      </c>
      <c r="H63" s="66">
        <v>14.853400000000001</v>
      </c>
      <c r="I63" s="66">
        <v>0</v>
      </c>
      <c r="J63" s="66">
        <v>22.891707320000002</v>
      </c>
      <c r="K63" s="66">
        <v>14.853400000000001</v>
      </c>
      <c r="L63" s="66">
        <v>0</v>
      </c>
      <c r="M63" s="66">
        <v>8.0383073200000013</v>
      </c>
      <c r="N63" s="67">
        <v>100</v>
      </c>
      <c r="O63" s="67">
        <v>100</v>
      </c>
      <c r="P63" s="67">
        <v>35.114494553130612</v>
      </c>
      <c r="Q63" s="66">
        <v>0</v>
      </c>
      <c r="R63" s="67">
        <v>0</v>
      </c>
      <c r="S63" s="66">
        <v>2.6063999999999998</v>
      </c>
      <c r="T63" s="66">
        <v>0</v>
      </c>
      <c r="U63" s="66">
        <v>5.3533999999999997</v>
      </c>
      <c r="V63" s="66">
        <v>2.6063999999999998</v>
      </c>
      <c r="W63" s="66">
        <v>2.7469999999999999</v>
      </c>
      <c r="X63" s="66">
        <v>2.6063999999999998</v>
      </c>
      <c r="Y63" s="66">
        <v>0</v>
      </c>
      <c r="Z63" s="66">
        <v>5.3533999999999997</v>
      </c>
      <c r="AA63" s="66">
        <v>2.6063999999999998</v>
      </c>
      <c r="AB63" s="66">
        <v>0</v>
      </c>
      <c r="AC63" s="66">
        <v>2.7469999999999999</v>
      </c>
      <c r="AD63" s="67">
        <v>100</v>
      </c>
      <c r="AE63" s="67">
        <v>100</v>
      </c>
      <c r="AF63" s="67">
        <v>51.313184144655736</v>
      </c>
      <c r="AG63" s="67">
        <v>0</v>
      </c>
      <c r="AH63" s="67">
        <v>0</v>
      </c>
      <c r="AI63" s="66">
        <v>0</v>
      </c>
      <c r="AJ63" s="66">
        <v>0</v>
      </c>
      <c r="AK63" s="66">
        <v>0</v>
      </c>
      <c r="AL63" s="66">
        <v>0</v>
      </c>
      <c r="AM63" s="66">
        <v>0</v>
      </c>
      <c r="AN63" s="66">
        <v>0</v>
      </c>
      <c r="AO63" s="66">
        <v>0</v>
      </c>
      <c r="AP63" s="66">
        <v>0</v>
      </c>
      <c r="AQ63" s="66">
        <v>0</v>
      </c>
      <c r="AR63" s="66">
        <v>0</v>
      </c>
      <c r="AS63" s="66">
        <v>0</v>
      </c>
      <c r="AT63" s="67" t="s">
        <v>1094</v>
      </c>
      <c r="AU63" s="67" t="s">
        <v>1094</v>
      </c>
      <c r="AV63" s="67">
        <v>0</v>
      </c>
      <c r="AW63" s="67">
        <v>0</v>
      </c>
      <c r="AX63" s="67">
        <v>0</v>
      </c>
      <c r="AY63" s="66">
        <v>12.247</v>
      </c>
      <c r="AZ63" s="66">
        <v>0</v>
      </c>
      <c r="BA63" s="66">
        <v>17.538307320000001</v>
      </c>
      <c r="BB63" s="66">
        <v>12.247</v>
      </c>
      <c r="BC63" s="66">
        <v>5.2913073200000005</v>
      </c>
      <c r="BD63" s="66">
        <v>12.247</v>
      </c>
      <c r="BE63" s="66">
        <v>0</v>
      </c>
      <c r="BF63" s="66">
        <v>17.538307320000001</v>
      </c>
      <c r="BG63" s="66">
        <v>12.247</v>
      </c>
      <c r="BH63" s="66">
        <v>0</v>
      </c>
      <c r="BI63" s="66">
        <v>5.2913073200000005</v>
      </c>
      <c r="BJ63" s="67">
        <v>100</v>
      </c>
      <c r="BK63" s="67">
        <v>100</v>
      </c>
      <c r="BL63" s="67">
        <v>30.170000008872012</v>
      </c>
      <c r="BM63" s="67">
        <v>0</v>
      </c>
      <c r="BN63" s="67">
        <v>0</v>
      </c>
      <c r="BO63" s="66">
        <v>0</v>
      </c>
      <c r="BP63" s="66">
        <v>0</v>
      </c>
      <c r="BQ63" s="66">
        <v>0</v>
      </c>
      <c r="BR63" s="66">
        <v>0</v>
      </c>
      <c r="BS63" s="66">
        <v>0</v>
      </c>
      <c r="BT63" s="66">
        <v>0</v>
      </c>
      <c r="BU63" s="66">
        <v>0</v>
      </c>
      <c r="BV63" s="66">
        <v>0</v>
      </c>
      <c r="BW63" s="66">
        <v>0</v>
      </c>
      <c r="BX63" s="66">
        <v>0</v>
      </c>
      <c r="BY63" s="66">
        <v>0</v>
      </c>
      <c r="BZ63" s="67" t="s">
        <v>1094</v>
      </c>
      <c r="CA63" s="67" t="s">
        <v>1094</v>
      </c>
      <c r="CB63" s="67">
        <v>0</v>
      </c>
      <c r="CC63" s="67">
        <v>0</v>
      </c>
      <c r="CD63" s="67">
        <v>0</v>
      </c>
      <c r="CE63" s="66">
        <v>0</v>
      </c>
      <c r="CF63" s="66">
        <v>0</v>
      </c>
      <c r="CG63" s="66">
        <v>0</v>
      </c>
      <c r="CH63" s="66">
        <v>0</v>
      </c>
      <c r="CI63" s="66">
        <v>0</v>
      </c>
      <c r="CJ63" s="66">
        <v>0</v>
      </c>
      <c r="CK63" s="66">
        <v>0</v>
      </c>
      <c r="CL63" s="66">
        <v>0</v>
      </c>
      <c r="CM63" s="66">
        <v>0</v>
      </c>
      <c r="CN63" s="66">
        <v>0</v>
      </c>
      <c r="CO63" s="66">
        <v>0</v>
      </c>
      <c r="CP63" s="67" t="s">
        <v>1094</v>
      </c>
      <c r="CQ63" s="67" t="s">
        <v>1094</v>
      </c>
      <c r="CR63" s="67">
        <v>0</v>
      </c>
      <c r="CS63" s="67">
        <v>0</v>
      </c>
      <c r="CT63" s="67">
        <v>0</v>
      </c>
      <c r="CU63" s="66">
        <v>0</v>
      </c>
      <c r="CV63" s="66">
        <v>0</v>
      </c>
      <c r="CW63" s="66">
        <v>0</v>
      </c>
      <c r="CX63" s="66">
        <v>0</v>
      </c>
      <c r="CY63" s="66">
        <v>0</v>
      </c>
      <c r="CZ63" s="66">
        <v>0</v>
      </c>
      <c r="DA63" s="66">
        <v>0</v>
      </c>
      <c r="DB63" s="66">
        <v>0</v>
      </c>
      <c r="DC63" s="66">
        <v>0</v>
      </c>
      <c r="DD63" s="66">
        <v>0</v>
      </c>
      <c r="DE63" s="66">
        <v>0</v>
      </c>
      <c r="DF63" s="67" t="s">
        <v>1094</v>
      </c>
      <c r="DG63" s="67" t="s">
        <v>1094</v>
      </c>
      <c r="DH63" s="67">
        <v>0</v>
      </c>
      <c r="DI63" s="67">
        <v>0</v>
      </c>
      <c r="DJ63" s="67">
        <v>0</v>
      </c>
      <c r="DK63" s="66">
        <v>0</v>
      </c>
      <c r="DL63" s="66">
        <v>0</v>
      </c>
      <c r="DM63" s="66">
        <v>0</v>
      </c>
      <c r="DN63" s="66">
        <v>0</v>
      </c>
      <c r="DO63" s="66">
        <v>0</v>
      </c>
      <c r="DP63" s="66">
        <v>0</v>
      </c>
      <c r="DQ63" s="66">
        <v>0</v>
      </c>
      <c r="DR63" s="66">
        <v>0</v>
      </c>
      <c r="DS63" s="66">
        <v>0</v>
      </c>
      <c r="DT63" s="66">
        <v>0</v>
      </c>
      <c r="DU63" s="66">
        <v>0</v>
      </c>
      <c r="DV63" s="67" t="s">
        <v>1094</v>
      </c>
      <c r="DW63" s="67" t="s">
        <v>1094</v>
      </c>
      <c r="DX63" s="67">
        <v>0</v>
      </c>
      <c r="DY63" s="67">
        <v>0</v>
      </c>
      <c r="DZ63" s="67">
        <v>0</v>
      </c>
      <c r="EA63" s="66">
        <v>0</v>
      </c>
      <c r="EB63" s="66">
        <v>0</v>
      </c>
      <c r="EC63" s="66">
        <v>0</v>
      </c>
      <c r="ED63" s="66">
        <v>0</v>
      </c>
      <c r="EE63" s="66">
        <v>0</v>
      </c>
      <c r="EF63" s="66">
        <v>0</v>
      </c>
      <c r="EG63" s="66">
        <v>0</v>
      </c>
      <c r="EH63" s="66">
        <v>0</v>
      </c>
      <c r="EI63" s="66">
        <v>0</v>
      </c>
      <c r="EJ63" s="66">
        <v>0</v>
      </c>
      <c r="EK63" s="66">
        <v>0</v>
      </c>
      <c r="EL63" s="67" t="s">
        <v>1094</v>
      </c>
      <c r="EM63" s="67" t="s">
        <v>1094</v>
      </c>
      <c r="EN63" s="67">
        <v>0</v>
      </c>
      <c r="EO63" s="67">
        <v>0</v>
      </c>
      <c r="EP63" s="67">
        <v>0</v>
      </c>
      <c r="EQ63" s="66">
        <v>0</v>
      </c>
      <c r="ER63" s="66">
        <v>0</v>
      </c>
      <c r="ES63" s="66">
        <v>0</v>
      </c>
      <c r="ET63" s="66">
        <v>0</v>
      </c>
      <c r="EU63" s="66">
        <v>0</v>
      </c>
      <c r="EV63" s="66">
        <v>0</v>
      </c>
      <c r="EW63" s="66">
        <v>0</v>
      </c>
      <c r="EX63" s="66">
        <v>0</v>
      </c>
      <c r="EY63" s="66">
        <v>0</v>
      </c>
      <c r="EZ63" s="66">
        <v>0</v>
      </c>
      <c r="FA63" s="66">
        <v>0</v>
      </c>
      <c r="FB63" s="67" t="s">
        <v>1094</v>
      </c>
      <c r="FC63" s="67" t="s">
        <v>1094</v>
      </c>
      <c r="FD63" s="67">
        <v>0</v>
      </c>
      <c r="FE63" s="67">
        <v>0</v>
      </c>
      <c r="FF63" s="67">
        <v>0</v>
      </c>
      <c r="FG63" s="66">
        <v>0</v>
      </c>
      <c r="FH63" s="66">
        <v>0</v>
      </c>
      <c r="FI63" s="66">
        <v>0</v>
      </c>
      <c r="FJ63" s="66">
        <v>0</v>
      </c>
      <c r="FK63" s="66">
        <v>0</v>
      </c>
      <c r="FL63" s="66">
        <v>0</v>
      </c>
      <c r="FM63" s="66">
        <v>0</v>
      </c>
      <c r="FN63" s="66">
        <v>0</v>
      </c>
      <c r="FO63" s="66">
        <v>0</v>
      </c>
      <c r="FP63" s="66">
        <v>0</v>
      </c>
      <c r="FQ63" s="66">
        <v>0</v>
      </c>
      <c r="FR63" s="67" t="s">
        <v>1094</v>
      </c>
      <c r="FS63" s="67" t="s">
        <v>1094</v>
      </c>
      <c r="FT63" s="67">
        <v>0</v>
      </c>
      <c r="FU63" s="67">
        <v>0</v>
      </c>
      <c r="FV63" s="67">
        <v>0</v>
      </c>
      <c r="FW63" s="66">
        <v>0</v>
      </c>
      <c r="FX63" s="66">
        <v>0</v>
      </c>
      <c r="FY63" s="66">
        <v>0</v>
      </c>
      <c r="FZ63" s="66">
        <v>0</v>
      </c>
      <c r="GA63" s="66">
        <v>0</v>
      </c>
      <c r="GB63" s="66">
        <v>0</v>
      </c>
      <c r="GC63" s="66">
        <v>0</v>
      </c>
      <c r="GD63" s="66">
        <v>0</v>
      </c>
      <c r="GE63" s="66">
        <v>0</v>
      </c>
      <c r="GF63" s="66">
        <v>0</v>
      </c>
      <c r="GG63" s="66">
        <v>0</v>
      </c>
      <c r="GH63" s="67" t="s">
        <v>1094</v>
      </c>
      <c r="GI63" s="67" t="s">
        <v>1094</v>
      </c>
      <c r="GJ63" s="67">
        <v>0</v>
      </c>
      <c r="GK63" s="67">
        <v>0</v>
      </c>
      <c r="GL63" s="67">
        <v>0</v>
      </c>
      <c r="GM63" s="66">
        <v>0</v>
      </c>
      <c r="GN63" s="66">
        <v>0</v>
      </c>
      <c r="GO63" s="66">
        <v>0</v>
      </c>
      <c r="GP63" s="66">
        <v>0</v>
      </c>
      <c r="GQ63" s="66">
        <v>0</v>
      </c>
      <c r="GR63" s="66">
        <v>0</v>
      </c>
      <c r="GS63" s="66">
        <v>0</v>
      </c>
      <c r="GT63" s="66">
        <v>0</v>
      </c>
      <c r="GU63" s="66">
        <v>0</v>
      </c>
      <c r="GV63" s="66">
        <v>0</v>
      </c>
      <c r="GW63" s="66">
        <v>0</v>
      </c>
      <c r="GX63" s="67" t="s">
        <v>1094</v>
      </c>
      <c r="GY63" s="67" t="s">
        <v>1094</v>
      </c>
      <c r="GZ63" s="67">
        <v>0</v>
      </c>
      <c r="HA63" s="67">
        <v>0</v>
      </c>
      <c r="HB63" s="67">
        <v>0</v>
      </c>
      <c r="HC63" s="66">
        <v>0</v>
      </c>
      <c r="HD63" s="66">
        <v>0</v>
      </c>
      <c r="HE63" s="66">
        <v>0</v>
      </c>
      <c r="HF63" s="66">
        <v>0</v>
      </c>
      <c r="HG63" s="66">
        <v>0</v>
      </c>
      <c r="HH63" s="66">
        <v>0</v>
      </c>
      <c r="HI63" s="66">
        <v>0</v>
      </c>
      <c r="HJ63" s="66">
        <v>0</v>
      </c>
      <c r="HK63" s="66">
        <v>0</v>
      </c>
      <c r="HL63" s="66">
        <v>0</v>
      </c>
      <c r="HM63" s="66">
        <v>0</v>
      </c>
      <c r="HN63" s="67" t="s">
        <v>1094</v>
      </c>
      <c r="HO63" s="67" t="s">
        <v>1094</v>
      </c>
      <c r="HP63" s="67">
        <v>0</v>
      </c>
      <c r="HQ63" s="67">
        <v>0</v>
      </c>
      <c r="HR63" s="67">
        <v>0</v>
      </c>
      <c r="HS63" s="66">
        <v>0</v>
      </c>
      <c r="HT63" s="66">
        <v>0</v>
      </c>
      <c r="HU63" s="66">
        <v>0</v>
      </c>
      <c r="HV63" s="66">
        <v>0</v>
      </c>
      <c r="HW63" s="66">
        <v>0</v>
      </c>
      <c r="HX63" s="66">
        <v>0</v>
      </c>
      <c r="HY63" s="66">
        <v>0</v>
      </c>
      <c r="HZ63" s="66">
        <v>0</v>
      </c>
      <c r="IA63" s="66">
        <v>0</v>
      </c>
      <c r="IB63" s="66">
        <v>0</v>
      </c>
      <c r="IC63" s="66">
        <v>0</v>
      </c>
      <c r="ID63" s="67" t="s">
        <v>1094</v>
      </c>
      <c r="IE63" s="67" t="s">
        <v>1094</v>
      </c>
      <c r="IF63" s="67">
        <v>0</v>
      </c>
      <c r="IG63" s="67">
        <v>0</v>
      </c>
      <c r="IH63" s="67">
        <v>0</v>
      </c>
    </row>
    <row r="64" spans="1:242" ht="15.75" x14ac:dyDescent="0.25">
      <c r="A64" s="11">
        <v>53</v>
      </c>
      <c r="B64" s="189" t="s">
        <v>137</v>
      </c>
      <c r="C64" s="66">
        <v>296.60450000000003</v>
      </c>
      <c r="D64" s="66">
        <v>0</v>
      </c>
      <c r="E64" s="66">
        <v>423.72067143000004</v>
      </c>
      <c r="F64" s="66">
        <v>296.60450000000003</v>
      </c>
      <c r="G64" s="66">
        <v>127.11617143000001</v>
      </c>
      <c r="H64" s="66">
        <v>296.60450000000003</v>
      </c>
      <c r="I64" s="66">
        <v>0</v>
      </c>
      <c r="J64" s="66">
        <v>423.72067143000004</v>
      </c>
      <c r="K64" s="66">
        <v>296.60450000000003</v>
      </c>
      <c r="L64" s="66">
        <v>0</v>
      </c>
      <c r="M64" s="66">
        <v>127.11617143000001</v>
      </c>
      <c r="N64" s="67">
        <v>100</v>
      </c>
      <c r="O64" s="67">
        <v>100</v>
      </c>
      <c r="P64" s="67">
        <v>29.999992920099956</v>
      </c>
      <c r="Q64" s="66">
        <v>0</v>
      </c>
      <c r="R64" s="67">
        <v>0</v>
      </c>
      <c r="S64" s="66">
        <v>172.1353</v>
      </c>
      <c r="T64" s="66">
        <v>0</v>
      </c>
      <c r="U64" s="66">
        <v>245.90757143000002</v>
      </c>
      <c r="V64" s="66">
        <v>172.1353</v>
      </c>
      <c r="W64" s="66">
        <v>73.772271430000004</v>
      </c>
      <c r="X64" s="66">
        <v>172.1353</v>
      </c>
      <c r="Y64" s="66">
        <v>0</v>
      </c>
      <c r="Z64" s="66">
        <v>245.90757143000002</v>
      </c>
      <c r="AA64" s="66">
        <v>172.1353</v>
      </c>
      <c r="AB64" s="66">
        <v>0</v>
      </c>
      <c r="AC64" s="66">
        <v>73.772271430000004</v>
      </c>
      <c r="AD64" s="67">
        <v>100</v>
      </c>
      <c r="AE64" s="67">
        <v>100</v>
      </c>
      <c r="AF64" s="67">
        <v>30.000000000406658</v>
      </c>
      <c r="AG64" s="67">
        <v>0</v>
      </c>
      <c r="AH64" s="67">
        <v>0</v>
      </c>
      <c r="AI64" s="66">
        <v>0</v>
      </c>
      <c r="AJ64" s="66">
        <v>0</v>
      </c>
      <c r="AK64" s="66">
        <v>0</v>
      </c>
      <c r="AL64" s="66">
        <v>0</v>
      </c>
      <c r="AM64" s="66">
        <v>0</v>
      </c>
      <c r="AN64" s="66">
        <v>0</v>
      </c>
      <c r="AO64" s="66">
        <v>0</v>
      </c>
      <c r="AP64" s="66">
        <v>0</v>
      </c>
      <c r="AQ64" s="66">
        <v>0</v>
      </c>
      <c r="AR64" s="66">
        <v>0</v>
      </c>
      <c r="AS64" s="66">
        <v>0</v>
      </c>
      <c r="AT64" s="67" t="s">
        <v>1094</v>
      </c>
      <c r="AU64" s="67" t="s">
        <v>1094</v>
      </c>
      <c r="AV64" s="67">
        <v>0</v>
      </c>
      <c r="AW64" s="67">
        <v>0</v>
      </c>
      <c r="AX64" s="67">
        <v>0</v>
      </c>
      <c r="AY64" s="66">
        <v>28.780999999999999</v>
      </c>
      <c r="AZ64" s="66">
        <v>0</v>
      </c>
      <c r="BA64" s="66">
        <v>41.115699999999997</v>
      </c>
      <c r="BB64" s="66">
        <v>28.780999999999999</v>
      </c>
      <c r="BC64" s="66">
        <v>12.3347</v>
      </c>
      <c r="BD64" s="66">
        <v>28.780999999999999</v>
      </c>
      <c r="BE64" s="66">
        <v>0</v>
      </c>
      <c r="BF64" s="66">
        <v>41.115699999999997</v>
      </c>
      <c r="BG64" s="66">
        <v>28.780999999999999</v>
      </c>
      <c r="BH64" s="66">
        <v>0</v>
      </c>
      <c r="BI64" s="66">
        <v>12.3347</v>
      </c>
      <c r="BJ64" s="67">
        <v>100</v>
      </c>
      <c r="BK64" s="67">
        <v>100</v>
      </c>
      <c r="BL64" s="67">
        <v>29.999975678390495</v>
      </c>
      <c r="BM64" s="67">
        <v>0</v>
      </c>
      <c r="BN64" s="67">
        <v>0</v>
      </c>
      <c r="BO64" s="66">
        <v>0</v>
      </c>
      <c r="BP64" s="66">
        <v>0</v>
      </c>
      <c r="BQ64" s="66">
        <v>0</v>
      </c>
      <c r="BR64" s="66">
        <v>0</v>
      </c>
      <c r="BS64" s="66">
        <v>0</v>
      </c>
      <c r="BT64" s="66">
        <v>0</v>
      </c>
      <c r="BU64" s="66">
        <v>0</v>
      </c>
      <c r="BV64" s="66">
        <v>0</v>
      </c>
      <c r="BW64" s="66">
        <v>0</v>
      </c>
      <c r="BX64" s="66">
        <v>0</v>
      </c>
      <c r="BY64" s="66">
        <v>0</v>
      </c>
      <c r="BZ64" s="67" t="s">
        <v>1094</v>
      </c>
      <c r="CA64" s="67" t="s">
        <v>1094</v>
      </c>
      <c r="CB64" s="67">
        <v>0</v>
      </c>
      <c r="CC64" s="67">
        <v>0</v>
      </c>
      <c r="CD64" s="67">
        <v>0</v>
      </c>
      <c r="CE64" s="66">
        <v>0</v>
      </c>
      <c r="CF64" s="66">
        <v>0</v>
      </c>
      <c r="CG64" s="66">
        <v>0</v>
      </c>
      <c r="CH64" s="66">
        <v>0</v>
      </c>
      <c r="CI64" s="66">
        <v>0</v>
      </c>
      <c r="CJ64" s="66">
        <v>0</v>
      </c>
      <c r="CK64" s="66">
        <v>0</v>
      </c>
      <c r="CL64" s="66">
        <v>0</v>
      </c>
      <c r="CM64" s="66">
        <v>0</v>
      </c>
      <c r="CN64" s="66">
        <v>0</v>
      </c>
      <c r="CO64" s="66">
        <v>0</v>
      </c>
      <c r="CP64" s="67" t="s">
        <v>1094</v>
      </c>
      <c r="CQ64" s="67" t="s">
        <v>1094</v>
      </c>
      <c r="CR64" s="67">
        <v>0</v>
      </c>
      <c r="CS64" s="67">
        <v>0</v>
      </c>
      <c r="CT64" s="67">
        <v>0</v>
      </c>
      <c r="CU64" s="66">
        <v>0</v>
      </c>
      <c r="CV64" s="66">
        <v>0</v>
      </c>
      <c r="CW64" s="66">
        <v>0</v>
      </c>
      <c r="CX64" s="66">
        <v>0</v>
      </c>
      <c r="CY64" s="66">
        <v>0</v>
      </c>
      <c r="CZ64" s="66">
        <v>0</v>
      </c>
      <c r="DA64" s="66">
        <v>0</v>
      </c>
      <c r="DB64" s="66">
        <v>0</v>
      </c>
      <c r="DC64" s="66">
        <v>0</v>
      </c>
      <c r="DD64" s="66">
        <v>0</v>
      </c>
      <c r="DE64" s="66">
        <v>0</v>
      </c>
      <c r="DF64" s="67" t="s">
        <v>1094</v>
      </c>
      <c r="DG64" s="67" t="s">
        <v>1094</v>
      </c>
      <c r="DH64" s="67">
        <v>0</v>
      </c>
      <c r="DI64" s="67">
        <v>0</v>
      </c>
      <c r="DJ64" s="67">
        <v>0</v>
      </c>
      <c r="DK64" s="66">
        <v>0.57099999999999995</v>
      </c>
      <c r="DL64" s="66">
        <v>0</v>
      </c>
      <c r="DM64" s="66">
        <v>0.81571429000000006</v>
      </c>
      <c r="DN64" s="66">
        <v>0.57099999999999995</v>
      </c>
      <c r="DO64" s="66">
        <v>0.24471429</v>
      </c>
      <c r="DP64" s="66">
        <v>0.57099999999999995</v>
      </c>
      <c r="DQ64" s="66">
        <v>0</v>
      </c>
      <c r="DR64" s="66">
        <v>0.81571429000000006</v>
      </c>
      <c r="DS64" s="66">
        <v>0.57099999999999995</v>
      </c>
      <c r="DT64" s="66">
        <v>0</v>
      </c>
      <c r="DU64" s="66">
        <v>0.24471429</v>
      </c>
      <c r="DV64" s="67">
        <v>100</v>
      </c>
      <c r="DW64" s="67">
        <v>100</v>
      </c>
      <c r="DX64" s="67">
        <v>30.000000367775826</v>
      </c>
      <c r="DY64" s="67">
        <v>0</v>
      </c>
      <c r="DZ64" s="67">
        <v>0</v>
      </c>
      <c r="EA64" s="66">
        <v>0</v>
      </c>
      <c r="EB64" s="66">
        <v>0</v>
      </c>
      <c r="EC64" s="66">
        <v>0</v>
      </c>
      <c r="ED64" s="66">
        <v>0</v>
      </c>
      <c r="EE64" s="66">
        <v>0</v>
      </c>
      <c r="EF64" s="66">
        <v>0</v>
      </c>
      <c r="EG64" s="66">
        <v>0</v>
      </c>
      <c r="EH64" s="66">
        <v>0</v>
      </c>
      <c r="EI64" s="66">
        <v>0</v>
      </c>
      <c r="EJ64" s="66">
        <v>0</v>
      </c>
      <c r="EK64" s="66">
        <v>0</v>
      </c>
      <c r="EL64" s="67" t="s">
        <v>1094</v>
      </c>
      <c r="EM64" s="67" t="s">
        <v>1094</v>
      </c>
      <c r="EN64" s="67">
        <v>0</v>
      </c>
      <c r="EO64" s="67">
        <v>0</v>
      </c>
      <c r="EP64" s="67">
        <v>0</v>
      </c>
      <c r="EQ64" s="66">
        <v>1.0705</v>
      </c>
      <c r="ER64" s="66">
        <v>0</v>
      </c>
      <c r="ES64" s="66">
        <v>1.5292857099999999</v>
      </c>
      <c r="ET64" s="66">
        <v>1.0705</v>
      </c>
      <c r="EU64" s="66">
        <v>0.45878571000000001</v>
      </c>
      <c r="EV64" s="66">
        <v>1.0705</v>
      </c>
      <c r="EW64" s="66">
        <v>0</v>
      </c>
      <c r="EX64" s="66">
        <v>1.5292857099999999</v>
      </c>
      <c r="EY64" s="66">
        <v>1.0705</v>
      </c>
      <c r="EZ64" s="66">
        <v>0</v>
      </c>
      <c r="FA64" s="66">
        <v>0.45878571000000001</v>
      </c>
      <c r="FB64" s="67">
        <v>100</v>
      </c>
      <c r="FC64" s="67">
        <v>100</v>
      </c>
      <c r="FD64" s="67">
        <v>29.999999803829986</v>
      </c>
      <c r="FE64" s="67">
        <v>0</v>
      </c>
      <c r="FF64" s="67">
        <v>0</v>
      </c>
      <c r="FG64" s="66">
        <v>0</v>
      </c>
      <c r="FH64" s="66">
        <v>0</v>
      </c>
      <c r="FI64" s="66">
        <v>0</v>
      </c>
      <c r="FJ64" s="66">
        <v>0</v>
      </c>
      <c r="FK64" s="66">
        <v>0</v>
      </c>
      <c r="FL64" s="66">
        <v>0</v>
      </c>
      <c r="FM64" s="66">
        <v>0</v>
      </c>
      <c r="FN64" s="66">
        <v>0</v>
      </c>
      <c r="FO64" s="66">
        <v>0</v>
      </c>
      <c r="FP64" s="66">
        <v>0</v>
      </c>
      <c r="FQ64" s="66">
        <v>0</v>
      </c>
      <c r="FR64" s="67" t="s">
        <v>1094</v>
      </c>
      <c r="FS64" s="67" t="s">
        <v>1094</v>
      </c>
      <c r="FT64" s="67">
        <v>0</v>
      </c>
      <c r="FU64" s="67">
        <v>0</v>
      </c>
      <c r="FV64" s="67">
        <v>0</v>
      </c>
      <c r="FW64" s="66">
        <v>92.873400000000004</v>
      </c>
      <c r="FX64" s="66">
        <v>0</v>
      </c>
      <c r="FY64" s="66">
        <v>132.6763</v>
      </c>
      <c r="FZ64" s="66">
        <v>92.873400000000004</v>
      </c>
      <c r="GA64" s="66">
        <v>39.802900000000001</v>
      </c>
      <c r="GB64" s="66">
        <v>92.873400000000004</v>
      </c>
      <c r="GC64" s="66">
        <v>0</v>
      </c>
      <c r="GD64" s="66">
        <v>132.6763</v>
      </c>
      <c r="GE64" s="66">
        <v>92.873400000000004</v>
      </c>
      <c r="GF64" s="66">
        <v>0</v>
      </c>
      <c r="GG64" s="66">
        <v>39.802900000000001</v>
      </c>
      <c r="GH64" s="67">
        <v>100</v>
      </c>
      <c r="GI64" s="67">
        <v>100</v>
      </c>
      <c r="GJ64" s="67">
        <v>30.000007537141148</v>
      </c>
      <c r="GK64" s="67">
        <v>0</v>
      </c>
      <c r="GL64" s="67">
        <v>0</v>
      </c>
      <c r="GM64" s="66">
        <v>0</v>
      </c>
      <c r="GN64" s="66">
        <v>0</v>
      </c>
      <c r="GO64" s="66">
        <v>0</v>
      </c>
      <c r="GP64" s="66">
        <v>0</v>
      </c>
      <c r="GQ64" s="66">
        <v>0</v>
      </c>
      <c r="GR64" s="66">
        <v>0</v>
      </c>
      <c r="GS64" s="66">
        <v>0</v>
      </c>
      <c r="GT64" s="66">
        <v>0</v>
      </c>
      <c r="GU64" s="66">
        <v>0</v>
      </c>
      <c r="GV64" s="66">
        <v>0</v>
      </c>
      <c r="GW64" s="66">
        <v>0</v>
      </c>
      <c r="GX64" s="67" t="s">
        <v>1094</v>
      </c>
      <c r="GY64" s="67" t="s">
        <v>1094</v>
      </c>
      <c r="GZ64" s="67">
        <v>0</v>
      </c>
      <c r="HA64" s="67">
        <v>0</v>
      </c>
      <c r="HB64" s="67">
        <v>0</v>
      </c>
      <c r="HC64" s="66">
        <v>1.1733</v>
      </c>
      <c r="HD64" s="66">
        <v>0</v>
      </c>
      <c r="HE64" s="66">
        <v>1.6760999999999999</v>
      </c>
      <c r="HF64" s="66">
        <v>1.1733</v>
      </c>
      <c r="HG64" s="66">
        <v>0.50280000000000002</v>
      </c>
      <c r="HH64" s="66">
        <v>1.1733</v>
      </c>
      <c r="HI64" s="66">
        <v>0</v>
      </c>
      <c r="HJ64" s="66">
        <v>1.6760999999999999</v>
      </c>
      <c r="HK64" s="66">
        <v>1.1733</v>
      </c>
      <c r="HL64" s="66">
        <v>0</v>
      </c>
      <c r="HM64" s="66">
        <v>0.50280000000000002</v>
      </c>
      <c r="HN64" s="67">
        <v>100</v>
      </c>
      <c r="HO64" s="67">
        <v>100</v>
      </c>
      <c r="HP64" s="67">
        <v>29.998210130660464</v>
      </c>
      <c r="HQ64" s="67">
        <v>0</v>
      </c>
      <c r="HR64" s="67">
        <v>0</v>
      </c>
      <c r="HS64" s="66">
        <v>0</v>
      </c>
      <c r="HT64" s="66">
        <v>0</v>
      </c>
      <c r="HU64" s="66">
        <v>0</v>
      </c>
      <c r="HV64" s="66">
        <v>0</v>
      </c>
      <c r="HW64" s="66">
        <v>0</v>
      </c>
      <c r="HX64" s="66">
        <v>0</v>
      </c>
      <c r="HY64" s="66">
        <v>0</v>
      </c>
      <c r="HZ64" s="66">
        <v>0</v>
      </c>
      <c r="IA64" s="66">
        <v>0</v>
      </c>
      <c r="IB64" s="66">
        <v>0</v>
      </c>
      <c r="IC64" s="66">
        <v>0</v>
      </c>
      <c r="ID64" s="67" t="s">
        <v>1094</v>
      </c>
      <c r="IE64" s="67" t="s">
        <v>1094</v>
      </c>
      <c r="IF64" s="67">
        <v>0</v>
      </c>
      <c r="IG64" s="67">
        <v>0</v>
      </c>
      <c r="IH64" s="67">
        <v>0</v>
      </c>
    </row>
    <row r="65" spans="1:242" ht="15.75" x14ac:dyDescent="0.25">
      <c r="A65" s="11">
        <v>54</v>
      </c>
      <c r="B65" s="189" t="s">
        <v>140</v>
      </c>
      <c r="C65" s="66">
        <v>282.10480000000001</v>
      </c>
      <c r="D65" s="66">
        <v>0</v>
      </c>
      <c r="E65" s="66">
        <v>406.78479999999996</v>
      </c>
      <c r="F65" s="66">
        <v>282.10480000000001</v>
      </c>
      <c r="G65" s="66">
        <v>124.68</v>
      </c>
      <c r="H65" s="66">
        <v>281.75596303999998</v>
      </c>
      <c r="I65" s="66">
        <v>0.25931963000000002</v>
      </c>
      <c r="J65" s="66">
        <v>406.27595527</v>
      </c>
      <c r="K65" s="66">
        <v>281.75548077000002</v>
      </c>
      <c r="L65" s="66">
        <v>0</v>
      </c>
      <c r="M65" s="66">
        <v>124.52047449999999</v>
      </c>
      <c r="N65" s="67">
        <v>99.876173950248287</v>
      </c>
      <c r="O65" s="67">
        <v>99.872052053256326</v>
      </c>
      <c r="P65" s="67">
        <v>30.649235546624233</v>
      </c>
      <c r="Q65" s="66">
        <v>0.25931963000000002</v>
      </c>
      <c r="R65" s="67">
        <v>4.8226999995670816E-4</v>
      </c>
      <c r="S65" s="66">
        <v>156.21420000000001</v>
      </c>
      <c r="T65" s="66">
        <v>0</v>
      </c>
      <c r="U65" s="66">
        <v>223.1952</v>
      </c>
      <c r="V65" s="66">
        <v>156.21420000000001</v>
      </c>
      <c r="W65" s="66">
        <v>66.980999999999995</v>
      </c>
      <c r="X65" s="66">
        <v>156.21420000000001</v>
      </c>
      <c r="Y65" s="66">
        <v>0</v>
      </c>
      <c r="Z65" s="66">
        <v>223.1952</v>
      </c>
      <c r="AA65" s="66">
        <v>156.21420000000001</v>
      </c>
      <c r="AB65" s="66">
        <v>0</v>
      </c>
      <c r="AC65" s="66">
        <v>66.980999999999995</v>
      </c>
      <c r="AD65" s="67">
        <v>100</v>
      </c>
      <c r="AE65" s="67">
        <v>100</v>
      </c>
      <c r="AF65" s="67">
        <v>30.010053979655478</v>
      </c>
      <c r="AG65" s="67">
        <v>0</v>
      </c>
      <c r="AH65" s="67">
        <v>0</v>
      </c>
      <c r="AI65" s="66">
        <v>0</v>
      </c>
      <c r="AJ65" s="66">
        <v>0</v>
      </c>
      <c r="AK65" s="66">
        <v>0</v>
      </c>
      <c r="AL65" s="66">
        <v>0</v>
      </c>
      <c r="AM65" s="66">
        <v>0</v>
      </c>
      <c r="AN65" s="66">
        <v>0</v>
      </c>
      <c r="AO65" s="66">
        <v>0.25931963000000002</v>
      </c>
      <c r="AP65" s="66">
        <v>0</v>
      </c>
      <c r="AQ65" s="66">
        <v>0</v>
      </c>
      <c r="AR65" s="66">
        <v>0</v>
      </c>
      <c r="AS65" s="66">
        <v>0</v>
      </c>
      <c r="AT65" s="67" t="s">
        <v>1094</v>
      </c>
      <c r="AU65" s="67" t="s">
        <v>1094</v>
      </c>
      <c r="AV65" s="67">
        <v>0</v>
      </c>
      <c r="AW65" s="67">
        <v>0.25931963000000002</v>
      </c>
      <c r="AX65" s="67">
        <v>0</v>
      </c>
      <c r="AY65" s="66">
        <v>17.09</v>
      </c>
      <c r="AZ65" s="66">
        <v>0</v>
      </c>
      <c r="BA65" s="66">
        <v>25.245000000000001</v>
      </c>
      <c r="BB65" s="66">
        <v>17.09</v>
      </c>
      <c r="BC65" s="66">
        <v>8.1549999999999994</v>
      </c>
      <c r="BD65" s="66">
        <v>17.07499833</v>
      </c>
      <c r="BE65" s="66">
        <v>0</v>
      </c>
      <c r="BF65" s="66">
        <v>25.222840000000001</v>
      </c>
      <c r="BG65" s="66">
        <v>17.07499833</v>
      </c>
      <c r="BH65" s="66">
        <v>0</v>
      </c>
      <c r="BI65" s="66">
        <v>8.14784167</v>
      </c>
      <c r="BJ65" s="67">
        <v>99.912219602106489</v>
      </c>
      <c r="BK65" s="67">
        <v>99.912221581851639</v>
      </c>
      <c r="BL65" s="67">
        <v>32.3034268543907</v>
      </c>
      <c r="BM65" s="67">
        <v>0</v>
      </c>
      <c r="BN65" s="67">
        <v>0</v>
      </c>
      <c r="BO65" s="66">
        <v>0</v>
      </c>
      <c r="BP65" s="66">
        <v>0</v>
      </c>
      <c r="BQ65" s="66">
        <v>0</v>
      </c>
      <c r="BR65" s="66">
        <v>0</v>
      </c>
      <c r="BS65" s="66">
        <v>0</v>
      </c>
      <c r="BT65" s="66">
        <v>0</v>
      </c>
      <c r="BU65" s="66">
        <v>0</v>
      </c>
      <c r="BV65" s="66">
        <v>0</v>
      </c>
      <c r="BW65" s="66">
        <v>0</v>
      </c>
      <c r="BX65" s="66">
        <v>0</v>
      </c>
      <c r="BY65" s="66">
        <v>0</v>
      </c>
      <c r="BZ65" s="67" t="s">
        <v>1094</v>
      </c>
      <c r="CA65" s="67" t="s">
        <v>1094</v>
      </c>
      <c r="CB65" s="67">
        <v>0</v>
      </c>
      <c r="CC65" s="67">
        <v>0</v>
      </c>
      <c r="CD65" s="67">
        <v>0</v>
      </c>
      <c r="CE65" s="66">
        <v>16.734999999999999</v>
      </c>
      <c r="CF65" s="66">
        <v>0</v>
      </c>
      <c r="CG65" s="66">
        <v>24.72</v>
      </c>
      <c r="CH65" s="66">
        <v>16.734999999999999</v>
      </c>
      <c r="CI65" s="66">
        <v>7.9850000000000003</v>
      </c>
      <c r="CJ65" s="66">
        <v>16.651324989999999</v>
      </c>
      <c r="CK65" s="66">
        <v>0</v>
      </c>
      <c r="CL65" s="66">
        <v>24.596399999999999</v>
      </c>
      <c r="CM65" s="66">
        <v>16.651324989999999</v>
      </c>
      <c r="CN65" s="66">
        <v>0</v>
      </c>
      <c r="CO65" s="66">
        <v>7.94507501</v>
      </c>
      <c r="CP65" s="67">
        <v>99.499999940245004</v>
      </c>
      <c r="CQ65" s="67">
        <v>99.500000125234806</v>
      </c>
      <c r="CR65" s="67">
        <v>32.301779975931439</v>
      </c>
      <c r="CS65" s="67">
        <v>0</v>
      </c>
      <c r="CT65" s="67">
        <v>0</v>
      </c>
      <c r="CU65" s="66">
        <v>0</v>
      </c>
      <c r="CV65" s="66">
        <v>0</v>
      </c>
      <c r="CW65" s="66">
        <v>0</v>
      </c>
      <c r="CX65" s="66">
        <v>0</v>
      </c>
      <c r="CY65" s="66">
        <v>0</v>
      </c>
      <c r="CZ65" s="66">
        <v>0</v>
      </c>
      <c r="DA65" s="66">
        <v>0</v>
      </c>
      <c r="DB65" s="66">
        <v>0</v>
      </c>
      <c r="DC65" s="66">
        <v>0</v>
      </c>
      <c r="DD65" s="66">
        <v>0</v>
      </c>
      <c r="DE65" s="66">
        <v>0</v>
      </c>
      <c r="DF65" s="67" t="s">
        <v>1094</v>
      </c>
      <c r="DG65" s="67" t="s">
        <v>1094</v>
      </c>
      <c r="DH65" s="67">
        <v>0</v>
      </c>
      <c r="DI65" s="67">
        <v>0</v>
      </c>
      <c r="DJ65" s="67">
        <v>0</v>
      </c>
      <c r="DK65" s="66">
        <v>0.85799999999999998</v>
      </c>
      <c r="DL65" s="66">
        <v>0</v>
      </c>
      <c r="DM65" s="66">
        <v>1.246</v>
      </c>
      <c r="DN65" s="66">
        <v>0.85799999999999998</v>
      </c>
      <c r="DO65" s="66">
        <v>0.38800000000000001</v>
      </c>
      <c r="DP65" s="66">
        <v>0.85799999999999998</v>
      </c>
      <c r="DQ65" s="66">
        <v>0</v>
      </c>
      <c r="DR65" s="66">
        <v>1.246</v>
      </c>
      <c r="DS65" s="66">
        <v>0.85799999999999998</v>
      </c>
      <c r="DT65" s="66">
        <v>0</v>
      </c>
      <c r="DU65" s="66">
        <v>0.38800000000000001</v>
      </c>
      <c r="DV65" s="67">
        <v>100</v>
      </c>
      <c r="DW65" s="67">
        <v>100</v>
      </c>
      <c r="DX65" s="67">
        <v>31.139646869983949</v>
      </c>
      <c r="DY65" s="67">
        <v>0</v>
      </c>
      <c r="DZ65" s="67">
        <v>0</v>
      </c>
      <c r="EA65" s="66">
        <v>0</v>
      </c>
      <c r="EB65" s="66">
        <v>0</v>
      </c>
      <c r="EC65" s="66">
        <v>0</v>
      </c>
      <c r="ED65" s="66">
        <v>0</v>
      </c>
      <c r="EE65" s="66">
        <v>0</v>
      </c>
      <c r="EF65" s="66">
        <v>0</v>
      </c>
      <c r="EG65" s="66">
        <v>0</v>
      </c>
      <c r="EH65" s="66">
        <v>0</v>
      </c>
      <c r="EI65" s="66">
        <v>0</v>
      </c>
      <c r="EJ65" s="66">
        <v>0</v>
      </c>
      <c r="EK65" s="66">
        <v>0</v>
      </c>
      <c r="EL65" s="67" t="s">
        <v>1094</v>
      </c>
      <c r="EM65" s="67" t="s">
        <v>1094</v>
      </c>
      <c r="EN65" s="67">
        <v>0</v>
      </c>
      <c r="EO65" s="67">
        <v>0</v>
      </c>
      <c r="EP65" s="67">
        <v>0</v>
      </c>
      <c r="EQ65" s="66">
        <v>2.0379999999999998</v>
      </c>
      <c r="ER65" s="66">
        <v>0</v>
      </c>
      <c r="ES65" s="66">
        <v>2.9580000000000002</v>
      </c>
      <c r="ET65" s="66">
        <v>2.0379999999999998</v>
      </c>
      <c r="EU65" s="66">
        <v>0.92</v>
      </c>
      <c r="EV65" s="66">
        <v>1.90432103</v>
      </c>
      <c r="EW65" s="66">
        <v>0</v>
      </c>
      <c r="EX65" s="66">
        <v>2.76397527</v>
      </c>
      <c r="EY65" s="66">
        <v>1.90432103</v>
      </c>
      <c r="EZ65" s="66">
        <v>0</v>
      </c>
      <c r="FA65" s="66">
        <v>0.85965424000000001</v>
      </c>
      <c r="FB65" s="67">
        <v>93.440678606476951</v>
      </c>
      <c r="FC65" s="67">
        <v>93.440678260869561</v>
      </c>
      <c r="FD65" s="67">
        <v>31.102095931560196</v>
      </c>
      <c r="FE65" s="67">
        <v>0</v>
      </c>
      <c r="FF65" s="67">
        <v>0</v>
      </c>
      <c r="FG65" s="66">
        <v>0</v>
      </c>
      <c r="FH65" s="66">
        <v>0</v>
      </c>
      <c r="FI65" s="66">
        <v>0</v>
      </c>
      <c r="FJ65" s="66">
        <v>0</v>
      </c>
      <c r="FK65" s="66">
        <v>0</v>
      </c>
      <c r="FL65" s="66">
        <v>0</v>
      </c>
      <c r="FM65" s="66">
        <v>0</v>
      </c>
      <c r="FN65" s="66">
        <v>0</v>
      </c>
      <c r="FO65" s="66">
        <v>0</v>
      </c>
      <c r="FP65" s="66">
        <v>0</v>
      </c>
      <c r="FQ65" s="66">
        <v>0</v>
      </c>
      <c r="FR65" s="67" t="s">
        <v>1094</v>
      </c>
      <c r="FS65" s="67" t="s">
        <v>1094</v>
      </c>
      <c r="FT65" s="67">
        <v>0</v>
      </c>
      <c r="FU65" s="67">
        <v>0</v>
      </c>
      <c r="FV65" s="67">
        <v>0</v>
      </c>
      <c r="FW65" s="66">
        <v>88.356399999999994</v>
      </c>
      <c r="FX65" s="66">
        <v>0</v>
      </c>
      <c r="FY65" s="66">
        <v>128.23939999999999</v>
      </c>
      <c r="FZ65" s="66">
        <v>88.356399999999994</v>
      </c>
      <c r="GA65" s="66">
        <v>39.883000000000003</v>
      </c>
      <c r="GB65" s="66">
        <v>88.239918689999996</v>
      </c>
      <c r="GC65" s="66">
        <v>0</v>
      </c>
      <c r="GD65" s="66">
        <v>128.07033999999999</v>
      </c>
      <c r="GE65" s="66">
        <v>88.239436420000004</v>
      </c>
      <c r="GF65" s="66">
        <v>0</v>
      </c>
      <c r="GG65" s="66">
        <v>39.830903579999998</v>
      </c>
      <c r="GH65" s="67">
        <v>99.867622967889147</v>
      </c>
      <c r="GI65" s="67">
        <v>99.869376877366278</v>
      </c>
      <c r="GJ65" s="67">
        <v>31.100802558968766</v>
      </c>
      <c r="GK65" s="67">
        <v>0</v>
      </c>
      <c r="GL65" s="67">
        <v>4.8226999999201325E-4</v>
      </c>
      <c r="GM65" s="66">
        <v>0</v>
      </c>
      <c r="GN65" s="66">
        <v>0</v>
      </c>
      <c r="GO65" s="66">
        <v>0</v>
      </c>
      <c r="GP65" s="66">
        <v>0</v>
      </c>
      <c r="GQ65" s="66">
        <v>0</v>
      </c>
      <c r="GR65" s="66">
        <v>0</v>
      </c>
      <c r="GS65" s="66">
        <v>0</v>
      </c>
      <c r="GT65" s="66">
        <v>0</v>
      </c>
      <c r="GU65" s="66">
        <v>0</v>
      </c>
      <c r="GV65" s="66">
        <v>0</v>
      </c>
      <c r="GW65" s="66">
        <v>0</v>
      </c>
      <c r="GX65" s="67" t="s">
        <v>1094</v>
      </c>
      <c r="GY65" s="67" t="s">
        <v>1094</v>
      </c>
      <c r="GZ65" s="67">
        <v>0</v>
      </c>
      <c r="HA65" s="67">
        <v>0</v>
      </c>
      <c r="HB65" s="67">
        <v>0</v>
      </c>
      <c r="HC65" s="66">
        <v>0.81320000000000003</v>
      </c>
      <c r="HD65" s="66">
        <v>0</v>
      </c>
      <c r="HE65" s="66">
        <v>1.1812</v>
      </c>
      <c r="HF65" s="66">
        <v>0.81320000000000003</v>
      </c>
      <c r="HG65" s="66">
        <v>0.36799999999999999</v>
      </c>
      <c r="HH65" s="66">
        <v>0.81320000000000003</v>
      </c>
      <c r="HI65" s="66">
        <v>0</v>
      </c>
      <c r="HJ65" s="66">
        <v>1.1812</v>
      </c>
      <c r="HK65" s="66">
        <v>0.81320000000000003</v>
      </c>
      <c r="HL65" s="66">
        <v>0</v>
      </c>
      <c r="HM65" s="66">
        <v>0.36799999999999999</v>
      </c>
      <c r="HN65" s="67">
        <v>100</v>
      </c>
      <c r="HO65" s="67">
        <v>100</v>
      </c>
      <c r="HP65" s="67">
        <v>31.154757873349137</v>
      </c>
      <c r="HQ65" s="67">
        <v>0</v>
      </c>
      <c r="HR65" s="67">
        <v>0</v>
      </c>
      <c r="HS65" s="66">
        <v>0</v>
      </c>
      <c r="HT65" s="66">
        <v>0</v>
      </c>
      <c r="HU65" s="66">
        <v>0</v>
      </c>
      <c r="HV65" s="66">
        <v>0</v>
      </c>
      <c r="HW65" s="66">
        <v>0</v>
      </c>
      <c r="HX65" s="66">
        <v>0</v>
      </c>
      <c r="HY65" s="66">
        <v>0</v>
      </c>
      <c r="HZ65" s="66">
        <v>0</v>
      </c>
      <c r="IA65" s="66">
        <v>0</v>
      </c>
      <c r="IB65" s="66">
        <v>0</v>
      </c>
      <c r="IC65" s="66">
        <v>0</v>
      </c>
      <c r="ID65" s="67" t="s">
        <v>1094</v>
      </c>
      <c r="IE65" s="67" t="s">
        <v>1094</v>
      </c>
      <c r="IF65" s="67">
        <v>0</v>
      </c>
      <c r="IG65" s="67">
        <v>0</v>
      </c>
      <c r="IH65" s="67">
        <v>0</v>
      </c>
    </row>
    <row r="66" spans="1:242" ht="15.75" x14ac:dyDescent="0.25">
      <c r="A66" s="11">
        <v>55</v>
      </c>
      <c r="B66" s="189" t="s">
        <v>143</v>
      </c>
      <c r="C66" s="66">
        <v>102.00839999999999</v>
      </c>
      <c r="D66" s="66">
        <v>0</v>
      </c>
      <c r="E66" s="66">
        <v>202.00840000000002</v>
      </c>
      <c r="F66" s="66">
        <v>102.00839999999999</v>
      </c>
      <c r="G66" s="66">
        <v>100</v>
      </c>
      <c r="H66" s="66">
        <v>101.74629809999999</v>
      </c>
      <c r="I66" s="66">
        <v>0.10477214</v>
      </c>
      <c r="J66" s="66">
        <v>201.55730232000002</v>
      </c>
      <c r="K66" s="66">
        <v>101.74629808999998</v>
      </c>
      <c r="L66" s="66">
        <v>0</v>
      </c>
      <c r="M66" s="66">
        <v>99.811004229999995</v>
      </c>
      <c r="N66" s="67">
        <v>99.743058503025225</v>
      </c>
      <c r="O66" s="67">
        <v>99.811004229999995</v>
      </c>
      <c r="P66" s="67">
        <v>49.519914724566149</v>
      </c>
      <c r="Q66" s="66">
        <v>0.10477214</v>
      </c>
      <c r="R66" s="67">
        <v>1.000000228457143E-8</v>
      </c>
      <c r="S66" s="66">
        <v>64.745400000000004</v>
      </c>
      <c r="T66" s="66">
        <v>0</v>
      </c>
      <c r="U66" s="66">
        <v>124.7454</v>
      </c>
      <c r="V66" s="66">
        <v>64.745400000000004</v>
      </c>
      <c r="W66" s="66">
        <v>60</v>
      </c>
      <c r="X66" s="66">
        <v>64.742661990000002</v>
      </c>
      <c r="Y66" s="66">
        <v>0</v>
      </c>
      <c r="Z66" s="66">
        <v>124.74012478</v>
      </c>
      <c r="AA66" s="66">
        <v>64.742661979999994</v>
      </c>
      <c r="AB66" s="66">
        <v>0</v>
      </c>
      <c r="AC66" s="66">
        <v>59.997462799999994</v>
      </c>
      <c r="AD66" s="67">
        <v>99.995771097251691</v>
      </c>
      <c r="AE66" s="67">
        <v>99.995771333333323</v>
      </c>
      <c r="AF66" s="67">
        <v>48.097965995958006</v>
      </c>
      <c r="AG66" s="67">
        <v>0</v>
      </c>
      <c r="AH66" s="67">
        <v>1.0000007932831068E-8</v>
      </c>
      <c r="AI66" s="66">
        <v>0</v>
      </c>
      <c r="AJ66" s="66">
        <v>0</v>
      </c>
      <c r="AK66" s="66">
        <v>0</v>
      </c>
      <c r="AL66" s="66">
        <v>0</v>
      </c>
      <c r="AM66" s="66">
        <v>0</v>
      </c>
      <c r="AN66" s="66">
        <v>0</v>
      </c>
      <c r="AO66" s="66">
        <v>0.10477214</v>
      </c>
      <c r="AP66" s="66">
        <v>0</v>
      </c>
      <c r="AQ66" s="66">
        <v>0</v>
      </c>
      <c r="AR66" s="66">
        <v>0</v>
      </c>
      <c r="AS66" s="66">
        <v>0</v>
      </c>
      <c r="AT66" s="67" t="s">
        <v>1094</v>
      </c>
      <c r="AU66" s="67" t="s">
        <v>1094</v>
      </c>
      <c r="AV66" s="67">
        <v>0</v>
      </c>
      <c r="AW66" s="67">
        <v>0.10477214</v>
      </c>
      <c r="AX66" s="67">
        <v>0</v>
      </c>
      <c r="AY66" s="66">
        <v>27.632999999999999</v>
      </c>
      <c r="AZ66" s="66">
        <v>0</v>
      </c>
      <c r="BA66" s="66">
        <v>56.633000000000003</v>
      </c>
      <c r="BB66" s="66">
        <v>27.632999999999999</v>
      </c>
      <c r="BC66" s="66">
        <v>29</v>
      </c>
      <c r="BD66" s="66">
        <v>27.632999999999999</v>
      </c>
      <c r="BE66" s="66">
        <v>0</v>
      </c>
      <c r="BF66" s="66">
        <v>56.633000000000003</v>
      </c>
      <c r="BG66" s="66">
        <v>27.632999999999999</v>
      </c>
      <c r="BH66" s="66">
        <v>0</v>
      </c>
      <c r="BI66" s="66">
        <v>29</v>
      </c>
      <c r="BJ66" s="67">
        <v>100</v>
      </c>
      <c r="BK66" s="67">
        <v>100</v>
      </c>
      <c r="BL66" s="67">
        <v>51.206893507319052</v>
      </c>
      <c r="BM66" s="67">
        <v>0</v>
      </c>
      <c r="BN66" s="67">
        <v>0</v>
      </c>
      <c r="BO66" s="66">
        <v>0</v>
      </c>
      <c r="BP66" s="66">
        <v>0</v>
      </c>
      <c r="BQ66" s="66">
        <v>0</v>
      </c>
      <c r="BR66" s="66">
        <v>0</v>
      </c>
      <c r="BS66" s="66">
        <v>0</v>
      </c>
      <c r="BT66" s="66">
        <v>0</v>
      </c>
      <c r="BU66" s="66">
        <v>0</v>
      </c>
      <c r="BV66" s="66">
        <v>0</v>
      </c>
      <c r="BW66" s="66">
        <v>0</v>
      </c>
      <c r="BX66" s="66">
        <v>0</v>
      </c>
      <c r="BY66" s="66">
        <v>0</v>
      </c>
      <c r="BZ66" s="67" t="s">
        <v>1094</v>
      </c>
      <c r="CA66" s="67" t="s">
        <v>1094</v>
      </c>
      <c r="CB66" s="67">
        <v>0</v>
      </c>
      <c r="CC66" s="67">
        <v>0</v>
      </c>
      <c r="CD66" s="67">
        <v>0</v>
      </c>
      <c r="CE66" s="66">
        <v>0</v>
      </c>
      <c r="CF66" s="66">
        <v>0</v>
      </c>
      <c r="CG66" s="66">
        <v>0</v>
      </c>
      <c r="CH66" s="66">
        <v>0</v>
      </c>
      <c r="CI66" s="66">
        <v>0</v>
      </c>
      <c r="CJ66" s="66">
        <v>0</v>
      </c>
      <c r="CK66" s="66">
        <v>0</v>
      </c>
      <c r="CL66" s="66">
        <v>0</v>
      </c>
      <c r="CM66" s="66">
        <v>0</v>
      </c>
      <c r="CN66" s="66">
        <v>0</v>
      </c>
      <c r="CO66" s="66">
        <v>0</v>
      </c>
      <c r="CP66" s="67" t="s">
        <v>1094</v>
      </c>
      <c r="CQ66" s="67" t="s">
        <v>1094</v>
      </c>
      <c r="CR66" s="67">
        <v>0</v>
      </c>
      <c r="CS66" s="67">
        <v>0</v>
      </c>
      <c r="CT66" s="67">
        <v>0</v>
      </c>
      <c r="CU66" s="66">
        <v>0</v>
      </c>
      <c r="CV66" s="66">
        <v>0</v>
      </c>
      <c r="CW66" s="66">
        <v>0</v>
      </c>
      <c r="CX66" s="66">
        <v>0</v>
      </c>
      <c r="CY66" s="66">
        <v>0</v>
      </c>
      <c r="CZ66" s="66">
        <v>0</v>
      </c>
      <c r="DA66" s="66">
        <v>0</v>
      </c>
      <c r="DB66" s="66">
        <v>0</v>
      </c>
      <c r="DC66" s="66">
        <v>0</v>
      </c>
      <c r="DD66" s="66">
        <v>0</v>
      </c>
      <c r="DE66" s="66">
        <v>0</v>
      </c>
      <c r="DF66" s="67" t="s">
        <v>1094</v>
      </c>
      <c r="DG66" s="67" t="s">
        <v>1094</v>
      </c>
      <c r="DH66" s="67">
        <v>0</v>
      </c>
      <c r="DI66" s="67">
        <v>0</v>
      </c>
      <c r="DJ66" s="67">
        <v>0</v>
      </c>
      <c r="DK66" s="66">
        <v>2.782</v>
      </c>
      <c r="DL66" s="66">
        <v>0</v>
      </c>
      <c r="DM66" s="66">
        <v>4.782</v>
      </c>
      <c r="DN66" s="66">
        <v>2.782</v>
      </c>
      <c r="DO66" s="66">
        <v>2</v>
      </c>
      <c r="DP66" s="66">
        <v>2.5226361099999997</v>
      </c>
      <c r="DQ66" s="66">
        <v>0</v>
      </c>
      <c r="DR66" s="66">
        <v>4.3361775400000004</v>
      </c>
      <c r="DS66" s="66">
        <v>2.5226361099999997</v>
      </c>
      <c r="DT66" s="66">
        <v>0</v>
      </c>
      <c r="DU66" s="66">
        <v>1.8135414299999999</v>
      </c>
      <c r="DV66" s="67">
        <v>90.677070812365187</v>
      </c>
      <c r="DW66" s="67">
        <v>90.677071499999997</v>
      </c>
      <c r="DX66" s="67">
        <v>41.823504994216627</v>
      </c>
      <c r="DY66" s="67">
        <v>0</v>
      </c>
      <c r="DZ66" s="67">
        <v>0</v>
      </c>
      <c r="EA66" s="66">
        <v>0</v>
      </c>
      <c r="EB66" s="66">
        <v>0</v>
      </c>
      <c r="EC66" s="66">
        <v>0</v>
      </c>
      <c r="ED66" s="66">
        <v>0</v>
      </c>
      <c r="EE66" s="66">
        <v>0</v>
      </c>
      <c r="EF66" s="66">
        <v>0</v>
      </c>
      <c r="EG66" s="66">
        <v>0</v>
      </c>
      <c r="EH66" s="66">
        <v>0</v>
      </c>
      <c r="EI66" s="66">
        <v>0</v>
      </c>
      <c r="EJ66" s="66">
        <v>0</v>
      </c>
      <c r="EK66" s="66">
        <v>0</v>
      </c>
      <c r="EL66" s="67" t="s">
        <v>1094</v>
      </c>
      <c r="EM66" s="67" t="s">
        <v>1094</v>
      </c>
      <c r="EN66" s="67">
        <v>0</v>
      </c>
      <c r="EO66" s="67">
        <v>0</v>
      </c>
      <c r="EP66" s="67">
        <v>0</v>
      </c>
      <c r="EQ66" s="66">
        <v>3.387</v>
      </c>
      <c r="ER66" s="66">
        <v>0</v>
      </c>
      <c r="ES66" s="66">
        <v>7.3869999999999996</v>
      </c>
      <c r="ET66" s="66">
        <v>3.387</v>
      </c>
      <c r="EU66" s="66">
        <v>4</v>
      </c>
      <c r="EV66" s="66">
        <v>3.387</v>
      </c>
      <c r="EW66" s="66">
        <v>0</v>
      </c>
      <c r="EX66" s="66">
        <v>7.3869999999999996</v>
      </c>
      <c r="EY66" s="66">
        <v>3.387</v>
      </c>
      <c r="EZ66" s="66">
        <v>0</v>
      </c>
      <c r="FA66" s="66">
        <v>4</v>
      </c>
      <c r="FB66" s="67">
        <v>100</v>
      </c>
      <c r="FC66" s="67">
        <v>100</v>
      </c>
      <c r="FD66" s="67">
        <v>54.149180993637472</v>
      </c>
      <c r="FE66" s="67">
        <v>0</v>
      </c>
      <c r="FF66" s="67">
        <v>0</v>
      </c>
      <c r="FG66" s="66">
        <v>0</v>
      </c>
      <c r="FH66" s="66">
        <v>0</v>
      </c>
      <c r="FI66" s="66">
        <v>0</v>
      </c>
      <c r="FJ66" s="66">
        <v>0</v>
      </c>
      <c r="FK66" s="66">
        <v>0</v>
      </c>
      <c r="FL66" s="66">
        <v>0</v>
      </c>
      <c r="FM66" s="66">
        <v>0</v>
      </c>
      <c r="FN66" s="66">
        <v>0</v>
      </c>
      <c r="FO66" s="66">
        <v>0</v>
      </c>
      <c r="FP66" s="66">
        <v>0</v>
      </c>
      <c r="FQ66" s="66">
        <v>0</v>
      </c>
      <c r="FR66" s="67" t="s">
        <v>1094</v>
      </c>
      <c r="FS66" s="67" t="s">
        <v>1094</v>
      </c>
      <c r="FT66" s="67">
        <v>0</v>
      </c>
      <c r="FU66" s="67">
        <v>0</v>
      </c>
      <c r="FV66" s="67">
        <v>0</v>
      </c>
      <c r="FW66" s="66">
        <v>0</v>
      </c>
      <c r="FX66" s="66">
        <v>0</v>
      </c>
      <c r="FY66" s="66">
        <v>0</v>
      </c>
      <c r="FZ66" s="66">
        <v>0</v>
      </c>
      <c r="GA66" s="66">
        <v>0</v>
      </c>
      <c r="GB66" s="66">
        <v>0</v>
      </c>
      <c r="GC66" s="66">
        <v>0</v>
      </c>
      <c r="GD66" s="66">
        <v>0</v>
      </c>
      <c r="GE66" s="66">
        <v>0</v>
      </c>
      <c r="GF66" s="66">
        <v>0</v>
      </c>
      <c r="GG66" s="66">
        <v>0</v>
      </c>
      <c r="GH66" s="67" t="s">
        <v>1094</v>
      </c>
      <c r="GI66" s="67" t="s">
        <v>1094</v>
      </c>
      <c r="GJ66" s="67">
        <v>0</v>
      </c>
      <c r="GK66" s="67">
        <v>0</v>
      </c>
      <c r="GL66" s="67">
        <v>0</v>
      </c>
      <c r="GM66" s="66">
        <v>0</v>
      </c>
      <c r="GN66" s="66">
        <v>0</v>
      </c>
      <c r="GO66" s="66">
        <v>0</v>
      </c>
      <c r="GP66" s="66">
        <v>0</v>
      </c>
      <c r="GQ66" s="66">
        <v>0</v>
      </c>
      <c r="GR66" s="66">
        <v>0</v>
      </c>
      <c r="GS66" s="66">
        <v>0</v>
      </c>
      <c r="GT66" s="66">
        <v>0</v>
      </c>
      <c r="GU66" s="66">
        <v>0</v>
      </c>
      <c r="GV66" s="66">
        <v>0</v>
      </c>
      <c r="GW66" s="66">
        <v>0</v>
      </c>
      <c r="GX66" s="67" t="s">
        <v>1094</v>
      </c>
      <c r="GY66" s="67" t="s">
        <v>1094</v>
      </c>
      <c r="GZ66" s="67">
        <v>0</v>
      </c>
      <c r="HA66" s="67">
        <v>0</v>
      </c>
      <c r="HB66" s="67">
        <v>0</v>
      </c>
      <c r="HC66" s="66">
        <v>3.4609999999999999</v>
      </c>
      <c r="HD66" s="66">
        <v>0</v>
      </c>
      <c r="HE66" s="66">
        <v>8.4610000000000003</v>
      </c>
      <c r="HF66" s="66">
        <v>3.4609999999999999</v>
      </c>
      <c r="HG66" s="66">
        <v>5</v>
      </c>
      <c r="HH66" s="66">
        <v>3.4609999999999999</v>
      </c>
      <c r="HI66" s="66">
        <v>0</v>
      </c>
      <c r="HJ66" s="66">
        <v>8.4610000000000003</v>
      </c>
      <c r="HK66" s="66">
        <v>3.4609999999999999</v>
      </c>
      <c r="HL66" s="66">
        <v>0</v>
      </c>
      <c r="HM66" s="66">
        <v>5</v>
      </c>
      <c r="HN66" s="67">
        <v>100</v>
      </c>
      <c r="HO66" s="67">
        <v>100</v>
      </c>
      <c r="HP66" s="67">
        <v>59.094669660796598</v>
      </c>
      <c r="HQ66" s="67">
        <v>0</v>
      </c>
      <c r="HR66" s="67">
        <v>0</v>
      </c>
      <c r="HS66" s="66">
        <v>0</v>
      </c>
      <c r="HT66" s="66">
        <v>0</v>
      </c>
      <c r="HU66" s="66">
        <v>0</v>
      </c>
      <c r="HV66" s="66">
        <v>0</v>
      </c>
      <c r="HW66" s="66">
        <v>0</v>
      </c>
      <c r="HX66" s="66">
        <v>0</v>
      </c>
      <c r="HY66" s="66">
        <v>0</v>
      </c>
      <c r="HZ66" s="66">
        <v>0</v>
      </c>
      <c r="IA66" s="66">
        <v>0</v>
      </c>
      <c r="IB66" s="66">
        <v>0</v>
      </c>
      <c r="IC66" s="66">
        <v>0</v>
      </c>
      <c r="ID66" s="67" t="s">
        <v>1094</v>
      </c>
      <c r="IE66" s="67" t="s">
        <v>1094</v>
      </c>
      <c r="IF66" s="67">
        <v>0</v>
      </c>
      <c r="IG66" s="67">
        <v>0</v>
      </c>
      <c r="IH66" s="67">
        <v>0</v>
      </c>
    </row>
    <row r="67" spans="1:242" ht="15.75" x14ac:dyDescent="0.25">
      <c r="A67" s="11">
        <v>56</v>
      </c>
      <c r="B67" s="189" t="s">
        <v>146</v>
      </c>
      <c r="C67" s="66">
        <v>69.306100000000001</v>
      </c>
      <c r="D67" s="66">
        <v>0</v>
      </c>
      <c r="E67" s="66">
        <v>187.29155012000001</v>
      </c>
      <c r="F67" s="66">
        <v>69.306100000000001</v>
      </c>
      <c r="G67" s="66">
        <v>117.98545012</v>
      </c>
      <c r="H67" s="66">
        <v>69.306100000000001</v>
      </c>
      <c r="I67" s="66">
        <v>0.23780599999999999</v>
      </c>
      <c r="J67" s="66">
        <v>187.29155012000001</v>
      </c>
      <c r="K67" s="66">
        <v>69.306100000000001</v>
      </c>
      <c r="L67" s="66">
        <v>0</v>
      </c>
      <c r="M67" s="66">
        <v>117.98545012</v>
      </c>
      <c r="N67" s="67">
        <v>100</v>
      </c>
      <c r="O67" s="67">
        <v>100</v>
      </c>
      <c r="P67" s="67">
        <v>62.99560767392083</v>
      </c>
      <c r="Q67" s="66">
        <v>0.23780599999999999</v>
      </c>
      <c r="R67" s="67">
        <v>6.1894933622852477E-15</v>
      </c>
      <c r="S67" s="66">
        <v>59.2836</v>
      </c>
      <c r="T67" s="66">
        <v>0</v>
      </c>
      <c r="U67" s="66">
        <v>96.995418860000001</v>
      </c>
      <c r="V67" s="66">
        <v>59.2836</v>
      </c>
      <c r="W67" s="66">
        <v>37.711818860000001</v>
      </c>
      <c r="X67" s="66">
        <v>59.2836</v>
      </c>
      <c r="Y67" s="66">
        <v>0.23780599999999999</v>
      </c>
      <c r="Z67" s="66">
        <v>96.995418860000001</v>
      </c>
      <c r="AA67" s="66">
        <v>59.2836</v>
      </c>
      <c r="AB67" s="66">
        <v>0</v>
      </c>
      <c r="AC67" s="66">
        <v>37.711818860000001</v>
      </c>
      <c r="AD67" s="67">
        <v>100</v>
      </c>
      <c r="AE67" s="67">
        <v>100</v>
      </c>
      <c r="AF67" s="67">
        <v>38.880000007456026</v>
      </c>
      <c r="AG67" s="67">
        <v>0.23780599999999999</v>
      </c>
      <c r="AH67" s="67">
        <v>-9.1593399531575415E-16</v>
      </c>
      <c r="AI67" s="66">
        <v>0</v>
      </c>
      <c r="AJ67" s="66">
        <v>0</v>
      </c>
      <c r="AK67" s="66">
        <v>0</v>
      </c>
      <c r="AL67" s="66">
        <v>0</v>
      </c>
      <c r="AM67" s="66">
        <v>0</v>
      </c>
      <c r="AN67" s="66">
        <v>0</v>
      </c>
      <c r="AO67" s="66">
        <v>0</v>
      </c>
      <c r="AP67" s="66">
        <v>0</v>
      </c>
      <c r="AQ67" s="66">
        <v>0</v>
      </c>
      <c r="AR67" s="66">
        <v>0</v>
      </c>
      <c r="AS67" s="66">
        <v>0</v>
      </c>
      <c r="AT67" s="67" t="s">
        <v>1094</v>
      </c>
      <c r="AU67" s="67" t="s">
        <v>1094</v>
      </c>
      <c r="AV67" s="67">
        <v>0</v>
      </c>
      <c r="AW67" s="67">
        <v>0</v>
      </c>
      <c r="AX67" s="67">
        <v>0</v>
      </c>
      <c r="AY67" s="66">
        <v>0</v>
      </c>
      <c r="AZ67" s="66">
        <v>0</v>
      </c>
      <c r="BA67" s="66">
        <v>0</v>
      </c>
      <c r="BB67" s="66">
        <v>0</v>
      </c>
      <c r="BC67" s="66">
        <v>0</v>
      </c>
      <c r="BD67" s="66">
        <v>0</v>
      </c>
      <c r="BE67" s="66">
        <v>0</v>
      </c>
      <c r="BF67" s="66">
        <v>0</v>
      </c>
      <c r="BG67" s="66">
        <v>0</v>
      </c>
      <c r="BH67" s="66">
        <v>0</v>
      </c>
      <c r="BI67" s="66">
        <v>0</v>
      </c>
      <c r="BJ67" s="67" t="s">
        <v>1094</v>
      </c>
      <c r="BK67" s="67" t="s">
        <v>1094</v>
      </c>
      <c r="BL67" s="67">
        <v>0</v>
      </c>
      <c r="BM67" s="67">
        <v>0</v>
      </c>
      <c r="BN67" s="67">
        <v>0</v>
      </c>
      <c r="BO67" s="66">
        <v>0</v>
      </c>
      <c r="BP67" s="66">
        <v>0</v>
      </c>
      <c r="BQ67" s="66">
        <v>0</v>
      </c>
      <c r="BR67" s="66">
        <v>0</v>
      </c>
      <c r="BS67" s="66">
        <v>0</v>
      </c>
      <c r="BT67" s="66">
        <v>0</v>
      </c>
      <c r="BU67" s="66">
        <v>0</v>
      </c>
      <c r="BV67" s="66">
        <v>0</v>
      </c>
      <c r="BW67" s="66">
        <v>0</v>
      </c>
      <c r="BX67" s="66">
        <v>0</v>
      </c>
      <c r="BY67" s="66">
        <v>0</v>
      </c>
      <c r="BZ67" s="67" t="s">
        <v>1094</v>
      </c>
      <c r="CA67" s="67" t="s">
        <v>1094</v>
      </c>
      <c r="CB67" s="67">
        <v>0</v>
      </c>
      <c r="CC67" s="67">
        <v>0</v>
      </c>
      <c r="CD67" s="67">
        <v>0</v>
      </c>
      <c r="CE67" s="66">
        <v>0</v>
      </c>
      <c r="CF67" s="66">
        <v>0</v>
      </c>
      <c r="CG67" s="66">
        <v>0</v>
      </c>
      <c r="CH67" s="66">
        <v>0</v>
      </c>
      <c r="CI67" s="66">
        <v>0</v>
      </c>
      <c r="CJ67" s="66">
        <v>0</v>
      </c>
      <c r="CK67" s="66">
        <v>0</v>
      </c>
      <c r="CL67" s="66">
        <v>0</v>
      </c>
      <c r="CM67" s="66">
        <v>0</v>
      </c>
      <c r="CN67" s="66">
        <v>0</v>
      </c>
      <c r="CO67" s="66">
        <v>0</v>
      </c>
      <c r="CP67" s="67" t="s">
        <v>1094</v>
      </c>
      <c r="CQ67" s="67" t="s">
        <v>1094</v>
      </c>
      <c r="CR67" s="67">
        <v>0</v>
      </c>
      <c r="CS67" s="67">
        <v>0</v>
      </c>
      <c r="CT67" s="67">
        <v>0</v>
      </c>
      <c r="CU67" s="66">
        <v>0</v>
      </c>
      <c r="CV67" s="66">
        <v>0</v>
      </c>
      <c r="CW67" s="66">
        <v>0</v>
      </c>
      <c r="CX67" s="66">
        <v>0</v>
      </c>
      <c r="CY67" s="66">
        <v>0</v>
      </c>
      <c r="CZ67" s="66">
        <v>0</v>
      </c>
      <c r="DA67" s="66">
        <v>0</v>
      </c>
      <c r="DB67" s="66">
        <v>0</v>
      </c>
      <c r="DC67" s="66">
        <v>0</v>
      </c>
      <c r="DD67" s="66">
        <v>0</v>
      </c>
      <c r="DE67" s="66">
        <v>0</v>
      </c>
      <c r="DF67" s="67" t="s">
        <v>1094</v>
      </c>
      <c r="DG67" s="67" t="s">
        <v>1094</v>
      </c>
      <c r="DH67" s="67">
        <v>0</v>
      </c>
      <c r="DI67" s="67">
        <v>0</v>
      </c>
      <c r="DJ67" s="67">
        <v>0</v>
      </c>
      <c r="DK67" s="66">
        <v>2.532</v>
      </c>
      <c r="DL67" s="66">
        <v>0</v>
      </c>
      <c r="DM67" s="66">
        <v>77.15047951999999</v>
      </c>
      <c r="DN67" s="66">
        <v>2.532</v>
      </c>
      <c r="DO67" s="66">
        <v>74.618479519999994</v>
      </c>
      <c r="DP67" s="66">
        <v>2.532</v>
      </c>
      <c r="DQ67" s="66">
        <v>0</v>
      </c>
      <c r="DR67" s="66">
        <v>77.15047951999999</v>
      </c>
      <c r="DS67" s="66">
        <v>2.532</v>
      </c>
      <c r="DT67" s="66">
        <v>0</v>
      </c>
      <c r="DU67" s="66">
        <v>74.618479519999994</v>
      </c>
      <c r="DV67" s="67">
        <v>100</v>
      </c>
      <c r="DW67" s="67">
        <v>100</v>
      </c>
      <c r="DX67" s="67">
        <v>96.718102057494519</v>
      </c>
      <c r="DY67" s="67">
        <v>0</v>
      </c>
      <c r="DZ67" s="67">
        <v>0</v>
      </c>
      <c r="EA67" s="66">
        <v>0</v>
      </c>
      <c r="EB67" s="66">
        <v>0</v>
      </c>
      <c r="EC67" s="66">
        <v>0</v>
      </c>
      <c r="ED67" s="66">
        <v>0</v>
      </c>
      <c r="EE67" s="66">
        <v>0</v>
      </c>
      <c r="EF67" s="66">
        <v>0</v>
      </c>
      <c r="EG67" s="66">
        <v>0</v>
      </c>
      <c r="EH67" s="66">
        <v>0</v>
      </c>
      <c r="EI67" s="66">
        <v>0</v>
      </c>
      <c r="EJ67" s="66">
        <v>0</v>
      </c>
      <c r="EK67" s="66">
        <v>0</v>
      </c>
      <c r="EL67" s="67" t="s">
        <v>1094</v>
      </c>
      <c r="EM67" s="67" t="s">
        <v>1094</v>
      </c>
      <c r="EN67" s="67">
        <v>0</v>
      </c>
      <c r="EO67" s="67">
        <v>0</v>
      </c>
      <c r="EP67" s="67">
        <v>0</v>
      </c>
      <c r="EQ67" s="66">
        <v>0</v>
      </c>
      <c r="ER67" s="66">
        <v>0</v>
      </c>
      <c r="ES67" s="66">
        <v>0</v>
      </c>
      <c r="ET67" s="66">
        <v>0</v>
      </c>
      <c r="EU67" s="66">
        <v>0</v>
      </c>
      <c r="EV67" s="66">
        <v>0</v>
      </c>
      <c r="EW67" s="66">
        <v>0</v>
      </c>
      <c r="EX67" s="66">
        <v>0</v>
      </c>
      <c r="EY67" s="66">
        <v>0</v>
      </c>
      <c r="EZ67" s="66">
        <v>0</v>
      </c>
      <c r="FA67" s="66">
        <v>0</v>
      </c>
      <c r="FB67" s="67" t="s">
        <v>1094</v>
      </c>
      <c r="FC67" s="67" t="s">
        <v>1094</v>
      </c>
      <c r="FD67" s="67">
        <v>0</v>
      </c>
      <c r="FE67" s="67">
        <v>0</v>
      </c>
      <c r="FF67" s="67">
        <v>0</v>
      </c>
      <c r="FG67" s="66">
        <v>0</v>
      </c>
      <c r="FH67" s="66">
        <v>0</v>
      </c>
      <c r="FI67" s="66">
        <v>0</v>
      </c>
      <c r="FJ67" s="66">
        <v>0</v>
      </c>
      <c r="FK67" s="66">
        <v>0</v>
      </c>
      <c r="FL67" s="66">
        <v>0</v>
      </c>
      <c r="FM67" s="66">
        <v>0</v>
      </c>
      <c r="FN67" s="66">
        <v>0</v>
      </c>
      <c r="FO67" s="66">
        <v>0</v>
      </c>
      <c r="FP67" s="66">
        <v>0</v>
      </c>
      <c r="FQ67" s="66">
        <v>0</v>
      </c>
      <c r="FR67" s="67" t="s">
        <v>1094</v>
      </c>
      <c r="FS67" s="67" t="s">
        <v>1094</v>
      </c>
      <c r="FT67" s="67">
        <v>0</v>
      </c>
      <c r="FU67" s="67">
        <v>0</v>
      </c>
      <c r="FV67" s="67">
        <v>0</v>
      </c>
      <c r="FW67" s="66">
        <v>6.7073999999999998</v>
      </c>
      <c r="FX67" s="66">
        <v>0</v>
      </c>
      <c r="FY67" s="66">
        <v>11.36263716</v>
      </c>
      <c r="FZ67" s="66">
        <v>6.7073999999999998</v>
      </c>
      <c r="GA67" s="66">
        <v>4.6552371600000004</v>
      </c>
      <c r="GB67" s="66">
        <v>6.7073999999999998</v>
      </c>
      <c r="GC67" s="66">
        <v>0</v>
      </c>
      <c r="GD67" s="66">
        <v>11.36263716</v>
      </c>
      <c r="GE67" s="66">
        <v>6.7073999999999998</v>
      </c>
      <c r="GF67" s="66">
        <v>0</v>
      </c>
      <c r="GG67" s="66">
        <v>4.6552371600000004</v>
      </c>
      <c r="GH67" s="67">
        <v>100</v>
      </c>
      <c r="GI67" s="67">
        <v>100</v>
      </c>
      <c r="GJ67" s="67">
        <v>40.969689469517483</v>
      </c>
      <c r="GK67" s="67">
        <v>0</v>
      </c>
      <c r="GL67" s="67">
        <v>0</v>
      </c>
      <c r="GM67" s="66">
        <v>0</v>
      </c>
      <c r="GN67" s="66">
        <v>0</v>
      </c>
      <c r="GO67" s="66">
        <v>0</v>
      </c>
      <c r="GP67" s="66">
        <v>0</v>
      </c>
      <c r="GQ67" s="66">
        <v>0</v>
      </c>
      <c r="GR67" s="66">
        <v>0</v>
      </c>
      <c r="GS67" s="66">
        <v>0</v>
      </c>
      <c r="GT67" s="66">
        <v>0</v>
      </c>
      <c r="GU67" s="66">
        <v>0</v>
      </c>
      <c r="GV67" s="66">
        <v>0</v>
      </c>
      <c r="GW67" s="66">
        <v>0</v>
      </c>
      <c r="GX67" s="67" t="s">
        <v>1094</v>
      </c>
      <c r="GY67" s="67" t="s">
        <v>1094</v>
      </c>
      <c r="GZ67" s="67">
        <v>0</v>
      </c>
      <c r="HA67" s="67">
        <v>0</v>
      </c>
      <c r="HB67" s="67">
        <v>0</v>
      </c>
      <c r="HC67" s="66">
        <v>0.78310000000000002</v>
      </c>
      <c r="HD67" s="66">
        <v>0</v>
      </c>
      <c r="HE67" s="66">
        <v>1.7830145800000001</v>
      </c>
      <c r="HF67" s="66">
        <v>0.78310000000000002</v>
      </c>
      <c r="HG67" s="66">
        <v>0.99991458</v>
      </c>
      <c r="HH67" s="66">
        <v>0.78310000000000002</v>
      </c>
      <c r="HI67" s="66">
        <v>0</v>
      </c>
      <c r="HJ67" s="66">
        <v>1.7830145800000001</v>
      </c>
      <c r="HK67" s="66">
        <v>0.78310000000000002</v>
      </c>
      <c r="HL67" s="66">
        <v>0</v>
      </c>
      <c r="HM67" s="66">
        <v>0.99991458</v>
      </c>
      <c r="HN67" s="67">
        <v>100</v>
      </c>
      <c r="HO67" s="67">
        <v>100</v>
      </c>
      <c r="HP67" s="67">
        <v>56.080000198315815</v>
      </c>
      <c r="HQ67" s="67">
        <v>0</v>
      </c>
      <c r="HR67" s="67">
        <v>0</v>
      </c>
      <c r="HS67" s="66">
        <v>0</v>
      </c>
      <c r="HT67" s="66">
        <v>0</v>
      </c>
      <c r="HU67" s="66">
        <v>0</v>
      </c>
      <c r="HV67" s="66">
        <v>0</v>
      </c>
      <c r="HW67" s="66">
        <v>0</v>
      </c>
      <c r="HX67" s="66">
        <v>0</v>
      </c>
      <c r="HY67" s="66">
        <v>0</v>
      </c>
      <c r="HZ67" s="66">
        <v>0</v>
      </c>
      <c r="IA67" s="66">
        <v>0</v>
      </c>
      <c r="IB67" s="66">
        <v>0</v>
      </c>
      <c r="IC67" s="66">
        <v>0</v>
      </c>
      <c r="ID67" s="67" t="s">
        <v>1094</v>
      </c>
      <c r="IE67" s="67" t="s">
        <v>1094</v>
      </c>
      <c r="IF67" s="67">
        <v>0</v>
      </c>
      <c r="IG67" s="67">
        <v>0</v>
      </c>
      <c r="IH67" s="67">
        <v>0</v>
      </c>
    </row>
    <row r="68" spans="1:242" ht="15.75" x14ac:dyDescent="0.25">
      <c r="A68" s="11">
        <v>57</v>
      </c>
      <c r="B68" s="189" t="s">
        <v>149</v>
      </c>
      <c r="C68" s="66">
        <v>138.42259999999999</v>
      </c>
      <c r="D68" s="66">
        <v>0</v>
      </c>
      <c r="E68" s="66">
        <v>201.28659999999999</v>
      </c>
      <c r="F68" s="66">
        <v>138.42259999999999</v>
      </c>
      <c r="G68" s="66">
        <v>62.864000000000004</v>
      </c>
      <c r="H68" s="66">
        <v>135.56830285000001</v>
      </c>
      <c r="I68" s="66">
        <v>5.3371124500000002</v>
      </c>
      <c r="J68" s="66">
        <v>193.42002592999998</v>
      </c>
      <c r="K68" s="66">
        <v>133.01718342000001</v>
      </c>
      <c r="L68" s="66">
        <v>0</v>
      </c>
      <c r="M68" s="66">
        <v>60.402842509999999</v>
      </c>
      <c r="N68" s="67">
        <v>96.094989849923365</v>
      </c>
      <c r="O68" s="67">
        <v>96.084949271443108</v>
      </c>
      <c r="P68" s="67">
        <v>31.22884624773042</v>
      </c>
      <c r="Q68" s="66">
        <v>5.1814082600000004</v>
      </c>
      <c r="R68" s="67">
        <v>2.706823620000006</v>
      </c>
      <c r="S68" s="66">
        <v>82.4876</v>
      </c>
      <c r="T68" s="66">
        <v>0</v>
      </c>
      <c r="U68" s="66">
        <v>117.8396</v>
      </c>
      <c r="V68" s="66">
        <v>82.4876</v>
      </c>
      <c r="W68" s="66">
        <v>35.351999999999997</v>
      </c>
      <c r="X68" s="66">
        <v>81.473323790000009</v>
      </c>
      <c r="Y68" s="66">
        <v>4.4112309100000004</v>
      </c>
      <c r="Z68" s="66">
        <v>115.91246482</v>
      </c>
      <c r="AA68" s="66">
        <v>81.138725370000003</v>
      </c>
      <c r="AB68" s="66">
        <v>0</v>
      </c>
      <c r="AC68" s="66">
        <v>34.773739450000001</v>
      </c>
      <c r="AD68" s="67">
        <v>98.364754666155889</v>
      </c>
      <c r="AE68" s="67">
        <v>98.364277692916957</v>
      </c>
      <c r="AF68" s="67">
        <v>30.000000003450882</v>
      </c>
      <c r="AG68" s="67">
        <v>4.4102309100000001</v>
      </c>
      <c r="AH68" s="67">
        <v>0.33559842000000639</v>
      </c>
      <c r="AI68" s="66">
        <v>0</v>
      </c>
      <c r="AJ68" s="66">
        <v>0</v>
      </c>
      <c r="AK68" s="66">
        <v>0</v>
      </c>
      <c r="AL68" s="66">
        <v>0</v>
      </c>
      <c r="AM68" s="66">
        <v>0</v>
      </c>
      <c r="AN68" s="66">
        <v>0</v>
      </c>
      <c r="AO68" s="66">
        <v>0.92588154</v>
      </c>
      <c r="AP68" s="66">
        <v>0</v>
      </c>
      <c r="AQ68" s="66">
        <v>0</v>
      </c>
      <c r="AR68" s="66">
        <v>0</v>
      </c>
      <c r="AS68" s="66">
        <v>0</v>
      </c>
      <c r="AT68" s="67" t="s">
        <v>1094</v>
      </c>
      <c r="AU68" s="67" t="s">
        <v>1094</v>
      </c>
      <c r="AV68" s="67">
        <v>0</v>
      </c>
      <c r="AW68" s="67">
        <v>0.77117734999999998</v>
      </c>
      <c r="AX68" s="67">
        <v>0.15470419000000002</v>
      </c>
      <c r="AY68" s="66">
        <v>31.291</v>
      </c>
      <c r="AZ68" s="66">
        <v>0</v>
      </c>
      <c r="BA68" s="66">
        <v>48.24</v>
      </c>
      <c r="BB68" s="66">
        <v>31.291</v>
      </c>
      <c r="BC68" s="66">
        <v>16.949000000000002</v>
      </c>
      <c r="BD68" s="66">
        <v>29.450979059999998</v>
      </c>
      <c r="BE68" s="66">
        <v>0</v>
      </c>
      <c r="BF68" s="66">
        <v>42.300993579999997</v>
      </c>
      <c r="BG68" s="66">
        <v>27.234460780000003</v>
      </c>
      <c r="BH68" s="66">
        <v>0</v>
      </c>
      <c r="BI68" s="66">
        <v>15.066532800000001</v>
      </c>
      <c r="BJ68" s="67">
        <v>87.03608315490078</v>
      </c>
      <c r="BK68" s="67">
        <v>88.893343560092035</v>
      </c>
      <c r="BL68" s="67">
        <v>35.617444236873645</v>
      </c>
      <c r="BM68" s="67">
        <v>0</v>
      </c>
      <c r="BN68" s="67">
        <v>2.2165182799999954</v>
      </c>
      <c r="BO68" s="66">
        <v>0</v>
      </c>
      <c r="BP68" s="66">
        <v>0</v>
      </c>
      <c r="BQ68" s="66">
        <v>0</v>
      </c>
      <c r="BR68" s="66">
        <v>0</v>
      </c>
      <c r="BS68" s="66">
        <v>0</v>
      </c>
      <c r="BT68" s="66">
        <v>0</v>
      </c>
      <c r="BU68" s="66">
        <v>0</v>
      </c>
      <c r="BV68" s="66">
        <v>0</v>
      </c>
      <c r="BW68" s="66">
        <v>0</v>
      </c>
      <c r="BX68" s="66">
        <v>0</v>
      </c>
      <c r="BY68" s="66">
        <v>0</v>
      </c>
      <c r="BZ68" s="67" t="s">
        <v>1094</v>
      </c>
      <c r="CA68" s="67" t="s">
        <v>1094</v>
      </c>
      <c r="CB68" s="67">
        <v>0</v>
      </c>
      <c r="CC68" s="67">
        <v>0</v>
      </c>
      <c r="CD68" s="67">
        <v>0</v>
      </c>
      <c r="CE68" s="66">
        <v>19.199000000000002</v>
      </c>
      <c r="CF68" s="66">
        <v>0</v>
      </c>
      <c r="CG68" s="66">
        <v>27.428000000000001</v>
      </c>
      <c r="CH68" s="66">
        <v>19.199000000000002</v>
      </c>
      <c r="CI68" s="66">
        <v>8.2289999999999992</v>
      </c>
      <c r="CJ68" s="66">
        <v>19.199000000000002</v>
      </c>
      <c r="CK68" s="66">
        <v>0</v>
      </c>
      <c r="CL68" s="66">
        <v>27.428000000000001</v>
      </c>
      <c r="CM68" s="66">
        <v>19.199000000000002</v>
      </c>
      <c r="CN68" s="66">
        <v>0</v>
      </c>
      <c r="CO68" s="66">
        <v>8.2289999999999992</v>
      </c>
      <c r="CP68" s="67">
        <v>100</v>
      </c>
      <c r="CQ68" s="67">
        <v>100</v>
      </c>
      <c r="CR68" s="67">
        <v>30.002187545573861</v>
      </c>
      <c r="CS68" s="67">
        <v>0</v>
      </c>
      <c r="CT68" s="67">
        <v>0</v>
      </c>
      <c r="CU68" s="66">
        <v>0</v>
      </c>
      <c r="CV68" s="66">
        <v>0</v>
      </c>
      <c r="CW68" s="66">
        <v>0</v>
      </c>
      <c r="CX68" s="66">
        <v>0</v>
      </c>
      <c r="CY68" s="66">
        <v>0</v>
      </c>
      <c r="CZ68" s="66">
        <v>0</v>
      </c>
      <c r="DA68" s="66">
        <v>0</v>
      </c>
      <c r="DB68" s="66">
        <v>0</v>
      </c>
      <c r="DC68" s="66">
        <v>0</v>
      </c>
      <c r="DD68" s="66">
        <v>0</v>
      </c>
      <c r="DE68" s="66">
        <v>0</v>
      </c>
      <c r="DF68" s="67" t="s">
        <v>1094</v>
      </c>
      <c r="DG68" s="67" t="s">
        <v>1094</v>
      </c>
      <c r="DH68" s="67">
        <v>0</v>
      </c>
      <c r="DI68" s="67">
        <v>0</v>
      </c>
      <c r="DJ68" s="67">
        <v>0</v>
      </c>
      <c r="DK68" s="66">
        <v>0</v>
      </c>
      <c r="DL68" s="66">
        <v>0</v>
      </c>
      <c r="DM68" s="66">
        <v>0</v>
      </c>
      <c r="DN68" s="66">
        <v>0</v>
      </c>
      <c r="DO68" s="66">
        <v>0</v>
      </c>
      <c r="DP68" s="66">
        <v>0</v>
      </c>
      <c r="DQ68" s="66">
        <v>0</v>
      </c>
      <c r="DR68" s="66">
        <v>0</v>
      </c>
      <c r="DS68" s="66">
        <v>0</v>
      </c>
      <c r="DT68" s="66">
        <v>0</v>
      </c>
      <c r="DU68" s="66">
        <v>0</v>
      </c>
      <c r="DV68" s="67" t="s">
        <v>1094</v>
      </c>
      <c r="DW68" s="67" t="s">
        <v>1094</v>
      </c>
      <c r="DX68" s="67">
        <v>0</v>
      </c>
      <c r="DY68" s="67">
        <v>0</v>
      </c>
      <c r="DZ68" s="67">
        <v>0</v>
      </c>
      <c r="EA68" s="66">
        <v>0</v>
      </c>
      <c r="EB68" s="66">
        <v>0</v>
      </c>
      <c r="EC68" s="66">
        <v>0</v>
      </c>
      <c r="ED68" s="66">
        <v>0</v>
      </c>
      <c r="EE68" s="66">
        <v>0</v>
      </c>
      <c r="EF68" s="66">
        <v>0</v>
      </c>
      <c r="EG68" s="66">
        <v>0</v>
      </c>
      <c r="EH68" s="66">
        <v>0</v>
      </c>
      <c r="EI68" s="66">
        <v>0</v>
      </c>
      <c r="EJ68" s="66">
        <v>0</v>
      </c>
      <c r="EK68" s="66">
        <v>0</v>
      </c>
      <c r="EL68" s="67" t="s">
        <v>1094</v>
      </c>
      <c r="EM68" s="67" t="s">
        <v>1094</v>
      </c>
      <c r="EN68" s="67">
        <v>0</v>
      </c>
      <c r="EO68" s="67">
        <v>0</v>
      </c>
      <c r="EP68" s="67">
        <v>0</v>
      </c>
      <c r="EQ68" s="66">
        <v>4.0149999999999997</v>
      </c>
      <c r="ER68" s="66">
        <v>0</v>
      </c>
      <c r="ES68" s="66">
        <v>5.7359999999999998</v>
      </c>
      <c r="ET68" s="66">
        <v>4.0149999999999997</v>
      </c>
      <c r="EU68" s="66">
        <v>1.7210000000000001</v>
      </c>
      <c r="EV68" s="66">
        <v>4.0149999999999997</v>
      </c>
      <c r="EW68" s="66">
        <v>0</v>
      </c>
      <c r="EX68" s="66">
        <v>5.7357142899999998</v>
      </c>
      <c r="EY68" s="66">
        <v>4.0149999999999997</v>
      </c>
      <c r="EZ68" s="66">
        <v>0</v>
      </c>
      <c r="FA68" s="66">
        <v>1.7207142900000001</v>
      </c>
      <c r="FB68" s="67">
        <v>100</v>
      </c>
      <c r="FC68" s="67">
        <v>99.983398605461943</v>
      </c>
      <c r="FD68" s="67">
        <v>30.000000052303864</v>
      </c>
      <c r="FE68" s="67">
        <v>0</v>
      </c>
      <c r="FF68" s="67">
        <v>0</v>
      </c>
      <c r="FG68" s="66">
        <v>0</v>
      </c>
      <c r="FH68" s="66">
        <v>0</v>
      </c>
      <c r="FI68" s="66">
        <v>0</v>
      </c>
      <c r="FJ68" s="66">
        <v>0</v>
      </c>
      <c r="FK68" s="66">
        <v>0</v>
      </c>
      <c r="FL68" s="66">
        <v>0</v>
      </c>
      <c r="FM68" s="66">
        <v>0</v>
      </c>
      <c r="FN68" s="66">
        <v>0</v>
      </c>
      <c r="FO68" s="66">
        <v>0</v>
      </c>
      <c r="FP68" s="66">
        <v>0</v>
      </c>
      <c r="FQ68" s="66">
        <v>0</v>
      </c>
      <c r="FR68" s="67" t="s">
        <v>1094</v>
      </c>
      <c r="FS68" s="67" t="s">
        <v>1094</v>
      </c>
      <c r="FT68" s="67">
        <v>0</v>
      </c>
      <c r="FU68" s="67">
        <v>0</v>
      </c>
      <c r="FV68" s="67">
        <v>0</v>
      </c>
      <c r="FW68" s="66">
        <v>0</v>
      </c>
      <c r="FX68" s="66">
        <v>0</v>
      </c>
      <c r="FY68" s="66">
        <v>0</v>
      </c>
      <c r="FZ68" s="66">
        <v>0</v>
      </c>
      <c r="GA68" s="66">
        <v>0</v>
      </c>
      <c r="GB68" s="66">
        <v>0</v>
      </c>
      <c r="GC68" s="66">
        <v>0</v>
      </c>
      <c r="GD68" s="66">
        <v>0</v>
      </c>
      <c r="GE68" s="66">
        <v>0</v>
      </c>
      <c r="GF68" s="66">
        <v>0</v>
      </c>
      <c r="GG68" s="66">
        <v>0</v>
      </c>
      <c r="GH68" s="67" t="s">
        <v>1094</v>
      </c>
      <c r="GI68" s="67" t="s">
        <v>1094</v>
      </c>
      <c r="GJ68" s="67">
        <v>0</v>
      </c>
      <c r="GK68" s="67">
        <v>0</v>
      </c>
      <c r="GL68" s="67">
        <v>0</v>
      </c>
      <c r="GM68" s="66">
        <v>0</v>
      </c>
      <c r="GN68" s="66">
        <v>0</v>
      </c>
      <c r="GO68" s="66">
        <v>0</v>
      </c>
      <c r="GP68" s="66">
        <v>0</v>
      </c>
      <c r="GQ68" s="66">
        <v>0</v>
      </c>
      <c r="GR68" s="66">
        <v>0</v>
      </c>
      <c r="GS68" s="66">
        <v>0</v>
      </c>
      <c r="GT68" s="66">
        <v>0</v>
      </c>
      <c r="GU68" s="66">
        <v>0</v>
      </c>
      <c r="GV68" s="66">
        <v>0</v>
      </c>
      <c r="GW68" s="66">
        <v>0</v>
      </c>
      <c r="GX68" s="67" t="s">
        <v>1094</v>
      </c>
      <c r="GY68" s="67" t="s">
        <v>1094</v>
      </c>
      <c r="GZ68" s="67">
        <v>0</v>
      </c>
      <c r="HA68" s="67">
        <v>0</v>
      </c>
      <c r="HB68" s="67">
        <v>0</v>
      </c>
      <c r="HC68" s="66">
        <v>1.43</v>
      </c>
      <c r="HD68" s="66">
        <v>0</v>
      </c>
      <c r="HE68" s="66">
        <v>2.0430000000000001</v>
      </c>
      <c r="HF68" s="66">
        <v>1.43</v>
      </c>
      <c r="HG68" s="66">
        <v>0.61299999999999999</v>
      </c>
      <c r="HH68" s="66">
        <v>1.43</v>
      </c>
      <c r="HI68" s="66">
        <v>0</v>
      </c>
      <c r="HJ68" s="66">
        <v>2.0428532399999999</v>
      </c>
      <c r="HK68" s="66">
        <v>1.4299972700000001</v>
      </c>
      <c r="HL68" s="66">
        <v>0</v>
      </c>
      <c r="HM68" s="66">
        <v>0.61285596999999992</v>
      </c>
      <c r="HN68" s="67">
        <v>99.999809090909096</v>
      </c>
      <c r="HO68" s="67">
        <v>99.976504078303421</v>
      </c>
      <c r="HP68" s="67">
        <v>29.999999902097713</v>
      </c>
      <c r="HQ68" s="67">
        <v>0</v>
      </c>
      <c r="HR68" s="67">
        <v>2.729999999839805E-6</v>
      </c>
      <c r="HS68" s="66">
        <v>0</v>
      </c>
      <c r="HT68" s="66">
        <v>0</v>
      </c>
      <c r="HU68" s="66">
        <v>0</v>
      </c>
      <c r="HV68" s="66">
        <v>0</v>
      </c>
      <c r="HW68" s="66">
        <v>0</v>
      </c>
      <c r="HX68" s="66">
        <v>0</v>
      </c>
      <c r="HY68" s="66">
        <v>0</v>
      </c>
      <c r="HZ68" s="66">
        <v>0</v>
      </c>
      <c r="IA68" s="66">
        <v>0</v>
      </c>
      <c r="IB68" s="66">
        <v>0</v>
      </c>
      <c r="IC68" s="66">
        <v>0</v>
      </c>
      <c r="ID68" s="67" t="s">
        <v>1094</v>
      </c>
      <c r="IE68" s="67" t="s">
        <v>1094</v>
      </c>
      <c r="IF68" s="67">
        <v>0</v>
      </c>
      <c r="IG68" s="67">
        <v>0</v>
      </c>
      <c r="IH68" s="67">
        <v>0</v>
      </c>
    </row>
    <row r="69" spans="1:242" ht="15.75" x14ac:dyDescent="0.25">
      <c r="A69" s="11">
        <v>58</v>
      </c>
      <c r="B69" s="189" t="s">
        <v>152</v>
      </c>
      <c r="C69" s="66">
        <v>0</v>
      </c>
      <c r="D69" s="66">
        <v>0</v>
      </c>
      <c r="E69" s="66">
        <v>0</v>
      </c>
      <c r="F69" s="66">
        <v>0</v>
      </c>
      <c r="G69" s="66">
        <v>0</v>
      </c>
      <c r="H69" s="66">
        <v>0</v>
      </c>
      <c r="I69" s="66">
        <v>1.4694165299999999</v>
      </c>
      <c r="J69" s="66">
        <v>0</v>
      </c>
      <c r="K69" s="66">
        <v>0</v>
      </c>
      <c r="L69" s="66">
        <v>0</v>
      </c>
      <c r="M69" s="66">
        <v>0</v>
      </c>
      <c r="N69" s="67" t="s">
        <v>1094</v>
      </c>
      <c r="O69" s="67" t="s">
        <v>1094</v>
      </c>
      <c r="P69" s="67">
        <v>0</v>
      </c>
      <c r="Q69" s="66">
        <v>1.4694165299999999</v>
      </c>
      <c r="R69" s="67">
        <v>0</v>
      </c>
      <c r="S69" s="66">
        <v>0</v>
      </c>
      <c r="T69" s="66">
        <v>0</v>
      </c>
      <c r="U69" s="66">
        <v>0</v>
      </c>
      <c r="V69" s="66">
        <v>0</v>
      </c>
      <c r="W69" s="66">
        <v>0</v>
      </c>
      <c r="X69" s="66">
        <v>0</v>
      </c>
      <c r="Y69" s="66">
        <v>0.15503800000000001</v>
      </c>
      <c r="Z69" s="66">
        <v>0</v>
      </c>
      <c r="AA69" s="66">
        <v>0</v>
      </c>
      <c r="AB69" s="66">
        <v>0</v>
      </c>
      <c r="AC69" s="66">
        <v>0</v>
      </c>
      <c r="AD69" s="67" t="s">
        <v>1094</v>
      </c>
      <c r="AE69" s="67" t="s">
        <v>1094</v>
      </c>
      <c r="AF69" s="67">
        <v>0</v>
      </c>
      <c r="AG69" s="67">
        <v>0.15503800000000001</v>
      </c>
      <c r="AH69" s="67">
        <v>0</v>
      </c>
      <c r="AI69" s="66">
        <v>0</v>
      </c>
      <c r="AJ69" s="66">
        <v>0</v>
      </c>
      <c r="AK69" s="66">
        <v>0</v>
      </c>
      <c r="AL69" s="66">
        <v>0</v>
      </c>
      <c r="AM69" s="66">
        <v>0</v>
      </c>
      <c r="AN69" s="66">
        <v>0</v>
      </c>
      <c r="AO69" s="66">
        <v>1.3143785299999999</v>
      </c>
      <c r="AP69" s="66">
        <v>0</v>
      </c>
      <c r="AQ69" s="66">
        <v>0</v>
      </c>
      <c r="AR69" s="66">
        <v>0</v>
      </c>
      <c r="AS69" s="66">
        <v>0</v>
      </c>
      <c r="AT69" s="67" t="s">
        <v>1094</v>
      </c>
      <c r="AU69" s="67" t="s">
        <v>1094</v>
      </c>
      <c r="AV69" s="67">
        <v>0</v>
      </c>
      <c r="AW69" s="67">
        <v>1.3143785299999999</v>
      </c>
      <c r="AX69" s="67">
        <v>0</v>
      </c>
      <c r="AY69" s="66">
        <v>0</v>
      </c>
      <c r="AZ69" s="66">
        <v>0</v>
      </c>
      <c r="BA69" s="66">
        <v>0</v>
      </c>
      <c r="BB69" s="66">
        <v>0</v>
      </c>
      <c r="BC69" s="66">
        <v>0</v>
      </c>
      <c r="BD69" s="66">
        <v>0</v>
      </c>
      <c r="BE69" s="66">
        <v>0</v>
      </c>
      <c r="BF69" s="66">
        <v>0</v>
      </c>
      <c r="BG69" s="66">
        <v>0</v>
      </c>
      <c r="BH69" s="66">
        <v>0</v>
      </c>
      <c r="BI69" s="66">
        <v>0</v>
      </c>
      <c r="BJ69" s="67" t="s">
        <v>1094</v>
      </c>
      <c r="BK69" s="67" t="s">
        <v>1094</v>
      </c>
      <c r="BL69" s="67">
        <v>0</v>
      </c>
      <c r="BM69" s="67">
        <v>0</v>
      </c>
      <c r="BN69" s="67">
        <v>0</v>
      </c>
      <c r="BO69" s="66">
        <v>0</v>
      </c>
      <c r="BP69" s="66">
        <v>0</v>
      </c>
      <c r="BQ69" s="66">
        <v>0</v>
      </c>
      <c r="BR69" s="66">
        <v>0</v>
      </c>
      <c r="BS69" s="66">
        <v>0</v>
      </c>
      <c r="BT69" s="66">
        <v>0</v>
      </c>
      <c r="BU69" s="66">
        <v>0</v>
      </c>
      <c r="BV69" s="66">
        <v>0</v>
      </c>
      <c r="BW69" s="66">
        <v>0</v>
      </c>
      <c r="BX69" s="66">
        <v>0</v>
      </c>
      <c r="BY69" s="66">
        <v>0</v>
      </c>
      <c r="BZ69" s="67" t="s">
        <v>1094</v>
      </c>
      <c r="CA69" s="67" t="s">
        <v>1094</v>
      </c>
      <c r="CB69" s="67">
        <v>0</v>
      </c>
      <c r="CC69" s="67">
        <v>0</v>
      </c>
      <c r="CD69" s="67">
        <v>0</v>
      </c>
      <c r="CE69" s="66">
        <v>0</v>
      </c>
      <c r="CF69" s="66">
        <v>0</v>
      </c>
      <c r="CG69" s="66">
        <v>0</v>
      </c>
      <c r="CH69" s="66">
        <v>0</v>
      </c>
      <c r="CI69" s="66">
        <v>0</v>
      </c>
      <c r="CJ69" s="66">
        <v>0</v>
      </c>
      <c r="CK69" s="66">
        <v>0</v>
      </c>
      <c r="CL69" s="66">
        <v>0</v>
      </c>
      <c r="CM69" s="66">
        <v>0</v>
      </c>
      <c r="CN69" s="66">
        <v>0</v>
      </c>
      <c r="CO69" s="66">
        <v>0</v>
      </c>
      <c r="CP69" s="67" t="s">
        <v>1094</v>
      </c>
      <c r="CQ69" s="67" t="s">
        <v>1094</v>
      </c>
      <c r="CR69" s="67">
        <v>0</v>
      </c>
      <c r="CS69" s="67">
        <v>0</v>
      </c>
      <c r="CT69" s="67">
        <v>0</v>
      </c>
      <c r="CU69" s="66">
        <v>0</v>
      </c>
      <c r="CV69" s="66">
        <v>0</v>
      </c>
      <c r="CW69" s="66">
        <v>0</v>
      </c>
      <c r="CX69" s="66">
        <v>0</v>
      </c>
      <c r="CY69" s="66">
        <v>0</v>
      </c>
      <c r="CZ69" s="66">
        <v>0</v>
      </c>
      <c r="DA69" s="66">
        <v>0</v>
      </c>
      <c r="DB69" s="66">
        <v>0</v>
      </c>
      <c r="DC69" s="66">
        <v>0</v>
      </c>
      <c r="DD69" s="66">
        <v>0</v>
      </c>
      <c r="DE69" s="66">
        <v>0</v>
      </c>
      <c r="DF69" s="67" t="s">
        <v>1094</v>
      </c>
      <c r="DG69" s="67" t="s">
        <v>1094</v>
      </c>
      <c r="DH69" s="67">
        <v>0</v>
      </c>
      <c r="DI69" s="67">
        <v>0</v>
      </c>
      <c r="DJ69" s="67">
        <v>0</v>
      </c>
      <c r="DK69" s="66">
        <v>0</v>
      </c>
      <c r="DL69" s="66">
        <v>0</v>
      </c>
      <c r="DM69" s="66">
        <v>0</v>
      </c>
      <c r="DN69" s="66">
        <v>0</v>
      </c>
      <c r="DO69" s="66">
        <v>0</v>
      </c>
      <c r="DP69" s="66">
        <v>0</v>
      </c>
      <c r="DQ69" s="66">
        <v>0</v>
      </c>
      <c r="DR69" s="66">
        <v>0</v>
      </c>
      <c r="DS69" s="66">
        <v>0</v>
      </c>
      <c r="DT69" s="66">
        <v>0</v>
      </c>
      <c r="DU69" s="66">
        <v>0</v>
      </c>
      <c r="DV69" s="67" t="s">
        <v>1094</v>
      </c>
      <c r="DW69" s="67" t="s">
        <v>1094</v>
      </c>
      <c r="DX69" s="67">
        <v>0</v>
      </c>
      <c r="DY69" s="67">
        <v>0</v>
      </c>
      <c r="DZ69" s="67">
        <v>0</v>
      </c>
      <c r="EA69" s="66">
        <v>0</v>
      </c>
      <c r="EB69" s="66">
        <v>0</v>
      </c>
      <c r="EC69" s="66">
        <v>0</v>
      </c>
      <c r="ED69" s="66">
        <v>0</v>
      </c>
      <c r="EE69" s="66">
        <v>0</v>
      </c>
      <c r="EF69" s="66">
        <v>0</v>
      </c>
      <c r="EG69" s="66">
        <v>0</v>
      </c>
      <c r="EH69" s="66">
        <v>0</v>
      </c>
      <c r="EI69" s="66">
        <v>0</v>
      </c>
      <c r="EJ69" s="66">
        <v>0</v>
      </c>
      <c r="EK69" s="66">
        <v>0</v>
      </c>
      <c r="EL69" s="67" t="s">
        <v>1094</v>
      </c>
      <c r="EM69" s="67" t="s">
        <v>1094</v>
      </c>
      <c r="EN69" s="67">
        <v>0</v>
      </c>
      <c r="EO69" s="67">
        <v>0</v>
      </c>
      <c r="EP69" s="67">
        <v>0</v>
      </c>
      <c r="EQ69" s="66">
        <v>0</v>
      </c>
      <c r="ER69" s="66">
        <v>0</v>
      </c>
      <c r="ES69" s="66">
        <v>0</v>
      </c>
      <c r="ET69" s="66">
        <v>0</v>
      </c>
      <c r="EU69" s="66">
        <v>0</v>
      </c>
      <c r="EV69" s="66">
        <v>0</v>
      </c>
      <c r="EW69" s="66">
        <v>0</v>
      </c>
      <c r="EX69" s="66">
        <v>0</v>
      </c>
      <c r="EY69" s="66">
        <v>0</v>
      </c>
      <c r="EZ69" s="66">
        <v>0</v>
      </c>
      <c r="FA69" s="66">
        <v>0</v>
      </c>
      <c r="FB69" s="67" t="s">
        <v>1094</v>
      </c>
      <c r="FC69" s="67" t="s">
        <v>1094</v>
      </c>
      <c r="FD69" s="67">
        <v>0</v>
      </c>
      <c r="FE69" s="67">
        <v>0</v>
      </c>
      <c r="FF69" s="67">
        <v>0</v>
      </c>
      <c r="FG69" s="66">
        <v>0</v>
      </c>
      <c r="FH69" s="66">
        <v>0</v>
      </c>
      <c r="FI69" s="66">
        <v>0</v>
      </c>
      <c r="FJ69" s="66">
        <v>0</v>
      </c>
      <c r="FK69" s="66">
        <v>0</v>
      </c>
      <c r="FL69" s="66">
        <v>0</v>
      </c>
      <c r="FM69" s="66">
        <v>0</v>
      </c>
      <c r="FN69" s="66">
        <v>0</v>
      </c>
      <c r="FO69" s="66">
        <v>0</v>
      </c>
      <c r="FP69" s="66">
        <v>0</v>
      </c>
      <c r="FQ69" s="66">
        <v>0</v>
      </c>
      <c r="FR69" s="67" t="s">
        <v>1094</v>
      </c>
      <c r="FS69" s="67" t="s">
        <v>1094</v>
      </c>
      <c r="FT69" s="67">
        <v>0</v>
      </c>
      <c r="FU69" s="67">
        <v>0</v>
      </c>
      <c r="FV69" s="67">
        <v>0</v>
      </c>
      <c r="FW69" s="66">
        <v>0</v>
      </c>
      <c r="FX69" s="66">
        <v>0</v>
      </c>
      <c r="FY69" s="66">
        <v>0</v>
      </c>
      <c r="FZ69" s="66">
        <v>0</v>
      </c>
      <c r="GA69" s="66">
        <v>0</v>
      </c>
      <c r="GB69" s="66">
        <v>0</v>
      </c>
      <c r="GC69" s="66">
        <v>0</v>
      </c>
      <c r="GD69" s="66">
        <v>0</v>
      </c>
      <c r="GE69" s="66">
        <v>0</v>
      </c>
      <c r="GF69" s="66">
        <v>0</v>
      </c>
      <c r="GG69" s="66">
        <v>0</v>
      </c>
      <c r="GH69" s="67" t="s">
        <v>1094</v>
      </c>
      <c r="GI69" s="67" t="s">
        <v>1094</v>
      </c>
      <c r="GJ69" s="67">
        <v>0</v>
      </c>
      <c r="GK69" s="67">
        <v>0</v>
      </c>
      <c r="GL69" s="67">
        <v>0</v>
      </c>
      <c r="GM69" s="66">
        <v>0</v>
      </c>
      <c r="GN69" s="66">
        <v>0</v>
      </c>
      <c r="GO69" s="66">
        <v>0</v>
      </c>
      <c r="GP69" s="66">
        <v>0</v>
      </c>
      <c r="GQ69" s="66">
        <v>0</v>
      </c>
      <c r="GR69" s="66">
        <v>0</v>
      </c>
      <c r="GS69" s="66">
        <v>0</v>
      </c>
      <c r="GT69" s="66">
        <v>0</v>
      </c>
      <c r="GU69" s="66">
        <v>0</v>
      </c>
      <c r="GV69" s="66">
        <v>0</v>
      </c>
      <c r="GW69" s="66">
        <v>0</v>
      </c>
      <c r="GX69" s="67" t="s">
        <v>1094</v>
      </c>
      <c r="GY69" s="67" t="s">
        <v>1094</v>
      </c>
      <c r="GZ69" s="67">
        <v>0</v>
      </c>
      <c r="HA69" s="67">
        <v>0</v>
      </c>
      <c r="HB69" s="67">
        <v>0</v>
      </c>
      <c r="HC69" s="66">
        <v>0</v>
      </c>
      <c r="HD69" s="66">
        <v>0</v>
      </c>
      <c r="HE69" s="66">
        <v>0</v>
      </c>
      <c r="HF69" s="66">
        <v>0</v>
      </c>
      <c r="HG69" s="66">
        <v>0</v>
      </c>
      <c r="HH69" s="66">
        <v>0</v>
      </c>
      <c r="HI69" s="66">
        <v>0</v>
      </c>
      <c r="HJ69" s="66">
        <v>0</v>
      </c>
      <c r="HK69" s="66">
        <v>0</v>
      </c>
      <c r="HL69" s="66">
        <v>0</v>
      </c>
      <c r="HM69" s="66">
        <v>0</v>
      </c>
      <c r="HN69" s="67" t="s">
        <v>1094</v>
      </c>
      <c r="HO69" s="67" t="s">
        <v>1094</v>
      </c>
      <c r="HP69" s="67">
        <v>0</v>
      </c>
      <c r="HQ69" s="67">
        <v>0</v>
      </c>
      <c r="HR69" s="67">
        <v>0</v>
      </c>
      <c r="HS69" s="66">
        <v>0</v>
      </c>
      <c r="HT69" s="66">
        <v>0</v>
      </c>
      <c r="HU69" s="66">
        <v>0</v>
      </c>
      <c r="HV69" s="66">
        <v>0</v>
      </c>
      <c r="HW69" s="66">
        <v>0</v>
      </c>
      <c r="HX69" s="66">
        <v>0</v>
      </c>
      <c r="HY69" s="66">
        <v>0</v>
      </c>
      <c r="HZ69" s="66">
        <v>0</v>
      </c>
      <c r="IA69" s="66">
        <v>0</v>
      </c>
      <c r="IB69" s="66">
        <v>0</v>
      </c>
      <c r="IC69" s="66">
        <v>0</v>
      </c>
      <c r="ID69" s="67" t="s">
        <v>1094</v>
      </c>
      <c r="IE69" s="67" t="s">
        <v>1094</v>
      </c>
      <c r="IF69" s="67">
        <v>0</v>
      </c>
      <c r="IG69" s="67">
        <v>0</v>
      </c>
      <c r="IH69" s="67">
        <v>0</v>
      </c>
    </row>
    <row r="70" spans="1:242" ht="15.75" x14ac:dyDescent="0.25">
      <c r="A70" s="11">
        <v>59</v>
      </c>
      <c r="B70" s="189" t="s">
        <v>155</v>
      </c>
      <c r="C70" s="66">
        <v>62.825000000000003</v>
      </c>
      <c r="D70" s="66">
        <v>0</v>
      </c>
      <c r="E70" s="66">
        <v>132.39400000000001</v>
      </c>
      <c r="F70" s="66">
        <v>62.825000000000003</v>
      </c>
      <c r="G70" s="66">
        <v>69.569000000000003</v>
      </c>
      <c r="H70" s="66">
        <v>62.825000000000003</v>
      </c>
      <c r="I70" s="66">
        <v>5.00337E-2</v>
      </c>
      <c r="J70" s="66">
        <v>132.39400000000001</v>
      </c>
      <c r="K70" s="66">
        <v>62.825000000000003</v>
      </c>
      <c r="L70" s="66">
        <v>0</v>
      </c>
      <c r="M70" s="66">
        <v>69.569000000000003</v>
      </c>
      <c r="N70" s="67">
        <v>100</v>
      </c>
      <c r="O70" s="67">
        <v>100</v>
      </c>
      <c r="P70" s="67">
        <v>52.546943214949316</v>
      </c>
      <c r="Q70" s="66">
        <v>5.00337E-2</v>
      </c>
      <c r="R70" s="67">
        <v>1.8041124150158794E-16</v>
      </c>
      <c r="S70" s="66">
        <v>45.585999999999999</v>
      </c>
      <c r="T70" s="66">
        <v>0</v>
      </c>
      <c r="U70" s="66">
        <v>81.650000000000006</v>
      </c>
      <c r="V70" s="66">
        <v>45.585999999999999</v>
      </c>
      <c r="W70" s="66">
        <v>36.064</v>
      </c>
      <c r="X70" s="66">
        <v>45.585999999999999</v>
      </c>
      <c r="Y70" s="66">
        <v>0</v>
      </c>
      <c r="Z70" s="66">
        <v>81.650000000000006</v>
      </c>
      <c r="AA70" s="66">
        <v>45.585999999999999</v>
      </c>
      <c r="AB70" s="66">
        <v>0</v>
      </c>
      <c r="AC70" s="66">
        <v>36.064</v>
      </c>
      <c r="AD70" s="67">
        <v>100</v>
      </c>
      <c r="AE70" s="67">
        <v>100</v>
      </c>
      <c r="AF70" s="67">
        <v>44.16901408450704</v>
      </c>
      <c r="AG70" s="67">
        <v>0</v>
      </c>
      <c r="AH70" s="67">
        <v>0</v>
      </c>
      <c r="AI70" s="66">
        <v>0</v>
      </c>
      <c r="AJ70" s="66">
        <v>0</v>
      </c>
      <c r="AK70" s="66">
        <v>0</v>
      </c>
      <c r="AL70" s="66">
        <v>0</v>
      </c>
      <c r="AM70" s="66">
        <v>0</v>
      </c>
      <c r="AN70" s="66">
        <v>0</v>
      </c>
      <c r="AO70" s="66">
        <v>5.00337E-2</v>
      </c>
      <c r="AP70" s="66">
        <v>0</v>
      </c>
      <c r="AQ70" s="66">
        <v>0</v>
      </c>
      <c r="AR70" s="66">
        <v>0</v>
      </c>
      <c r="AS70" s="66">
        <v>0</v>
      </c>
      <c r="AT70" s="67" t="s">
        <v>1094</v>
      </c>
      <c r="AU70" s="67" t="s">
        <v>1094</v>
      </c>
      <c r="AV70" s="67">
        <v>0</v>
      </c>
      <c r="AW70" s="67">
        <v>5.00337E-2</v>
      </c>
      <c r="AX70" s="67">
        <v>0</v>
      </c>
      <c r="AY70" s="66">
        <v>17.239000000000001</v>
      </c>
      <c r="AZ70" s="66">
        <v>0</v>
      </c>
      <c r="BA70" s="66">
        <v>50.744</v>
      </c>
      <c r="BB70" s="66">
        <v>17.239000000000001</v>
      </c>
      <c r="BC70" s="66">
        <v>33.505000000000003</v>
      </c>
      <c r="BD70" s="66">
        <v>17.239000000000001</v>
      </c>
      <c r="BE70" s="66">
        <v>0</v>
      </c>
      <c r="BF70" s="66">
        <v>50.744</v>
      </c>
      <c r="BG70" s="66">
        <v>17.239000000000001</v>
      </c>
      <c r="BH70" s="66">
        <v>0</v>
      </c>
      <c r="BI70" s="66">
        <v>33.505000000000003</v>
      </c>
      <c r="BJ70" s="67">
        <v>100</v>
      </c>
      <c r="BK70" s="67">
        <v>100</v>
      </c>
      <c r="BL70" s="67">
        <v>66.027510641652214</v>
      </c>
      <c r="BM70" s="67">
        <v>0</v>
      </c>
      <c r="BN70" s="67">
        <v>0</v>
      </c>
      <c r="BO70" s="66">
        <v>0</v>
      </c>
      <c r="BP70" s="66">
        <v>0</v>
      </c>
      <c r="BQ70" s="66">
        <v>0</v>
      </c>
      <c r="BR70" s="66">
        <v>0</v>
      </c>
      <c r="BS70" s="66">
        <v>0</v>
      </c>
      <c r="BT70" s="66">
        <v>0</v>
      </c>
      <c r="BU70" s="66">
        <v>0</v>
      </c>
      <c r="BV70" s="66">
        <v>0</v>
      </c>
      <c r="BW70" s="66">
        <v>0</v>
      </c>
      <c r="BX70" s="66">
        <v>0</v>
      </c>
      <c r="BY70" s="66">
        <v>0</v>
      </c>
      <c r="BZ70" s="67" t="s">
        <v>1094</v>
      </c>
      <c r="CA70" s="67" t="s">
        <v>1094</v>
      </c>
      <c r="CB70" s="67">
        <v>0</v>
      </c>
      <c r="CC70" s="67">
        <v>0</v>
      </c>
      <c r="CD70" s="67">
        <v>0</v>
      </c>
      <c r="CE70" s="66">
        <v>0</v>
      </c>
      <c r="CF70" s="66">
        <v>0</v>
      </c>
      <c r="CG70" s="66">
        <v>0</v>
      </c>
      <c r="CH70" s="66">
        <v>0</v>
      </c>
      <c r="CI70" s="66">
        <v>0</v>
      </c>
      <c r="CJ70" s="66">
        <v>0</v>
      </c>
      <c r="CK70" s="66">
        <v>0</v>
      </c>
      <c r="CL70" s="66">
        <v>0</v>
      </c>
      <c r="CM70" s="66">
        <v>0</v>
      </c>
      <c r="CN70" s="66">
        <v>0</v>
      </c>
      <c r="CO70" s="66">
        <v>0</v>
      </c>
      <c r="CP70" s="67" t="s">
        <v>1094</v>
      </c>
      <c r="CQ70" s="67" t="s">
        <v>1094</v>
      </c>
      <c r="CR70" s="67">
        <v>0</v>
      </c>
      <c r="CS70" s="67">
        <v>0</v>
      </c>
      <c r="CT70" s="67">
        <v>0</v>
      </c>
      <c r="CU70" s="66">
        <v>0</v>
      </c>
      <c r="CV70" s="66">
        <v>0</v>
      </c>
      <c r="CW70" s="66">
        <v>0</v>
      </c>
      <c r="CX70" s="66">
        <v>0</v>
      </c>
      <c r="CY70" s="66">
        <v>0</v>
      </c>
      <c r="CZ70" s="66">
        <v>0</v>
      </c>
      <c r="DA70" s="66">
        <v>0</v>
      </c>
      <c r="DB70" s="66">
        <v>0</v>
      </c>
      <c r="DC70" s="66">
        <v>0</v>
      </c>
      <c r="DD70" s="66">
        <v>0</v>
      </c>
      <c r="DE70" s="66">
        <v>0</v>
      </c>
      <c r="DF70" s="67" t="s">
        <v>1094</v>
      </c>
      <c r="DG70" s="67" t="s">
        <v>1094</v>
      </c>
      <c r="DH70" s="67">
        <v>0</v>
      </c>
      <c r="DI70" s="67">
        <v>0</v>
      </c>
      <c r="DJ70" s="67">
        <v>0</v>
      </c>
      <c r="DK70" s="66">
        <v>0</v>
      </c>
      <c r="DL70" s="66">
        <v>0</v>
      </c>
      <c r="DM70" s="66">
        <v>0</v>
      </c>
      <c r="DN70" s="66">
        <v>0</v>
      </c>
      <c r="DO70" s="66">
        <v>0</v>
      </c>
      <c r="DP70" s="66">
        <v>0</v>
      </c>
      <c r="DQ70" s="66">
        <v>0</v>
      </c>
      <c r="DR70" s="66">
        <v>0</v>
      </c>
      <c r="DS70" s="66">
        <v>0</v>
      </c>
      <c r="DT70" s="66">
        <v>0</v>
      </c>
      <c r="DU70" s="66">
        <v>0</v>
      </c>
      <c r="DV70" s="67" t="s">
        <v>1094</v>
      </c>
      <c r="DW70" s="67" t="s">
        <v>1094</v>
      </c>
      <c r="DX70" s="67">
        <v>0</v>
      </c>
      <c r="DY70" s="67">
        <v>0</v>
      </c>
      <c r="DZ70" s="67">
        <v>0</v>
      </c>
      <c r="EA70" s="66">
        <v>0</v>
      </c>
      <c r="EB70" s="66">
        <v>0</v>
      </c>
      <c r="EC70" s="66">
        <v>0</v>
      </c>
      <c r="ED70" s="66">
        <v>0</v>
      </c>
      <c r="EE70" s="66">
        <v>0</v>
      </c>
      <c r="EF70" s="66">
        <v>0</v>
      </c>
      <c r="EG70" s="66">
        <v>0</v>
      </c>
      <c r="EH70" s="66">
        <v>0</v>
      </c>
      <c r="EI70" s="66">
        <v>0</v>
      </c>
      <c r="EJ70" s="66">
        <v>0</v>
      </c>
      <c r="EK70" s="66">
        <v>0</v>
      </c>
      <c r="EL70" s="67" t="s">
        <v>1094</v>
      </c>
      <c r="EM70" s="67" t="s">
        <v>1094</v>
      </c>
      <c r="EN70" s="67">
        <v>0</v>
      </c>
      <c r="EO70" s="67">
        <v>0</v>
      </c>
      <c r="EP70" s="67">
        <v>0</v>
      </c>
      <c r="EQ70" s="66">
        <v>0</v>
      </c>
      <c r="ER70" s="66">
        <v>0</v>
      </c>
      <c r="ES70" s="66">
        <v>0</v>
      </c>
      <c r="ET70" s="66">
        <v>0</v>
      </c>
      <c r="EU70" s="66">
        <v>0</v>
      </c>
      <c r="EV70" s="66">
        <v>0</v>
      </c>
      <c r="EW70" s="66">
        <v>0</v>
      </c>
      <c r="EX70" s="66">
        <v>0</v>
      </c>
      <c r="EY70" s="66">
        <v>0</v>
      </c>
      <c r="EZ70" s="66">
        <v>0</v>
      </c>
      <c r="FA70" s="66">
        <v>0</v>
      </c>
      <c r="FB70" s="67" t="s">
        <v>1094</v>
      </c>
      <c r="FC70" s="67" t="s">
        <v>1094</v>
      </c>
      <c r="FD70" s="67">
        <v>0</v>
      </c>
      <c r="FE70" s="67">
        <v>0</v>
      </c>
      <c r="FF70" s="67">
        <v>0</v>
      </c>
      <c r="FG70" s="66">
        <v>0</v>
      </c>
      <c r="FH70" s="66">
        <v>0</v>
      </c>
      <c r="FI70" s="66">
        <v>0</v>
      </c>
      <c r="FJ70" s="66">
        <v>0</v>
      </c>
      <c r="FK70" s="66">
        <v>0</v>
      </c>
      <c r="FL70" s="66">
        <v>0</v>
      </c>
      <c r="FM70" s="66">
        <v>0</v>
      </c>
      <c r="FN70" s="66">
        <v>0</v>
      </c>
      <c r="FO70" s="66">
        <v>0</v>
      </c>
      <c r="FP70" s="66">
        <v>0</v>
      </c>
      <c r="FQ70" s="66">
        <v>0</v>
      </c>
      <c r="FR70" s="67" t="s">
        <v>1094</v>
      </c>
      <c r="FS70" s="67" t="s">
        <v>1094</v>
      </c>
      <c r="FT70" s="67">
        <v>0</v>
      </c>
      <c r="FU70" s="67">
        <v>0</v>
      </c>
      <c r="FV70" s="67">
        <v>0</v>
      </c>
      <c r="FW70" s="66">
        <v>0</v>
      </c>
      <c r="FX70" s="66">
        <v>0</v>
      </c>
      <c r="FY70" s="66">
        <v>0</v>
      </c>
      <c r="FZ70" s="66">
        <v>0</v>
      </c>
      <c r="GA70" s="66">
        <v>0</v>
      </c>
      <c r="GB70" s="66">
        <v>0</v>
      </c>
      <c r="GC70" s="66">
        <v>0</v>
      </c>
      <c r="GD70" s="66">
        <v>0</v>
      </c>
      <c r="GE70" s="66">
        <v>0</v>
      </c>
      <c r="GF70" s="66">
        <v>0</v>
      </c>
      <c r="GG70" s="66">
        <v>0</v>
      </c>
      <c r="GH70" s="67" t="s">
        <v>1094</v>
      </c>
      <c r="GI70" s="67" t="s">
        <v>1094</v>
      </c>
      <c r="GJ70" s="67">
        <v>0</v>
      </c>
      <c r="GK70" s="67">
        <v>0</v>
      </c>
      <c r="GL70" s="67">
        <v>0</v>
      </c>
      <c r="GM70" s="66">
        <v>0</v>
      </c>
      <c r="GN70" s="66">
        <v>0</v>
      </c>
      <c r="GO70" s="66">
        <v>0</v>
      </c>
      <c r="GP70" s="66">
        <v>0</v>
      </c>
      <c r="GQ70" s="66">
        <v>0</v>
      </c>
      <c r="GR70" s="66">
        <v>0</v>
      </c>
      <c r="GS70" s="66">
        <v>0</v>
      </c>
      <c r="GT70" s="66">
        <v>0</v>
      </c>
      <c r="GU70" s="66">
        <v>0</v>
      </c>
      <c r="GV70" s="66">
        <v>0</v>
      </c>
      <c r="GW70" s="66">
        <v>0</v>
      </c>
      <c r="GX70" s="67" t="s">
        <v>1094</v>
      </c>
      <c r="GY70" s="67" t="s">
        <v>1094</v>
      </c>
      <c r="GZ70" s="67">
        <v>0</v>
      </c>
      <c r="HA70" s="67">
        <v>0</v>
      </c>
      <c r="HB70" s="67">
        <v>0</v>
      </c>
      <c r="HC70" s="66">
        <v>0</v>
      </c>
      <c r="HD70" s="66">
        <v>0</v>
      </c>
      <c r="HE70" s="66">
        <v>0</v>
      </c>
      <c r="HF70" s="66">
        <v>0</v>
      </c>
      <c r="HG70" s="66">
        <v>0</v>
      </c>
      <c r="HH70" s="66">
        <v>0</v>
      </c>
      <c r="HI70" s="66">
        <v>0</v>
      </c>
      <c r="HJ70" s="66">
        <v>0</v>
      </c>
      <c r="HK70" s="66">
        <v>0</v>
      </c>
      <c r="HL70" s="66">
        <v>0</v>
      </c>
      <c r="HM70" s="66">
        <v>0</v>
      </c>
      <c r="HN70" s="67" t="s">
        <v>1094</v>
      </c>
      <c r="HO70" s="67" t="s">
        <v>1094</v>
      </c>
      <c r="HP70" s="67">
        <v>0</v>
      </c>
      <c r="HQ70" s="67">
        <v>0</v>
      </c>
      <c r="HR70" s="67">
        <v>0</v>
      </c>
      <c r="HS70" s="66">
        <v>0</v>
      </c>
      <c r="HT70" s="66">
        <v>0</v>
      </c>
      <c r="HU70" s="66">
        <v>0</v>
      </c>
      <c r="HV70" s="66">
        <v>0</v>
      </c>
      <c r="HW70" s="66">
        <v>0</v>
      </c>
      <c r="HX70" s="66">
        <v>0</v>
      </c>
      <c r="HY70" s="66">
        <v>0</v>
      </c>
      <c r="HZ70" s="66">
        <v>0</v>
      </c>
      <c r="IA70" s="66">
        <v>0</v>
      </c>
      <c r="IB70" s="66">
        <v>0</v>
      </c>
      <c r="IC70" s="66">
        <v>0</v>
      </c>
      <c r="ID70" s="67" t="s">
        <v>1094</v>
      </c>
      <c r="IE70" s="67" t="s">
        <v>1094</v>
      </c>
      <c r="IF70" s="67">
        <v>0</v>
      </c>
      <c r="IG70" s="67">
        <v>0</v>
      </c>
      <c r="IH70" s="67">
        <v>0</v>
      </c>
    </row>
    <row r="71" spans="1:242" ht="15.75" x14ac:dyDescent="0.25">
      <c r="A71" s="11">
        <v>60</v>
      </c>
      <c r="B71" s="189" t="s">
        <v>158</v>
      </c>
      <c r="C71" s="66">
        <v>158.7004</v>
      </c>
      <c r="D71" s="66">
        <v>0</v>
      </c>
      <c r="E71" s="66">
        <v>268.01400000000001</v>
      </c>
      <c r="F71" s="66">
        <v>158.7004</v>
      </c>
      <c r="G71" s="66">
        <v>109.31360000000001</v>
      </c>
      <c r="H71" s="66">
        <v>158.17426576</v>
      </c>
      <c r="I71" s="66">
        <v>0</v>
      </c>
      <c r="J71" s="66">
        <v>265.68857032</v>
      </c>
      <c r="K71" s="66">
        <v>158.17426576</v>
      </c>
      <c r="L71" s="66">
        <v>0</v>
      </c>
      <c r="M71" s="66">
        <v>107.51430456</v>
      </c>
      <c r="N71" s="67">
        <v>99.668473274169429</v>
      </c>
      <c r="O71" s="67">
        <v>98.354005869352022</v>
      </c>
      <c r="P71" s="67">
        <v>40.466288945176629</v>
      </c>
      <c r="Q71" s="66">
        <v>0</v>
      </c>
      <c r="R71" s="67">
        <v>0</v>
      </c>
      <c r="S71" s="66">
        <v>135.09639999999999</v>
      </c>
      <c r="T71" s="66">
        <v>0</v>
      </c>
      <c r="U71" s="66">
        <v>201.56</v>
      </c>
      <c r="V71" s="66">
        <v>135.09639999999999</v>
      </c>
      <c r="W71" s="66">
        <v>66.4636</v>
      </c>
      <c r="X71" s="66">
        <v>135.09639999999999</v>
      </c>
      <c r="Y71" s="66">
        <v>0</v>
      </c>
      <c r="Z71" s="66">
        <v>201.56</v>
      </c>
      <c r="AA71" s="66">
        <v>135.09639999999999</v>
      </c>
      <c r="AB71" s="66">
        <v>0</v>
      </c>
      <c r="AC71" s="66">
        <v>66.4636</v>
      </c>
      <c r="AD71" s="67">
        <v>100</v>
      </c>
      <c r="AE71" s="67">
        <v>100</v>
      </c>
      <c r="AF71" s="67">
        <v>32.974598134550504</v>
      </c>
      <c r="AG71" s="67">
        <v>0</v>
      </c>
      <c r="AH71" s="67">
        <v>0</v>
      </c>
      <c r="AI71" s="66">
        <v>0</v>
      </c>
      <c r="AJ71" s="66">
        <v>0</v>
      </c>
      <c r="AK71" s="66">
        <v>0</v>
      </c>
      <c r="AL71" s="66">
        <v>0</v>
      </c>
      <c r="AM71" s="66">
        <v>0</v>
      </c>
      <c r="AN71" s="66">
        <v>0</v>
      </c>
      <c r="AO71" s="66">
        <v>0</v>
      </c>
      <c r="AP71" s="66">
        <v>0</v>
      </c>
      <c r="AQ71" s="66">
        <v>0</v>
      </c>
      <c r="AR71" s="66">
        <v>0</v>
      </c>
      <c r="AS71" s="66">
        <v>0</v>
      </c>
      <c r="AT71" s="67" t="s">
        <v>1094</v>
      </c>
      <c r="AU71" s="67" t="s">
        <v>1094</v>
      </c>
      <c r="AV71" s="67">
        <v>0</v>
      </c>
      <c r="AW71" s="67">
        <v>0</v>
      </c>
      <c r="AX71" s="67">
        <v>0</v>
      </c>
      <c r="AY71" s="66">
        <v>19.806000000000001</v>
      </c>
      <c r="AZ71" s="66">
        <v>0</v>
      </c>
      <c r="BA71" s="66">
        <v>44.805999999999997</v>
      </c>
      <c r="BB71" s="66">
        <v>19.806000000000001</v>
      </c>
      <c r="BC71" s="66">
        <v>25</v>
      </c>
      <c r="BD71" s="66">
        <v>19.38122439</v>
      </c>
      <c r="BE71" s="66">
        <v>0</v>
      </c>
      <c r="BF71" s="66">
        <v>43.058297400000001</v>
      </c>
      <c r="BG71" s="66">
        <v>19.38122439</v>
      </c>
      <c r="BH71" s="66">
        <v>0</v>
      </c>
      <c r="BI71" s="66">
        <v>23.677073010000001</v>
      </c>
      <c r="BJ71" s="67">
        <v>97.855318539836418</v>
      </c>
      <c r="BK71" s="67">
        <v>94.708292040000003</v>
      </c>
      <c r="BL71" s="67">
        <v>54.98840976001992</v>
      </c>
      <c r="BM71" s="67">
        <v>0</v>
      </c>
      <c r="BN71" s="67">
        <v>0</v>
      </c>
      <c r="BO71" s="66">
        <v>0</v>
      </c>
      <c r="BP71" s="66">
        <v>0</v>
      </c>
      <c r="BQ71" s="66">
        <v>0</v>
      </c>
      <c r="BR71" s="66">
        <v>0</v>
      </c>
      <c r="BS71" s="66">
        <v>0</v>
      </c>
      <c r="BT71" s="66">
        <v>0</v>
      </c>
      <c r="BU71" s="66">
        <v>0</v>
      </c>
      <c r="BV71" s="66">
        <v>0</v>
      </c>
      <c r="BW71" s="66">
        <v>0</v>
      </c>
      <c r="BX71" s="66">
        <v>0</v>
      </c>
      <c r="BY71" s="66">
        <v>0</v>
      </c>
      <c r="BZ71" s="67" t="s">
        <v>1094</v>
      </c>
      <c r="CA71" s="67" t="s">
        <v>1094</v>
      </c>
      <c r="CB71" s="67">
        <v>0</v>
      </c>
      <c r="CC71" s="67">
        <v>0</v>
      </c>
      <c r="CD71" s="67">
        <v>0</v>
      </c>
      <c r="CE71" s="66">
        <v>0</v>
      </c>
      <c r="CF71" s="66">
        <v>0</v>
      </c>
      <c r="CG71" s="66">
        <v>0</v>
      </c>
      <c r="CH71" s="66">
        <v>0</v>
      </c>
      <c r="CI71" s="66">
        <v>0</v>
      </c>
      <c r="CJ71" s="66">
        <v>0</v>
      </c>
      <c r="CK71" s="66">
        <v>0</v>
      </c>
      <c r="CL71" s="66">
        <v>0</v>
      </c>
      <c r="CM71" s="66">
        <v>0</v>
      </c>
      <c r="CN71" s="66">
        <v>0</v>
      </c>
      <c r="CO71" s="66">
        <v>0</v>
      </c>
      <c r="CP71" s="67" t="s">
        <v>1094</v>
      </c>
      <c r="CQ71" s="67" t="s">
        <v>1094</v>
      </c>
      <c r="CR71" s="67">
        <v>0</v>
      </c>
      <c r="CS71" s="67">
        <v>0</v>
      </c>
      <c r="CT71" s="67">
        <v>0</v>
      </c>
      <c r="CU71" s="66">
        <v>0</v>
      </c>
      <c r="CV71" s="66">
        <v>0</v>
      </c>
      <c r="CW71" s="66">
        <v>0</v>
      </c>
      <c r="CX71" s="66">
        <v>0</v>
      </c>
      <c r="CY71" s="66">
        <v>0</v>
      </c>
      <c r="CZ71" s="66">
        <v>0</v>
      </c>
      <c r="DA71" s="66">
        <v>0</v>
      </c>
      <c r="DB71" s="66">
        <v>0</v>
      </c>
      <c r="DC71" s="66">
        <v>0</v>
      </c>
      <c r="DD71" s="66">
        <v>0</v>
      </c>
      <c r="DE71" s="66">
        <v>0</v>
      </c>
      <c r="DF71" s="67" t="s">
        <v>1094</v>
      </c>
      <c r="DG71" s="67" t="s">
        <v>1094</v>
      </c>
      <c r="DH71" s="67">
        <v>0</v>
      </c>
      <c r="DI71" s="67">
        <v>0</v>
      </c>
      <c r="DJ71" s="67">
        <v>0</v>
      </c>
      <c r="DK71" s="66">
        <v>3.798</v>
      </c>
      <c r="DL71" s="66">
        <v>0</v>
      </c>
      <c r="DM71" s="66">
        <v>21.648</v>
      </c>
      <c r="DN71" s="66">
        <v>3.798</v>
      </c>
      <c r="DO71" s="66">
        <v>17.850000000000001</v>
      </c>
      <c r="DP71" s="66">
        <v>3.69664137</v>
      </c>
      <c r="DQ71" s="66">
        <v>0</v>
      </c>
      <c r="DR71" s="66">
        <v>21.070272920000001</v>
      </c>
      <c r="DS71" s="66">
        <v>3.69664137</v>
      </c>
      <c r="DT71" s="66">
        <v>0</v>
      </c>
      <c r="DU71" s="66">
        <v>17.373631550000002</v>
      </c>
      <c r="DV71" s="67">
        <v>97.331263033175347</v>
      </c>
      <c r="DW71" s="67">
        <v>97.331269187675076</v>
      </c>
      <c r="DX71" s="67">
        <v>82.455655016736259</v>
      </c>
      <c r="DY71" s="67">
        <v>0</v>
      </c>
      <c r="DZ71" s="67">
        <v>0</v>
      </c>
      <c r="EA71" s="66">
        <v>0</v>
      </c>
      <c r="EB71" s="66">
        <v>0</v>
      </c>
      <c r="EC71" s="66">
        <v>0</v>
      </c>
      <c r="ED71" s="66">
        <v>0</v>
      </c>
      <c r="EE71" s="66">
        <v>0</v>
      </c>
      <c r="EF71" s="66">
        <v>0</v>
      </c>
      <c r="EG71" s="66">
        <v>0</v>
      </c>
      <c r="EH71" s="66">
        <v>0</v>
      </c>
      <c r="EI71" s="66">
        <v>0</v>
      </c>
      <c r="EJ71" s="66">
        <v>0</v>
      </c>
      <c r="EK71" s="66">
        <v>0</v>
      </c>
      <c r="EL71" s="67" t="s">
        <v>1094</v>
      </c>
      <c r="EM71" s="67" t="s">
        <v>1094</v>
      </c>
      <c r="EN71" s="67">
        <v>0</v>
      </c>
      <c r="EO71" s="67">
        <v>0</v>
      </c>
      <c r="EP71" s="67">
        <v>0</v>
      </c>
      <c r="EQ71" s="66">
        <v>0</v>
      </c>
      <c r="ER71" s="66">
        <v>0</v>
      </c>
      <c r="ES71" s="66">
        <v>0</v>
      </c>
      <c r="ET71" s="66">
        <v>0</v>
      </c>
      <c r="EU71" s="66">
        <v>0</v>
      </c>
      <c r="EV71" s="66">
        <v>0</v>
      </c>
      <c r="EW71" s="66">
        <v>0</v>
      </c>
      <c r="EX71" s="66">
        <v>0</v>
      </c>
      <c r="EY71" s="66">
        <v>0</v>
      </c>
      <c r="EZ71" s="66">
        <v>0</v>
      </c>
      <c r="FA71" s="66">
        <v>0</v>
      </c>
      <c r="FB71" s="67" t="s">
        <v>1094</v>
      </c>
      <c r="FC71" s="67" t="s">
        <v>1094</v>
      </c>
      <c r="FD71" s="67">
        <v>0</v>
      </c>
      <c r="FE71" s="67">
        <v>0</v>
      </c>
      <c r="FF71" s="67">
        <v>0</v>
      </c>
      <c r="FG71" s="66">
        <v>0</v>
      </c>
      <c r="FH71" s="66">
        <v>0</v>
      </c>
      <c r="FI71" s="66">
        <v>0</v>
      </c>
      <c r="FJ71" s="66">
        <v>0</v>
      </c>
      <c r="FK71" s="66">
        <v>0</v>
      </c>
      <c r="FL71" s="66">
        <v>0</v>
      </c>
      <c r="FM71" s="66">
        <v>0</v>
      </c>
      <c r="FN71" s="66">
        <v>0</v>
      </c>
      <c r="FO71" s="66">
        <v>0</v>
      </c>
      <c r="FP71" s="66">
        <v>0</v>
      </c>
      <c r="FQ71" s="66">
        <v>0</v>
      </c>
      <c r="FR71" s="67" t="s">
        <v>1094</v>
      </c>
      <c r="FS71" s="67" t="s">
        <v>1094</v>
      </c>
      <c r="FT71" s="67">
        <v>0</v>
      </c>
      <c r="FU71" s="67">
        <v>0</v>
      </c>
      <c r="FV71" s="67">
        <v>0</v>
      </c>
      <c r="FW71" s="66">
        <v>0</v>
      </c>
      <c r="FX71" s="66">
        <v>0</v>
      </c>
      <c r="FY71" s="66">
        <v>0</v>
      </c>
      <c r="FZ71" s="66">
        <v>0</v>
      </c>
      <c r="GA71" s="66">
        <v>0</v>
      </c>
      <c r="GB71" s="66">
        <v>0</v>
      </c>
      <c r="GC71" s="66">
        <v>0</v>
      </c>
      <c r="GD71" s="66">
        <v>0</v>
      </c>
      <c r="GE71" s="66">
        <v>0</v>
      </c>
      <c r="GF71" s="66">
        <v>0</v>
      </c>
      <c r="GG71" s="66">
        <v>0</v>
      </c>
      <c r="GH71" s="67" t="s">
        <v>1094</v>
      </c>
      <c r="GI71" s="67" t="s">
        <v>1094</v>
      </c>
      <c r="GJ71" s="67">
        <v>0</v>
      </c>
      <c r="GK71" s="67">
        <v>0</v>
      </c>
      <c r="GL71" s="67">
        <v>0</v>
      </c>
      <c r="GM71" s="66">
        <v>0</v>
      </c>
      <c r="GN71" s="66">
        <v>0</v>
      </c>
      <c r="GO71" s="66">
        <v>0</v>
      </c>
      <c r="GP71" s="66">
        <v>0</v>
      </c>
      <c r="GQ71" s="66">
        <v>0</v>
      </c>
      <c r="GR71" s="66">
        <v>0</v>
      </c>
      <c r="GS71" s="66">
        <v>0</v>
      </c>
      <c r="GT71" s="66">
        <v>0</v>
      </c>
      <c r="GU71" s="66">
        <v>0</v>
      </c>
      <c r="GV71" s="66">
        <v>0</v>
      </c>
      <c r="GW71" s="66">
        <v>0</v>
      </c>
      <c r="GX71" s="67" t="s">
        <v>1094</v>
      </c>
      <c r="GY71" s="67" t="s">
        <v>1094</v>
      </c>
      <c r="GZ71" s="67">
        <v>0</v>
      </c>
      <c r="HA71" s="67">
        <v>0</v>
      </c>
      <c r="HB71" s="67">
        <v>0</v>
      </c>
      <c r="HC71" s="66">
        <v>0</v>
      </c>
      <c r="HD71" s="66">
        <v>0</v>
      </c>
      <c r="HE71" s="66">
        <v>0</v>
      </c>
      <c r="HF71" s="66">
        <v>0</v>
      </c>
      <c r="HG71" s="66">
        <v>0</v>
      </c>
      <c r="HH71" s="66">
        <v>0</v>
      </c>
      <c r="HI71" s="66">
        <v>0</v>
      </c>
      <c r="HJ71" s="66">
        <v>0</v>
      </c>
      <c r="HK71" s="66">
        <v>0</v>
      </c>
      <c r="HL71" s="66">
        <v>0</v>
      </c>
      <c r="HM71" s="66">
        <v>0</v>
      </c>
      <c r="HN71" s="67" t="s">
        <v>1094</v>
      </c>
      <c r="HO71" s="67" t="s">
        <v>1094</v>
      </c>
      <c r="HP71" s="67">
        <v>0</v>
      </c>
      <c r="HQ71" s="67">
        <v>0</v>
      </c>
      <c r="HR71" s="67">
        <v>0</v>
      </c>
      <c r="HS71" s="66">
        <v>0</v>
      </c>
      <c r="HT71" s="66">
        <v>0</v>
      </c>
      <c r="HU71" s="66">
        <v>0</v>
      </c>
      <c r="HV71" s="66">
        <v>0</v>
      </c>
      <c r="HW71" s="66">
        <v>0</v>
      </c>
      <c r="HX71" s="66">
        <v>0</v>
      </c>
      <c r="HY71" s="66">
        <v>0</v>
      </c>
      <c r="HZ71" s="66">
        <v>0</v>
      </c>
      <c r="IA71" s="66">
        <v>0</v>
      </c>
      <c r="IB71" s="66">
        <v>0</v>
      </c>
      <c r="IC71" s="66">
        <v>0</v>
      </c>
      <c r="ID71" s="67" t="s">
        <v>1094</v>
      </c>
      <c r="IE71" s="67" t="s">
        <v>1094</v>
      </c>
      <c r="IF71" s="67">
        <v>0</v>
      </c>
      <c r="IG71" s="67">
        <v>0</v>
      </c>
      <c r="IH71" s="67">
        <v>0</v>
      </c>
    </row>
    <row r="72" spans="1:242" ht="15.75" x14ac:dyDescent="0.25">
      <c r="A72" s="11">
        <v>61</v>
      </c>
      <c r="B72" s="189" t="s">
        <v>161</v>
      </c>
      <c r="C72" s="66">
        <v>54.483699999999999</v>
      </c>
      <c r="D72" s="66">
        <v>0</v>
      </c>
      <c r="E72" s="66">
        <v>106.4937</v>
      </c>
      <c r="F72" s="66">
        <v>54.483699999999999</v>
      </c>
      <c r="G72" s="66">
        <v>52.01</v>
      </c>
      <c r="H72" s="66">
        <v>54.483699999999999</v>
      </c>
      <c r="I72" s="66">
        <v>0.78241174999999996</v>
      </c>
      <c r="J72" s="66">
        <v>106.49369994</v>
      </c>
      <c r="K72" s="66">
        <v>54.483699999999999</v>
      </c>
      <c r="L72" s="66">
        <v>0</v>
      </c>
      <c r="M72" s="66">
        <v>52.00999994</v>
      </c>
      <c r="N72" s="67">
        <v>100</v>
      </c>
      <c r="O72" s="67">
        <v>99.999999884637575</v>
      </c>
      <c r="P72" s="67">
        <v>48.838569764505451</v>
      </c>
      <c r="Q72" s="66">
        <v>0.78241174999999996</v>
      </c>
      <c r="R72" s="67">
        <v>1.4432899320127035E-15</v>
      </c>
      <c r="S72" s="66">
        <v>22.236699999999999</v>
      </c>
      <c r="T72" s="66">
        <v>0</v>
      </c>
      <c r="U72" s="66">
        <v>41.736699999999999</v>
      </c>
      <c r="V72" s="66">
        <v>22.236699999999999</v>
      </c>
      <c r="W72" s="66">
        <v>19.5</v>
      </c>
      <c r="X72" s="66">
        <v>22.236699999999999</v>
      </c>
      <c r="Y72" s="66">
        <v>0</v>
      </c>
      <c r="Z72" s="66">
        <v>41.736699999999999</v>
      </c>
      <c r="AA72" s="66">
        <v>22.236699999999999</v>
      </c>
      <c r="AB72" s="66">
        <v>0</v>
      </c>
      <c r="AC72" s="66">
        <v>19.5</v>
      </c>
      <c r="AD72" s="67">
        <v>100</v>
      </c>
      <c r="AE72" s="67">
        <v>100</v>
      </c>
      <c r="AF72" s="67">
        <v>46.721470552295699</v>
      </c>
      <c r="AG72" s="67">
        <v>0</v>
      </c>
      <c r="AH72" s="67">
        <v>0</v>
      </c>
      <c r="AI72" s="66">
        <v>0</v>
      </c>
      <c r="AJ72" s="66">
        <v>0</v>
      </c>
      <c r="AK72" s="66">
        <v>0</v>
      </c>
      <c r="AL72" s="66">
        <v>0</v>
      </c>
      <c r="AM72" s="66">
        <v>0</v>
      </c>
      <c r="AN72" s="66">
        <v>0</v>
      </c>
      <c r="AO72" s="66">
        <v>0.78241174999999996</v>
      </c>
      <c r="AP72" s="66">
        <v>0</v>
      </c>
      <c r="AQ72" s="66">
        <v>0</v>
      </c>
      <c r="AR72" s="66">
        <v>0</v>
      </c>
      <c r="AS72" s="66">
        <v>0</v>
      </c>
      <c r="AT72" s="67" t="s">
        <v>1094</v>
      </c>
      <c r="AU72" s="67" t="s">
        <v>1094</v>
      </c>
      <c r="AV72" s="67">
        <v>0</v>
      </c>
      <c r="AW72" s="67">
        <v>0.78241174999999996</v>
      </c>
      <c r="AX72" s="67">
        <v>0</v>
      </c>
      <c r="AY72" s="66">
        <v>18.600000000000001</v>
      </c>
      <c r="AZ72" s="66">
        <v>0</v>
      </c>
      <c r="BA72" s="66">
        <v>33.173000000000002</v>
      </c>
      <c r="BB72" s="66">
        <v>18.600000000000001</v>
      </c>
      <c r="BC72" s="66">
        <v>14.573</v>
      </c>
      <c r="BD72" s="66">
        <v>18.600000000000001</v>
      </c>
      <c r="BE72" s="66">
        <v>0</v>
      </c>
      <c r="BF72" s="66">
        <v>33.173000000000002</v>
      </c>
      <c r="BG72" s="66">
        <v>18.600000000000001</v>
      </c>
      <c r="BH72" s="66">
        <v>0</v>
      </c>
      <c r="BI72" s="66">
        <v>14.573</v>
      </c>
      <c r="BJ72" s="67">
        <v>100</v>
      </c>
      <c r="BK72" s="67">
        <v>100</v>
      </c>
      <c r="BL72" s="67">
        <v>43.930304765924092</v>
      </c>
      <c r="BM72" s="67">
        <v>0</v>
      </c>
      <c r="BN72" s="67">
        <v>0</v>
      </c>
      <c r="BO72" s="66">
        <v>0</v>
      </c>
      <c r="BP72" s="66">
        <v>0</v>
      </c>
      <c r="BQ72" s="66">
        <v>0</v>
      </c>
      <c r="BR72" s="66">
        <v>0</v>
      </c>
      <c r="BS72" s="66">
        <v>0</v>
      </c>
      <c r="BT72" s="66">
        <v>0</v>
      </c>
      <c r="BU72" s="66">
        <v>0</v>
      </c>
      <c r="BV72" s="66">
        <v>0</v>
      </c>
      <c r="BW72" s="66">
        <v>0</v>
      </c>
      <c r="BX72" s="66">
        <v>0</v>
      </c>
      <c r="BY72" s="66">
        <v>0</v>
      </c>
      <c r="BZ72" s="67" t="s">
        <v>1094</v>
      </c>
      <c r="CA72" s="67" t="s">
        <v>1094</v>
      </c>
      <c r="CB72" s="67">
        <v>0</v>
      </c>
      <c r="CC72" s="67">
        <v>0</v>
      </c>
      <c r="CD72" s="67">
        <v>0</v>
      </c>
      <c r="CE72" s="66">
        <v>10.843999999999999</v>
      </c>
      <c r="CF72" s="66">
        <v>0</v>
      </c>
      <c r="CG72" s="66">
        <v>25.988</v>
      </c>
      <c r="CH72" s="66">
        <v>10.843999999999999</v>
      </c>
      <c r="CI72" s="66">
        <v>15.144</v>
      </c>
      <c r="CJ72" s="66">
        <v>10.843999999999999</v>
      </c>
      <c r="CK72" s="66">
        <v>0</v>
      </c>
      <c r="CL72" s="66">
        <v>25.987999940000002</v>
      </c>
      <c r="CM72" s="66">
        <v>10.843999999999999</v>
      </c>
      <c r="CN72" s="66">
        <v>0</v>
      </c>
      <c r="CO72" s="66">
        <v>15.143999939999999</v>
      </c>
      <c r="CP72" s="67">
        <v>100</v>
      </c>
      <c r="CQ72" s="67">
        <v>99.999999603803474</v>
      </c>
      <c r="CR72" s="67">
        <v>58.273049003246989</v>
      </c>
      <c r="CS72" s="67">
        <v>0</v>
      </c>
      <c r="CT72" s="67">
        <v>0</v>
      </c>
      <c r="CU72" s="66">
        <v>0</v>
      </c>
      <c r="CV72" s="66">
        <v>0</v>
      </c>
      <c r="CW72" s="66">
        <v>0</v>
      </c>
      <c r="CX72" s="66">
        <v>0</v>
      </c>
      <c r="CY72" s="66">
        <v>0</v>
      </c>
      <c r="CZ72" s="66">
        <v>0</v>
      </c>
      <c r="DA72" s="66">
        <v>0</v>
      </c>
      <c r="DB72" s="66">
        <v>0</v>
      </c>
      <c r="DC72" s="66">
        <v>0</v>
      </c>
      <c r="DD72" s="66">
        <v>0</v>
      </c>
      <c r="DE72" s="66">
        <v>0</v>
      </c>
      <c r="DF72" s="67" t="s">
        <v>1094</v>
      </c>
      <c r="DG72" s="67" t="s">
        <v>1094</v>
      </c>
      <c r="DH72" s="67">
        <v>0</v>
      </c>
      <c r="DI72" s="67">
        <v>0</v>
      </c>
      <c r="DJ72" s="67">
        <v>0</v>
      </c>
      <c r="DK72" s="66">
        <v>2.8029999999999999</v>
      </c>
      <c r="DL72" s="66">
        <v>0</v>
      </c>
      <c r="DM72" s="66">
        <v>5.5960000000000001</v>
      </c>
      <c r="DN72" s="66">
        <v>2.8029999999999999</v>
      </c>
      <c r="DO72" s="66">
        <v>2.7930000000000001</v>
      </c>
      <c r="DP72" s="66">
        <v>2.8029999999999999</v>
      </c>
      <c r="DQ72" s="66">
        <v>0</v>
      </c>
      <c r="DR72" s="66">
        <v>5.5960000000000001</v>
      </c>
      <c r="DS72" s="66">
        <v>2.8029999999999999</v>
      </c>
      <c r="DT72" s="66">
        <v>0</v>
      </c>
      <c r="DU72" s="66">
        <v>2.7930000000000001</v>
      </c>
      <c r="DV72" s="67">
        <v>100</v>
      </c>
      <c r="DW72" s="67">
        <v>100</v>
      </c>
      <c r="DX72" s="67">
        <v>49.910650464617582</v>
      </c>
      <c r="DY72" s="67">
        <v>0</v>
      </c>
      <c r="DZ72" s="67">
        <v>0</v>
      </c>
      <c r="EA72" s="66">
        <v>0</v>
      </c>
      <c r="EB72" s="66">
        <v>0</v>
      </c>
      <c r="EC72" s="66">
        <v>0</v>
      </c>
      <c r="ED72" s="66">
        <v>0</v>
      </c>
      <c r="EE72" s="66">
        <v>0</v>
      </c>
      <c r="EF72" s="66">
        <v>0</v>
      </c>
      <c r="EG72" s="66">
        <v>0</v>
      </c>
      <c r="EH72" s="66">
        <v>0</v>
      </c>
      <c r="EI72" s="66">
        <v>0</v>
      </c>
      <c r="EJ72" s="66">
        <v>0</v>
      </c>
      <c r="EK72" s="66">
        <v>0</v>
      </c>
      <c r="EL72" s="67" t="s">
        <v>1094</v>
      </c>
      <c r="EM72" s="67" t="s">
        <v>1094</v>
      </c>
      <c r="EN72" s="67">
        <v>0</v>
      </c>
      <c r="EO72" s="67">
        <v>0</v>
      </c>
      <c r="EP72" s="67">
        <v>0</v>
      </c>
      <c r="EQ72" s="66">
        <v>0</v>
      </c>
      <c r="ER72" s="66">
        <v>0</v>
      </c>
      <c r="ES72" s="66">
        <v>0</v>
      </c>
      <c r="ET72" s="66">
        <v>0</v>
      </c>
      <c r="EU72" s="66">
        <v>0</v>
      </c>
      <c r="EV72" s="66">
        <v>0</v>
      </c>
      <c r="EW72" s="66">
        <v>0</v>
      </c>
      <c r="EX72" s="66">
        <v>0</v>
      </c>
      <c r="EY72" s="66">
        <v>0</v>
      </c>
      <c r="EZ72" s="66">
        <v>0</v>
      </c>
      <c r="FA72" s="66">
        <v>0</v>
      </c>
      <c r="FB72" s="67" t="s">
        <v>1094</v>
      </c>
      <c r="FC72" s="67" t="s">
        <v>1094</v>
      </c>
      <c r="FD72" s="67">
        <v>0</v>
      </c>
      <c r="FE72" s="67">
        <v>0</v>
      </c>
      <c r="FF72" s="67">
        <v>0</v>
      </c>
      <c r="FG72" s="66">
        <v>0</v>
      </c>
      <c r="FH72" s="66">
        <v>0</v>
      </c>
      <c r="FI72" s="66">
        <v>0</v>
      </c>
      <c r="FJ72" s="66">
        <v>0</v>
      </c>
      <c r="FK72" s="66">
        <v>0</v>
      </c>
      <c r="FL72" s="66">
        <v>0</v>
      </c>
      <c r="FM72" s="66">
        <v>0</v>
      </c>
      <c r="FN72" s="66">
        <v>0</v>
      </c>
      <c r="FO72" s="66">
        <v>0</v>
      </c>
      <c r="FP72" s="66">
        <v>0</v>
      </c>
      <c r="FQ72" s="66">
        <v>0</v>
      </c>
      <c r="FR72" s="67" t="s">
        <v>1094</v>
      </c>
      <c r="FS72" s="67" t="s">
        <v>1094</v>
      </c>
      <c r="FT72" s="67">
        <v>0</v>
      </c>
      <c r="FU72" s="67">
        <v>0</v>
      </c>
      <c r="FV72" s="67">
        <v>0</v>
      </c>
      <c r="FW72" s="66">
        <v>0</v>
      </c>
      <c r="FX72" s="66">
        <v>0</v>
      </c>
      <c r="FY72" s="66">
        <v>0</v>
      </c>
      <c r="FZ72" s="66">
        <v>0</v>
      </c>
      <c r="GA72" s="66">
        <v>0</v>
      </c>
      <c r="GB72" s="66">
        <v>0</v>
      </c>
      <c r="GC72" s="66">
        <v>0</v>
      </c>
      <c r="GD72" s="66">
        <v>0</v>
      </c>
      <c r="GE72" s="66">
        <v>0</v>
      </c>
      <c r="GF72" s="66">
        <v>0</v>
      </c>
      <c r="GG72" s="66">
        <v>0</v>
      </c>
      <c r="GH72" s="67" t="s">
        <v>1094</v>
      </c>
      <c r="GI72" s="67" t="s">
        <v>1094</v>
      </c>
      <c r="GJ72" s="67">
        <v>0</v>
      </c>
      <c r="GK72" s="67">
        <v>0</v>
      </c>
      <c r="GL72" s="67">
        <v>0</v>
      </c>
      <c r="GM72" s="66">
        <v>0</v>
      </c>
      <c r="GN72" s="66">
        <v>0</v>
      </c>
      <c r="GO72" s="66">
        <v>0</v>
      </c>
      <c r="GP72" s="66">
        <v>0</v>
      </c>
      <c r="GQ72" s="66">
        <v>0</v>
      </c>
      <c r="GR72" s="66">
        <v>0</v>
      </c>
      <c r="GS72" s="66">
        <v>0</v>
      </c>
      <c r="GT72" s="66">
        <v>0</v>
      </c>
      <c r="GU72" s="66">
        <v>0</v>
      </c>
      <c r="GV72" s="66">
        <v>0</v>
      </c>
      <c r="GW72" s="66">
        <v>0</v>
      </c>
      <c r="GX72" s="67" t="s">
        <v>1094</v>
      </c>
      <c r="GY72" s="67" t="s">
        <v>1094</v>
      </c>
      <c r="GZ72" s="67">
        <v>0</v>
      </c>
      <c r="HA72" s="67">
        <v>0</v>
      </c>
      <c r="HB72" s="67">
        <v>0</v>
      </c>
      <c r="HC72" s="66">
        <v>0</v>
      </c>
      <c r="HD72" s="66">
        <v>0</v>
      </c>
      <c r="HE72" s="66">
        <v>0</v>
      </c>
      <c r="HF72" s="66">
        <v>0</v>
      </c>
      <c r="HG72" s="66">
        <v>0</v>
      </c>
      <c r="HH72" s="66">
        <v>0</v>
      </c>
      <c r="HI72" s="66">
        <v>0</v>
      </c>
      <c r="HJ72" s="66">
        <v>0</v>
      </c>
      <c r="HK72" s="66">
        <v>0</v>
      </c>
      <c r="HL72" s="66">
        <v>0</v>
      </c>
      <c r="HM72" s="66">
        <v>0</v>
      </c>
      <c r="HN72" s="67" t="s">
        <v>1094</v>
      </c>
      <c r="HO72" s="67" t="s">
        <v>1094</v>
      </c>
      <c r="HP72" s="67">
        <v>0</v>
      </c>
      <c r="HQ72" s="67">
        <v>0</v>
      </c>
      <c r="HR72" s="67">
        <v>0</v>
      </c>
      <c r="HS72" s="66">
        <v>0</v>
      </c>
      <c r="HT72" s="66">
        <v>0</v>
      </c>
      <c r="HU72" s="66">
        <v>0</v>
      </c>
      <c r="HV72" s="66">
        <v>0</v>
      </c>
      <c r="HW72" s="66">
        <v>0</v>
      </c>
      <c r="HX72" s="66">
        <v>0</v>
      </c>
      <c r="HY72" s="66">
        <v>0</v>
      </c>
      <c r="HZ72" s="66">
        <v>0</v>
      </c>
      <c r="IA72" s="66">
        <v>0</v>
      </c>
      <c r="IB72" s="66">
        <v>0</v>
      </c>
      <c r="IC72" s="66">
        <v>0</v>
      </c>
      <c r="ID72" s="67" t="s">
        <v>1094</v>
      </c>
      <c r="IE72" s="67" t="s">
        <v>1094</v>
      </c>
      <c r="IF72" s="67">
        <v>0</v>
      </c>
      <c r="IG72" s="67">
        <v>0</v>
      </c>
      <c r="IH72" s="67">
        <v>0</v>
      </c>
    </row>
    <row r="73" spans="1:242" ht="15.75" x14ac:dyDescent="0.25">
      <c r="A73" s="11">
        <v>62</v>
      </c>
      <c r="B73" s="189" t="s">
        <v>164</v>
      </c>
      <c r="C73" s="66">
        <v>159.16470000000001</v>
      </c>
      <c r="D73" s="66">
        <v>0</v>
      </c>
      <c r="E73" s="66">
        <v>342.01616176000005</v>
      </c>
      <c r="F73" s="66">
        <v>159.16470000000001</v>
      </c>
      <c r="G73" s="66">
        <v>182.85146176000001</v>
      </c>
      <c r="H73" s="66">
        <v>159.16469999</v>
      </c>
      <c r="I73" s="66">
        <v>5.7112160000000003</v>
      </c>
      <c r="J73" s="66">
        <v>342.01616175000004</v>
      </c>
      <c r="K73" s="66">
        <v>159.16469999</v>
      </c>
      <c r="L73" s="66">
        <v>0</v>
      </c>
      <c r="M73" s="66">
        <v>182.85146176000001</v>
      </c>
      <c r="N73" s="67">
        <v>99.999999993717196</v>
      </c>
      <c r="O73" s="67">
        <v>100</v>
      </c>
      <c r="P73" s="67">
        <v>53.462813226252457</v>
      </c>
      <c r="Q73" s="66">
        <v>5.7112160000000003</v>
      </c>
      <c r="R73" s="67">
        <v>7.1054273576010019E-15</v>
      </c>
      <c r="S73" s="66">
        <v>55.332000000000001</v>
      </c>
      <c r="T73" s="66">
        <v>0</v>
      </c>
      <c r="U73" s="66">
        <v>95.929264910000001</v>
      </c>
      <c r="V73" s="66">
        <v>55.332000000000001</v>
      </c>
      <c r="W73" s="66">
        <v>40.59726491</v>
      </c>
      <c r="X73" s="66">
        <v>55.332000000000001</v>
      </c>
      <c r="Y73" s="66">
        <v>0</v>
      </c>
      <c r="Z73" s="66">
        <v>95.929264910000001</v>
      </c>
      <c r="AA73" s="66">
        <v>55.332000000000001</v>
      </c>
      <c r="AB73" s="66">
        <v>0</v>
      </c>
      <c r="AC73" s="66">
        <v>40.59726491</v>
      </c>
      <c r="AD73" s="67">
        <v>100</v>
      </c>
      <c r="AE73" s="67">
        <v>100</v>
      </c>
      <c r="AF73" s="67">
        <v>42.320000000091731</v>
      </c>
      <c r="AG73" s="67">
        <v>0</v>
      </c>
      <c r="AH73" s="67">
        <v>0</v>
      </c>
      <c r="AI73" s="66">
        <v>0</v>
      </c>
      <c r="AJ73" s="66">
        <v>0</v>
      </c>
      <c r="AK73" s="66">
        <v>0</v>
      </c>
      <c r="AL73" s="66">
        <v>0</v>
      </c>
      <c r="AM73" s="66">
        <v>0</v>
      </c>
      <c r="AN73" s="66">
        <v>0</v>
      </c>
      <c r="AO73" s="66">
        <v>5.7112160000000003</v>
      </c>
      <c r="AP73" s="66">
        <v>0</v>
      </c>
      <c r="AQ73" s="66">
        <v>0</v>
      </c>
      <c r="AR73" s="66">
        <v>0</v>
      </c>
      <c r="AS73" s="66">
        <v>0</v>
      </c>
      <c r="AT73" s="67" t="s">
        <v>1094</v>
      </c>
      <c r="AU73" s="67" t="s">
        <v>1094</v>
      </c>
      <c r="AV73" s="67">
        <v>0</v>
      </c>
      <c r="AW73" s="67">
        <v>5.7112160000000003</v>
      </c>
      <c r="AX73" s="67">
        <v>0</v>
      </c>
      <c r="AY73" s="66">
        <v>16.350999999999999</v>
      </c>
      <c r="AZ73" s="66">
        <v>0</v>
      </c>
      <c r="BA73" s="66">
        <v>42.789220319999998</v>
      </c>
      <c r="BB73" s="66">
        <v>16.350999999999999</v>
      </c>
      <c r="BC73" s="66">
        <v>26.438220319999999</v>
      </c>
      <c r="BD73" s="66">
        <v>16.350999999999999</v>
      </c>
      <c r="BE73" s="66">
        <v>0</v>
      </c>
      <c r="BF73" s="66">
        <v>42.789220319999998</v>
      </c>
      <c r="BG73" s="66">
        <v>16.350999999999999</v>
      </c>
      <c r="BH73" s="66">
        <v>0</v>
      </c>
      <c r="BI73" s="66">
        <v>26.438220319999999</v>
      </c>
      <c r="BJ73" s="67">
        <v>100</v>
      </c>
      <c r="BK73" s="67">
        <v>100</v>
      </c>
      <c r="BL73" s="67">
        <v>61.787104607845777</v>
      </c>
      <c r="BM73" s="67">
        <v>0</v>
      </c>
      <c r="BN73" s="67">
        <v>0</v>
      </c>
      <c r="BO73" s="66">
        <v>0</v>
      </c>
      <c r="BP73" s="66">
        <v>0</v>
      </c>
      <c r="BQ73" s="66">
        <v>0</v>
      </c>
      <c r="BR73" s="66">
        <v>0</v>
      </c>
      <c r="BS73" s="66">
        <v>0</v>
      </c>
      <c r="BT73" s="66">
        <v>0</v>
      </c>
      <c r="BU73" s="66">
        <v>0</v>
      </c>
      <c r="BV73" s="66">
        <v>0</v>
      </c>
      <c r="BW73" s="66">
        <v>0</v>
      </c>
      <c r="BX73" s="66">
        <v>0</v>
      </c>
      <c r="BY73" s="66">
        <v>0</v>
      </c>
      <c r="BZ73" s="67" t="s">
        <v>1094</v>
      </c>
      <c r="CA73" s="67" t="s">
        <v>1094</v>
      </c>
      <c r="CB73" s="67">
        <v>0</v>
      </c>
      <c r="CC73" s="67">
        <v>0</v>
      </c>
      <c r="CD73" s="67">
        <v>0</v>
      </c>
      <c r="CE73" s="66">
        <v>0</v>
      </c>
      <c r="CF73" s="66">
        <v>0</v>
      </c>
      <c r="CG73" s="66">
        <v>0</v>
      </c>
      <c r="CH73" s="66">
        <v>0</v>
      </c>
      <c r="CI73" s="66">
        <v>0</v>
      </c>
      <c r="CJ73" s="66">
        <v>0</v>
      </c>
      <c r="CK73" s="66">
        <v>0</v>
      </c>
      <c r="CL73" s="66">
        <v>0</v>
      </c>
      <c r="CM73" s="66">
        <v>0</v>
      </c>
      <c r="CN73" s="66">
        <v>0</v>
      </c>
      <c r="CO73" s="66">
        <v>0</v>
      </c>
      <c r="CP73" s="67" t="s">
        <v>1094</v>
      </c>
      <c r="CQ73" s="67" t="s">
        <v>1094</v>
      </c>
      <c r="CR73" s="67">
        <v>0</v>
      </c>
      <c r="CS73" s="67">
        <v>0</v>
      </c>
      <c r="CT73" s="67">
        <v>0</v>
      </c>
      <c r="CU73" s="66">
        <v>0</v>
      </c>
      <c r="CV73" s="66">
        <v>0</v>
      </c>
      <c r="CW73" s="66">
        <v>0</v>
      </c>
      <c r="CX73" s="66">
        <v>0</v>
      </c>
      <c r="CY73" s="66">
        <v>0</v>
      </c>
      <c r="CZ73" s="66">
        <v>0</v>
      </c>
      <c r="DA73" s="66">
        <v>0</v>
      </c>
      <c r="DB73" s="66">
        <v>0</v>
      </c>
      <c r="DC73" s="66">
        <v>0</v>
      </c>
      <c r="DD73" s="66">
        <v>0</v>
      </c>
      <c r="DE73" s="66">
        <v>0</v>
      </c>
      <c r="DF73" s="67" t="s">
        <v>1094</v>
      </c>
      <c r="DG73" s="67" t="s">
        <v>1094</v>
      </c>
      <c r="DH73" s="67">
        <v>0</v>
      </c>
      <c r="DI73" s="67">
        <v>0</v>
      </c>
      <c r="DJ73" s="67">
        <v>0</v>
      </c>
      <c r="DK73" s="66">
        <v>2.762</v>
      </c>
      <c r="DL73" s="66">
        <v>0</v>
      </c>
      <c r="DM73" s="66">
        <v>7.649</v>
      </c>
      <c r="DN73" s="66">
        <v>2.762</v>
      </c>
      <c r="DO73" s="66">
        <v>4.8869999999999996</v>
      </c>
      <c r="DP73" s="66">
        <v>2.762</v>
      </c>
      <c r="DQ73" s="66">
        <v>0</v>
      </c>
      <c r="DR73" s="66">
        <v>7.649</v>
      </c>
      <c r="DS73" s="66">
        <v>2.762</v>
      </c>
      <c r="DT73" s="66">
        <v>0</v>
      </c>
      <c r="DU73" s="66">
        <v>4.8869999999999996</v>
      </c>
      <c r="DV73" s="67">
        <v>100</v>
      </c>
      <c r="DW73" s="67">
        <v>100</v>
      </c>
      <c r="DX73" s="67">
        <v>63.890704667276765</v>
      </c>
      <c r="DY73" s="67">
        <v>0</v>
      </c>
      <c r="DZ73" s="67">
        <v>0</v>
      </c>
      <c r="EA73" s="66">
        <v>0</v>
      </c>
      <c r="EB73" s="66">
        <v>0</v>
      </c>
      <c r="EC73" s="66">
        <v>0</v>
      </c>
      <c r="ED73" s="66">
        <v>0</v>
      </c>
      <c r="EE73" s="66">
        <v>0</v>
      </c>
      <c r="EF73" s="66">
        <v>0</v>
      </c>
      <c r="EG73" s="66">
        <v>0</v>
      </c>
      <c r="EH73" s="66">
        <v>0</v>
      </c>
      <c r="EI73" s="66">
        <v>0</v>
      </c>
      <c r="EJ73" s="66">
        <v>0</v>
      </c>
      <c r="EK73" s="66">
        <v>0</v>
      </c>
      <c r="EL73" s="67" t="s">
        <v>1094</v>
      </c>
      <c r="EM73" s="67" t="s">
        <v>1094</v>
      </c>
      <c r="EN73" s="67">
        <v>0</v>
      </c>
      <c r="EO73" s="67">
        <v>0</v>
      </c>
      <c r="EP73" s="67">
        <v>0</v>
      </c>
      <c r="EQ73" s="66">
        <v>2.6535000000000002</v>
      </c>
      <c r="ER73" s="66">
        <v>0</v>
      </c>
      <c r="ES73" s="66">
        <v>12.534246529999999</v>
      </c>
      <c r="ET73" s="66">
        <v>2.6535000000000002</v>
      </c>
      <c r="EU73" s="66">
        <v>9.8807465299999997</v>
      </c>
      <c r="EV73" s="66">
        <v>2.6534999900000003</v>
      </c>
      <c r="EW73" s="66">
        <v>0</v>
      </c>
      <c r="EX73" s="66">
        <v>12.53424652</v>
      </c>
      <c r="EY73" s="66">
        <v>2.6534999900000003</v>
      </c>
      <c r="EZ73" s="66">
        <v>0</v>
      </c>
      <c r="FA73" s="66">
        <v>9.8807465299999997</v>
      </c>
      <c r="FB73" s="67">
        <v>99.99999962313926</v>
      </c>
      <c r="FC73" s="67">
        <v>100</v>
      </c>
      <c r="FD73" s="67">
        <v>78.829999986309502</v>
      </c>
      <c r="FE73" s="67">
        <v>0</v>
      </c>
      <c r="FF73" s="67">
        <v>0</v>
      </c>
      <c r="FG73" s="66">
        <v>0</v>
      </c>
      <c r="FH73" s="66">
        <v>0</v>
      </c>
      <c r="FI73" s="66">
        <v>0</v>
      </c>
      <c r="FJ73" s="66">
        <v>0</v>
      </c>
      <c r="FK73" s="66">
        <v>0</v>
      </c>
      <c r="FL73" s="66">
        <v>0</v>
      </c>
      <c r="FM73" s="66">
        <v>0</v>
      </c>
      <c r="FN73" s="66">
        <v>0</v>
      </c>
      <c r="FO73" s="66">
        <v>0</v>
      </c>
      <c r="FP73" s="66">
        <v>0</v>
      </c>
      <c r="FQ73" s="66">
        <v>0</v>
      </c>
      <c r="FR73" s="67" t="s">
        <v>1094</v>
      </c>
      <c r="FS73" s="67" t="s">
        <v>1094</v>
      </c>
      <c r="FT73" s="67">
        <v>0</v>
      </c>
      <c r="FU73" s="67">
        <v>0</v>
      </c>
      <c r="FV73" s="67">
        <v>0</v>
      </c>
      <c r="FW73" s="66">
        <v>80.553600000000003</v>
      </c>
      <c r="FX73" s="66">
        <v>0</v>
      </c>
      <c r="FY73" s="66">
        <v>175.93719999999999</v>
      </c>
      <c r="FZ73" s="66">
        <v>80.553600000000003</v>
      </c>
      <c r="GA73" s="66">
        <v>95.383600000000001</v>
      </c>
      <c r="GB73" s="66">
        <v>80.553600000000003</v>
      </c>
      <c r="GC73" s="66">
        <v>0</v>
      </c>
      <c r="GD73" s="66">
        <v>175.93719999999999</v>
      </c>
      <c r="GE73" s="66">
        <v>80.553600000000003</v>
      </c>
      <c r="GF73" s="66">
        <v>0</v>
      </c>
      <c r="GG73" s="66">
        <v>95.383600000000001</v>
      </c>
      <c r="GH73" s="67">
        <v>100</v>
      </c>
      <c r="GI73" s="67">
        <v>100</v>
      </c>
      <c r="GJ73" s="67">
        <v>54.214572017742704</v>
      </c>
      <c r="GK73" s="67">
        <v>0</v>
      </c>
      <c r="GL73" s="67">
        <v>0</v>
      </c>
      <c r="GM73" s="66">
        <v>0</v>
      </c>
      <c r="GN73" s="66">
        <v>0</v>
      </c>
      <c r="GO73" s="66">
        <v>0</v>
      </c>
      <c r="GP73" s="66">
        <v>0</v>
      </c>
      <c r="GQ73" s="66">
        <v>0</v>
      </c>
      <c r="GR73" s="66">
        <v>0</v>
      </c>
      <c r="GS73" s="66">
        <v>0</v>
      </c>
      <c r="GT73" s="66">
        <v>0</v>
      </c>
      <c r="GU73" s="66">
        <v>0</v>
      </c>
      <c r="GV73" s="66">
        <v>0</v>
      </c>
      <c r="GW73" s="66">
        <v>0</v>
      </c>
      <c r="GX73" s="67" t="s">
        <v>1094</v>
      </c>
      <c r="GY73" s="67" t="s">
        <v>1094</v>
      </c>
      <c r="GZ73" s="67">
        <v>0</v>
      </c>
      <c r="HA73" s="67">
        <v>0</v>
      </c>
      <c r="HB73" s="67">
        <v>0</v>
      </c>
      <c r="HC73" s="66">
        <v>1.5125999999999999</v>
      </c>
      <c r="HD73" s="66">
        <v>0</v>
      </c>
      <c r="HE73" s="66">
        <v>7.1772299999999998</v>
      </c>
      <c r="HF73" s="66">
        <v>1.5125999999999999</v>
      </c>
      <c r="HG73" s="66">
        <v>5.6646299999999998</v>
      </c>
      <c r="HH73" s="66">
        <v>1.5125999999999999</v>
      </c>
      <c r="HI73" s="66">
        <v>0</v>
      </c>
      <c r="HJ73" s="66">
        <v>7.1772299999999998</v>
      </c>
      <c r="HK73" s="66">
        <v>1.5125999999999999</v>
      </c>
      <c r="HL73" s="66">
        <v>0</v>
      </c>
      <c r="HM73" s="66">
        <v>5.6646299999999998</v>
      </c>
      <c r="HN73" s="67">
        <v>100</v>
      </c>
      <c r="HO73" s="67">
        <v>100</v>
      </c>
      <c r="HP73" s="67">
        <v>78.92501703303364</v>
      </c>
      <c r="HQ73" s="67">
        <v>0</v>
      </c>
      <c r="HR73" s="67">
        <v>0</v>
      </c>
      <c r="HS73" s="66">
        <v>0</v>
      </c>
      <c r="HT73" s="66">
        <v>0</v>
      </c>
      <c r="HU73" s="66">
        <v>0</v>
      </c>
      <c r="HV73" s="66">
        <v>0</v>
      </c>
      <c r="HW73" s="66">
        <v>0</v>
      </c>
      <c r="HX73" s="66">
        <v>0</v>
      </c>
      <c r="HY73" s="66">
        <v>0</v>
      </c>
      <c r="HZ73" s="66">
        <v>0</v>
      </c>
      <c r="IA73" s="66">
        <v>0</v>
      </c>
      <c r="IB73" s="66">
        <v>0</v>
      </c>
      <c r="IC73" s="66">
        <v>0</v>
      </c>
      <c r="ID73" s="67" t="s">
        <v>1094</v>
      </c>
      <c r="IE73" s="67" t="s">
        <v>1094</v>
      </c>
      <c r="IF73" s="67">
        <v>0</v>
      </c>
      <c r="IG73" s="67">
        <v>0</v>
      </c>
      <c r="IH73" s="67">
        <v>0</v>
      </c>
    </row>
    <row r="74" spans="1:242" ht="15.75" x14ac:dyDescent="0.25">
      <c r="A74" s="11">
        <v>63</v>
      </c>
      <c r="B74" s="189" t="s">
        <v>167</v>
      </c>
      <c r="C74" s="66">
        <v>46.498000000000005</v>
      </c>
      <c r="D74" s="66">
        <v>0</v>
      </c>
      <c r="E74" s="66">
        <v>153.7013</v>
      </c>
      <c r="F74" s="66">
        <v>46.498000000000005</v>
      </c>
      <c r="G74" s="66">
        <v>107.2033</v>
      </c>
      <c r="H74" s="66">
        <v>45.785944450000002</v>
      </c>
      <c r="I74" s="66">
        <v>0.32754583000000004</v>
      </c>
      <c r="J74" s="66">
        <v>152.36141858000002</v>
      </c>
      <c r="K74" s="66">
        <v>45.785944450000002</v>
      </c>
      <c r="L74" s="66">
        <v>0</v>
      </c>
      <c r="M74" s="66">
        <v>106.57547413</v>
      </c>
      <c r="N74" s="67">
        <v>98.468631876639861</v>
      </c>
      <c r="O74" s="67">
        <v>99.414359567289452</v>
      </c>
      <c r="P74" s="67">
        <v>69.949121715508767</v>
      </c>
      <c r="Q74" s="66">
        <v>0.32754583000000004</v>
      </c>
      <c r="R74" s="67">
        <v>-1.7763568394002505E-15</v>
      </c>
      <c r="S74" s="66">
        <v>0</v>
      </c>
      <c r="T74" s="66">
        <v>0</v>
      </c>
      <c r="U74" s="66">
        <v>0</v>
      </c>
      <c r="V74" s="66">
        <v>0</v>
      </c>
      <c r="W74" s="66">
        <v>0</v>
      </c>
      <c r="X74" s="66">
        <v>0</v>
      </c>
      <c r="Y74" s="66">
        <v>0</v>
      </c>
      <c r="Z74" s="66">
        <v>0</v>
      </c>
      <c r="AA74" s="66">
        <v>0</v>
      </c>
      <c r="AB74" s="66">
        <v>0</v>
      </c>
      <c r="AC74" s="66">
        <v>0</v>
      </c>
      <c r="AD74" s="67" t="s">
        <v>1094</v>
      </c>
      <c r="AE74" s="67" t="s">
        <v>1094</v>
      </c>
      <c r="AF74" s="67">
        <v>0</v>
      </c>
      <c r="AG74" s="67">
        <v>0</v>
      </c>
      <c r="AH74" s="67">
        <v>0</v>
      </c>
      <c r="AI74" s="66">
        <v>0</v>
      </c>
      <c r="AJ74" s="66">
        <v>0</v>
      </c>
      <c r="AK74" s="66">
        <v>0</v>
      </c>
      <c r="AL74" s="66">
        <v>0</v>
      </c>
      <c r="AM74" s="66">
        <v>0</v>
      </c>
      <c r="AN74" s="66">
        <v>0</v>
      </c>
      <c r="AO74" s="66">
        <v>0</v>
      </c>
      <c r="AP74" s="66">
        <v>0</v>
      </c>
      <c r="AQ74" s="66">
        <v>0</v>
      </c>
      <c r="AR74" s="66">
        <v>0</v>
      </c>
      <c r="AS74" s="66">
        <v>0</v>
      </c>
      <c r="AT74" s="67" t="s">
        <v>1094</v>
      </c>
      <c r="AU74" s="67" t="s">
        <v>1094</v>
      </c>
      <c r="AV74" s="67">
        <v>0</v>
      </c>
      <c r="AW74" s="67">
        <v>0</v>
      </c>
      <c r="AX74" s="67">
        <v>0</v>
      </c>
      <c r="AY74" s="66">
        <v>23.03</v>
      </c>
      <c r="AZ74" s="66">
        <v>0</v>
      </c>
      <c r="BA74" s="66">
        <v>46.432200000000002</v>
      </c>
      <c r="BB74" s="66">
        <v>23.03</v>
      </c>
      <c r="BC74" s="66">
        <v>23.402200000000001</v>
      </c>
      <c r="BD74" s="66">
        <v>23.008458019999999</v>
      </c>
      <c r="BE74" s="66">
        <v>0</v>
      </c>
      <c r="BF74" s="66">
        <v>46.394809119999998</v>
      </c>
      <c r="BG74" s="66">
        <v>23.008458019999999</v>
      </c>
      <c r="BH74" s="66">
        <v>0</v>
      </c>
      <c r="BI74" s="66">
        <v>23.386351100000002</v>
      </c>
      <c r="BJ74" s="67">
        <v>99.906461224489789</v>
      </c>
      <c r="BK74" s="67">
        <v>99.932276025330964</v>
      </c>
      <c r="BL74" s="67">
        <v>50.407257931617508</v>
      </c>
      <c r="BM74" s="67">
        <v>0</v>
      </c>
      <c r="BN74" s="67">
        <v>0</v>
      </c>
      <c r="BO74" s="66">
        <v>0</v>
      </c>
      <c r="BP74" s="66">
        <v>0</v>
      </c>
      <c r="BQ74" s="66">
        <v>0</v>
      </c>
      <c r="BR74" s="66">
        <v>0</v>
      </c>
      <c r="BS74" s="66">
        <v>0</v>
      </c>
      <c r="BT74" s="66">
        <v>0</v>
      </c>
      <c r="BU74" s="66">
        <v>0.32754583000000004</v>
      </c>
      <c r="BV74" s="66">
        <v>0</v>
      </c>
      <c r="BW74" s="66">
        <v>0</v>
      </c>
      <c r="BX74" s="66">
        <v>0</v>
      </c>
      <c r="BY74" s="66">
        <v>0</v>
      </c>
      <c r="BZ74" s="67" t="s">
        <v>1094</v>
      </c>
      <c r="CA74" s="67" t="s">
        <v>1094</v>
      </c>
      <c r="CB74" s="67">
        <v>0</v>
      </c>
      <c r="CC74" s="67">
        <v>0.32754583000000004</v>
      </c>
      <c r="CD74" s="67">
        <v>0</v>
      </c>
      <c r="CE74" s="66">
        <v>16.170999999999999</v>
      </c>
      <c r="CF74" s="66">
        <v>0</v>
      </c>
      <c r="CG74" s="66">
        <v>94.070999999999998</v>
      </c>
      <c r="CH74" s="66">
        <v>16.170999999999999</v>
      </c>
      <c r="CI74" s="66">
        <v>77.900000000000006</v>
      </c>
      <c r="CJ74" s="66">
        <v>16.170999999999999</v>
      </c>
      <c r="CK74" s="66">
        <v>0</v>
      </c>
      <c r="CL74" s="66">
        <v>94.070999999999998</v>
      </c>
      <c r="CM74" s="66">
        <v>16.170999999999999</v>
      </c>
      <c r="CN74" s="66">
        <v>0</v>
      </c>
      <c r="CO74" s="66">
        <v>77.900000000000006</v>
      </c>
      <c r="CP74" s="67">
        <v>100</v>
      </c>
      <c r="CQ74" s="67">
        <v>100</v>
      </c>
      <c r="CR74" s="67">
        <v>82.809792603459101</v>
      </c>
      <c r="CS74" s="67">
        <v>0</v>
      </c>
      <c r="CT74" s="67">
        <v>0</v>
      </c>
      <c r="CU74" s="66">
        <v>0</v>
      </c>
      <c r="CV74" s="66">
        <v>0</v>
      </c>
      <c r="CW74" s="66">
        <v>0</v>
      </c>
      <c r="CX74" s="66">
        <v>0</v>
      </c>
      <c r="CY74" s="66">
        <v>0</v>
      </c>
      <c r="CZ74" s="66">
        <v>0</v>
      </c>
      <c r="DA74" s="66">
        <v>0</v>
      </c>
      <c r="DB74" s="66">
        <v>0</v>
      </c>
      <c r="DC74" s="66">
        <v>0</v>
      </c>
      <c r="DD74" s="66">
        <v>0</v>
      </c>
      <c r="DE74" s="66">
        <v>0</v>
      </c>
      <c r="DF74" s="67" t="s">
        <v>1094</v>
      </c>
      <c r="DG74" s="67" t="s">
        <v>1094</v>
      </c>
      <c r="DH74" s="67">
        <v>0</v>
      </c>
      <c r="DI74" s="67">
        <v>0</v>
      </c>
      <c r="DJ74" s="67">
        <v>0</v>
      </c>
      <c r="DK74" s="66">
        <v>2.5510000000000002</v>
      </c>
      <c r="DL74" s="66">
        <v>0</v>
      </c>
      <c r="DM74" s="66">
        <v>5.4725000000000001</v>
      </c>
      <c r="DN74" s="66">
        <v>2.5510000000000002</v>
      </c>
      <c r="DO74" s="66">
        <v>2.9215</v>
      </c>
      <c r="DP74" s="66">
        <v>2.1890304999999999</v>
      </c>
      <c r="DQ74" s="66">
        <v>0</v>
      </c>
      <c r="DR74" s="66">
        <v>4.6959895400000002</v>
      </c>
      <c r="DS74" s="66">
        <v>2.1890304999999999</v>
      </c>
      <c r="DT74" s="66">
        <v>0</v>
      </c>
      <c r="DU74" s="66">
        <v>2.5069590399999999</v>
      </c>
      <c r="DV74" s="67">
        <v>85.810682085456662</v>
      </c>
      <c r="DW74" s="67">
        <v>85.810680814650013</v>
      </c>
      <c r="DX74" s="67">
        <v>53.38510698641803</v>
      </c>
      <c r="DY74" s="67">
        <v>0</v>
      </c>
      <c r="DZ74" s="67">
        <v>0</v>
      </c>
      <c r="EA74" s="66">
        <v>0</v>
      </c>
      <c r="EB74" s="66">
        <v>0</v>
      </c>
      <c r="EC74" s="66">
        <v>0</v>
      </c>
      <c r="ED74" s="66">
        <v>0</v>
      </c>
      <c r="EE74" s="66">
        <v>0</v>
      </c>
      <c r="EF74" s="66">
        <v>0</v>
      </c>
      <c r="EG74" s="66">
        <v>0</v>
      </c>
      <c r="EH74" s="66">
        <v>0</v>
      </c>
      <c r="EI74" s="66">
        <v>0</v>
      </c>
      <c r="EJ74" s="66">
        <v>0</v>
      </c>
      <c r="EK74" s="66">
        <v>0</v>
      </c>
      <c r="EL74" s="67" t="s">
        <v>1094</v>
      </c>
      <c r="EM74" s="67" t="s">
        <v>1094</v>
      </c>
      <c r="EN74" s="67">
        <v>0</v>
      </c>
      <c r="EO74" s="67">
        <v>0</v>
      </c>
      <c r="EP74" s="67">
        <v>0</v>
      </c>
      <c r="EQ74" s="66">
        <v>4.4589999999999996</v>
      </c>
      <c r="ER74" s="66">
        <v>0</v>
      </c>
      <c r="ES74" s="66">
        <v>7.1386000000000003</v>
      </c>
      <c r="ET74" s="66">
        <v>4.4589999999999996</v>
      </c>
      <c r="EU74" s="66">
        <v>2.6796000000000002</v>
      </c>
      <c r="EV74" s="66">
        <v>4.1304559300000001</v>
      </c>
      <c r="EW74" s="66">
        <v>0</v>
      </c>
      <c r="EX74" s="66">
        <v>6.6126199200000002</v>
      </c>
      <c r="EY74" s="66">
        <v>4.1304559300000001</v>
      </c>
      <c r="EZ74" s="66">
        <v>0</v>
      </c>
      <c r="FA74" s="66">
        <v>2.4821639900000001</v>
      </c>
      <c r="FB74" s="67">
        <v>92.631888988562466</v>
      </c>
      <c r="FC74" s="67">
        <v>92.631884982833256</v>
      </c>
      <c r="FD74" s="67">
        <v>37.536770902144937</v>
      </c>
      <c r="FE74" s="67">
        <v>0</v>
      </c>
      <c r="FF74" s="67">
        <v>0</v>
      </c>
      <c r="FG74" s="66">
        <v>0</v>
      </c>
      <c r="FH74" s="66">
        <v>0</v>
      </c>
      <c r="FI74" s="66">
        <v>0</v>
      </c>
      <c r="FJ74" s="66">
        <v>0</v>
      </c>
      <c r="FK74" s="66">
        <v>0</v>
      </c>
      <c r="FL74" s="66">
        <v>0</v>
      </c>
      <c r="FM74" s="66">
        <v>0</v>
      </c>
      <c r="FN74" s="66">
        <v>0</v>
      </c>
      <c r="FO74" s="66">
        <v>0</v>
      </c>
      <c r="FP74" s="66">
        <v>0</v>
      </c>
      <c r="FQ74" s="66">
        <v>0</v>
      </c>
      <c r="FR74" s="67" t="s">
        <v>1094</v>
      </c>
      <c r="FS74" s="67" t="s">
        <v>1094</v>
      </c>
      <c r="FT74" s="67">
        <v>0</v>
      </c>
      <c r="FU74" s="67">
        <v>0</v>
      </c>
      <c r="FV74" s="67">
        <v>0</v>
      </c>
      <c r="FW74" s="66">
        <v>0</v>
      </c>
      <c r="FX74" s="66">
        <v>0</v>
      </c>
      <c r="FY74" s="66">
        <v>0</v>
      </c>
      <c r="FZ74" s="66">
        <v>0</v>
      </c>
      <c r="GA74" s="66">
        <v>0</v>
      </c>
      <c r="GB74" s="66">
        <v>0</v>
      </c>
      <c r="GC74" s="66">
        <v>0</v>
      </c>
      <c r="GD74" s="66">
        <v>0</v>
      </c>
      <c r="GE74" s="66">
        <v>0</v>
      </c>
      <c r="GF74" s="66">
        <v>0</v>
      </c>
      <c r="GG74" s="66">
        <v>0</v>
      </c>
      <c r="GH74" s="67" t="s">
        <v>1094</v>
      </c>
      <c r="GI74" s="67" t="s">
        <v>1094</v>
      </c>
      <c r="GJ74" s="67">
        <v>0</v>
      </c>
      <c r="GK74" s="67">
        <v>0</v>
      </c>
      <c r="GL74" s="67">
        <v>0</v>
      </c>
      <c r="GM74" s="66">
        <v>0</v>
      </c>
      <c r="GN74" s="66">
        <v>0</v>
      </c>
      <c r="GO74" s="66">
        <v>0</v>
      </c>
      <c r="GP74" s="66">
        <v>0</v>
      </c>
      <c r="GQ74" s="66">
        <v>0</v>
      </c>
      <c r="GR74" s="66">
        <v>0</v>
      </c>
      <c r="GS74" s="66">
        <v>0</v>
      </c>
      <c r="GT74" s="66">
        <v>0</v>
      </c>
      <c r="GU74" s="66">
        <v>0</v>
      </c>
      <c r="GV74" s="66">
        <v>0</v>
      </c>
      <c r="GW74" s="66">
        <v>0</v>
      </c>
      <c r="GX74" s="67" t="s">
        <v>1094</v>
      </c>
      <c r="GY74" s="67" t="s">
        <v>1094</v>
      </c>
      <c r="GZ74" s="67">
        <v>0</v>
      </c>
      <c r="HA74" s="67">
        <v>0</v>
      </c>
      <c r="HB74" s="67">
        <v>0</v>
      </c>
      <c r="HC74" s="66">
        <v>0.28699999999999998</v>
      </c>
      <c r="HD74" s="66">
        <v>0</v>
      </c>
      <c r="HE74" s="66">
        <v>0.58699999999999997</v>
      </c>
      <c r="HF74" s="66">
        <v>0.28699999999999998</v>
      </c>
      <c r="HG74" s="66">
        <v>0.3</v>
      </c>
      <c r="HH74" s="66">
        <v>0.28699999999999998</v>
      </c>
      <c r="HI74" s="66">
        <v>0</v>
      </c>
      <c r="HJ74" s="66">
        <v>0.58699999999999997</v>
      </c>
      <c r="HK74" s="66">
        <v>0.28699999999999998</v>
      </c>
      <c r="HL74" s="66">
        <v>0</v>
      </c>
      <c r="HM74" s="66">
        <v>0.3</v>
      </c>
      <c r="HN74" s="67">
        <v>100</v>
      </c>
      <c r="HO74" s="67">
        <v>100</v>
      </c>
      <c r="HP74" s="67">
        <v>51.107325383304946</v>
      </c>
      <c r="HQ74" s="67">
        <v>0</v>
      </c>
      <c r="HR74" s="67">
        <v>0</v>
      </c>
      <c r="HS74" s="66">
        <v>0</v>
      </c>
      <c r="HT74" s="66">
        <v>0</v>
      </c>
      <c r="HU74" s="66">
        <v>0</v>
      </c>
      <c r="HV74" s="66">
        <v>0</v>
      </c>
      <c r="HW74" s="66">
        <v>0</v>
      </c>
      <c r="HX74" s="66">
        <v>0</v>
      </c>
      <c r="HY74" s="66">
        <v>0</v>
      </c>
      <c r="HZ74" s="66">
        <v>0</v>
      </c>
      <c r="IA74" s="66">
        <v>0</v>
      </c>
      <c r="IB74" s="66">
        <v>0</v>
      </c>
      <c r="IC74" s="66">
        <v>0</v>
      </c>
      <c r="ID74" s="67" t="s">
        <v>1094</v>
      </c>
      <c r="IE74" s="67" t="s">
        <v>1094</v>
      </c>
      <c r="IF74" s="67">
        <v>0</v>
      </c>
      <c r="IG74" s="67">
        <v>0</v>
      </c>
      <c r="IH74" s="67">
        <v>0</v>
      </c>
    </row>
    <row r="75" spans="1:242" ht="15.75" x14ac:dyDescent="0.25">
      <c r="A75" s="74">
        <v>64</v>
      </c>
      <c r="B75" s="189" t="s">
        <v>170</v>
      </c>
      <c r="C75" s="66">
        <v>117.5667</v>
      </c>
      <c r="D75" s="66">
        <v>0</v>
      </c>
      <c r="E75" s="66">
        <v>260.61430000000001</v>
      </c>
      <c r="F75" s="66">
        <v>117.5667</v>
      </c>
      <c r="G75" s="66">
        <v>143.04759999999999</v>
      </c>
      <c r="H75" s="66">
        <v>117.47390293000001</v>
      </c>
      <c r="I75" s="66">
        <v>3.0444494399999997</v>
      </c>
      <c r="J75" s="66">
        <v>260.36508689000004</v>
      </c>
      <c r="K75" s="66">
        <v>117.44092688999999</v>
      </c>
      <c r="L75" s="66">
        <v>0</v>
      </c>
      <c r="M75" s="66">
        <v>142.92416</v>
      </c>
      <c r="N75" s="67">
        <v>99.89301978366322</v>
      </c>
      <c r="O75" s="67">
        <v>99.9137070457666</v>
      </c>
      <c r="P75" s="67">
        <v>54.893750044291892</v>
      </c>
      <c r="Q75" s="66">
        <v>3.0444494399999997</v>
      </c>
      <c r="R75" s="67">
        <v>3.2976040000016749E-2</v>
      </c>
      <c r="S75" s="66">
        <v>76.1892</v>
      </c>
      <c r="T75" s="66">
        <v>0</v>
      </c>
      <c r="U75" s="66">
        <v>136.1892</v>
      </c>
      <c r="V75" s="66">
        <v>76.1892</v>
      </c>
      <c r="W75" s="66">
        <v>60</v>
      </c>
      <c r="X75" s="66">
        <v>76.1892</v>
      </c>
      <c r="Y75" s="66">
        <v>2.7136217599999997</v>
      </c>
      <c r="Z75" s="66">
        <v>136.15622396000001</v>
      </c>
      <c r="AA75" s="66">
        <v>76.156223959999991</v>
      </c>
      <c r="AB75" s="66">
        <v>0</v>
      </c>
      <c r="AC75" s="66">
        <v>60</v>
      </c>
      <c r="AD75" s="67">
        <v>99.956718222530213</v>
      </c>
      <c r="AE75" s="67">
        <v>100</v>
      </c>
      <c r="AF75" s="67">
        <v>44.067027018630313</v>
      </c>
      <c r="AG75" s="67">
        <v>2.7136217599999997</v>
      </c>
      <c r="AH75" s="67">
        <v>3.297604000000387E-2</v>
      </c>
      <c r="AI75" s="66">
        <v>0</v>
      </c>
      <c r="AJ75" s="66">
        <v>0</v>
      </c>
      <c r="AK75" s="66">
        <v>0</v>
      </c>
      <c r="AL75" s="66">
        <v>0</v>
      </c>
      <c r="AM75" s="66">
        <v>0</v>
      </c>
      <c r="AN75" s="66">
        <v>0</v>
      </c>
      <c r="AO75" s="66">
        <v>0.33082768000000001</v>
      </c>
      <c r="AP75" s="66">
        <v>0</v>
      </c>
      <c r="AQ75" s="66">
        <v>0</v>
      </c>
      <c r="AR75" s="66">
        <v>0</v>
      </c>
      <c r="AS75" s="66">
        <v>0</v>
      </c>
      <c r="AT75" s="67" t="s">
        <v>1094</v>
      </c>
      <c r="AU75" s="67" t="s">
        <v>1094</v>
      </c>
      <c r="AV75" s="67">
        <v>0</v>
      </c>
      <c r="AW75" s="67">
        <v>0.33082768000000001</v>
      </c>
      <c r="AX75" s="67">
        <v>0</v>
      </c>
      <c r="AY75" s="66">
        <v>36.1355</v>
      </c>
      <c r="AZ75" s="66">
        <v>0</v>
      </c>
      <c r="BA75" s="66">
        <v>82.941100000000006</v>
      </c>
      <c r="BB75" s="66">
        <v>36.1355</v>
      </c>
      <c r="BC75" s="66">
        <v>46.805599999999998</v>
      </c>
      <c r="BD75" s="66">
        <v>36.1355</v>
      </c>
      <c r="BE75" s="66">
        <v>0</v>
      </c>
      <c r="BF75" s="66">
        <v>82.941100000000006</v>
      </c>
      <c r="BG75" s="66">
        <v>36.1355</v>
      </c>
      <c r="BH75" s="66">
        <v>0</v>
      </c>
      <c r="BI75" s="66">
        <v>46.805599999999998</v>
      </c>
      <c r="BJ75" s="67">
        <v>100</v>
      </c>
      <c r="BK75" s="67">
        <v>100</v>
      </c>
      <c r="BL75" s="67">
        <v>56.432335717756331</v>
      </c>
      <c r="BM75" s="67">
        <v>0</v>
      </c>
      <c r="BN75" s="67">
        <v>0</v>
      </c>
      <c r="BO75" s="66">
        <v>0</v>
      </c>
      <c r="BP75" s="66">
        <v>0</v>
      </c>
      <c r="BQ75" s="66">
        <v>0</v>
      </c>
      <c r="BR75" s="66">
        <v>0</v>
      </c>
      <c r="BS75" s="66">
        <v>0</v>
      </c>
      <c r="BT75" s="66">
        <v>0</v>
      </c>
      <c r="BU75" s="66">
        <v>0</v>
      </c>
      <c r="BV75" s="66">
        <v>0</v>
      </c>
      <c r="BW75" s="66">
        <v>0</v>
      </c>
      <c r="BX75" s="66">
        <v>0</v>
      </c>
      <c r="BY75" s="66">
        <v>0</v>
      </c>
      <c r="BZ75" s="67" t="s">
        <v>1094</v>
      </c>
      <c r="CA75" s="67" t="s">
        <v>1094</v>
      </c>
      <c r="CB75" s="67">
        <v>0</v>
      </c>
      <c r="CC75" s="67">
        <v>0</v>
      </c>
      <c r="CD75" s="67">
        <v>0</v>
      </c>
      <c r="CE75" s="66">
        <v>0</v>
      </c>
      <c r="CF75" s="66">
        <v>0</v>
      </c>
      <c r="CG75" s="66">
        <v>0</v>
      </c>
      <c r="CH75" s="66">
        <v>0</v>
      </c>
      <c r="CI75" s="66">
        <v>0</v>
      </c>
      <c r="CJ75" s="66">
        <v>0</v>
      </c>
      <c r="CK75" s="66">
        <v>0</v>
      </c>
      <c r="CL75" s="66">
        <v>0</v>
      </c>
      <c r="CM75" s="66">
        <v>0</v>
      </c>
      <c r="CN75" s="66">
        <v>0</v>
      </c>
      <c r="CO75" s="66">
        <v>0</v>
      </c>
      <c r="CP75" s="67" t="s">
        <v>1094</v>
      </c>
      <c r="CQ75" s="67" t="s">
        <v>1094</v>
      </c>
      <c r="CR75" s="67">
        <v>0</v>
      </c>
      <c r="CS75" s="67">
        <v>0</v>
      </c>
      <c r="CT75" s="67">
        <v>0</v>
      </c>
      <c r="CU75" s="66">
        <v>0</v>
      </c>
      <c r="CV75" s="66">
        <v>0</v>
      </c>
      <c r="CW75" s="66">
        <v>0</v>
      </c>
      <c r="CX75" s="66">
        <v>0</v>
      </c>
      <c r="CY75" s="66">
        <v>0</v>
      </c>
      <c r="CZ75" s="66">
        <v>0</v>
      </c>
      <c r="DA75" s="66">
        <v>0</v>
      </c>
      <c r="DB75" s="66">
        <v>0</v>
      </c>
      <c r="DC75" s="66">
        <v>0</v>
      </c>
      <c r="DD75" s="66">
        <v>0</v>
      </c>
      <c r="DE75" s="66">
        <v>0</v>
      </c>
      <c r="DF75" s="67" t="s">
        <v>1094</v>
      </c>
      <c r="DG75" s="67" t="s">
        <v>1094</v>
      </c>
      <c r="DH75" s="67">
        <v>0</v>
      </c>
      <c r="DI75" s="67">
        <v>0</v>
      </c>
      <c r="DJ75" s="67">
        <v>0</v>
      </c>
      <c r="DK75" s="66">
        <v>1.1779999999999999</v>
      </c>
      <c r="DL75" s="66">
        <v>0</v>
      </c>
      <c r="DM75" s="66">
        <v>29.42</v>
      </c>
      <c r="DN75" s="66">
        <v>1.1779999999999999</v>
      </c>
      <c r="DO75" s="66">
        <v>28.242000000000001</v>
      </c>
      <c r="DP75" s="66">
        <v>1.1438860500000001</v>
      </c>
      <c r="DQ75" s="66">
        <v>0</v>
      </c>
      <c r="DR75" s="66">
        <v>29.38588605</v>
      </c>
      <c r="DS75" s="66">
        <v>1.1438860500000001</v>
      </c>
      <c r="DT75" s="66">
        <v>0</v>
      </c>
      <c r="DU75" s="66">
        <v>28.242000000000001</v>
      </c>
      <c r="DV75" s="67">
        <v>97.104078947368436</v>
      </c>
      <c r="DW75" s="67">
        <v>100</v>
      </c>
      <c r="DX75" s="67">
        <v>96.107362398214974</v>
      </c>
      <c r="DY75" s="67">
        <v>0</v>
      </c>
      <c r="DZ75" s="67">
        <v>0</v>
      </c>
      <c r="EA75" s="66">
        <v>0</v>
      </c>
      <c r="EB75" s="66">
        <v>0</v>
      </c>
      <c r="EC75" s="66">
        <v>0</v>
      </c>
      <c r="ED75" s="66">
        <v>0</v>
      </c>
      <c r="EE75" s="66">
        <v>0</v>
      </c>
      <c r="EF75" s="66">
        <v>0</v>
      </c>
      <c r="EG75" s="66">
        <v>0</v>
      </c>
      <c r="EH75" s="66">
        <v>0</v>
      </c>
      <c r="EI75" s="66">
        <v>0</v>
      </c>
      <c r="EJ75" s="66">
        <v>0</v>
      </c>
      <c r="EK75" s="66">
        <v>0</v>
      </c>
      <c r="EL75" s="67" t="s">
        <v>1094</v>
      </c>
      <c r="EM75" s="67" t="s">
        <v>1094</v>
      </c>
      <c r="EN75" s="67">
        <v>0</v>
      </c>
      <c r="EO75" s="67">
        <v>0</v>
      </c>
      <c r="EP75" s="67">
        <v>0</v>
      </c>
      <c r="EQ75" s="66">
        <v>1.6870000000000001</v>
      </c>
      <c r="ER75" s="66">
        <v>0</v>
      </c>
      <c r="ES75" s="66">
        <v>4.6870000000000003</v>
      </c>
      <c r="ET75" s="66">
        <v>1.6870000000000001</v>
      </c>
      <c r="EU75" s="66">
        <v>3</v>
      </c>
      <c r="EV75" s="66">
        <v>1.6870000000000001</v>
      </c>
      <c r="EW75" s="66">
        <v>0</v>
      </c>
      <c r="EX75" s="66">
        <v>4.6870000000000003</v>
      </c>
      <c r="EY75" s="66">
        <v>1.6870000000000001</v>
      </c>
      <c r="EZ75" s="66">
        <v>0</v>
      </c>
      <c r="FA75" s="66">
        <v>3</v>
      </c>
      <c r="FB75" s="67">
        <v>100</v>
      </c>
      <c r="FC75" s="67">
        <v>100</v>
      </c>
      <c r="FD75" s="67">
        <v>64.006827394922112</v>
      </c>
      <c r="FE75" s="67">
        <v>0</v>
      </c>
      <c r="FF75" s="67">
        <v>0</v>
      </c>
      <c r="FG75" s="66">
        <v>0</v>
      </c>
      <c r="FH75" s="66">
        <v>0</v>
      </c>
      <c r="FI75" s="66">
        <v>0</v>
      </c>
      <c r="FJ75" s="66">
        <v>0</v>
      </c>
      <c r="FK75" s="66">
        <v>0</v>
      </c>
      <c r="FL75" s="66">
        <v>0</v>
      </c>
      <c r="FM75" s="66">
        <v>0</v>
      </c>
      <c r="FN75" s="66">
        <v>0</v>
      </c>
      <c r="FO75" s="66">
        <v>0</v>
      </c>
      <c r="FP75" s="66">
        <v>0</v>
      </c>
      <c r="FQ75" s="66">
        <v>0</v>
      </c>
      <c r="FR75" s="67" t="s">
        <v>1094</v>
      </c>
      <c r="FS75" s="67" t="s">
        <v>1094</v>
      </c>
      <c r="FT75" s="67">
        <v>0</v>
      </c>
      <c r="FU75" s="67">
        <v>0</v>
      </c>
      <c r="FV75" s="67">
        <v>0</v>
      </c>
      <c r="FW75" s="66">
        <v>0</v>
      </c>
      <c r="FX75" s="66">
        <v>0</v>
      </c>
      <c r="FY75" s="66">
        <v>0</v>
      </c>
      <c r="FZ75" s="66">
        <v>0</v>
      </c>
      <c r="GA75" s="66">
        <v>0</v>
      </c>
      <c r="GB75" s="66">
        <v>0</v>
      </c>
      <c r="GC75" s="66">
        <v>0</v>
      </c>
      <c r="GD75" s="66">
        <v>0</v>
      </c>
      <c r="GE75" s="66">
        <v>0</v>
      </c>
      <c r="GF75" s="66">
        <v>0</v>
      </c>
      <c r="GG75" s="66">
        <v>0</v>
      </c>
      <c r="GH75" s="67" t="s">
        <v>1094</v>
      </c>
      <c r="GI75" s="67" t="s">
        <v>1094</v>
      </c>
      <c r="GJ75" s="67">
        <v>0</v>
      </c>
      <c r="GK75" s="67">
        <v>0</v>
      </c>
      <c r="GL75" s="67">
        <v>0</v>
      </c>
      <c r="GM75" s="66">
        <v>0</v>
      </c>
      <c r="GN75" s="66">
        <v>0</v>
      </c>
      <c r="GO75" s="66">
        <v>0</v>
      </c>
      <c r="GP75" s="66">
        <v>0</v>
      </c>
      <c r="GQ75" s="66">
        <v>0</v>
      </c>
      <c r="GR75" s="66">
        <v>0</v>
      </c>
      <c r="GS75" s="66">
        <v>0</v>
      </c>
      <c r="GT75" s="66">
        <v>0</v>
      </c>
      <c r="GU75" s="66">
        <v>0</v>
      </c>
      <c r="GV75" s="66">
        <v>0</v>
      </c>
      <c r="GW75" s="66">
        <v>0</v>
      </c>
      <c r="GX75" s="67" t="s">
        <v>1094</v>
      </c>
      <c r="GY75" s="67" t="s">
        <v>1094</v>
      </c>
      <c r="GZ75" s="67">
        <v>0</v>
      </c>
      <c r="HA75" s="67">
        <v>0</v>
      </c>
      <c r="HB75" s="67">
        <v>0</v>
      </c>
      <c r="HC75" s="66">
        <v>2.3769999999999998</v>
      </c>
      <c r="HD75" s="66">
        <v>0</v>
      </c>
      <c r="HE75" s="66">
        <v>7.3769999999999998</v>
      </c>
      <c r="HF75" s="66">
        <v>2.3769999999999998</v>
      </c>
      <c r="HG75" s="66">
        <v>5</v>
      </c>
      <c r="HH75" s="66">
        <v>2.3183168799999998</v>
      </c>
      <c r="HI75" s="66">
        <v>0</v>
      </c>
      <c r="HJ75" s="66">
        <v>7.1948768799999998</v>
      </c>
      <c r="HK75" s="66">
        <v>2.3183168799999998</v>
      </c>
      <c r="HL75" s="66">
        <v>0</v>
      </c>
      <c r="HM75" s="66">
        <v>4.8765599999999996</v>
      </c>
      <c r="HN75" s="67">
        <v>97.531210769878001</v>
      </c>
      <c r="HO75" s="67">
        <v>97.531199999999998</v>
      </c>
      <c r="HP75" s="67">
        <v>67.778227221033418</v>
      </c>
      <c r="HQ75" s="67">
        <v>0</v>
      </c>
      <c r="HR75" s="67">
        <v>0</v>
      </c>
      <c r="HS75" s="66">
        <v>0</v>
      </c>
      <c r="HT75" s="66">
        <v>0</v>
      </c>
      <c r="HU75" s="66">
        <v>0</v>
      </c>
      <c r="HV75" s="66">
        <v>0</v>
      </c>
      <c r="HW75" s="66">
        <v>0</v>
      </c>
      <c r="HX75" s="66">
        <v>0</v>
      </c>
      <c r="HY75" s="66">
        <v>0</v>
      </c>
      <c r="HZ75" s="66">
        <v>0</v>
      </c>
      <c r="IA75" s="66">
        <v>0</v>
      </c>
      <c r="IB75" s="66">
        <v>0</v>
      </c>
      <c r="IC75" s="66">
        <v>0</v>
      </c>
      <c r="ID75" s="67" t="s">
        <v>1094</v>
      </c>
      <c r="IE75" s="67" t="s">
        <v>1094</v>
      </c>
      <c r="IF75" s="67">
        <v>0</v>
      </c>
      <c r="IG75" s="67">
        <v>0</v>
      </c>
      <c r="IH75" s="67">
        <v>0</v>
      </c>
    </row>
    <row r="76" spans="1:242" ht="15.75" x14ac:dyDescent="0.25">
      <c r="A76" s="57">
        <v>65</v>
      </c>
      <c r="B76" s="190" t="s">
        <v>173</v>
      </c>
      <c r="C76" s="61">
        <v>400.76329999999996</v>
      </c>
      <c r="D76" s="61">
        <v>0</v>
      </c>
      <c r="E76" s="61">
        <v>1178.8723520600001</v>
      </c>
      <c r="F76" s="61">
        <v>400.76329999999996</v>
      </c>
      <c r="G76" s="61">
        <v>778.10905205999995</v>
      </c>
      <c r="H76" s="61">
        <v>399.60125354999997</v>
      </c>
      <c r="I76" s="61">
        <v>6.7474840399999998</v>
      </c>
      <c r="J76" s="61">
        <v>1173.94405869</v>
      </c>
      <c r="K76" s="61">
        <v>399.59047577000001</v>
      </c>
      <c r="L76" s="61">
        <v>0</v>
      </c>
      <c r="M76" s="61">
        <v>774.35358291999989</v>
      </c>
      <c r="N76" s="61">
        <v>99.70735238730694</v>
      </c>
      <c r="O76" s="61">
        <v>99.51735953590854</v>
      </c>
      <c r="P76" s="61">
        <v>65.961710627344388</v>
      </c>
      <c r="Q76" s="61">
        <v>6.448796960000001</v>
      </c>
      <c r="R76" s="61">
        <v>0.309464860000008</v>
      </c>
      <c r="S76" s="61">
        <v>249.55290000000002</v>
      </c>
      <c r="T76" s="61">
        <v>0</v>
      </c>
      <c r="U76" s="61">
        <v>794.50139320000017</v>
      </c>
      <c r="V76" s="61">
        <v>249.55290000000002</v>
      </c>
      <c r="W76" s="61">
        <v>544.94849320000003</v>
      </c>
      <c r="X76" s="61">
        <v>249.47655135000002</v>
      </c>
      <c r="Y76" s="61">
        <v>6.2482429499999999</v>
      </c>
      <c r="Z76" s="61">
        <v>794.14001050000013</v>
      </c>
      <c r="AA76" s="61">
        <v>249.46578</v>
      </c>
      <c r="AB76" s="61">
        <v>0</v>
      </c>
      <c r="AC76" s="61">
        <v>544.67423050000002</v>
      </c>
      <c r="AD76" s="61">
        <v>99.96508956618014</v>
      </c>
      <c r="AE76" s="61">
        <v>99.949671812396517</v>
      </c>
      <c r="AF76" s="61">
        <v>68.586675308937856</v>
      </c>
      <c r="AG76" s="61">
        <v>5.9521041500000003</v>
      </c>
      <c r="AH76" s="61">
        <v>0.30691014999999622</v>
      </c>
      <c r="AI76" s="61">
        <v>0</v>
      </c>
      <c r="AJ76" s="61">
        <v>0</v>
      </c>
      <c r="AK76" s="61">
        <v>0</v>
      </c>
      <c r="AL76" s="61">
        <v>0</v>
      </c>
      <c r="AM76" s="61">
        <v>0</v>
      </c>
      <c r="AN76" s="61">
        <v>0</v>
      </c>
      <c r="AO76" s="61">
        <v>0.49924108999999994</v>
      </c>
      <c r="AP76" s="61">
        <v>0</v>
      </c>
      <c r="AQ76" s="61">
        <v>0</v>
      </c>
      <c r="AR76" s="61">
        <v>0</v>
      </c>
      <c r="AS76" s="61">
        <v>0</v>
      </c>
      <c r="AT76" s="61" t="s">
        <v>1094</v>
      </c>
      <c r="AU76" s="61" t="s">
        <v>1094</v>
      </c>
      <c r="AV76" s="61">
        <v>0</v>
      </c>
      <c r="AW76" s="61">
        <v>0.49669280999999998</v>
      </c>
      <c r="AX76" s="61">
        <v>2.5482799999999861E-3</v>
      </c>
      <c r="AY76" s="61">
        <v>94.48899999999999</v>
      </c>
      <c r="AZ76" s="61">
        <v>0</v>
      </c>
      <c r="BA76" s="61">
        <v>258.04155514000001</v>
      </c>
      <c r="BB76" s="61">
        <v>94.48899999999999</v>
      </c>
      <c r="BC76" s="61">
        <v>163.55255513999998</v>
      </c>
      <c r="BD76" s="61">
        <v>93.403302199999999</v>
      </c>
      <c r="BE76" s="61">
        <v>0</v>
      </c>
      <c r="BF76" s="61">
        <v>253.47464547000001</v>
      </c>
      <c r="BG76" s="61">
        <v>93.403296400000002</v>
      </c>
      <c r="BH76" s="61">
        <v>0</v>
      </c>
      <c r="BI76" s="61">
        <v>160.07134907</v>
      </c>
      <c r="BJ76" s="61">
        <v>98.850973552477015</v>
      </c>
      <c r="BK76" s="61">
        <v>97.871506154691318</v>
      </c>
      <c r="BL76" s="61">
        <v>63.150832610177275</v>
      </c>
      <c r="BM76" s="61">
        <v>0</v>
      </c>
      <c r="BN76" s="61">
        <v>5.7999999967250915E-6</v>
      </c>
      <c r="BO76" s="61">
        <v>0</v>
      </c>
      <c r="BP76" s="61">
        <v>0</v>
      </c>
      <c r="BQ76" s="61">
        <v>0</v>
      </c>
      <c r="BR76" s="61">
        <v>0</v>
      </c>
      <c r="BS76" s="61">
        <v>0</v>
      </c>
      <c r="BT76" s="61">
        <v>0</v>
      </c>
      <c r="BU76" s="61">
        <v>0</v>
      </c>
      <c r="BV76" s="61">
        <v>0</v>
      </c>
      <c r="BW76" s="61">
        <v>0</v>
      </c>
      <c r="BX76" s="61">
        <v>0</v>
      </c>
      <c r="BY76" s="61">
        <v>0</v>
      </c>
      <c r="BZ76" s="61" t="s">
        <v>1094</v>
      </c>
      <c r="CA76" s="61" t="s">
        <v>1094</v>
      </c>
      <c r="CB76" s="61">
        <v>0</v>
      </c>
      <c r="CC76" s="61">
        <v>0</v>
      </c>
      <c r="CD76" s="61">
        <v>0</v>
      </c>
      <c r="CE76" s="61">
        <v>1.9279999999999999</v>
      </c>
      <c r="CF76" s="61">
        <v>0</v>
      </c>
      <c r="CG76" s="61">
        <v>16.928000000000001</v>
      </c>
      <c r="CH76" s="61">
        <v>1.9279999999999999</v>
      </c>
      <c r="CI76" s="61">
        <v>15</v>
      </c>
      <c r="CJ76" s="61">
        <v>1.9279999999999999</v>
      </c>
      <c r="CK76" s="61">
        <v>0</v>
      </c>
      <c r="CL76" s="61">
        <v>16.928000000000001</v>
      </c>
      <c r="CM76" s="61">
        <v>1.9279999999999999</v>
      </c>
      <c r="CN76" s="61">
        <v>0</v>
      </c>
      <c r="CO76" s="61">
        <v>15</v>
      </c>
      <c r="CP76" s="61">
        <v>100</v>
      </c>
      <c r="CQ76" s="61">
        <v>100</v>
      </c>
      <c r="CR76" s="61">
        <v>88.61058601134215</v>
      </c>
      <c r="CS76" s="61">
        <v>0</v>
      </c>
      <c r="CT76" s="61">
        <v>0</v>
      </c>
      <c r="CU76" s="61">
        <v>0</v>
      </c>
      <c r="CV76" s="61">
        <v>0</v>
      </c>
      <c r="CW76" s="61">
        <v>0</v>
      </c>
      <c r="CX76" s="61">
        <v>0</v>
      </c>
      <c r="CY76" s="61">
        <v>0</v>
      </c>
      <c r="CZ76" s="61">
        <v>0</v>
      </c>
      <c r="DA76" s="61">
        <v>0</v>
      </c>
      <c r="DB76" s="61">
        <v>0</v>
      </c>
      <c r="DC76" s="61">
        <v>0</v>
      </c>
      <c r="DD76" s="61">
        <v>0</v>
      </c>
      <c r="DE76" s="61">
        <v>0</v>
      </c>
      <c r="DF76" s="61" t="s">
        <v>1094</v>
      </c>
      <c r="DG76" s="61" t="s">
        <v>1094</v>
      </c>
      <c r="DH76" s="61">
        <v>0</v>
      </c>
      <c r="DI76" s="61">
        <v>0</v>
      </c>
      <c r="DJ76" s="61">
        <v>0</v>
      </c>
      <c r="DK76" s="61">
        <v>0.50700000000000001</v>
      </c>
      <c r="DL76" s="61">
        <v>0</v>
      </c>
      <c r="DM76" s="61">
        <v>3.3072407099999999</v>
      </c>
      <c r="DN76" s="61">
        <v>0.50700000000000001</v>
      </c>
      <c r="DO76" s="61">
        <v>2.8002407099999997</v>
      </c>
      <c r="DP76" s="61">
        <v>0.50700000000000001</v>
      </c>
      <c r="DQ76" s="61">
        <v>0</v>
      </c>
      <c r="DR76" s="61">
        <v>3.3072407099999999</v>
      </c>
      <c r="DS76" s="61">
        <v>0.50700000000000001</v>
      </c>
      <c r="DT76" s="61">
        <v>0</v>
      </c>
      <c r="DU76" s="61">
        <v>2.8002407099999997</v>
      </c>
      <c r="DV76" s="61">
        <v>100</v>
      </c>
      <c r="DW76" s="61">
        <v>100</v>
      </c>
      <c r="DX76" s="61">
        <v>84.670000025489529</v>
      </c>
      <c r="DY76" s="61">
        <v>0</v>
      </c>
      <c r="DZ76" s="61">
        <v>0</v>
      </c>
      <c r="EA76" s="61">
        <v>0</v>
      </c>
      <c r="EB76" s="61">
        <v>0</v>
      </c>
      <c r="EC76" s="61">
        <v>0</v>
      </c>
      <c r="ED76" s="61">
        <v>0</v>
      </c>
      <c r="EE76" s="61">
        <v>0</v>
      </c>
      <c r="EF76" s="61">
        <v>0</v>
      </c>
      <c r="EG76" s="61">
        <v>0</v>
      </c>
      <c r="EH76" s="61">
        <v>0</v>
      </c>
      <c r="EI76" s="61">
        <v>0</v>
      </c>
      <c r="EJ76" s="61">
        <v>0</v>
      </c>
      <c r="EK76" s="61">
        <v>0</v>
      </c>
      <c r="EL76" s="61" t="s">
        <v>1094</v>
      </c>
      <c r="EM76" s="61" t="s">
        <v>1094</v>
      </c>
      <c r="EN76" s="61">
        <v>0</v>
      </c>
      <c r="EO76" s="61">
        <v>0</v>
      </c>
      <c r="EP76" s="61">
        <v>0</v>
      </c>
      <c r="EQ76" s="61">
        <v>1.1839999999999999</v>
      </c>
      <c r="ER76" s="61">
        <v>0</v>
      </c>
      <c r="ES76" s="61">
        <v>3.4977999999999998</v>
      </c>
      <c r="ET76" s="61">
        <v>1.1839999999999999</v>
      </c>
      <c r="EU76" s="61">
        <v>2.3138000000000001</v>
      </c>
      <c r="EV76" s="61">
        <v>1.1839999999999999</v>
      </c>
      <c r="EW76" s="61">
        <v>0</v>
      </c>
      <c r="EX76" s="61">
        <v>3.4977999999999998</v>
      </c>
      <c r="EY76" s="61">
        <v>1.1839999999999999</v>
      </c>
      <c r="EZ76" s="61">
        <v>0</v>
      </c>
      <c r="FA76" s="61">
        <v>2.3138000000000001</v>
      </c>
      <c r="FB76" s="61">
        <v>100</v>
      </c>
      <c r="FC76" s="61">
        <v>100</v>
      </c>
      <c r="FD76" s="61">
        <v>66.150151523814969</v>
      </c>
      <c r="FE76" s="61">
        <v>0</v>
      </c>
      <c r="FF76" s="61">
        <v>0</v>
      </c>
      <c r="FG76" s="61">
        <v>0</v>
      </c>
      <c r="FH76" s="61">
        <v>0</v>
      </c>
      <c r="FI76" s="61">
        <v>0</v>
      </c>
      <c r="FJ76" s="61">
        <v>0</v>
      </c>
      <c r="FK76" s="61">
        <v>0</v>
      </c>
      <c r="FL76" s="61">
        <v>0</v>
      </c>
      <c r="FM76" s="61">
        <v>0</v>
      </c>
      <c r="FN76" s="61">
        <v>0</v>
      </c>
      <c r="FO76" s="61">
        <v>0</v>
      </c>
      <c r="FP76" s="61">
        <v>0</v>
      </c>
      <c r="FQ76" s="61">
        <v>0</v>
      </c>
      <c r="FR76" s="61" t="s">
        <v>1094</v>
      </c>
      <c r="FS76" s="61" t="s">
        <v>1094</v>
      </c>
      <c r="FT76" s="61">
        <v>0</v>
      </c>
      <c r="FU76" s="61">
        <v>0</v>
      </c>
      <c r="FV76" s="61">
        <v>0</v>
      </c>
      <c r="FW76" s="61">
        <v>50.070399999999999</v>
      </c>
      <c r="FX76" s="61">
        <v>0</v>
      </c>
      <c r="FY76" s="61">
        <v>95.064363010000008</v>
      </c>
      <c r="FZ76" s="61">
        <v>50.070399999999999</v>
      </c>
      <c r="GA76" s="61">
        <v>44.993963009999995</v>
      </c>
      <c r="GB76" s="61">
        <v>50.070399999999999</v>
      </c>
      <c r="GC76" s="61">
        <v>0</v>
      </c>
      <c r="GD76" s="61">
        <v>95.064363010000008</v>
      </c>
      <c r="GE76" s="61">
        <v>50.070399999999999</v>
      </c>
      <c r="GF76" s="61">
        <v>0</v>
      </c>
      <c r="GG76" s="61">
        <v>44.993963009999995</v>
      </c>
      <c r="GH76" s="61">
        <v>100</v>
      </c>
      <c r="GI76" s="61">
        <v>100</v>
      </c>
      <c r="GJ76" s="61">
        <v>47.329999997230288</v>
      </c>
      <c r="GK76" s="61">
        <v>0</v>
      </c>
      <c r="GL76" s="61">
        <v>0</v>
      </c>
      <c r="GM76" s="61">
        <v>0</v>
      </c>
      <c r="GN76" s="61">
        <v>0</v>
      </c>
      <c r="GO76" s="61">
        <v>0</v>
      </c>
      <c r="GP76" s="61">
        <v>0</v>
      </c>
      <c r="GQ76" s="61">
        <v>0</v>
      </c>
      <c r="GR76" s="61">
        <v>0</v>
      </c>
      <c r="GS76" s="61">
        <v>0</v>
      </c>
      <c r="GT76" s="61">
        <v>0</v>
      </c>
      <c r="GU76" s="61">
        <v>0</v>
      </c>
      <c r="GV76" s="61">
        <v>0</v>
      </c>
      <c r="GW76" s="61">
        <v>0</v>
      </c>
      <c r="GX76" s="61" t="s">
        <v>1094</v>
      </c>
      <c r="GY76" s="61" t="s">
        <v>1094</v>
      </c>
      <c r="GZ76" s="61">
        <v>0</v>
      </c>
      <c r="HA76" s="61">
        <v>0</v>
      </c>
      <c r="HB76" s="61">
        <v>0</v>
      </c>
      <c r="HC76" s="61">
        <v>3.032</v>
      </c>
      <c r="HD76" s="61">
        <v>0</v>
      </c>
      <c r="HE76" s="61">
        <v>7.532</v>
      </c>
      <c r="HF76" s="61">
        <v>3.032</v>
      </c>
      <c r="HG76" s="61">
        <v>4.5</v>
      </c>
      <c r="HH76" s="61">
        <v>3.032</v>
      </c>
      <c r="HI76" s="61">
        <v>0</v>
      </c>
      <c r="HJ76" s="61">
        <v>7.5319989999999999</v>
      </c>
      <c r="HK76" s="61">
        <v>3.0319993699999999</v>
      </c>
      <c r="HL76" s="61">
        <v>0</v>
      </c>
      <c r="HM76" s="61">
        <v>4.4999996299999996</v>
      </c>
      <c r="HN76" s="61">
        <v>99.999979221635883</v>
      </c>
      <c r="HO76" s="61">
        <v>99.999991777777765</v>
      </c>
      <c r="HP76" s="61">
        <v>59.745090645922815</v>
      </c>
      <c r="HQ76" s="61">
        <v>0</v>
      </c>
      <c r="HR76" s="61">
        <v>6.2999999994595157E-7</v>
      </c>
      <c r="HS76" s="61">
        <v>0</v>
      </c>
      <c r="HT76" s="61">
        <v>0</v>
      </c>
      <c r="HU76" s="61">
        <v>0</v>
      </c>
      <c r="HV76" s="61">
        <v>0</v>
      </c>
      <c r="HW76" s="61">
        <v>0</v>
      </c>
      <c r="HX76" s="61">
        <v>0</v>
      </c>
      <c r="HY76" s="61">
        <v>0</v>
      </c>
      <c r="HZ76" s="61">
        <v>0</v>
      </c>
      <c r="IA76" s="61">
        <v>0</v>
      </c>
      <c r="IB76" s="61">
        <v>0</v>
      </c>
      <c r="IC76" s="61">
        <v>0</v>
      </c>
      <c r="ID76" s="61" t="s">
        <v>1094</v>
      </c>
      <c r="IE76" s="61" t="s">
        <v>1094</v>
      </c>
      <c r="IF76" s="61">
        <v>0</v>
      </c>
      <c r="IG76" s="61">
        <v>0</v>
      </c>
      <c r="IH76" s="61">
        <v>0</v>
      </c>
    </row>
    <row r="77" spans="1:242" ht="15.75" x14ac:dyDescent="0.25">
      <c r="A77" s="11">
        <v>66</v>
      </c>
      <c r="B77" s="189" t="s">
        <v>176</v>
      </c>
      <c r="C77" s="66">
        <v>140.9315</v>
      </c>
      <c r="D77" s="66">
        <v>0</v>
      </c>
      <c r="E77" s="66">
        <v>295.34323505999998</v>
      </c>
      <c r="F77" s="66">
        <v>140.9315</v>
      </c>
      <c r="G77" s="66">
        <v>154.41173505999998</v>
      </c>
      <c r="H77" s="66">
        <v>140.9315</v>
      </c>
      <c r="I77" s="66">
        <v>0</v>
      </c>
      <c r="J77" s="66">
        <v>295.34323505999998</v>
      </c>
      <c r="K77" s="66">
        <v>140.9315</v>
      </c>
      <c r="L77" s="66">
        <v>0</v>
      </c>
      <c r="M77" s="66">
        <v>154.41173505999998</v>
      </c>
      <c r="N77" s="67">
        <v>100</v>
      </c>
      <c r="O77" s="67">
        <v>100</v>
      </c>
      <c r="P77" s="67">
        <v>52.28213032495249</v>
      </c>
      <c r="Q77" s="66">
        <v>0</v>
      </c>
      <c r="R77" s="67">
        <v>0</v>
      </c>
      <c r="S77" s="66">
        <v>31.1175</v>
      </c>
      <c r="T77" s="66">
        <v>0</v>
      </c>
      <c r="U77" s="66">
        <v>76.909293200000008</v>
      </c>
      <c r="V77" s="66">
        <v>31.1175</v>
      </c>
      <c r="W77" s="66">
        <v>45.791793200000001</v>
      </c>
      <c r="X77" s="66">
        <v>31.1175</v>
      </c>
      <c r="Y77" s="66">
        <v>0</v>
      </c>
      <c r="Z77" s="66">
        <v>76.909293200000008</v>
      </c>
      <c r="AA77" s="66">
        <v>31.1175</v>
      </c>
      <c r="AB77" s="66">
        <v>0</v>
      </c>
      <c r="AC77" s="66">
        <v>45.791793200000001</v>
      </c>
      <c r="AD77" s="67">
        <v>100</v>
      </c>
      <c r="AE77" s="67">
        <v>100</v>
      </c>
      <c r="AF77" s="67">
        <v>59.540000037342686</v>
      </c>
      <c r="AG77" s="67">
        <v>0</v>
      </c>
      <c r="AH77" s="67">
        <v>0</v>
      </c>
      <c r="AI77" s="66">
        <v>0</v>
      </c>
      <c r="AJ77" s="66">
        <v>0</v>
      </c>
      <c r="AK77" s="66">
        <v>0</v>
      </c>
      <c r="AL77" s="66">
        <v>0</v>
      </c>
      <c r="AM77" s="66">
        <v>0</v>
      </c>
      <c r="AN77" s="66">
        <v>0</v>
      </c>
      <c r="AO77" s="66">
        <v>0</v>
      </c>
      <c r="AP77" s="66">
        <v>0</v>
      </c>
      <c r="AQ77" s="66">
        <v>0</v>
      </c>
      <c r="AR77" s="66">
        <v>0</v>
      </c>
      <c r="AS77" s="66">
        <v>0</v>
      </c>
      <c r="AT77" s="67" t="s">
        <v>1094</v>
      </c>
      <c r="AU77" s="67" t="s">
        <v>1094</v>
      </c>
      <c r="AV77" s="67">
        <v>0</v>
      </c>
      <c r="AW77" s="67">
        <v>0</v>
      </c>
      <c r="AX77" s="67">
        <v>0</v>
      </c>
      <c r="AY77" s="66">
        <v>56.238999999999997</v>
      </c>
      <c r="AZ77" s="66">
        <v>0</v>
      </c>
      <c r="BA77" s="66">
        <v>111.75093814</v>
      </c>
      <c r="BB77" s="66">
        <v>56.238999999999997</v>
      </c>
      <c r="BC77" s="66">
        <v>55.511938139999998</v>
      </c>
      <c r="BD77" s="66">
        <v>56.238999999999997</v>
      </c>
      <c r="BE77" s="66">
        <v>0</v>
      </c>
      <c r="BF77" s="66">
        <v>111.75093814</v>
      </c>
      <c r="BG77" s="66">
        <v>56.238999999999997</v>
      </c>
      <c r="BH77" s="66">
        <v>0</v>
      </c>
      <c r="BI77" s="66">
        <v>55.511938139999998</v>
      </c>
      <c r="BJ77" s="67">
        <v>100</v>
      </c>
      <c r="BK77" s="67">
        <v>100</v>
      </c>
      <c r="BL77" s="67">
        <v>49.674695411017865</v>
      </c>
      <c r="BM77" s="67">
        <v>0</v>
      </c>
      <c r="BN77" s="67">
        <v>0</v>
      </c>
      <c r="BO77" s="66">
        <v>0</v>
      </c>
      <c r="BP77" s="66">
        <v>0</v>
      </c>
      <c r="BQ77" s="66">
        <v>0</v>
      </c>
      <c r="BR77" s="66">
        <v>0</v>
      </c>
      <c r="BS77" s="66">
        <v>0</v>
      </c>
      <c r="BT77" s="66">
        <v>0</v>
      </c>
      <c r="BU77" s="66">
        <v>0</v>
      </c>
      <c r="BV77" s="66">
        <v>0</v>
      </c>
      <c r="BW77" s="66">
        <v>0</v>
      </c>
      <c r="BX77" s="66">
        <v>0</v>
      </c>
      <c r="BY77" s="66">
        <v>0</v>
      </c>
      <c r="BZ77" s="67" t="s">
        <v>1094</v>
      </c>
      <c r="CA77" s="67" t="s">
        <v>1094</v>
      </c>
      <c r="CB77" s="67">
        <v>0</v>
      </c>
      <c r="CC77" s="67">
        <v>0</v>
      </c>
      <c r="CD77" s="67">
        <v>0</v>
      </c>
      <c r="CE77" s="66">
        <v>0</v>
      </c>
      <c r="CF77" s="66">
        <v>0</v>
      </c>
      <c r="CG77" s="66">
        <v>0</v>
      </c>
      <c r="CH77" s="66">
        <v>0</v>
      </c>
      <c r="CI77" s="66">
        <v>0</v>
      </c>
      <c r="CJ77" s="66">
        <v>0</v>
      </c>
      <c r="CK77" s="66">
        <v>0</v>
      </c>
      <c r="CL77" s="66">
        <v>0</v>
      </c>
      <c r="CM77" s="66">
        <v>0</v>
      </c>
      <c r="CN77" s="66">
        <v>0</v>
      </c>
      <c r="CO77" s="66">
        <v>0</v>
      </c>
      <c r="CP77" s="67" t="s">
        <v>1094</v>
      </c>
      <c r="CQ77" s="67" t="s">
        <v>1094</v>
      </c>
      <c r="CR77" s="67">
        <v>0</v>
      </c>
      <c r="CS77" s="67">
        <v>0</v>
      </c>
      <c r="CT77" s="67">
        <v>0</v>
      </c>
      <c r="CU77" s="66">
        <v>0</v>
      </c>
      <c r="CV77" s="66">
        <v>0</v>
      </c>
      <c r="CW77" s="66">
        <v>0</v>
      </c>
      <c r="CX77" s="66">
        <v>0</v>
      </c>
      <c r="CY77" s="66">
        <v>0</v>
      </c>
      <c r="CZ77" s="66">
        <v>0</v>
      </c>
      <c r="DA77" s="66">
        <v>0</v>
      </c>
      <c r="DB77" s="66">
        <v>0</v>
      </c>
      <c r="DC77" s="66">
        <v>0</v>
      </c>
      <c r="DD77" s="66">
        <v>0</v>
      </c>
      <c r="DE77" s="66">
        <v>0</v>
      </c>
      <c r="DF77" s="67" t="s">
        <v>1094</v>
      </c>
      <c r="DG77" s="67" t="s">
        <v>1094</v>
      </c>
      <c r="DH77" s="67">
        <v>0</v>
      </c>
      <c r="DI77" s="67">
        <v>0</v>
      </c>
      <c r="DJ77" s="67">
        <v>0</v>
      </c>
      <c r="DK77" s="66">
        <v>0.50700000000000001</v>
      </c>
      <c r="DL77" s="66">
        <v>0</v>
      </c>
      <c r="DM77" s="66">
        <v>3.3072407099999999</v>
      </c>
      <c r="DN77" s="66">
        <v>0.50700000000000001</v>
      </c>
      <c r="DO77" s="66">
        <v>2.8002407099999997</v>
      </c>
      <c r="DP77" s="66">
        <v>0.50700000000000001</v>
      </c>
      <c r="DQ77" s="66">
        <v>0</v>
      </c>
      <c r="DR77" s="66">
        <v>3.3072407099999999</v>
      </c>
      <c r="DS77" s="66">
        <v>0.50700000000000001</v>
      </c>
      <c r="DT77" s="66">
        <v>0</v>
      </c>
      <c r="DU77" s="66">
        <v>2.8002407099999997</v>
      </c>
      <c r="DV77" s="67">
        <v>100</v>
      </c>
      <c r="DW77" s="67">
        <v>100</v>
      </c>
      <c r="DX77" s="67">
        <v>84.670000025489529</v>
      </c>
      <c r="DY77" s="67">
        <v>0</v>
      </c>
      <c r="DZ77" s="67">
        <v>0</v>
      </c>
      <c r="EA77" s="66">
        <v>0</v>
      </c>
      <c r="EB77" s="66">
        <v>0</v>
      </c>
      <c r="EC77" s="66">
        <v>0</v>
      </c>
      <c r="ED77" s="66">
        <v>0</v>
      </c>
      <c r="EE77" s="66">
        <v>0</v>
      </c>
      <c r="EF77" s="66">
        <v>0</v>
      </c>
      <c r="EG77" s="66">
        <v>0</v>
      </c>
      <c r="EH77" s="66">
        <v>0</v>
      </c>
      <c r="EI77" s="66">
        <v>0</v>
      </c>
      <c r="EJ77" s="66">
        <v>0</v>
      </c>
      <c r="EK77" s="66">
        <v>0</v>
      </c>
      <c r="EL77" s="67" t="s">
        <v>1094</v>
      </c>
      <c r="EM77" s="67" t="s">
        <v>1094</v>
      </c>
      <c r="EN77" s="67">
        <v>0</v>
      </c>
      <c r="EO77" s="67">
        <v>0</v>
      </c>
      <c r="EP77" s="67">
        <v>0</v>
      </c>
      <c r="EQ77" s="66">
        <v>1.1839999999999999</v>
      </c>
      <c r="ER77" s="66">
        <v>0</v>
      </c>
      <c r="ES77" s="66">
        <v>3.4977999999999998</v>
      </c>
      <c r="ET77" s="66">
        <v>1.1839999999999999</v>
      </c>
      <c r="EU77" s="66">
        <v>2.3138000000000001</v>
      </c>
      <c r="EV77" s="66">
        <v>1.1839999999999999</v>
      </c>
      <c r="EW77" s="66">
        <v>0</v>
      </c>
      <c r="EX77" s="66">
        <v>3.4977999999999998</v>
      </c>
      <c r="EY77" s="66">
        <v>1.1839999999999999</v>
      </c>
      <c r="EZ77" s="66">
        <v>0</v>
      </c>
      <c r="FA77" s="66">
        <v>2.3138000000000001</v>
      </c>
      <c r="FB77" s="67">
        <v>100</v>
      </c>
      <c r="FC77" s="67">
        <v>100</v>
      </c>
      <c r="FD77" s="67">
        <v>66.150151523814969</v>
      </c>
      <c r="FE77" s="67">
        <v>0</v>
      </c>
      <c r="FF77" s="67">
        <v>0</v>
      </c>
      <c r="FG77" s="66">
        <v>0</v>
      </c>
      <c r="FH77" s="66">
        <v>0</v>
      </c>
      <c r="FI77" s="66">
        <v>0</v>
      </c>
      <c r="FJ77" s="66">
        <v>0</v>
      </c>
      <c r="FK77" s="66">
        <v>0</v>
      </c>
      <c r="FL77" s="66">
        <v>0</v>
      </c>
      <c r="FM77" s="66">
        <v>0</v>
      </c>
      <c r="FN77" s="66">
        <v>0</v>
      </c>
      <c r="FO77" s="66">
        <v>0</v>
      </c>
      <c r="FP77" s="66">
        <v>0</v>
      </c>
      <c r="FQ77" s="66">
        <v>0</v>
      </c>
      <c r="FR77" s="67" t="s">
        <v>1094</v>
      </c>
      <c r="FS77" s="67" t="s">
        <v>1094</v>
      </c>
      <c r="FT77" s="67">
        <v>0</v>
      </c>
      <c r="FU77" s="67">
        <v>0</v>
      </c>
      <c r="FV77" s="67">
        <v>0</v>
      </c>
      <c r="FW77" s="66">
        <v>50.070399999999999</v>
      </c>
      <c r="FX77" s="66">
        <v>0</v>
      </c>
      <c r="FY77" s="66">
        <v>95.064363010000008</v>
      </c>
      <c r="FZ77" s="66">
        <v>50.070399999999999</v>
      </c>
      <c r="GA77" s="66">
        <v>44.993963009999995</v>
      </c>
      <c r="GB77" s="66">
        <v>50.070399999999999</v>
      </c>
      <c r="GC77" s="66">
        <v>0</v>
      </c>
      <c r="GD77" s="66">
        <v>95.064363010000008</v>
      </c>
      <c r="GE77" s="66">
        <v>50.070399999999999</v>
      </c>
      <c r="GF77" s="66">
        <v>0</v>
      </c>
      <c r="GG77" s="66">
        <v>44.993963009999995</v>
      </c>
      <c r="GH77" s="67">
        <v>100</v>
      </c>
      <c r="GI77" s="67">
        <v>100</v>
      </c>
      <c r="GJ77" s="67">
        <v>47.329999997230288</v>
      </c>
      <c r="GK77" s="67">
        <v>0</v>
      </c>
      <c r="GL77" s="67">
        <v>0</v>
      </c>
      <c r="GM77" s="66">
        <v>0</v>
      </c>
      <c r="GN77" s="66">
        <v>0</v>
      </c>
      <c r="GO77" s="66">
        <v>0</v>
      </c>
      <c r="GP77" s="66">
        <v>0</v>
      </c>
      <c r="GQ77" s="66">
        <v>0</v>
      </c>
      <c r="GR77" s="66">
        <v>0</v>
      </c>
      <c r="GS77" s="66">
        <v>0</v>
      </c>
      <c r="GT77" s="66">
        <v>0</v>
      </c>
      <c r="GU77" s="66">
        <v>0</v>
      </c>
      <c r="GV77" s="66">
        <v>0</v>
      </c>
      <c r="GW77" s="66">
        <v>0</v>
      </c>
      <c r="GX77" s="67" t="s">
        <v>1094</v>
      </c>
      <c r="GY77" s="67" t="s">
        <v>1094</v>
      </c>
      <c r="GZ77" s="67">
        <v>0</v>
      </c>
      <c r="HA77" s="67">
        <v>0</v>
      </c>
      <c r="HB77" s="67">
        <v>0</v>
      </c>
      <c r="HC77" s="66">
        <v>1.8136000000000001</v>
      </c>
      <c r="HD77" s="66">
        <v>0</v>
      </c>
      <c r="HE77" s="66">
        <v>4.8136000000000001</v>
      </c>
      <c r="HF77" s="66">
        <v>1.8136000000000001</v>
      </c>
      <c r="HG77" s="66">
        <v>3</v>
      </c>
      <c r="HH77" s="66">
        <v>1.8136000000000001</v>
      </c>
      <c r="HI77" s="66">
        <v>0</v>
      </c>
      <c r="HJ77" s="66">
        <v>4.8136000000000001</v>
      </c>
      <c r="HK77" s="66">
        <v>1.8136000000000001</v>
      </c>
      <c r="HL77" s="66">
        <v>0</v>
      </c>
      <c r="HM77" s="66">
        <v>3</v>
      </c>
      <c r="HN77" s="67">
        <v>100</v>
      </c>
      <c r="HO77" s="67">
        <v>100</v>
      </c>
      <c r="HP77" s="67">
        <v>62.323416985208581</v>
      </c>
      <c r="HQ77" s="67">
        <v>0</v>
      </c>
      <c r="HR77" s="67">
        <v>0</v>
      </c>
      <c r="HS77" s="66">
        <v>0</v>
      </c>
      <c r="HT77" s="66">
        <v>0</v>
      </c>
      <c r="HU77" s="66">
        <v>0</v>
      </c>
      <c r="HV77" s="66">
        <v>0</v>
      </c>
      <c r="HW77" s="66">
        <v>0</v>
      </c>
      <c r="HX77" s="66">
        <v>0</v>
      </c>
      <c r="HY77" s="66">
        <v>0</v>
      </c>
      <c r="HZ77" s="66">
        <v>0</v>
      </c>
      <c r="IA77" s="66">
        <v>0</v>
      </c>
      <c r="IB77" s="66">
        <v>0</v>
      </c>
      <c r="IC77" s="66">
        <v>0</v>
      </c>
      <c r="ID77" s="67" t="s">
        <v>1094</v>
      </c>
      <c r="IE77" s="67" t="s">
        <v>1094</v>
      </c>
      <c r="IF77" s="67">
        <v>0</v>
      </c>
      <c r="IG77" s="67">
        <v>0</v>
      </c>
      <c r="IH77" s="67">
        <v>0</v>
      </c>
    </row>
    <row r="78" spans="1:242" ht="15.75" x14ac:dyDescent="0.25">
      <c r="A78" s="11">
        <v>67</v>
      </c>
      <c r="B78" s="189" t="s">
        <v>179</v>
      </c>
      <c r="C78" s="66">
        <v>70.610399999999998</v>
      </c>
      <c r="D78" s="66">
        <v>0</v>
      </c>
      <c r="E78" s="66">
        <v>270.17645700000003</v>
      </c>
      <c r="F78" s="66">
        <v>70.610399999999998</v>
      </c>
      <c r="G78" s="66">
        <v>199.566057</v>
      </c>
      <c r="H78" s="66">
        <v>69.524702229999988</v>
      </c>
      <c r="I78" s="66">
        <v>0.67779999999999996</v>
      </c>
      <c r="J78" s="66">
        <v>265.60956733</v>
      </c>
      <c r="K78" s="66">
        <v>69.524702229999988</v>
      </c>
      <c r="L78" s="66">
        <v>0</v>
      </c>
      <c r="M78" s="66">
        <v>196.0848651</v>
      </c>
      <c r="N78" s="67">
        <v>98.462410962124551</v>
      </c>
      <c r="O78" s="67">
        <v>98.255619240901268</v>
      </c>
      <c r="P78" s="67">
        <v>73.824473670550901</v>
      </c>
      <c r="Q78" s="66">
        <v>0.67779999999999996</v>
      </c>
      <c r="R78" s="67">
        <v>4.8849813083506888E-15</v>
      </c>
      <c r="S78" s="66">
        <v>51.381799999999998</v>
      </c>
      <c r="T78" s="66">
        <v>0</v>
      </c>
      <c r="U78" s="66">
        <v>189.58179999999999</v>
      </c>
      <c r="V78" s="66">
        <v>51.381799999999998</v>
      </c>
      <c r="W78" s="66">
        <v>138.19999999999999</v>
      </c>
      <c r="X78" s="66">
        <v>51.381799999999998</v>
      </c>
      <c r="Y78" s="66">
        <v>0.67779999999999996</v>
      </c>
      <c r="Z78" s="66">
        <v>189.58179999999999</v>
      </c>
      <c r="AA78" s="66">
        <v>51.381799999999998</v>
      </c>
      <c r="AB78" s="66">
        <v>0</v>
      </c>
      <c r="AC78" s="66">
        <v>138.19999999999999</v>
      </c>
      <c r="AD78" s="67">
        <v>100</v>
      </c>
      <c r="AE78" s="67">
        <v>100</v>
      </c>
      <c r="AF78" s="67">
        <v>72.89729288359959</v>
      </c>
      <c r="AG78" s="67">
        <v>0.67779999999999996</v>
      </c>
      <c r="AH78" s="67">
        <v>-2.2204460492503131E-15</v>
      </c>
      <c r="AI78" s="66">
        <v>0</v>
      </c>
      <c r="AJ78" s="66">
        <v>0</v>
      </c>
      <c r="AK78" s="66">
        <v>0</v>
      </c>
      <c r="AL78" s="66">
        <v>0</v>
      </c>
      <c r="AM78" s="66">
        <v>0</v>
      </c>
      <c r="AN78" s="66">
        <v>0</v>
      </c>
      <c r="AO78" s="66">
        <v>0</v>
      </c>
      <c r="AP78" s="66">
        <v>0</v>
      </c>
      <c r="AQ78" s="66">
        <v>0</v>
      </c>
      <c r="AR78" s="66">
        <v>0</v>
      </c>
      <c r="AS78" s="66">
        <v>0</v>
      </c>
      <c r="AT78" s="67" t="s">
        <v>1094</v>
      </c>
      <c r="AU78" s="67" t="s">
        <v>1094</v>
      </c>
      <c r="AV78" s="67">
        <v>0</v>
      </c>
      <c r="AW78" s="67">
        <v>0</v>
      </c>
      <c r="AX78" s="67">
        <v>0</v>
      </c>
      <c r="AY78" s="66">
        <v>19.045000000000002</v>
      </c>
      <c r="AZ78" s="66">
        <v>0</v>
      </c>
      <c r="BA78" s="66">
        <v>80.111057000000002</v>
      </c>
      <c r="BB78" s="66">
        <v>19.045000000000002</v>
      </c>
      <c r="BC78" s="66">
        <v>61.066057000000001</v>
      </c>
      <c r="BD78" s="66">
        <v>17.959302229999999</v>
      </c>
      <c r="BE78" s="66">
        <v>0</v>
      </c>
      <c r="BF78" s="66">
        <v>75.544167329999993</v>
      </c>
      <c r="BG78" s="66">
        <v>17.959302229999999</v>
      </c>
      <c r="BH78" s="66">
        <v>0</v>
      </c>
      <c r="BI78" s="66">
        <v>57.584865100000002</v>
      </c>
      <c r="BJ78" s="67">
        <v>94.299302861643469</v>
      </c>
      <c r="BK78" s="67">
        <v>94.299301328723416</v>
      </c>
      <c r="BL78" s="67">
        <v>76.226752025013027</v>
      </c>
      <c r="BM78" s="67">
        <v>0</v>
      </c>
      <c r="BN78" s="67">
        <v>0</v>
      </c>
      <c r="BO78" s="66">
        <v>0</v>
      </c>
      <c r="BP78" s="66">
        <v>0</v>
      </c>
      <c r="BQ78" s="66">
        <v>0</v>
      </c>
      <c r="BR78" s="66">
        <v>0</v>
      </c>
      <c r="BS78" s="66">
        <v>0</v>
      </c>
      <c r="BT78" s="66">
        <v>0</v>
      </c>
      <c r="BU78" s="66">
        <v>0</v>
      </c>
      <c r="BV78" s="66">
        <v>0</v>
      </c>
      <c r="BW78" s="66">
        <v>0</v>
      </c>
      <c r="BX78" s="66">
        <v>0</v>
      </c>
      <c r="BY78" s="66">
        <v>0</v>
      </c>
      <c r="BZ78" s="67" t="s">
        <v>1094</v>
      </c>
      <c r="CA78" s="67" t="s">
        <v>1094</v>
      </c>
      <c r="CB78" s="67">
        <v>0</v>
      </c>
      <c r="CC78" s="67">
        <v>0</v>
      </c>
      <c r="CD78" s="67">
        <v>0</v>
      </c>
      <c r="CE78" s="66">
        <v>0</v>
      </c>
      <c r="CF78" s="66">
        <v>0</v>
      </c>
      <c r="CG78" s="66">
        <v>0</v>
      </c>
      <c r="CH78" s="66">
        <v>0</v>
      </c>
      <c r="CI78" s="66">
        <v>0</v>
      </c>
      <c r="CJ78" s="66">
        <v>0</v>
      </c>
      <c r="CK78" s="66">
        <v>0</v>
      </c>
      <c r="CL78" s="66">
        <v>0</v>
      </c>
      <c r="CM78" s="66">
        <v>0</v>
      </c>
      <c r="CN78" s="66">
        <v>0</v>
      </c>
      <c r="CO78" s="66">
        <v>0</v>
      </c>
      <c r="CP78" s="67" t="s">
        <v>1094</v>
      </c>
      <c r="CQ78" s="67" t="s">
        <v>1094</v>
      </c>
      <c r="CR78" s="67">
        <v>0</v>
      </c>
      <c r="CS78" s="67">
        <v>0</v>
      </c>
      <c r="CT78" s="67">
        <v>0</v>
      </c>
      <c r="CU78" s="66">
        <v>0</v>
      </c>
      <c r="CV78" s="66">
        <v>0</v>
      </c>
      <c r="CW78" s="66">
        <v>0</v>
      </c>
      <c r="CX78" s="66">
        <v>0</v>
      </c>
      <c r="CY78" s="66">
        <v>0</v>
      </c>
      <c r="CZ78" s="66">
        <v>0</v>
      </c>
      <c r="DA78" s="66">
        <v>0</v>
      </c>
      <c r="DB78" s="66">
        <v>0</v>
      </c>
      <c r="DC78" s="66">
        <v>0</v>
      </c>
      <c r="DD78" s="66">
        <v>0</v>
      </c>
      <c r="DE78" s="66">
        <v>0</v>
      </c>
      <c r="DF78" s="67" t="s">
        <v>1094</v>
      </c>
      <c r="DG78" s="67" t="s">
        <v>1094</v>
      </c>
      <c r="DH78" s="67">
        <v>0</v>
      </c>
      <c r="DI78" s="67">
        <v>0</v>
      </c>
      <c r="DJ78" s="67">
        <v>0</v>
      </c>
      <c r="DK78" s="66">
        <v>0</v>
      </c>
      <c r="DL78" s="66">
        <v>0</v>
      </c>
      <c r="DM78" s="66">
        <v>0</v>
      </c>
      <c r="DN78" s="66">
        <v>0</v>
      </c>
      <c r="DO78" s="66">
        <v>0</v>
      </c>
      <c r="DP78" s="66">
        <v>0</v>
      </c>
      <c r="DQ78" s="66">
        <v>0</v>
      </c>
      <c r="DR78" s="66">
        <v>0</v>
      </c>
      <c r="DS78" s="66">
        <v>0</v>
      </c>
      <c r="DT78" s="66">
        <v>0</v>
      </c>
      <c r="DU78" s="66">
        <v>0</v>
      </c>
      <c r="DV78" s="67" t="s">
        <v>1094</v>
      </c>
      <c r="DW78" s="67" t="s">
        <v>1094</v>
      </c>
      <c r="DX78" s="67">
        <v>0</v>
      </c>
      <c r="DY78" s="67">
        <v>0</v>
      </c>
      <c r="DZ78" s="67">
        <v>0</v>
      </c>
      <c r="EA78" s="66">
        <v>0</v>
      </c>
      <c r="EB78" s="66">
        <v>0</v>
      </c>
      <c r="EC78" s="66">
        <v>0</v>
      </c>
      <c r="ED78" s="66">
        <v>0</v>
      </c>
      <c r="EE78" s="66">
        <v>0</v>
      </c>
      <c r="EF78" s="66">
        <v>0</v>
      </c>
      <c r="EG78" s="66">
        <v>0</v>
      </c>
      <c r="EH78" s="66">
        <v>0</v>
      </c>
      <c r="EI78" s="66">
        <v>0</v>
      </c>
      <c r="EJ78" s="66">
        <v>0</v>
      </c>
      <c r="EK78" s="66">
        <v>0</v>
      </c>
      <c r="EL78" s="67" t="s">
        <v>1094</v>
      </c>
      <c r="EM78" s="67" t="s">
        <v>1094</v>
      </c>
      <c r="EN78" s="67">
        <v>0</v>
      </c>
      <c r="EO78" s="67">
        <v>0</v>
      </c>
      <c r="EP78" s="67">
        <v>0</v>
      </c>
      <c r="EQ78" s="66">
        <v>0</v>
      </c>
      <c r="ER78" s="66">
        <v>0</v>
      </c>
      <c r="ES78" s="66">
        <v>0</v>
      </c>
      <c r="ET78" s="66">
        <v>0</v>
      </c>
      <c r="EU78" s="66">
        <v>0</v>
      </c>
      <c r="EV78" s="66">
        <v>0</v>
      </c>
      <c r="EW78" s="66">
        <v>0</v>
      </c>
      <c r="EX78" s="66">
        <v>0</v>
      </c>
      <c r="EY78" s="66">
        <v>0</v>
      </c>
      <c r="EZ78" s="66">
        <v>0</v>
      </c>
      <c r="FA78" s="66">
        <v>0</v>
      </c>
      <c r="FB78" s="67" t="s">
        <v>1094</v>
      </c>
      <c r="FC78" s="67" t="s">
        <v>1094</v>
      </c>
      <c r="FD78" s="67">
        <v>0</v>
      </c>
      <c r="FE78" s="67">
        <v>0</v>
      </c>
      <c r="FF78" s="67">
        <v>0</v>
      </c>
      <c r="FG78" s="66">
        <v>0</v>
      </c>
      <c r="FH78" s="66">
        <v>0</v>
      </c>
      <c r="FI78" s="66">
        <v>0</v>
      </c>
      <c r="FJ78" s="66">
        <v>0</v>
      </c>
      <c r="FK78" s="66">
        <v>0</v>
      </c>
      <c r="FL78" s="66">
        <v>0</v>
      </c>
      <c r="FM78" s="66">
        <v>0</v>
      </c>
      <c r="FN78" s="66">
        <v>0</v>
      </c>
      <c r="FO78" s="66">
        <v>0</v>
      </c>
      <c r="FP78" s="66">
        <v>0</v>
      </c>
      <c r="FQ78" s="66">
        <v>0</v>
      </c>
      <c r="FR78" s="67" t="s">
        <v>1094</v>
      </c>
      <c r="FS78" s="67" t="s">
        <v>1094</v>
      </c>
      <c r="FT78" s="67">
        <v>0</v>
      </c>
      <c r="FU78" s="67">
        <v>0</v>
      </c>
      <c r="FV78" s="67">
        <v>0</v>
      </c>
      <c r="FW78" s="66">
        <v>0</v>
      </c>
      <c r="FX78" s="66">
        <v>0</v>
      </c>
      <c r="FY78" s="66">
        <v>0</v>
      </c>
      <c r="FZ78" s="66">
        <v>0</v>
      </c>
      <c r="GA78" s="66">
        <v>0</v>
      </c>
      <c r="GB78" s="66">
        <v>0</v>
      </c>
      <c r="GC78" s="66">
        <v>0</v>
      </c>
      <c r="GD78" s="66">
        <v>0</v>
      </c>
      <c r="GE78" s="66">
        <v>0</v>
      </c>
      <c r="GF78" s="66">
        <v>0</v>
      </c>
      <c r="GG78" s="66">
        <v>0</v>
      </c>
      <c r="GH78" s="67" t="s">
        <v>1094</v>
      </c>
      <c r="GI78" s="67" t="s">
        <v>1094</v>
      </c>
      <c r="GJ78" s="67">
        <v>0</v>
      </c>
      <c r="GK78" s="67">
        <v>0</v>
      </c>
      <c r="GL78" s="67">
        <v>0</v>
      </c>
      <c r="GM78" s="66">
        <v>0</v>
      </c>
      <c r="GN78" s="66">
        <v>0</v>
      </c>
      <c r="GO78" s="66">
        <v>0</v>
      </c>
      <c r="GP78" s="66">
        <v>0</v>
      </c>
      <c r="GQ78" s="66">
        <v>0</v>
      </c>
      <c r="GR78" s="66">
        <v>0</v>
      </c>
      <c r="GS78" s="66">
        <v>0</v>
      </c>
      <c r="GT78" s="66">
        <v>0</v>
      </c>
      <c r="GU78" s="66">
        <v>0</v>
      </c>
      <c r="GV78" s="66">
        <v>0</v>
      </c>
      <c r="GW78" s="66">
        <v>0</v>
      </c>
      <c r="GX78" s="67" t="s">
        <v>1094</v>
      </c>
      <c r="GY78" s="67" t="s">
        <v>1094</v>
      </c>
      <c r="GZ78" s="67">
        <v>0</v>
      </c>
      <c r="HA78" s="67">
        <v>0</v>
      </c>
      <c r="HB78" s="67">
        <v>0</v>
      </c>
      <c r="HC78" s="66">
        <v>0.18360000000000001</v>
      </c>
      <c r="HD78" s="66">
        <v>0</v>
      </c>
      <c r="HE78" s="66">
        <v>0.48359999999999997</v>
      </c>
      <c r="HF78" s="66">
        <v>0.18360000000000001</v>
      </c>
      <c r="HG78" s="66">
        <v>0.3</v>
      </c>
      <c r="HH78" s="66">
        <v>0.18360000000000001</v>
      </c>
      <c r="HI78" s="66">
        <v>0</v>
      </c>
      <c r="HJ78" s="66">
        <v>0.48359999999999997</v>
      </c>
      <c r="HK78" s="66">
        <v>0.18360000000000001</v>
      </c>
      <c r="HL78" s="66">
        <v>0</v>
      </c>
      <c r="HM78" s="66">
        <v>0.3</v>
      </c>
      <c r="HN78" s="67">
        <v>100</v>
      </c>
      <c r="HO78" s="67">
        <v>100</v>
      </c>
      <c r="HP78" s="67">
        <v>62.034739454094293</v>
      </c>
      <c r="HQ78" s="67">
        <v>0</v>
      </c>
      <c r="HR78" s="67">
        <v>0</v>
      </c>
      <c r="HS78" s="66">
        <v>0</v>
      </c>
      <c r="HT78" s="66">
        <v>0</v>
      </c>
      <c r="HU78" s="66">
        <v>0</v>
      </c>
      <c r="HV78" s="66">
        <v>0</v>
      </c>
      <c r="HW78" s="66">
        <v>0</v>
      </c>
      <c r="HX78" s="66">
        <v>0</v>
      </c>
      <c r="HY78" s="66">
        <v>0</v>
      </c>
      <c r="HZ78" s="66">
        <v>0</v>
      </c>
      <c r="IA78" s="66">
        <v>0</v>
      </c>
      <c r="IB78" s="66">
        <v>0</v>
      </c>
      <c r="IC78" s="66">
        <v>0</v>
      </c>
      <c r="ID78" s="67" t="s">
        <v>1094</v>
      </c>
      <c r="IE78" s="67" t="s">
        <v>1094</v>
      </c>
      <c r="IF78" s="67">
        <v>0</v>
      </c>
      <c r="IG78" s="67">
        <v>0</v>
      </c>
      <c r="IH78" s="67">
        <v>0</v>
      </c>
    </row>
    <row r="79" spans="1:242" ht="15.75" x14ac:dyDescent="0.25">
      <c r="A79" s="11">
        <v>68</v>
      </c>
      <c r="B79" s="189" t="s">
        <v>182</v>
      </c>
      <c r="C79" s="66">
        <v>68.024300000000011</v>
      </c>
      <c r="D79" s="66">
        <v>0</v>
      </c>
      <c r="E79" s="66">
        <v>280.16430000000003</v>
      </c>
      <c r="F79" s="66">
        <v>68.024300000000011</v>
      </c>
      <c r="G79" s="66">
        <v>212.14</v>
      </c>
      <c r="H79" s="66">
        <v>67.948144580000005</v>
      </c>
      <c r="I79" s="66">
        <v>5.7869786300000001</v>
      </c>
      <c r="J79" s="66">
        <v>279.80351761000003</v>
      </c>
      <c r="K79" s="66">
        <v>67.937372600000003</v>
      </c>
      <c r="L79" s="66">
        <v>0</v>
      </c>
      <c r="M79" s="66">
        <v>211.86614501</v>
      </c>
      <c r="N79" s="67">
        <v>99.872211253919545</v>
      </c>
      <c r="O79" s="67">
        <v>99.870908367116058</v>
      </c>
      <c r="P79" s="67">
        <v>75.71961454226836</v>
      </c>
      <c r="Q79" s="66">
        <v>5.4882915500000005</v>
      </c>
      <c r="R79" s="67">
        <v>0.309459060000008</v>
      </c>
      <c r="S79" s="66">
        <v>67.179500000000004</v>
      </c>
      <c r="T79" s="66">
        <v>0</v>
      </c>
      <c r="U79" s="66">
        <v>278.81950000000001</v>
      </c>
      <c r="V79" s="66">
        <v>67.179500000000004</v>
      </c>
      <c r="W79" s="66">
        <v>211.64</v>
      </c>
      <c r="X79" s="66">
        <v>67.103344579999998</v>
      </c>
      <c r="Y79" s="66">
        <v>5.5704429500000003</v>
      </c>
      <c r="Z79" s="66">
        <v>278.45871861000001</v>
      </c>
      <c r="AA79" s="66">
        <v>67.092573229999999</v>
      </c>
      <c r="AB79" s="66">
        <v>0</v>
      </c>
      <c r="AC79" s="66">
        <v>211.36614538000001</v>
      </c>
      <c r="AD79" s="67">
        <v>99.870605214388306</v>
      </c>
      <c r="AE79" s="67">
        <v>99.870603562653571</v>
      </c>
      <c r="AF79" s="67">
        <v>75.905737997750535</v>
      </c>
      <c r="AG79" s="67">
        <v>5.2743041500000007</v>
      </c>
      <c r="AH79" s="67">
        <v>0.30691014999999844</v>
      </c>
      <c r="AI79" s="66">
        <v>0</v>
      </c>
      <c r="AJ79" s="66">
        <v>0</v>
      </c>
      <c r="AK79" s="66">
        <v>0</v>
      </c>
      <c r="AL79" s="66">
        <v>0</v>
      </c>
      <c r="AM79" s="66">
        <v>0</v>
      </c>
      <c r="AN79" s="66">
        <v>0</v>
      </c>
      <c r="AO79" s="66">
        <v>0.21653567999999998</v>
      </c>
      <c r="AP79" s="66">
        <v>0</v>
      </c>
      <c r="AQ79" s="66">
        <v>0</v>
      </c>
      <c r="AR79" s="66">
        <v>0</v>
      </c>
      <c r="AS79" s="66">
        <v>0</v>
      </c>
      <c r="AT79" s="67" t="s">
        <v>1094</v>
      </c>
      <c r="AU79" s="67" t="s">
        <v>1094</v>
      </c>
      <c r="AV79" s="67">
        <v>0</v>
      </c>
      <c r="AW79" s="67">
        <v>0.21398739999999999</v>
      </c>
      <c r="AX79" s="67">
        <v>2.5482799999999861E-3</v>
      </c>
      <c r="AY79" s="66">
        <v>0</v>
      </c>
      <c r="AZ79" s="66">
        <v>0</v>
      </c>
      <c r="BA79" s="66">
        <v>0</v>
      </c>
      <c r="BB79" s="66">
        <v>0</v>
      </c>
      <c r="BC79" s="66">
        <v>0</v>
      </c>
      <c r="BD79" s="66">
        <v>0</v>
      </c>
      <c r="BE79" s="66">
        <v>0</v>
      </c>
      <c r="BF79" s="66">
        <v>0</v>
      </c>
      <c r="BG79" s="66">
        <v>0</v>
      </c>
      <c r="BH79" s="66">
        <v>0</v>
      </c>
      <c r="BI79" s="66">
        <v>0</v>
      </c>
      <c r="BJ79" s="67" t="s">
        <v>1094</v>
      </c>
      <c r="BK79" s="67" t="s">
        <v>1094</v>
      </c>
      <c r="BL79" s="67">
        <v>0</v>
      </c>
      <c r="BM79" s="67">
        <v>0</v>
      </c>
      <c r="BN79" s="67">
        <v>0</v>
      </c>
      <c r="BO79" s="66">
        <v>0</v>
      </c>
      <c r="BP79" s="66">
        <v>0</v>
      </c>
      <c r="BQ79" s="66">
        <v>0</v>
      </c>
      <c r="BR79" s="66">
        <v>0</v>
      </c>
      <c r="BS79" s="66">
        <v>0</v>
      </c>
      <c r="BT79" s="66">
        <v>0</v>
      </c>
      <c r="BU79" s="66">
        <v>0</v>
      </c>
      <c r="BV79" s="66">
        <v>0</v>
      </c>
      <c r="BW79" s="66">
        <v>0</v>
      </c>
      <c r="BX79" s="66">
        <v>0</v>
      </c>
      <c r="BY79" s="66">
        <v>0</v>
      </c>
      <c r="BZ79" s="67" t="s">
        <v>1094</v>
      </c>
      <c r="CA79" s="67" t="s">
        <v>1094</v>
      </c>
      <c r="CB79" s="67">
        <v>0</v>
      </c>
      <c r="CC79" s="67">
        <v>0</v>
      </c>
      <c r="CD79" s="67">
        <v>0</v>
      </c>
      <c r="CE79" s="66">
        <v>0</v>
      </c>
      <c r="CF79" s="66">
        <v>0</v>
      </c>
      <c r="CG79" s="66">
        <v>0</v>
      </c>
      <c r="CH79" s="66">
        <v>0</v>
      </c>
      <c r="CI79" s="66">
        <v>0</v>
      </c>
      <c r="CJ79" s="66">
        <v>0</v>
      </c>
      <c r="CK79" s="66">
        <v>0</v>
      </c>
      <c r="CL79" s="66">
        <v>0</v>
      </c>
      <c r="CM79" s="66">
        <v>0</v>
      </c>
      <c r="CN79" s="66">
        <v>0</v>
      </c>
      <c r="CO79" s="66">
        <v>0</v>
      </c>
      <c r="CP79" s="67" t="s">
        <v>1094</v>
      </c>
      <c r="CQ79" s="67" t="s">
        <v>1094</v>
      </c>
      <c r="CR79" s="67">
        <v>0</v>
      </c>
      <c r="CS79" s="67">
        <v>0</v>
      </c>
      <c r="CT79" s="67">
        <v>0</v>
      </c>
      <c r="CU79" s="66">
        <v>0</v>
      </c>
      <c r="CV79" s="66">
        <v>0</v>
      </c>
      <c r="CW79" s="66">
        <v>0</v>
      </c>
      <c r="CX79" s="66">
        <v>0</v>
      </c>
      <c r="CY79" s="66">
        <v>0</v>
      </c>
      <c r="CZ79" s="66">
        <v>0</v>
      </c>
      <c r="DA79" s="66">
        <v>0</v>
      </c>
      <c r="DB79" s="66">
        <v>0</v>
      </c>
      <c r="DC79" s="66">
        <v>0</v>
      </c>
      <c r="DD79" s="66">
        <v>0</v>
      </c>
      <c r="DE79" s="66">
        <v>0</v>
      </c>
      <c r="DF79" s="67" t="s">
        <v>1094</v>
      </c>
      <c r="DG79" s="67" t="s">
        <v>1094</v>
      </c>
      <c r="DH79" s="67">
        <v>0</v>
      </c>
      <c r="DI79" s="67">
        <v>0</v>
      </c>
      <c r="DJ79" s="67">
        <v>0</v>
      </c>
      <c r="DK79" s="66">
        <v>0</v>
      </c>
      <c r="DL79" s="66">
        <v>0</v>
      </c>
      <c r="DM79" s="66">
        <v>0</v>
      </c>
      <c r="DN79" s="66">
        <v>0</v>
      </c>
      <c r="DO79" s="66">
        <v>0</v>
      </c>
      <c r="DP79" s="66">
        <v>0</v>
      </c>
      <c r="DQ79" s="66">
        <v>0</v>
      </c>
      <c r="DR79" s="66">
        <v>0</v>
      </c>
      <c r="DS79" s="66">
        <v>0</v>
      </c>
      <c r="DT79" s="66">
        <v>0</v>
      </c>
      <c r="DU79" s="66">
        <v>0</v>
      </c>
      <c r="DV79" s="67" t="s">
        <v>1094</v>
      </c>
      <c r="DW79" s="67" t="s">
        <v>1094</v>
      </c>
      <c r="DX79" s="67">
        <v>0</v>
      </c>
      <c r="DY79" s="67">
        <v>0</v>
      </c>
      <c r="DZ79" s="67">
        <v>0</v>
      </c>
      <c r="EA79" s="66">
        <v>0</v>
      </c>
      <c r="EB79" s="66">
        <v>0</v>
      </c>
      <c r="EC79" s="66">
        <v>0</v>
      </c>
      <c r="ED79" s="66">
        <v>0</v>
      </c>
      <c r="EE79" s="66">
        <v>0</v>
      </c>
      <c r="EF79" s="66">
        <v>0</v>
      </c>
      <c r="EG79" s="66">
        <v>0</v>
      </c>
      <c r="EH79" s="66">
        <v>0</v>
      </c>
      <c r="EI79" s="66">
        <v>0</v>
      </c>
      <c r="EJ79" s="66">
        <v>0</v>
      </c>
      <c r="EK79" s="66">
        <v>0</v>
      </c>
      <c r="EL79" s="67" t="s">
        <v>1094</v>
      </c>
      <c r="EM79" s="67" t="s">
        <v>1094</v>
      </c>
      <c r="EN79" s="67">
        <v>0</v>
      </c>
      <c r="EO79" s="67">
        <v>0</v>
      </c>
      <c r="EP79" s="67">
        <v>0</v>
      </c>
      <c r="EQ79" s="66">
        <v>0</v>
      </c>
      <c r="ER79" s="66">
        <v>0</v>
      </c>
      <c r="ES79" s="66">
        <v>0</v>
      </c>
      <c r="ET79" s="66">
        <v>0</v>
      </c>
      <c r="EU79" s="66">
        <v>0</v>
      </c>
      <c r="EV79" s="66">
        <v>0</v>
      </c>
      <c r="EW79" s="66">
        <v>0</v>
      </c>
      <c r="EX79" s="66">
        <v>0</v>
      </c>
      <c r="EY79" s="66">
        <v>0</v>
      </c>
      <c r="EZ79" s="66">
        <v>0</v>
      </c>
      <c r="FA79" s="66">
        <v>0</v>
      </c>
      <c r="FB79" s="67" t="s">
        <v>1094</v>
      </c>
      <c r="FC79" s="67" t="s">
        <v>1094</v>
      </c>
      <c r="FD79" s="67">
        <v>0</v>
      </c>
      <c r="FE79" s="67">
        <v>0</v>
      </c>
      <c r="FF79" s="67">
        <v>0</v>
      </c>
      <c r="FG79" s="66">
        <v>0</v>
      </c>
      <c r="FH79" s="66">
        <v>0</v>
      </c>
      <c r="FI79" s="66">
        <v>0</v>
      </c>
      <c r="FJ79" s="66">
        <v>0</v>
      </c>
      <c r="FK79" s="66">
        <v>0</v>
      </c>
      <c r="FL79" s="66">
        <v>0</v>
      </c>
      <c r="FM79" s="66">
        <v>0</v>
      </c>
      <c r="FN79" s="66">
        <v>0</v>
      </c>
      <c r="FO79" s="66">
        <v>0</v>
      </c>
      <c r="FP79" s="66">
        <v>0</v>
      </c>
      <c r="FQ79" s="66">
        <v>0</v>
      </c>
      <c r="FR79" s="67" t="s">
        <v>1094</v>
      </c>
      <c r="FS79" s="67" t="s">
        <v>1094</v>
      </c>
      <c r="FT79" s="67">
        <v>0</v>
      </c>
      <c r="FU79" s="67">
        <v>0</v>
      </c>
      <c r="FV79" s="67">
        <v>0</v>
      </c>
      <c r="FW79" s="66">
        <v>0</v>
      </c>
      <c r="FX79" s="66">
        <v>0</v>
      </c>
      <c r="FY79" s="66">
        <v>0</v>
      </c>
      <c r="FZ79" s="66">
        <v>0</v>
      </c>
      <c r="GA79" s="66">
        <v>0</v>
      </c>
      <c r="GB79" s="66">
        <v>0</v>
      </c>
      <c r="GC79" s="66">
        <v>0</v>
      </c>
      <c r="GD79" s="66">
        <v>0</v>
      </c>
      <c r="GE79" s="66">
        <v>0</v>
      </c>
      <c r="GF79" s="66">
        <v>0</v>
      </c>
      <c r="GG79" s="66">
        <v>0</v>
      </c>
      <c r="GH79" s="67" t="s">
        <v>1094</v>
      </c>
      <c r="GI79" s="67" t="s">
        <v>1094</v>
      </c>
      <c r="GJ79" s="67">
        <v>0</v>
      </c>
      <c r="GK79" s="67">
        <v>0</v>
      </c>
      <c r="GL79" s="67">
        <v>0</v>
      </c>
      <c r="GM79" s="66">
        <v>0</v>
      </c>
      <c r="GN79" s="66">
        <v>0</v>
      </c>
      <c r="GO79" s="66">
        <v>0</v>
      </c>
      <c r="GP79" s="66">
        <v>0</v>
      </c>
      <c r="GQ79" s="66">
        <v>0</v>
      </c>
      <c r="GR79" s="66">
        <v>0</v>
      </c>
      <c r="GS79" s="66">
        <v>0</v>
      </c>
      <c r="GT79" s="66">
        <v>0</v>
      </c>
      <c r="GU79" s="66">
        <v>0</v>
      </c>
      <c r="GV79" s="66">
        <v>0</v>
      </c>
      <c r="GW79" s="66">
        <v>0</v>
      </c>
      <c r="GX79" s="67" t="s">
        <v>1094</v>
      </c>
      <c r="GY79" s="67" t="s">
        <v>1094</v>
      </c>
      <c r="GZ79" s="67">
        <v>0</v>
      </c>
      <c r="HA79" s="67">
        <v>0</v>
      </c>
      <c r="HB79" s="67">
        <v>0</v>
      </c>
      <c r="HC79" s="66">
        <v>0.8448</v>
      </c>
      <c r="HD79" s="66">
        <v>0</v>
      </c>
      <c r="HE79" s="66">
        <v>1.3448</v>
      </c>
      <c r="HF79" s="66">
        <v>0.8448</v>
      </c>
      <c r="HG79" s="66">
        <v>0.5</v>
      </c>
      <c r="HH79" s="66">
        <v>0.8448</v>
      </c>
      <c r="HI79" s="66">
        <v>0</v>
      </c>
      <c r="HJ79" s="66">
        <v>1.3447990000000001</v>
      </c>
      <c r="HK79" s="66">
        <v>0.84479937000000005</v>
      </c>
      <c r="HL79" s="66">
        <v>0</v>
      </c>
      <c r="HM79" s="66">
        <v>0.49999963000000003</v>
      </c>
      <c r="HN79" s="67">
        <v>99.999925426136372</v>
      </c>
      <c r="HO79" s="67">
        <v>99.999926000000002</v>
      </c>
      <c r="HP79" s="67">
        <v>37.180249985313793</v>
      </c>
      <c r="HQ79" s="67">
        <v>0</v>
      </c>
      <c r="HR79" s="67">
        <v>6.2999999994595157E-7</v>
      </c>
      <c r="HS79" s="66">
        <v>0</v>
      </c>
      <c r="HT79" s="66">
        <v>0</v>
      </c>
      <c r="HU79" s="66">
        <v>0</v>
      </c>
      <c r="HV79" s="66">
        <v>0</v>
      </c>
      <c r="HW79" s="66">
        <v>0</v>
      </c>
      <c r="HX79" s="66">
        <v>0</v>
      </c>
      <c r="HY79" s="66">
        <v>0</v>
      </c>
      <c r="HZ79" s="66">
        <v>0</v>
      </c>
      <c r="IA79" s="66">
        <v>0</v>
      </c>
      <c r="IB79" s="66">
        <v>0</v>
      </c>
      <c r="IC79" s="66">
        <v>0</v>
      </c>
      <c r="ID79" s="67" t="s">
        <v>1094</v>
      </c>
      <c r="IE79" s="67" t="s">
        <v>1094</v>
      </c>
      <c r="IF79" s="67">
        <v>0</v>
      </c>
      <c r="IG79" s="67">
        <v>0</v>
      </c>
      <c r="IH79" s="67">
        <v>0</v>
      </c>
    </row>
    <row r="80" spans="1:242" ht="31.5" x14ac:dyDescent="0.25">
      <c r="A80" s="11">
        <v>69</v>
      </c>
      <c r="B80" s="194" t="s">
        <v>300</v>
      </c>
      <c r="C80" s="66">
        <v>2.2342</v>
      </c>
      <c r="D80" s="66">
        <v>0</v>
      </c>
      <c r="E80" s="66">
        <v>7.2508999999999997</v>
      </c>
      <c r="F80" s="66">
        <v>2.2342</v>
      </c>
      <c r="G80" s="66">
        <v>5.0167000000000002</v>
      </c>
      <c r="H80" s="66">
        <v>2.2340067700000001</v>
      </c>
      <c r="I80" s="66">
        <v>0</v>
      </c>
      <c r="J80" s="66">
        <v>7.2502986900000002</v>
      </c>
      <c r="K80" s="66">
        <v>2.2340067700000001</v>
      </c>
      <c r="L80" s="66">
        <v>0</v>
      </c>
      <c r="M80" s="66">
        <v>5.0162919200000005</v>
      </c>
      <c r="N80" s="67">
        <v>99.991351266672652</v>
      </c>
      <c r="O80" s="67">
        <v>99.991865568999543</v>
      </c>
      <c r="P80" s="67">
        <v>69.187382954563489</v>
      </c>
      <c r="Q80" s="66">
        <v>0</v>
      </c>
      <c r="R80" s="67">
        <v>0</v>
      </c>
      <c r="S80" s="66">
        <v>2.0442</v>
      </c>
      <c r="T80" s="66">
        <v>0</v>
      </c>
      <c r="U80" s="66">
        <v>6.3609</v>
      </c>
      <c r="V80" s="66">
        <v>2.0442</v>
      </c>
      <c r="W80" s="66">
        <v>4.3167</v>
      </c>
      <c r="X80" s="66">
        <v>2.0440067700000002</v>
      </c>
      <c r="Y80" s="66">
        <v>0</v>
      </c>
      <c r="Z80" s="66">
        <v>6.3602986900000005</v>
      </c>
      <c r="AA80" s="66">
        <v>2.0440067700000002</v>
      </c>
      <c r="AB80" s="66">
        <v>0</v>
      </c>
      <c r="AC80" s="66">
        <v>4.3162919200000003</v>
      </c>
      <c r="AD80" s="67">
        <v>99.990547402406818</v>
      </c>
      <c r="AE80" s="67">
        <v>99.990546482266552</v>
      </c>
      <c r="AF80" s="67">
        <v>67.863038048610889</v>
      </c>
      <c r="AG80" s="67">
        <v>0</v>
      </c>
      <c r="AH80" s="67">
        <v>0</v>
      </c>
      <c r="AI80" s="66">
        <v>0</v>
      </c>
      <c r="AJ80" s="66">
        <v>0</v>
      </c>
      <c r="AK80" s="66">
        <v>0</v>
      </c>
      <c r="AL80" s="66">
        <v>0</v>
      </c>
      <c r="AM80" s="66">
        <v>0</v>
      </c>
      <c r="AN80" s="66">
        <v>0</v>
      </c>
      <c r="AO80" s="66">
        <v>0</v>
      </c>
      <c r="AP80" s="66">
        <v>0</v>
      </c>
      <c r="AQ80" s="66">
        <v>0</v>
      </c>
      <c r="AR80" s="66">
        <v>0</v>
      </c>
      <c r="AS80" s="66">
        <v>0</v>
      </c>
      <c r="AT80" s="67" t="s">
        <v>1094</v>
      </c>
      <c r="AU80" s="67" t="s">
        <v>1094</v>
      </c>
      <c r="AV80" s="67">
        <v>0</v>
      </c>
      <c r="AW80" s="67">
        <v>0</v>
      </c>
      <c r="AX80" s="67">
        <v>0</v>
      </c>
      <c r="AY80" s="66">
        <v>0</v>
      </c>
      <c r="AZ80" s="66">
        <v>0</v>
      </c>
      <c r="BA80" s="66">
        <v>0</v>
      </c>
      <c r="BB80" s="66">
        <v>0</v>
      </c>
      <c r="BC80" s="66">
        <v>0</v>
      </c>
      <c r="BD80" s="66">
        <v>0</v>
      </c>
      <c r="BE80" s="66">
        <v>0</v>
      </c>
      <c r="BF80" s="66">
        <v>0</v>
      </c>
      <c r="BG80" s="66">
        <v>0</v>
      </c>
      <c r="BH80" s="66">
        <v>0</v>
      </c>
      <c r="BI80" s="66">
        <v>0</v>
      </c>
      <c r="BJ80" s="67" t="s">
        <v>1094</v>
      </c>
      <c r="BK80" s="67" t="s">
        <v>1094</v>
      </c>
      <c r="BL80" s="67">
        <v>0</v>
      </c>
      <c r="BM80" s="67">
        <v>0</v>
      </c>
      <c r="BN80" s="67">
        <v>0</v>
      </c>
      <c r="BO80" s="66">
        <v>0</v>
      </c>
      <c r="BP80" s="66">
        <v>0</v>
      </c>
      <c r="BQ80" s="66">
        <v>0</v>
      </c>
      <c r="BR80" s="66">
        <v>0</v>
      </c>
      <c r="BS80" s="66">
        <v>0</v>
      </c>
      <c r="BT80" s="66">
        <v>0</v>
      </c>
      <c r="BU80" s="66">
        <v>0</v>
      </c>
      <c r="BV80" s="66">
        <v>0</v>
      </c>
      <c r="BW80" s="66">
        <v>0</v>
      </c>
      <c r="BX80" s="66">
        <v>0</v>
      </c>
      <c r="BY80" s="66">
        <v>0</v>
      </c>
      <c r="BZ80" s="67" t="s">
        <v>1094</v>
      </c>
      <c r="CA80" s="67" t="s">
        <v>1094</v>
      </c>
      <c r="CB80" s="67">
        <v>0</v>
      </c>
      <c r="CC80" s="67">
        <v>0</v>
      </c>
      <c r="CD80" s="67">
        <v>0</v>
      </c>
      <c r="CE80" s="66">
        <v>0</v>
      </c>
      <c r="CF80" s="66">
        <v>0</v>
      </c>
      <c r="CG80" s="66">
        <v>0</v>
      </c>
      <c r="CH80" s="66">
        <v>0</v>
      </c>
      <c r="CI80" s="66">
        <v>0</v>
      </c>
      <c r="CJ80" s="66">
        <v>0</v>
      </c>
      <c r="CK80" s="66">
        <v>0</v>
      </c>
      <c r="CL80" s="66">
        <v>0</v>
      </c>
      <c r="CM80" s="66">
        <v>0</v>
      </c>
      <c r="CN80" s="66">
        <v>0</v>
      </c>
      <c r="CO80" s="66">
        <v>0</v>
      </c>
      <c r="CP80" s="67" t="s">
        <v>1094</v>
      </c>
      <c r="CQ80" s="67" t="s">
        <v>1094</v>
      </c>
      <c r="CR80" s="67">
        <v>0</v>
      </c>
      <c r="CS80" s="67">
        <v>0</v>
      </c>
      <c r="CT80" s="67">
        <v>0</v>
      </c>
      <c r="CU80" s="66">
        <v>0</v>
      </c>
      <c r="CV80" s="66">
        <v>0</v>
      </c>
      <c r="CW80" s="66">
        <v>0</v>
      </c>
      <c r="CX80" s="66">
        <v>0</v>
      </c>
      <c r="CY80" s="66">
        <v>0</v>
      </c>
      <c r="CZ80" s="66">
        <v>0</v>
      </c>
      <c r="DA80" s="66">
        <v>0</v>
      </c>
      <c r="DB80" s="66">
        <v>0</v>
      </c>
      <c r="DC80" s="66">
        <v>0</v>
      </c>
      <c r="DD80" s="66">
        <v>0</v>
      </c>
      <c r="DE80" s="66">
        <v>0</v>
      </c>
      <c r="DF80" s="67" t="s">
        <v>1094</v>
      </c>
      <c r="DG80" s="67" t="s">
        <v>1094</v>
      </c>
      <c r="DH80" s="67">
        <v>0</v>
      </c>
      <c r="DI80" s="67">
        <v>0</v>
      </c>
      <c r="DJ80" s="67">
        <v>0</v>
      </c>
      <c r="DK80" s="66">
        <v>0</v>
      </c>
      <c r="DL80" s="66">
        <v>0</v>
      </c>
      <c r="DM80" s="66">
        <v>0</v>
      </c>
      <c r="DN80" s="66">
        <v>0</v>
      </c>
      <c r="DO80" s="66">
        <v>0</v>
      </c>
      <c r="DP80" s="66">
        <v>0</v>
      </c>
      <c r="DQ80" s="66">
        <v>0</v>
      </c>
      <c r="DR80" s="66">
        <v>0</v>
      </c>
      <c r="DS80" s="66">
        <v>0</v>
      </c>
      <c r="DT80" s="66">
        <v>0</v>
      </c>
      <c r="DU80" s="66">
        <v>0</v>
      </c>
      <c r="DV80" s="67" t="s">
        <v>1094</v>
      </c>
      <c r="DW80" s="67" t="s">
        <v>1094</v>
      </c>
      <c r="DX80" s="67">
        <v>0</v>
      </c>
      <c r="DY80" s="67">
        <v>0</v>
      </c>
      <c r="DZ80" s="67">
        <v>0</v>
      </c>
      <c r="EA80" s="66">
        <v>0</v>
      </c>
      <c r="EB80" s="66">
        <v>0</v>
      </c>
      <c r="EC80" s="66">
        <v>0</v>
      </c>
      <c r="ED80" s="66">
        <v>0</v>
      </c>
      <c r="EE80" s="66">
        <v>0</v>
      </c>
      <c r="EF80" s="66">
        <v>0</v>
      </c>
      <c r="EG80" s="66">
        <v>0</v>
      </c>
      <c r="EH80" s="66">
        <v>0</v>
      </c>
      <c r="EI80" s="66">
        <v>0</v>
      </c>
      <c r="EJ80" s="66">
        <v>0</v>
      </c>
      <c r="EK80" s="66">
        <v>0</v>
      </c>
      <c r="EL80" s="67" t="s">
        <v>1094</v>
      </c>
      <c r="EM80" s="67" t="s">
        <v>1094</v>
      </c>
      <c r="EN80" s="67">
        <v>0</v>
      </c>
      <c r="EO80" s="67">
        <v>0</v>
      </c>
      <c r="EP80" s="67">
        <v>0</v>
      </c>
      <c r="EQ80" s="66">
        <v>0</v>
      </c>
      <c r="ER80" s="66">
        <v>0</v>
      </c>
      <c r="ES80" s="66">
        <v>0</v>
      </c>
      <c r="ET80" s="66">
        <v>0</v>
      </c>
      <c r="EU80" s="66">
        <v>0</v>
      </c>
      <c r="EV80" s="66">
        <v>0</v>
      </c>
      <c r="EW80" s="66">
        <v>0</v>
      </c>
      <c r="EX80" s="66">
        <v>0</v>
      </c>
      <c r="EY80" s="66">
        <v>0</v>
      </c>
      <c r="EZ80" s="66">
        <v>0</v>
      </c>
      <c r="FA80" s="66">
        <v>0</v>
      </c>
      <c r="FB80" s="67" t="s">
        <v>1094</v>
      </c>
      <c r="FC80" s="67" t="s">
        <v>1094</v>
      </c>
      <c r="FD80" s="67">
        <v>0</v>
      </c>
      <c r="FE80" s="67">
        <v>0</v>
      </c>
      <c r="FF80" s="67">
        <v>0</v>
      </c>
      <c r="FG80" s="66">
        <v>0</v>
      </c>
      <c r="FH80" s="66">
        <v>0</v>
      </c>
      <c r="FI80" s="66">
        <v>0</v>
      </c>
      <c r="FJ80" s="66">
        <v>0</v>
      </c>
      <c r="FK80" s="66">
        <v>0</v>
      </c>
      <c r="FL80" s="66">
        <v>0</v>
      </c>
      <c r="FM80" s="66">
        <v>0</v>
      </c>
      <c r="FN80" s="66">
        <v>0</v>
      </c>
      <c r="FO80" s="66">
        <v>0</v>
      </c>
      <c r="FP80" s="66">
        <v>0</v>
      </c>
      <c r="FQ80" s="66">
        <v>0</v>
      </c>
      <c r="FR80" s="67" t="s">
        <v>1094</v>
      </c>
      <c r="FS80" s="67" t="s">
        <v>1094</v>
      </c>
      <c r="FT80" s="67">
        <v>0</v>
      </c>
      <c r="FU80" s="67">
        <v>0</v>
      </c>
      <c r="FV80" s="67">
        <v>0</v>
      </c>
      <c r="FW80" s="66">
        <v>0</v>
      </c>
      <c r="FX80" s="66">
        <v>0</v>
      </c>
      <c r="FY80" s="66">
        <v>0</v>
      </c>
      <c r="FZ80" s="66">
        <v>0</v>
      </c>
      <c r="GA80" s="66">
        <v>0</v>
      </c>
      <c r="GB80" s="66">
        <v>0</v>
      </c>
      <c r="GC80" s="66">
        <v>0</v>
      </c>
      <c r="GD80" s="66">
        <v>0</v>
      </c>
      <c r="GE80" s="66">
        <v>0</v>
      </c>
      <c r="GF80" s="66">
        <v>0</v>
      </c>
      <c r="GG80" s="66">
        <v>0</v>
      </c>
      <c r="GH80" s="67" t="s">
        <v>1094</v>
      </c>
      <c r="GI80" s="67" t="s">
        <v>1094</v>
      </c>
      <c r="GJ80" s="67">
        <v>0</v>
      </c>
      <c r="GK80" s="67">
        <v>0</v>
      </c>
      <c r="GL80" s="67">
        <v>0</v>
      </c>
      <c r="GM80" s="66">
        <v>0</v>
      </c>
      <c r="GN80" s="66">
        <v>0</v>
      </c>
      <c r="GO80" s="66">
        <v>0</v>
      </c>
      <c r="GP80" s="66">
        <v>0</v>
      </c>
      <c r="GQ80" s="66">
        <v>0</v>
      </c>
      <c r="GR80" s="66">
        <v>0</v>
      </c>
      <c r="GS80" s="66">
        <v>0</v>
      </c>
      <c r="GT80" s="66">
        <v>0</v>
      </c>
      <c r="GU80" s="66">
        <v>0</v>
      </c>
      <c r="GV80" s="66">
        <v>0</v>
      </c>
      <c r="GW80" s="66">
        <v>0</v>
      </c>
      <c r="GX80" s="67" t="s">
        <v>1094</v>
      </c>
      <c r="GY80" s="67" t="s">
        <v>1094</v>
      </c>
      <c r="GZ80" s="67">
        <v>0</v>
      </c>
      <c r="HA80" s="67">
        <v>0</v>
      </c>
      <c r="HB80" s="67">
        <v>0</v>
      </c>
      <c r="HC80" s="66">
        <v>0.19</v>
      </c>
      <c r="HD80" s="66">
        <v>0</v>
      </c>
      <c r="HE80" s="66">
        <v>0.89</v>
      </c>
      <c r="HF80" s="66">
        <v>0.19</v>
      </c>
      <c r="HG80" s="66">
        <v>0.7</v>
      </c>
      <c r="HH80" s="66">
        <v>0.19</v>
      </c>
      <c r="HI80" s="66">
        <v>0</v>
      </c>
      <c r="HJ80" s="66">
        <v>0.89</v>
      </c>
      <c r="HK80" s="66">
        <v>0.19</v>
      </c>
      <c r="HL80" s="66">
        <v>0</v>
      </c>
      <c r="HM80" s="66">
        <v>0.7</v>
      </c>
      <c r="HN80" s="67">
        <v>100</v>
      </c>
      <c r="HO80" s="67">
        <v>100</v>
      </c>
      <c r="HP80" s="67">
        <v>78.651685393258418</v>
      </c>
      <c r="HQ80" s="67">
        <v>0</v>
      </c>
      <c r="HR80" s="67">
        <v>0</v>
      </c>
      <c r="HS80" s="66">
        <v>0</v>
      </c>
      <c r="HT80" s="66">
        <v>0</v>
      </c>
      <c r="HU80" s="66">
        <v>0</v>
      </c>
      <c r="HV80" s="66">
        <v>0</v>
      </c>
      <c r="HW80" s="66">
        <v>0</v>
      </c>
      <c r="HX80" s="66">
        <v>0</v>
      </c>
      <c r="HY80" s="66">
        <v>0</v>
      </c>
      <c r="HZ80" s="66">
        <v>0</v>
      </c>
      <c r="IA80" s="66">
        <v>0</v>
      </c>
      <c r="IB80" s="66">
        <v>0</v>
      </c>
      <c r="IC80" s="66">
        <v>0</v>
      </c>
      <c r="ID80" s="67" t="s">
        <v>1094</v>
      </c>
      <c r="IE80" s="67" t="s">
        <v>1094</v>
      </c>
      <c r="IF80" s="67">
        <v>0</v>
      </c>
      <c r="IG80" s="67">
        <v>0</v>
      </c>
      <c r="IH80" s="67">
        <v>0</v>
      </c>
    </row>
    <row r="81" spans="1:242" ht="31.5" x14ac:dyDescent="0.25">
      <c r="A81" s="11">
        <v>70</v>
      </c>
      <c r="B81" s="194" t="s">
        <v>301</v>
      </c>
      <c r="C81" s="66">
        <v>76.558799999999991</v>
      </c>
      <c r="D81" s="66">
        <v>0</v>
      </c>
      <c r="E81" s="66">
        <v>186.55879999999999</v>
      </c>
      <c r="F81" s="66">
        <v>76.558799999999991</v>
      </c>
      <c r="G81" s="66">
        <v>110</v>
      </c>
      <c r="H81" s="66">
        <v>76.558799999999991</v>
      </c>
      <c r="I81" s="66">
        <v>0</v>
      </c>
      <c r="J81" s="66">
        <v>186.55879999999999</v>
      </c>
      <c r="K81" s="66">
        <v>76.558799999999991</v>
      </c>
      <c r="L81" s="66">
        <v>0</v>
      </c>
      <c r="M81" s="66">
        <v>110</v>
      </c>
      <c r="N81" s="67">
        <v>100</v>
      </c>
      <c r="O81" s="67">
        <v>100</v>
      </c>
      <c r="P81" s="67">
        <v>58.962643413229507</v>
      </c>
      <c r="Q81" s="66">
        <v>0</v>
      </c>
      <c r="R81" s="67">
        <v>0</v>
      </c>
      <c r="S81" s="66">
        <v>74.630799999999994</v>
      </c>
      <c r="T81" s="66">
        <v>0</v>
      </c>
      <c r="U81" s="66">
        <v>169.63079999999999</v>
      </c>
      <c r="V81" s="66">
        <v>74.630799999999994</v>
      </c>
      <c r="W81" s="66">
        <v>95</v>
      </c>
      <c r="X81" s="66">
        <v>74.630799999999994</v>
      </c>
      <c r="Y81" s="66">
        <v>0</v>
      </c>
      <c r="Z81" s="66">
        <v>169.63079999999999</v>
      </c>
      <c r="AA81" s="66">
        <v>74.630799999999994</v>
      </c>
      <c r="AB81" s="66">
        <v>0</v>
      </c>
      <c r="AC81" s="66">
        <v>95</v>
      </c>
      <c r="AD81" s="67">
        <v>100</v>
      </c>
      <c r="AE81" s="67">
        <v>100</v>
      </c>
      <c r="AF81" s="67">
        <v>56.003980409218137</v>
      </c>
      <c r="AG81" s="67">
        <v>0</v>
      </c>
      <c r="AH81" s="67">
        <v>0</v>
      </c>
      <c r="AI81" s="66">
        <v>0</v>
      </c>
      <c r="AJ81" s="66">
        <v>0</v>
      </c>
      <c r="AK81" s="66">
        <v>0</v>
      </c>
      <c r="AL81" s="66">
        <v>0</v>
      </c>
      <c r="AM81" s="66">
        <v>0</v>
      </c>
      <c r="AN81" s="66">
        <v>0</v>
      </c>
      <c r="AO81" s="66">
        <v>0</v>
      </c>
      <c r="AP81" s="66">
        <v>0</v>
      </c>
      <c r="AQ81" s="66">
        <v>0</v>
      </c>
      <c r="AR81" s="66">
        <v>0</v>
      </c>
      <c r="AS81" s="66">
        <v>0</v>
      </c>
      <c r="AT81" s="67" t="s">
        <v>1094</v>
      </c>
      <c r="AU81" s="67" t="s">
        <v>1094</v>
      </c>
      <c r="AV81" s="67">
        <v>0</v>
      </c>
      <c r="AW81" s="67">
        <v>0</v>
      </c>
      <c r="AX81" s="67">
        <v>0</v>
      </c>
      <c r="AY81" s="66">
        <v>0</v>
      </c>
      <c r="AZ81" s="66">
        <v>0</v>
      </c>
      <c r="BA81" s="66">
        <v>0</v>
      </c>
      <c r="BB81" s="66">
        <v>0</v>
      </c>
      <c r="BC81" s="66">
        <v>0</v>
      </c>
      <c r="BD81" s="66">
        <v>0</v>
      </c>
      <c r="BE81" s="66">
        <v>0</v>
      </c>
      <c r="BF81" s="66">
        <v>0</v>
      </c>
      <c r="BG81" s="66">
        <v>0</v>
      </c>
      <c r="BH81" s="66">
        <v>0</v>
      </c>
      <c r="BI81" s="66">
        <v>0</v>
      </c>
      <c r="BJ81" s="67" t="s">
        <v>1094</v>
      </c>
      <c r="BK81" s="67" t="s">
        <v>1094</v>
      </c>
      <c r="BL81" s="67">
        <v>0</v>
      </c>
      <c r="BM81" s="67">
        <v>0</v>
      </c>
      <c r="BN81" s="67">
        <v>0</v>
      </c>
      <c r="BO81" s="66">
        <v>0</v>
      </c>
      <c r="BP81" s="66">
        <v>0</v>
      </c>
      <c r="BQ81" s="66">
        <v>0</v>
      </c>
      <c r="BR81" s="66">
        <v>0</v>
      </c>
      <c r="BS81" s="66">
        <v>0</v>
      </c>
      <c r="BT81" s="66">
        <v>0</v>
      </c>
      <c r="BU81" s="66">
        <v>0</v>
      </c>
      <c r="BV81" s="66">
        <v>0</v>
      </c>
      <c r="BW81" s="66">
        <v>0</v>
      </c>
      <c r="BX81" s="66">
        <v>0</v>
      </c>
      <c r="BY81" s="66">
        <v>0</v>
      </c>
      <c r="BZ81" s="67" t="s">
        <v>1094</v>
      </c>
      <c r="CA81" s="67" t="s">
        <v>1094</v>
      </c>
      <c r="CB81" s="67">
        <v>0</v>
      </c>
      <c r="CC81" s="67">
        <v>0</v>
      </c>
      <c r="CD81" s="67">
        <v>0</v>
      </c>
      <c r="CE81" s="66">
        <v>1.9279999999999999</v>
      </c>
      <c r="CF81" s="66">
        <v>0</v>
      </c>
      <c r="CG81" s="66">
        <v>16.928000000000001</v>
      </c>
      <c r="CH81" s="66">
        <v>1.9279999999999999</v>
      </c>
      <c r="CI81" s="66">
        <v>15</v>
      </c>
      <c r="CJ81" s="66">
        <v>1.9279999999999999</v>
      </c>
      <c r="CK81" s="66">
        <v>0</v>
      </c>
      <c r="CL81" s="66">
        <v>16.928000000000001</v>
      </c>
      <c r="CM81" s="66">
        <v>1.9279999999999999</v>
      </c>
      <c r="CN81" s="66">
        <v>0</v>
      </c>
      <c r="CO81" s="66">
        <v>15</v>
      </c>
      <c r="CP81" s="67">
        <v>100</v>
      </c>
      <c r="CQ81" s="67">
        <v>100</v>
      </c>
      <c r="CR81" s="67">
        <v>88.61058601134215</v>
      </c>
      <c r="CS81" s="67">
        <v>0</v>
      </c>
      <c r="CT81" s="67">
        <v>0</v>
      </c>
      <c r="CU81" s="66">
        <v>0</v>
      </c>
      <c r="CV81" s="66">
        <v>0</v>
      </c>
      <c r="CW81" s="66">
        <v>0</v>
      </c>
      <c r="CX81" s="66">
        <v>0</v>
      </c>
      <c r="CY81" s="66">
        <v>0</v>
      </c>
      <c r="CZ81" s="66">
        <v>0</v>
      </c>
      <c r="DA81" s="66">
        <v>0</v>
      </c>
      <c r="DB81" s="66">
        <v>0</v>
      </c>
      <c r="DC81" s="66">
        <v>0</v>
      </c>
      <c r="DD81" s="66">
        <v>0</v>
      </c>
      <c r="DE81" s="66">
        <v>0</v>
      </c>
      <c r="DF81" s="67" t="s">
        <v>1094</v>
      </c>
      <c r="DG81" s="67" t="s">
        <v>1094</v>
      </c>
      <c r="DH81" s="67">
        <v>0</v>
      </c>
      <c r="DI81" s="67">
        <v>0</v>
      </c>
      <c r="DJ81" s="67">
        <v>0</v>
      </c>
      <c r="DK81" s="66">
        <v>0</v>
      </c>
      <c r="DL81" s="66">
        <v>0</v>
      </c>
      <c r="DM81" s="66">
        <v>0</v>
      </c>
      <c r="DN81" s="66">
        <v>0</v>
      </c>
      <c r="DO81" s="66">
        <v>0</v>
      </c>
      <c r="DP81" s="66">
        <v>0</v>
      </c>
      <c r="DQ81" s="66">
        <v>0</v>
      </c>
      <c r="DR81" s="66">
        <v>0</v>
      </c>
      <c r="DS81" s="66">
        <v>0</v>
      </c>
      <c r="DT81" s="66">
        <v>0</v>
      </c>
      <c r="DU81" s="66">
        <v>0</v>
      </c>
      <c r="DV81" s="67" t="s">
        <v>1094</v>
      </c>
      <c r="DW81" s="67" t="s">
        <v>1094</v>
      </c>
      <c r="DX81" s="67">
        <v>0</v>
      </c>
      <c r="DY81" s="67">
        <v>0</v>
      </c>
      <c r="DZ81" s="67">
        <v>0</v>
      </c>
      <c r="EA81" s="66">
        <v>0</v>
      </c>
      <c r="EB81" s="66">
        <v>0</v>
      </c>
      <c r="EC81" s="66">
        <v>0</v>
      </c>
      <c r="ED81" s="66">
        <v>0</v>
      </c>
      <c r="EE81" s="66">
        <v>0</v>
      </c>
      <c r="EF81" s="66">
        <v>0</v>
      </c>
      <c r="EG81" s="66">
        <v>0</v>
      </c>
      <c r="EH81" s="66">
        <v>0</v>
      </c>
      <c r="EI81" s="66">
        <v>0</v>
      </c>
      <c r="EJ81" s="66">
        <v>0</v>
      </c>
      <c r="EK81" s="66">
        <v>0</v>
      </c>
      <c r="EL81" s="67" t="s">
        <v>1094</v>
      </c>
      <c r="EM81" s="67" t="s">
        <v>1094</v>
      </c>
      <c r="EN81" s="67">
        <v>0</v>
      </c>
      <c r="EO81" s="67">
        <v>0</v>
      </c>
      <c r="EP81" s="67">
        <v>0</v>
      </c>
      <c r="EQ81" s="66">
        <v>0</v>
      </c>
      <c r="ER81" s="66">
        <v>0</v>
      </c>
      <c r="ES81" s="66">
        <v>0</v>
      </c>
      <c r="ET81" s="66">
        <v>0</v>
      </c>
      <c r="EU81" s="66">
        <v>0</v>
      </c>
      <c r="EV81" s="66">
        <v>0</v>
      </c>
      <c r="EW81" s="66">
        <v>0</v>
      </c>
      <c r="EX81" s="66">
        <v>0</v>
      </c>
      <c r="EY81" s="66">
        <v>0</v>
      </c>
      <c r="EZ81" s="66">
        <v>0</v>
      </c>
      <c r="FA81" s="66">
        <v>0</v>
      </c>
      <c r="FB81" s="67" t="s">
        <v>1094</v>
      </c>
      <c r="FC81" s="67" t="s">
        <v>1094</v>
      </c>
      <c r="FD81" s="67">
        <v>0</v>
      </c>
      <c r="FE81" s="67">
        <v>0</v>
      </c>
      <c r="FF81" s="67">
        <v>0</v>
      </c>
      <c r="FG81" s="66">
        <v>0</v>
      </c>
      <c r="FH81" s="66">
        <v>0</v>
      </c>
      <c r="FI81" s="66">
        <v>0</v>
      </c>
      <c r="FJ81" s="66">
        <v>0</v>
      </c>
      <c r="FK81" s="66">
        <v>0</v>
      </c>
      <c r="FL81" s="66">
        <v>0</v>
      </c>
      <c r="FM81" s="66">
        <v>0</v>
      </c>
      <c r="FN81" s="66">
        <v>0</v>
      </c>
      <c r="FO81" s="66">
        <v>0</v>
      </c>
      <c r="FP81" s="66">
        <v>0</v>
      </c>
      <c r="FQ81" s="66">
        <v>0</v>
      </c>
      <c r="FR81" s="67" t="s">
        <v>1094</v>
      </c>
      <c r="FS81" s="67" t="s">
        <v>1094</v>
      </c>
      <c r="FT81" s="67">
        <v>0</v>
      </c>
      <c r="FU81" s="67">
        <v>0</v>
      </c>
      <c r="FV81" s="67">
        <v>0</v>
      </c>
      <c r="FW81" s="66">
        <v>0</v>
      </c>
      <c r="FX81" s="66">
        <v>0</v>
      </c>
      <c r="FY81" s="66">
        <v>0</v>
      </c>
      <c r="FZ81" s="66">
        <v>0</v>
      </c>
      <c r="GA81" s="66">
        <v>0</v>
      </c>
      <c r="GB81" s="66">
        <v>0</v>
      </c>
      <c r="GC81" s="66">
        <v>0</v>
      </c>
      <c r="GD81" s="66">
        <v>0</v>
      </c>
      <c r="GE81" s="66">
        <v>0</v>
      </c>
      <c r="GF81" s="66">
        <v>0</v>
      </c>
      <c r="GG81" s="66">
        <v>0</v>
      </c>
      <c r="GH81" s="67" t="s">
        <v>1094</v>
      </c>
      <c r="GI81" s="67" t="s">
        <v>1094</v>
      </c>
      <c r="GJ81" s="67">
        <v>0</v>
      </c>
      <c r="GK81" s="67">
        <v>0</v>
      </c>
      <c r="GL81" s="67">
        <v>0</v>
      </c>
      <c r="GM81" s="66">
        <v>0</v>
      </c>
      <c r="GN81" s="66">
        <v>0</v>
      </c>
      <c r="GO81" s="66">
        <v>0</v>
      </c>
      <c r="GP81" s="66">
        <v>0</v>
      </c>
      <c r="GQ81" s="66">
        <v>0</v>
      </c>
      <c r="GR81" s="66">
        <v>0</v>
      </c>
      <c r="GS81" s="66">
        <v>0</v>
      </c>
      <c r="GT81" s="66">
        <v>0</v>
      </c>
      <c r="GU81" s="66">
        <v>0</v>
      </c>
      <c r="GV81" s="66">
        <v>0</v>
      </c>
      <c r="GW81" s="66">
        <v>0</v>
      </c>
      <c r="GX81" s="67" t="s">
        <v>1094</v>
      </c>
      <c r="GY81" s="67" t="s">
        <v>1094</v>
      </c>
      <c r="GZ81" s="67">
        <v>0</v>
      </c>
      <c r="HA81" s="67">
        <v>0</v>
      </c>
      <c r="HB81" s="67">
        <v>0</v>
      </c>
      <c r="HC81" s="66">
        <v>0</v>
      </c>
      <c r="HD81" s="66">
        <v>0</v>
      </c>
      <c r="HE81" s="66">
        <v>0</v>
      </c>
      <c r="HF81" s="66">
        <v>0</v>
      </c>
      <c r="HG81" s="66">
        <v>0</v>
      </c>
      <c r="HH81" s="66">
        <v>0</v>
      </c>
      <c r="HI81" s="66">
        <v>0</v>
      </c>
      <c r="HJ81" s="66">
        <v>0</v>
      </c>
      <c r="HK81" s="66">
        <v>0</v>
      </c>
      <c r="HL81" s="66">
        <v>0</v>
      </c>
      <c r="HM81" s="66">
        <v>0</v>
      </c>
      <c r="HN81" s="67" t="s">
        <v>1094</v>
      </c>
      <c r="HO81" s="67" t="s">
        <v>1094</v>
      </c>
      <c r="HP81" s="67">
        <v>0</v>
      </c>
      <c r="HQ81" s="67">
        <v>0</v>
      </c>
      <c r="HR81" s="67">
        <v>0</v>
      </c>
      <c r="HS81" s="66">
        <v>0</v>
      </c>
      <c r="HT81" s="66">
        <v>0</v>
      </c>
      <c r="HU81" s="66">
        <v>0</v>
      </c>
      <c r="HV81" s="66">
        <v>0</v>
      </c>
      <c r="HW81" s="66">
        <v>0</v>
      </c>
      <c r="HX81" s="66">
        <v>0</v>
      </c>
      <c r="HY81" s="66">
        <v>0</v>
      </c>
      <c r="HZ81" s="66">
        <v>0</v>
      </c>
      <c r="IA81" s="66">
        <v>0</v>
      </c>
      <c r="IB81" s="66">
        <v>0</v>
      </c>
      <c r="IC81" s="66">
        <v>0</v>
      </c>
      <c r="ID81" s="67" t="s">
        <v>1094</v>
      </c>
      <c r="IE81" s="67" t="s">
        <v>1094</v>
      </c>
      <c r="IF81" s="67">
        <v>0</v>
      </c>
      <c r="IG81" s="67">
        <v>0</v>
      </c>
      <c r="IH81" s="67">
        <v>0</v>
      </c>
    </row>
    <row r="82" spans="1:242" ht="15.75" x14ac:dyDescent="0.25">
      <c r="A82" s="74">
        <v>71</v>
      </c>
      <c r="B82" s="189" t="s">
        <v>189</v>
      </c>
      <c r="C82" s="66">
        <v>42.4041</v>
      </c>
      <c r="D82" s="66">
        <v>0</v>
      </c>
      <c r="E82" s="66">
        <v>139.37866</v>
      </c>
      <c r="F82" s="66">
        <v>42.4041</v>
      </c>
      <c r="G82" s="66">
        <v>96.974559999999997</v>
      </c>
      <c r="H82" s="66">
        <v>42.404099970000004</v>
      </c>
      <c r="I82" s="66">
        <v>0.28270540999999999</v>
      </c>
      <c r="J82" s="66">
        <v>139.37864000000002</v>
      </c>
      <c r="K82" s="66">
        <v>42.404094170000008</v>
      </c>
      <c r="L82" s="66">
        <v>0</v>
      </c>
      <c r="M82" s="66">
        <v>96.974545829999997</v>
      </c>
      <c r="N82" s="67">
        <v>99.999986251329489</v>
      </c>
      <c r="O82" s="67">
        <v>99.999985387920304</v>
      </c>
      <c r="P82" s="67">
        <v>69.576332377758874</v>
      </c>
      <c r="Q82" s="66">
        <v>0.28270540999999999</v>
      </c>
      <c r="R82" s="67">
        <v>5.7999999951152681E-6</v>
      </c>
      <c r="S82" s="66">
        <v>23.199100000000001</v>
      </c>
      <c r="T82" s="66">
        <v>0</v>
      </c>
      <c r="U82" s="66">
        <v>73.199100000000001</v>
      </c>
      <c r="V82" s="66">
        <v>23.199100000000001</v>
      </c>
      <c r="W82" s="66">
        <v>50</v>
      </c>
      <c r="X82" s="66">
        <v>23.199100000000001</v>
      </c>
      <c r="Y82" s="66">
        <v>0</v>
      </c>
      <c r="Z82" s="66">
        <v>73.199100000000001</v>
      </c>
      <c r="AA82" s="66">
        <v>23.199100000000001</v>
      </c>
      <c r="AB82" s="66">
        <v>0</v>
      </c>
      <c r="AC82" s="66">
        <v>50</v>
      </c>
      <c r="AD82" s="67">
        <v>100</v>
      </c>
      <c r="AE82" s="67">
        <v>100</v>
      </c>
      <c r="AF82" s="67">
        <v>68.306850767290854</v>
      </c>
      <c r="AG82" s="67">
        <v>0</v>
      </c>
      <c r="AH82" s="67">
        <v>0</v>
      </c>
      <c r="AI82" s="66">
        <v>0</v>
      </c>
      <c r="AJ82" s="66">
        <v>0</v>
      </c>
      <c r="AK82" s="66">
        <v>0</v>
      </c>
      <c r="AL82" s="66">
        <v>0</v>
      </c>
      <c r="AM82" s="66">
        <v>0</v>
      </c>
      <c r="AN82" s="66">
        <v>0</v>
      </c>
      <c r="AO82" s="66">
        <v>0.28270540999999999</v>
      </c>
      <c r="AP82" s="66">
        <v>0</v>
      </c>
      <c r="AQ82" s="66">
        <v>0</v>
      </c>
      <c r="AR82" s="66">
        <v>0</v>
      </c>
      <c r="AS82" s="66">
        <v>0</v>
      </c>
      <c r="AT82" s="67" t="s">
        <v>1094</v>
      </c>
      <c r="AU82" s="67" t="s">
        <v>1094</v>
      </c>
      <c r="AV82" s="67">
        <v>0</v>
      </c>
      <c r="AW82" s="67">
        <v>0.28270540999999999</v>
      </c>
      <c r="AX82" s="67">
        <v>0</v>
      </c>
      <c r="AY82" s="66">
        <v>19.204999999999998</v>
      </c>
      <c r="AZ82" s="66">
        <v>0</v>
      </c>
      <c r="BA82" s="66">
        <v>66.179559999999995</v>
      </c>
      <c r="BB82" s="66">
        <v>19.204999999999998</v>
      </c>
      <c r="BC82" s="66">
        <v>46.974559999999997</v>
      </c>
      <c r="BD82" s="66">
        <v>19.204999969999999</v>
      </c>
      <c r="BE82" s="66">
        <v>0</v>
      </c>
      <c r="BF82" s="66">
        <v>66.179540000000003</v>
      </c>
      <c r="BG82" s="66">
        <v>19.204994170000003</v>
      </c>
      <c r="BH82" s="66">
        <v>0</v>
      </c>
      <c r="BI82" s="66">
        <v>46.974545829999997</v>
      </c>
      <c r="BJ82" s="67">
        <v>99.999969643322075</v>
      </c>
      <c r="BK82" s="67">
        <v>99.999969834736078</v>
      </c>
      <c r="BL82" s="67">
        <v>70.980465911367759</v>
      </c>
      <c r="BM82" s="67">
        <v>0</v>
      </c>
      <c r="BN82" s="67">
        <v>5.7999999967250915E-6</v>
      </c>
      <c r="BO82" s="66">
        <v>0</v>
      </c>
      <c r="BP82" s="66">
        <v>0</v>
      </c>
      <c r="BQ82" s="66">
        <v>0</v>
      </c>
      <c r="BR82" s="66">
        <v>0</v>
      </c>
      <c r="BS82" s="66">
        <v>0</v>
      </c>
      <c r="BT82" s="66">
        <v>0</v>
      </c>
      <c r="BU82" s="66">
        <v>0</v>
      </c>
      <c r="BV82" s="66">
        <v>0</v>
      </c>
      <c r="BW82" s="66">
        <v>0</v>
      </c>
      <c r="BX82" s="66">
        <v>0</v>
      </c>
      <c r="BY82" s="66">
        <v>0</v>
      </c>
      <c r="BZ82" s="67" t="s">
        <v>1094</v>
      </c>
      <c r="CA82" s="67" t="s">
        <v>1094</v>
      </c>
      <c r="CB82" s="67">
        <v>0</v>
      </c>
      <c r="CC82" s="67">
        <v>0</v>
      </c>
      <c r="CD82" s="67">
        <v>0</v>
      </c>
      <c r="CE82" s="66">
        <v>0</v>
      </c>
      <c r="CF82" s="66">
        <v>0</v>
      </c>
      <c r="CG82" s="66">
        <v>0</v>
      </c>
      <c r="CH82" s="66">
        <v>0</v>
      </c>
      <c r="CI82" s="66">
        <v>0</v>
      </c>
      <c r="CJ82" s="66">
        <v>0</v>
      </c>
      <c r="CK82" s="66">
        <v>0</v>
      </c>
      <c r="CL82" s="66">
        <v>0</v>
      </c>
      <c r="CM82" s="66">
        <v>0</v>
      </c>
      <c r="CN82" s="66">
        <v>0</v>
      </c>
      <c r="CO82" s="66">
        <v>0</v>
      </c>
      <c r="CP82" s="67" t="s">
        <v>1094</v>
      </c>
      <c r="CQ82" s="67" t="s">
        <v>1094</v>
      </c>
      <c r="CR82" s="67">
        <v>0</v>
      </c>
      <c r="CS82" s="67">
        <v>0</v>
      </c>
      <c r="CT82" s="67">
        <v>0</v>
      </c>
      <c r="CU82" s="66">
        <v>0</v>
      </c>
      <c r="CV82" s="66">
        <v>0</v>
      </c>
      <c r="CW82" s="66">
        <v>0</v>
      </c>
      <c r="CX82" s="66">
        <v>0</v>
      </c>
      <c r="CY82" s="66">
        <v>0</v>
      </c>
      <c r="CZ82" s="66">
        <v>0</v>
      </c>
      <c r="DA82" s="66">
        <v>0</v>
      </c>
      <c r="DB82" s="66">
        <v>0</v>
      </c>
      <c r="DC82" s="66">
        <v>0</v>
      </c>
      <c r="DD82" s="66">
        <v>0</v>
      </c>
      <c r="DE82" s="66">
        <v>0</v>
      </c>
      <c r="DF82" s="67" t="s">
        <v>1094</v>
      </c>
      <c r="DG82" s="67" t="s">
        <v>1094</v>
      </c>
      <c r="DH82" s="67">
        <v>0</v>
      </c>
      <c r="DI82" s="67">
        <v>0</v>
      </c>
      <c r="DJ82" s="67">
        <v>0</v>
      </c>
      <c r="DK82" s="66">
        <v>0</v>
      </c>
      <c r="DL82" s="66">
        <v>0</v>
      </c>
      <c r="DM82" s="66">
        <v>0</v>
      </c>
      <c r="DN82" s="66">
        <v>0</v>
      </c>
      <c r="DO82" s="66">
        <v>0</v>
      </c>
      <c r="DP82" s="66">
        <v>0</v>
      </c>
      <c r="DQ82" s="66">
        <v>0</v>
      </c>
      <c r="DR82" s="66">
        <v>0</v>
      </c>
      <c r="DS82" s="66">
        <v>0</v>
      </c>
      <c r="DT82" s="66">
        <v>0</v>
      </c>
      <c r="DU82" s="66">
        <v>0</v>
      </c>
      <c r="DV82" s="67" t="s">
        <v>1094</v>
      </c>
      <c r="DW82" s="67" t="s">
        <v>1094</v>
      </c>
      <c r="DX82" s="67">
        <v>0</v>
      </c>
      <c r="DY82" s="67">
        <v>0</v>
      </c>
      <c r="DZ82" s="67">
        <v>0</v>
      </c>
      <c r="EA82" s="66">
        <v>0</v>
      </c>
      <c r="EB82" s="66">
        <v>0</v>
      </c>
      <c r="EC82" s="66">
        <v>0</v>
      </c>
      <c r="ED82" s="66">
        <v>0</v>
      </c>
      <c r="EE82" s="66">
        <v>0</v>
      </c>
      <c r="EF82" s="66">
        <v>0</v>
      </c>
      <c r="EG82" s="66">
        <v>0</v>
      </c>
      <c r="EH82" s="66">
        <v>0</v>
      </c>
      <c r="EI82" s="66">
        <v>0</v>
      </c>
      <c r="EJ82" s="66">
        <v>0</v>
      </c>
      <c r="EK82" s="66">
        <v>0</v>
      </c>
      <c r="EL82" s="67" t="s">
        <v>1094</v>
      </c>
      <c r="EM82" s="67" t="s">
        <v>1094</v>
      </c>
      <c r="EN82" s="67">
        <v>0</v>
      </c>
      <c r="EO82" s="67">
        <v>0</v>
      </c>
      <c r="EP82" s="67">
        <v>0</v>
      </c>
      <c r="EQ82" s="66">
        <v>0</v>
      </c>
      <c r="ER82" s="66">
        <v>0</v>
      </c>
      <c r="ES82" s="66">
        <v>0</v>
      </c>
      <c r="ET82" s="66">
        <v>0</v>
      </c>
      <c r="EU82" s="66">
        <v>0</v>
      </c>
      <c r="EV82" s="66">
        <v>0</v>
      </c>
      <c r="EW82" s="66">
        <v>0</v>
      </c>
      <c r="EX82" s="66">
        <v>0</v>
      </c>
      <c r="EY82" s="66">
        <v>0</v>
      </c>
      <c r="EZ82" s="66">
        <v>0</v>
      </c>
      <c r="FA82" s="66">
        <v>0</v>
      </c>
      <c r="FB82" s="67" t="s">
        <v>1094</v>
      </c>
      <c r="FC82" s="67" t="s">
        <v>1094</v>
      </c>
      <c r="FD82" s="67">
        <v>0</v>
      </c>
      <c r="FE82" s="67">
        <v>0</v>
      </c>
      <c r="FF82" s="67">
        <v>0</v>
      </c>
      <c r="FG82" s="66">
        <v>0</v>
      </c>
      <c r="FH82" s="66">
        <v>0</v>
      </c>
      <c r="FI82" s="66">
        <v>0</v>
      </c>
      <c r="FJ82" s="66">
        <v>0</v>
      </c>
      <c r="FK82" s="66">
        <v>0</v>
      </c>
      <c r="FL82" s="66">
        <v>0</v>
      </c>
      <c r="FM82" s="66">
        <v>0</v>
      </c>
      <c r="FN82" s="66">
        <v>0</v>
      </c>
      <c r="FO82" s="66">
        <v>0</v>
      </c>
      <c r="FP82" s="66">
        <v>0</v>
      </c>
      <c r="FQ82" s="66">
        <v>0</v>
      </c>
      <c r="FR82" s="67" t="s">
        <v>1094</v>
      </c>
      <c r="FS82" s="67" t="s">
        <v>1094</v>
      </c>
      <c r="FT82" s="67">
        <v>0</v>
      </c>
      <c r="FU82" s="67">
        <v>0</v>
      </c>
      <c r="FV82" s="67">
        <v>0</v>
      </c>
      <c r="FW82" s="66">
        <v>0</v>
      </c>
      <c r="FX82" s="66">
        <v>0</v>
      </c>
      <c r="FY82" s="66">
        <v>0</v>
      </c>
      <c r="FZ82" s="66">
        <v>0</v>
      </c>
      <c r="GA82" s="66">
        <v>0</v>
      </c>
      <c r="GB82" s="66">
        <v>0</v>
      </c>
      <c r="GC82" s="66">
        <v>0</v>
      </c>
      <c r="GD82" s="66">
        <v>0</v>
      </c>
      <c r="GE82" s="66">
        <v>0</v>
      </c>
      <c r="GF82" s="66">
        <v>0</v>
      </c>
      <c r="GG82" s="66">
        <v>0</v>
      </c>
      <c r="GH82" s="67" t="s">
        <v>1094</v>
      </c>
      <c r="GI82" s="67" t="s">
        <v>1094</v>
      </c>
      <c r="GJ82" s="67">
        <v>0</v>
      </c>
      <c r="GK82" s="67">
        <v>0</v>
      </c>
      <c r="GL82" s="67">
        <v>0</v>
      </c>
      <c r="GM82" s="66">
        <v>0</v>
      </c>
      <c r="GN82" s="66">
        <v>0</v>
      </c>
      <c r="GO82" s="66">
        <v>0</v>
      </c>
      <c r="GP82" s="66">
        <v>0</v>
      </c>
      <c r="GQ82" s="66">
        <v>0</v>
      </c>
      <c r="GR82" s="66">
        <v>0</v>
      </c>
      <c r="GS82" s="66">
        <v>0</v>
      </c>
      <c r="GT82" s="66">
        <v>0</v>
      </c>
      <c r="GU82" s="66">
        <v>0</v>
      </c>
      <c r="GV82" s="66">
        <v>0</v>
      </c>
      <c r="GW82" s="66">
        <v>0</v>
      </c>
      <c r="GX82" s="67" t="s">
        <v>1094</v>
      </c>
      <c r="GY82" s="67" t="s">
        <v>1094</v>
      </c>
      <c r="GZ82" s="67">
        <v>0</v>
      </c>
      <c r="HA82" s="67">
        <v>0</v>
      </c>
      <c r="HB82" s="67">
        <v>0</v>
      </c>
      <c r="HC82" s="66">
        <v>0</v>
      </c>
      <c r="HD82" s="66">
        <v>0</v>
      </c>
      <c r="HE82" s="66">
        <v>0</v>
      </c>
      <c r="HF82" s="66">
        <v>0</v>
      </c>
      <c r="HG82" s="66">
        <v>0</v>
      </c>
      <c r="HH82" s="66">
        <v>0</v>
      </c>
      <c r="HI82" s="66">
        <v>0</v>
      </c>
      <c r="HJ82" s="66">
        <v>0</v>
      </c>
      <c r="HK82" s="66">
        <v>0</v>
      </c>
      <c r="HL82" s="66">
        <v>0</v>
      </c>
      <c r="HM82" s="66">
        <v>0</v>
      </c>
      <c r="HN82" s="67" t="s">
        <v>1094</v>
      </c>
      <c r="HO82" s="67" t="s">
        <v>1094</v>
      </c>
      <c r="HP82" s="67">
        <v>0</v>
      </c>
      <c r="HQ82" s="67">
        <v>0</v>
      </c>
      <c r="HR82" s="67">
        <v>0</v>
      </c>
      <c r="HS82" s="66">
        <v>0</v>
      </c>
      <c r="HT82" s="66">
        <v>0</v>
      </c>
      <c r="HU82" s="66">
        <v>0</v>
      </c>
      <c r="HV82" s="66">
        <v>0</v>
      </c>
      <c r="HW82" s="66">
        <v>0</v>
      </c>
      <c r="HX82" s="66">
        <v>0</v>
      </c>
      <c r="HY82" s="66">
        <v>0</v>
      </c>
      <c r="HZ82" s="66">
        <v>0</v>
      </c>
      <c r="IA82" s="66">
        <v>0</v>
      </c>
      <c r="IB82" s="66">
        <v>0</v>
      </c>
      <c r="IC82" s="66">
        <v>0</v>
      </c>
      <c r="ID82" s="67" t="s">
        <v>1094</v>
      </c>
      <c r="IE82" s="67" t="s">
        <v>1094</v>
      </c>
      <c r="IF82" s="67">
        <v>0</v>
      </c>
      <c r="IG82" s="67">
        <v>0</v>
      </c>
      <c r="IH82" s="67">
        <v>0</v>
      </c>
    </row>
    <row r="83" spans="1:242" ht="15.75" x14ac:dyDescent="0.25">
      <c r="A83" s="57">
        <v>72</v>
      </c>
      <c r="B83" s="190" t="s">
        <v>192</v>
      </c>
      <c r="C83" s="61">
        <v>1091.0895</v>
      </c>
      <c r="D83" s="61">
        <v>0</v>
      </c>
      <c r="E83" s="61">
        <v>2239.5529555400003</v>
      </c>
      <c r="F83" s="61">
        <v>1091.0895</v>
      </c>
      <c r="G83" s="61">
        <v>1148.46345554</v>
      </c>
      <c r="H83" s="61">
        <v>1061.7746205000001</v>
      </c>
      <c r="I83" s="61">
        <v>7.6954740000000008</v>
      </c>
      <c r="J83" s="61">
        <v>2066.8281493200002</v>
      </c>
      <c r="K83" s="61">
        <v>1061.4452308700002</v>
      </c>
      <c r="L83" s="61">
        <v>0</v>
      </c>
      <c r="M83" s="61">
        <v>1005.38291845</v>
      </c>
      <c r="N83" s="61">
        <v>97.283057977370333</v>
      </c>
      <c r="O83" s="61">
        <v>87.5415681361211</v>
      </c>
      <c r="P83" s="61">
        <v>48.643759704007202</v>
      </c>
      <c r="Q83" s="61">
        <v>7.4140129300000019</v>
      </c>
      <c r="R83" s="61">
        <v>0.61085070000001807</v>
      </c>
      <c r="S83" s="61">
        <v>571.11080000000004</v>
      </c>
      <c r="T83" s="61">
        <v>0</v>
      </c>
      <c r="U83" s="61">
        <v>1055.9455599999999</v>
      </c>
      <c r="V83" s="61">
        <v>571.11080000000004</v>
      </c>
      <c r="W83" s="61">
        <v>484.83475999999996</v>
      </c>
      <c r="X83" s="61">
        <v>567.66642777999994</v>
      </c>
      <c r="Y83" s="61">
        <v>5.9376229299999999</v>
      </c>
      <c r="Z83" s="61">
        <v>1049.5449433000001</v>
      </c>
      <c r="AA83" s="61">
        <v>567.33706157999995</v>
      </c>
      <c r="AB83" s="61">
        <v>0</v>
      </c>
      <c r="AC83" s="61">
        <v>482.20788171999999</v>
      </c>
      <c r="AD83" s="61">
        <v>99.339228321369504</v>
      </c>
      <c r="AE83" s="61">
        <v>99.45819101749224</v>
      </c>
      <c r="AF83" s="61">
        <v>45.944471915974589</v>
      </c>
      <c r="AG83" s="61">
        <v>5.8397394899999995</v>
      </c>
      <c r="AH83" s="61">
        <v>0.42724964000002186</v>
      </c>
      <c r="AI83" s="61">
        <v>0</v>
      </c>
      <c r="AJ83" s="61">
        <v>0</v>
      </c>
      <c r="AK83" s="61">
        <v>0</v>
      </c>
      <c r="AL83" s="61">
        <v>0</v>
      </c>
      <c r="AM83" s="61">
        <v>0</v>
      </c>
      <c r="AN83" s="61">
        <v>0</v>
      </c>
      <c r="AO83" s="61">
        <v>1.7578510699999998</v>
      </c>
      <c r="AP83" s="61">
        <v>0</v>
      </c>
      <c r="AQ83" s="61">
        <v>0</v>
      </c>
      <c r="AR83" s="61">
        <v>0</v>
      </c>
      <c r="AS83" s="61">
        <v>0</v>
      </c>
      <c r="AT83" s="61" t="s">
        <v>1094</v>
      </c>
      <c r="AU83" s="61" t="s">
        <v>1094</v>
      </c>
      <c r="AV83" s="61">
        <v>0</v>
      </c>
      <c r="AW83" s="61">
        <v>1.57427344</v>
      </c>
      <c r="AX83" s="61">
        <v>0.18357762999999994</v>
      </c>
      <c r="AY83" s="61">
        <v>357.2602</v>
      </c>
      <c r="AZ83" s="61">
        <v>0</v>
      </c>
      <c r="BA83" s="61">
        <v>681.14130554000008</v>
      </c>
      <c r="BB83" s="61">
        <v>357.2602</v>
      </c>
      <c r="BC83" s="61">
        <v>323.88110554000002</v>
      </c>
      <c r="BD83" s="61">
        <v>351.59234296</v>
      </c>
      <c r="BE83" s="61">
        <v>0</v>
      </c>
      <c r="BF83" s="61">
        <v>671.14582641000004</v>
      </c>
      <c r="BG83" s="61">
        <v>351.59231953</v>
      </c>
      <c r="BH83" s="61">
        <v>0</v>
      </c>
      <c r="BI83" s="61">
        <v>319.55350688000004</v>
      </c>
      <c r="BJ83" s="61">
        <v>98.413514724002283</v>
      </c>
      <c r="BK83" s="61">
        <v>98.663831083080737</v>
      </c>
      <c r="BL83" s="61">
        <v>47.613125837243338</v>
      </c>
      <c r="BM83" s="61">
        <v>0</v>
      </c>
      <c r="BN83" s="61">
        <v>2.3429999998825224E-5</v>
      </c>
      <c r="BO83" s="61">
        <v>0</v>
      </c>
      <c r="BP83" s="61">
        <v>0</v>
      </c>
      <c r="BQ83" s="61">
        <v>0</v>
      </c>
      <c r="BR83" s="61">
        <v>0</v>
      </c>
      <c r="BS83" s="61">
        <v>0</v>
      </c>
      <c r="BT83" s="61">
        <v>0</v>
      </c>
      <c r="BU83" s="61">
        <v>0</v>
      </c>
      <c r="BV83" s="61">
        <v>0</v>
      </c>
      <c r="BW83" s="61">
        <v>0</v>
      </c>
      <c r="BX83" s="61">
        <v>0</v>
      </c>
      <c r="BY83" s="61">
        <v>0</v>
      </c>
      <c r="BZ83" s="61" t="s">
        <v>1094</v>
      </c>
      <c r="CA83" s="61" t="s">
        <v>1094</v>
      </c>
      <c r="CB83" s="61">
        <v>0</v>
      </c>
      <c r="CC83" s="61">
        <v>0</v>
      </c>
      <c r="CD83" s="61">
        <v>0</v>
      </c>
      <c r="CE83" s="61">
        <v>99.491099999999989</v>
      </c>
      <c r="CF83" s="61">
        <v>0</v>
      </c>
      <c r="CG83" s="61">
        <v>364.697</v>
      </c>
      <c r="CH83" s="61">
        <v>99.491099999999989</v>
      </c>
      <c r="CI83" s="61">
        <v>265.20589999999999</v>
      </c>
      <c r="CJ83" s="61">
        <v>81.401694600000013</v>
      </c>
      <c r="CK83" s="61">
        <v>0</v>
      </c>
      <c r="CL83" s="61">
        <v>213.29545750999998</v>
      </c>
      <c r="CM83" s="61">
        <v>81.401694600000013</v>
      </c>
      <c r="CN83" s="61">
        <v>0</v>
      </c>
      <c r="CO83" s="61">
        <v>131.89376290999999</v>
      </c>
      <c r="CP83" s="61">
        <v>81.818066741648266</v>
      </c>
      <c r="CQ83" s="61">
        <v>49.732590002711099</v>
      </c>
      <c r="CR83" s="61">
        <v>61.836179940126655</v>
      </c>
      <c r="CS83" s="61">
        <v>0</v>
      </c>
      <c r="CT83" s="61">
        <v>0</v>
      </c>
      <c r="CU83" s="61">
        <v>0</v>
      </c>
      <c r="CV83" s="61">
        <v>0</v>
      </c>
      <c r="CW83" s="61">
        <v>0</v>
      </c>
      <c r="CX83" s="61">
        <v>0</v>
      </c>
      <c r="CY83" s="61">
        <v>0</v>
      </c>
      <c r="CZ83" s="61">
        <v>0</v>
      </c>
      <c r="DA83" s="61">
        <v>0</v>
      </c>
      <c r="DB83" s="61">
        <v>0</v>
      </c>
      <c r="DC83" s="61">
        <v>0</v>
      </c>
      <c r="DD83" s="61">
        <v>0</v>
      </c>
      <c r="DE83" s="61">
        <v>0</v>
      </c>
      <c r="DF83" s="61" t="s">
        <v>1094</v>
      </c>
      <c r="DG83" s="61" t="s">
        <v>1094</v>
      </c>
      <c r="DH83" s="61">
        <v>0</v>
      </c>
      <c r="DI83" s="61">
        <v>0</v>
      </c>
      <c r="DJ83" s="61">
        <v>0</v>
      </c>
      <c r="DK83" s="61">
        <v>23.578799999999998</v>
      </c>
      <c r="DL83" s="61">
        <v>0</v>
      </c>
      <c r="DM83" s="61">
        <v>50.165730000000003</v>
      </c>
      <c r="DN83" s="61">
        <v>23.578799999999998</v>
      </c>
      <c r="DO83" s="61">
        <v>26.586929999999995</v>
      </c>
      <c r="DP83" s="61">
        <v>23.332933099999998</v>
      </c>
      <c r="DQ83" s="61">
        <v>0</v>
      </c>
      <c r="DR83" s="61">
        <v>49.919863100000001</v>
      </c>
      <c r="DS83" s="61">
        <v>23.332933099999998</v>
      </c>
      <c r="DT83" s="61">
        <v>0</v>
      </c>
      <c r="DU83" s="61">
        <v>26.586929999999995</v>
      </c>
      <c r="DV83" s="61">
        <v>98.957254398018563</v>
      </c>
      <c r="DW83" s="61">
        <v>100</v>
      </c>
      <c r="DX83" s="61">
        <v>53.259220576668596</v>
      </c>
      <c r="DY83" s="61">
        <v>0</v>
      </c>
      <c r="DZ83" s="61">
        <v>0</v>
      </c>
      <c r="EA83" s="61">
        <v>0</v>
      </c>
      <c r="EB83" s="61">
        <v>0</v>
      </c>
      <c r="EC83" s="61">
        <v>0</v>
      </c>
      <c r="ED83" s="61">
        <v>0</v>
      </c>
      <c r="EE83" s="61">
        <v>0</v>
      </c>
      <c r="EF83" s="61">
        <v>0</v>
      </c>
      <c r="EG83" s="61">
        <v>0</v>
      </c>
      <c r="EH83" s="61">
        <v>0</v>
      </c>
      <c r="EI83" s="61">
        <v>0</v>
      </c>
      <c r="EJ83" s="61">
        <v>0</v>
      </c>
      <c r="EK83" s="61">
        <v>0</v>
      </c>
      <c r="EL83" s="61" t="s">
        <v>1094</v>
      </c>
      <c r="EM83" s="61" t="s">
        <v>1094</v>
      </c>
      <c r="EN83" s="61">
        <v>0</v>
      </c>
      <c r="EO83" s="61">
        <v>0</v>
      </c>
      <c r="EP83" s="61">
        <v>0</v>
      </c>
      <c r="EQ83" s="61">
        <v>14.424999999999999</v>
      </c>
      <c r="ER83" s="61">
        <v>0</v>
      </c>
      <c r="ES83" s="61">
        <v>30.083759999999998</v>
      </c>
      <c r="ET83" s="61">
        <v>14.424999999999999</v>
      </c>
      <c r="EU83" s="61">
        <v>15.658759999999999</v>
      </c>
      <c r="EV83" s="61">
        <v>12.55762206</v>
      </c>
      <c r="EW83" s="61">
        <v>0</v>
      </c>
      <c r="EX83" s="61">
        <v>25.402459</v>
      </c>
      <c r="EY83" s="61">
        <v>12.55762206</v>
      </c>
      <c r="EZ83" s="61">
        <v>0</v>
      </c>
      <c r="FA83" s="61">
        <v>12.844836939999999</v>
      </c>
      <c r="FB83" s="61">
        <v>87.05457233968805</v>
      </c>
      <c r="FC83" s="61">
        <v>82.029719722379042</v>
      </c>
      <c r="FD83" s="61">
        <v>50.565328891978524</v>
      </c>
      <c r="FE83" s="61">
        <v>0</v>
      </c>
      <c r="FF83" s="61">
        <v>0</v>
      </c>
      <c r="FG83" s="61">
        <v>0</v>
      </c>
      <c r="FH83" s="61">
        <v>0</v>
      </c>
      <c r="FI83" s="61">
        <v>0</v>
      </c>
      <c r="FJ83" s="61">
        <v>0</v>
      </c>
      <c r="FK83" s="61">
        <v>0</v>
      </c>
      <c r="FL83" s="61">
        <v>0</v>
      </c>
      <c r="FM83" s="61">
        <v>0</v>
      </c>
      <c r="FN83" s="61">
        <v>0</v>
      </c>
      <c r="FO83" s="61">
        <v>0</v>
      </c>
      <c r="FP83" s="61">
        <v>0</v>
      </c>
      <c r="FQ83" s="61">
        <v>0</v>
      </c>
      <c r="FR83" s="61" t="s">
        <v>1094</v>
      </c>
      <c r="FS83" s="61" t="s">
        <v>1094</v>
      </c>
      <c r="FT83" s="61">
        <v>0</v>
      </c>
      <c r="FU83" s="61">
        <v>0</v>
      </c>
      <c r="FV83" s="61">
        <v>0</v>
      </c>
      <c r="FW83" s="61">
        <v>9.7893000000000008</v>
      </c>
      <c r="FX83" s="61">
        <v>0</v>
      </c>
      <c r="FY83" s="61">
        <v>18.960599999999999</v>
      </c>
      <c r="FZ83" s="61">
        <v>9.7893000000000008</v>
      </c>
      <c r="GA83" s="61">
        <v>9.1713000000000005</v>
      </c>
      <c r="GB83" s="61">
        <v>9.7893000000000008</v>
      </c>
      <c r="GC83" s="61">
        <v>0</v>
      </c>
      <c r="GD83" s="61">
        <v>18.960599999999999</v>
      </c>
      <c r="GE83" s="61">
        <v>9.7893000000000008</v>
      </c>
      <c r="GF83" s="61">
        <v>0</v>
      </c>
      <c r="GG83" s="61">
        <v>9.1713000000000005</v>
      </c>
      <c r="GH83" s="61">
        <v>100</v>
      </c>
      <c r="GI83" s="61">
        <v>100</v>
      </c>
      <c r="GJ83" s="61">
        <v>48.370304737191866</v>
      </c>
      <c r="GK83" s="61">
        <v>0</v>
      </c>
      <c r="GL83" s="61">
        <v>0</v>
      </c>
      <c r="GM83" s="61">
        <v>0</v>
      </c>
      <c r="GN83" s="61">
        <v>0</v>
      </c>
      <c r="GO83" s="61">
        <v>0</v>
      </c>
      <c r="GP83" s="61">
        <v>0</v>
      </c>
      <c r="GQ83" s="61">
        <v>0</v>
      </c>
      <c r="GR83" s="61">
        <v>0</v>
      </c>
      <c r="GS83" s="61">
        <v>0</v>
      </c>
      <c r="GT83" s="61">
        <v>0</v>
      </c>
      <c r="GU83" s="61">
        <v>0</v>
      </c>
      <c r="GV83" s="61">
        <v>0</v>
      </c>
      <c r="GW83" s="61">
        <v>0</v>
      </c>
      <c r="GX83" s="61" t="s">
        <v>1094</v>
      </c>
      <c r="GY83" s="61" t="s">
        <v>1094</v>
      </c>
      <c r="GZ83" s="61">
        <v>0</v>
      </c>
      <c r="HA83" s="61">
        <v>0</v>
      </c>
      <c r="HB83" s="61">
        <v>0</v>
      </c>
      <c r="HC83" s="61">
        <v>15.434299999999999</v>
      </c>
      <c r="HD83" s="61">
        <v>0</v>
      </c>
      <c r="HE83" s="61">
        <v>38.558999999999997</v>
      </c>
      <c r="HF83" s="61">
        <v>15.434299999999999</v>
      </c>
      <c r="HG83" s="61">
        <v>23.124699999999997</v>
      </c>
      <c r="HH83" s="61">
        <v>15.434299999999999</v>
      </c>
      <c r="HI83" s="61">
        <v>0</v>
      </c>
      <c r="HJ83" s="61">
        <v>38.558999999999997</v>
      </c>
      <c r="HK83" s="61">
        <v>15.434299999999999</v>
      </c>
      <c r="HL83" s="61">
        <v>0</v>
      </c>
      <c r="HM83" s="61">
        <v>23.124699999999997</v>
      </c>
      <c r="HN83" s="61">
        <v>100</v>
      </c>
      <c r="HO83" s="61">
        <v>100</v>
      </c>
      <c r="HP83" s="61">
        <v>59.97225031769495</v>
      </c>
      <c r="HQ83" s="61">
        <v>0</v>
      </c>
      <c r="HR83" s="61">
        <v>0</v>
      </c>
      <c r="HS83" s="61">
        <v>0</v>
      </c>
      <c r="HT83" s="61">
        <v>0</v>
      </c>
      <c r="HU83" s="61">
        <v>0</v>
      </c>
      <c r="HV83" s="61">
        <v>0</v>
      </c>
      <c r="HW83" s="61">
        <v>0</v>
      </c>
      <c r="HX83" s="61">
        <v>0</v>
      </c>
      <c r="HY83" s="61">
        <v>0</v>
      </c>
      <c r="HZ83" s="61">
        <v>0</v>
      </c>
      <c r="IA83" s="61">
        <v>0</v>
      </c>
      <c r="IB83" s="61">
        <v>0</v>
      </c>
      <c r="IC83" s="61">
        <v>0</v>
      </c>
      <c r="ID83" s="61" t="s">
        <v>1094</v>
      </c>
      <c r="IE83" s="61" t="s">
        <v>1094</v>
      </c>
      <c r="IF83" s="61">
        <v>0</v>
      </c>
      <c r="IG83" s="61">
        <v>0</v>
      </c>
      <c r="IH83" s="61">
        <v>0</v>
      </c>
    </row>
    <row r="84" spans="1:242" ht="15.75" x14ac:dyDescent="0.25">
      <c r="A84" s="11">
        <v>73</v>
      </c>
      <c r="B84" s="189" t="s">
        <v>195</v>
      </c>
      <c r="C84" s="66">
        <v>95.508500000000012</v>
      </c>
      <c r="D84" s="66">
        <v>0</v>
      </c>
      <c r="E84" s="66">
        <v>122.90850000000002</v>
      </c>
      <c r="F84" s="66">
        <v>95.508500000000012</v>
      </c>
      <c r="G84" s="66">
        <v>27.400000000000002</v>
      </c>
      <c r="H84" s="66">
        <v>95.508500000000012</v>
      </c>
      <c r="I84" s="66">
        <v>0</v>
      </c>
      <c r="J84" s="66">
        <v>122.90850000000002</v>
      </c>
      <c r="K84" s="66">
        <v>95.508500000000012</v>
      </c>
      <c r="L84" s="66">
        <v>0</v>
      </c>
      <c r="M84" s="66">
        <v>27.400000000000002</v>
      </c>
      <c r="N84" s="67">
        <v>100</v>
      </c>
      <c r="O84" s="67">
        <v>100</v>
      </c>
      <c r="P84" s="67">
        <v>22.293006586200299</v>
      </c>
      <c r="Q84" s="66">
        <v>0</v>
      </c>
      <c r="R84" s="67">
        <v>0</v>
      </c>
      <c r="S84" s="66">
        <v>19.629000000000001</v>
      </c>
      <c r="T84" s="66">
        <v>0</v>
      </c>
      <c r="U84" s="66">
        <v>29.629000000000001</v>
      </c>
      <c r="V84" s="66">
        <v>19.629000000000001</v>
      </c>
      <c r="W84" s="66">
        <v>10</v>
      </c>
      <c r="X84" s="66">
        <v>19.629000000000001</v>
      </c>
      <c r="Y84" s="66">
        <v>0</v>
      </c>
      <c r="Z84" s="66">
        <v>29.629000000000001</v>
      </c>
      <c r="AA84" s="66">
        <v>19.629000000000001</v>
      </c>
      <c r="AB84" s="66">
        <v>0</v>
      </c>
      <c r="AC84" s="66">
        <v>10</v>
      </c>
      <c r="AD84" s="67">
        <v>100</v>
      </c>
      <c r="AE84" s="67">
        <v>100</v>
      </c>
      <c r="AF84" s="67">
        <v>33.750717202740553</v>
      </c>
      <c r="AG84" s="67">
        <v>0</v>
      </c>
      <c r="AH84" s="67">
        <v>0</v>
      </c>
      <c r="AI84" s="66">
        <v>0</v>
      </c>
      <c r="AJ84" s="66">
        <v>0</v>
      </c>
      <c r="AK84" s="66">
        <v>0</v>
      </c>
      <c r="AL84" s="66">
        <v>0</v>
      </c>
      <c r="AM84" s="66">
        <v>0</v>
      </c>
      <c r="AN84" s="66">
        <v>0</v>
      </c>
      <c r="AO84" s="66">
        <v>0</v>
      </c>
      <c r="AP84" s="66">
        <v>0</v>
      </c>
      <c r="AQ84" s="66">
        <v>0</v>
      </c>
      <c r="AR84" s="66">
        <v>0</v>
      </c>
      <c r="AS84" s="66">
        <v>0</v>
      </c>
      <c r="AT84" s="67" t="s">
        <v>1094</v>
      </c>
      <c r="AU84" s="67" t="s">
        <v>1094</v>
      </c>
      <c r="AV84" s="67">
        <v>0</v>
      </c>
      <c r="AW84" s="67">
        <v>0</v>
      </c>
      <c r="AX84" s="67">
        <v>0</v>
      </c>
      <c r="AY84" s="66">
        <v>72.707999999999998</v>
      </c>
      <c r="AZ84" s="66">
        <v>0</v>
      </c>
      <c r="BA84" s="66">
        <v>87.308000000000007</v>
      </c>
      <c r="BB84" s="66">
        <v>72.707999999999998</v>
      </c>
      <c r="BC84" s="66">
        <v>14.6</v>
      </c>
      <c r="BD84" s="66">
        <v>72.707999999999998</v>
      </c>
      <c r="BE84" s="66">
        <v>0</v>
      </c>
      <c r="BF84" s="66">
        <v>87.308000000000007</v>
      </c>
      <c r="BG84" s="66">
        <v>72.707999999999998</v>
      </c>
      <c r="BH84" s="66">
        <v>0</v>
      </c>
      <c r="BI84" s="66">
        <v>14.6</v>
      </c>
      <c r="BJ84" s="67">
        <v>100</v>
      </c>
      <c r="BK84" s="67">
        <v>100</v>
      </c>
      <c r="BL84" s="67">
        <v>16.722408026755851</v>
      </c>
      <c r="BM84" s="67">
        <v>0</v>
      </c>
      <c r="BN84" s="67">
        <v>0</v>
      </c>
      <c r="BO84" s="66">
        <v>0</v>
      </c>
      <c r="BP84" s="66">
        <v>0</v>
      </c>
      <c r="BQ84" s="66">
        <v>0</v>
      </c>
      <c r="BR84" s="66">
        <v>0</v>
      </c>
      <c r="BS84" s="66">
        <v>0</v>
      </c>
      <c r="BT84" s="66">
        <v>0</v>
      </c>
      <c r="BU84" s="66">
        <v>0</v>
      </c>
      <c r="BV84" s="66">
        <v>0</v>
      </c>
      <c r="BW84" s="66">
        <v>0</v>
      </c>
      <c r="BX84" s="66">
        <v>0</v>
      </c>
      <c r="BY84" s="66">
        <v>0</v>
      </c>
      <c r="BZ84" s="67" t="s">
        <v>1094</v>
      </c>
      <c r="CA84" s="67" t="s">
        <v>1094</v>
      </c>
      <c r="CB84" s="67">
        <v>0</v>
      </c>
      <c r="CC84" s="67">
        <v>0</v>
      </c>
      <c r="CD84" s="67">
        <v>0</v>
      </c>
      <c r="CE84" s="66">
        <v>0</v>
      </c>
      <c r="CF84" s="66">
        <v>0</v>
      </c>
      <c r="CG84" s="66">
        <v>0</v>
      </c>
      <c r="CH84" s="66">
        <v>0</v>
      </c>
      <c r="CI84" s="66">
        <v>0</v>
      </c>
      <c r="CJ84" s="66">
        <v>0</v>
      </c>
      <c r="CK84" s="66">
        <v>0</v>
      </c>
      <c r="CL84" s="66">
        <v>0</v>
      </c>
      <c r="CM84" s="66">
        <v>0</v>
      </c>
      <c r="CN84" s="66">
        <v>0</v>
      </c>
      <c r="CO84" s="66">
        <v>0</v>
      </c>
      <c r="CP84" s="67" t="s">
        <v>1094</v>
      </c>
      <c r="CQ84" s="67" t="s">
        <v>1094</v>
      </c>
      <c r="CR84" s="67">
        <v>0</v>
      </c>
      <c r="CS84" s="67">
        <v>0</v>
      </c>
      <c r="CT84" s="67">
        <v>0</v>
      </c>
      <c r="CU84" s="66">
        <v>0</v>
      </c>
      <c r="CV84" s="66">
        <v>0</v>
      </c>
      <c r="CW84" s="66">
        <v>0</v>
      </c>
      <c r="CX84" s="66">
        <v>0</v>
      </c>
      <c r="CY84" s="66">
        <v>0</v>
      </c>
      <c r="CZ84" s="66">
        <v>0</v>
      </c>
      <c r="DA84" s="66">
        <v>0</v>
      </c>
      <c r="DB84" s="66">
        <v>0</v>
      </c>
      <c r="DC84" s="66">
        <v>0</v>
      </c>
      <c r="DD84" s="66">
        <v>0</v>
      </c>
      <c r="DE84" s="66">
        <v>0</v>
      </c>
      <c r="DF84" s="67" t="s">
        <v>1094</v>
      </c>
      <c r="DG84" s="67" t="s">
        <v>1094</v>
      </c>
      <c r="DH84" s="67">
        <v>0</v>
      </c>
      <c r="DI84" s="67">
        <v>0</v>
      </c>
      <c r="DJ84" s="67">
        <v>0</v>
      </c>
      <c r="DK84" s="66">
        <v>1.3049999999999999</v>
      </c>
      <c r="DL84" s="66">
        <v>0</v>
      </c>
      <c r="DM84" s="66">
        <v>3.3050000000000002</v>
      </c>
      <c r="DN84" s="66">
        <v>1.3049999999999999</v>
      </c>
      <c r="DO84" s="66">
        <v>2</v>
      </c>
      <c r="DP84" s="66">
        <v>1.3049999999999999</v>
      </c>
      <c r="DQ84" s="66">
        <v>0</v>
      </c>
      <c r="DR84" s="66">
        <v>3.3050000000000002</v>
      </c>
      <c r="DS84" s="66">
        <v>1.3049999999999999</v>
      </c>
      <c r="DT84" s="66">
        <v>0</v>
      </c>
      <c r="DU84" s="66">
        <v>2</v>
      </c>
      <c r="DV84" s="67">
        <v>100</v>
      </c>
      <c r="DW84" s="67">
        <v>100</v>
      </c>
      <c r="DX84" s="67">
        <v>60.514372163388799</v>
      </c>
      <c r="DY84" s="67">
        <v>0</v>
      </c>
      <c r="DZ84" s="67">
        <v>0</v>
      </c>
      <c r="EA84" s="66">
        <v>0</v>
      </c>
      <c r="EB84" s="66">
        <v>0</v>
      </c>
      <c r="EC84" s="66">
        <v>0</v>
      </c>
      <c r="ED84" s="66">
        <v>0</v>
      </c>
      <c r="EE84" s="66">
        <v>0</v>
      </c>
      <c r="EF84" s="66">
        <v>0</v>
      </c>
      <c r="EG84" s="66">
        <v>0</v>
      </c>
      <c r="EH84" s="66">
        <v>0</v>
      </c>
      <c r="EI84" s="66">
        <v>0</v>
      </c>
      <c r="EJ84" s="66">
        <v>0</v>
      </c>
      <c r="EK84" s="66">
        <v>0</v>
      </c>
      <c r="EL84" s="67" t="s">
        <v>1094</v>
      </c>
      <c r="EM84" s="67" t="s">
        <v>1094</v>
      </c>
      <c r="EN84" s="67">
        <v>0</v>
      </c>
      <c r="EO84" s="67">
        <v>0</v>
      </c>
      <c r="EP84" s="67">
        <v>0</v>
      </c>
      <c r="EQ84" s="66">
        <v>0</v>
      </c>
      <c r="ER84" s="66">
        <v>0</v>
      </c>
      <c r="ES84" s="66">
        <v>0</v>
      </c>
      <c r="ET84" s="66">
        <v>0</v>
      </c>
      <c r="EU84" s="66">
        <v>0</v>
      </c>
      <c r="EV84" s="66">
        <v>0</v>
      </c>
      <c r="EW84" s="66">
        <v>0</v>
      </c>
      <c r="EX84" s="66">
        <v>0</v>
      </c>
      <c r="EY84" s="66">
        <v>0</v>
      </c>
      <c r="EZ84" s="66">
        <v>0</v>
      </c>
      <c r="FA84" s="66">
        <v>0</v>
      </c>
      <c r="FB84" s="67" t="s">
        <v>1094</v>
      </c>
      <c r="FC84" s="67" t="s">
        <v>1094</v>
      </c>
      <c r="FD84" s="67">
        <v>0</v>
      </c>
      <c r="FE84" s="67">
        <v>0</v>
      </c>
      <c r="FF84" s="67">
        <v>0</v>
      </c>
      <c r="FG84" s="66">
        <v>0</v>
      </c>
      <c r="FH84" s="66">
        <v>0</v>
      </c>
      <c r="FI84" s="66">
        <v>0</v>
      </c>
      <c r="FJ84" s="66">
        <v>0</v>
      </c>
      <c r="FK84" s="66">
        <v>0</v>
      </c>
      <c r="FL84" s="66">
        <v>0</v>
      </c>
      <c r="FM84" s="66">
        <v>0</v>
      </c>
      <c r="FN84" s="66">
        <v>0</v>
      </c>
      <c r="FO84" s="66">
        <v>0</v>
      </c>
      <c r="FP84" s="66">
        <v>0</v>
      </c>
      <c r="FQ84" s="66">
        <v>0</v>
      </c>
      <c r="FR84" s="67" t="s">
        <v>1094</v>
      </c>
      <c r="FS84" s="67" t="s">
        <v>1094</v>
      </c>
      <c r="FT84" s="67">
        <v>0</v>
      </c>
      <c r="FU84" s="67">
        <v>0</v>
      </c>
      <c r="FV84" s="67">
        <v>0</v>
      </c>
      <c r="FW84" s="66">
        <v>0</v>
      </c>
      <c r="FX84" s="66">
        <v>0</v>
      </c>
      <c r="FY84" s="66">
        <v>0</v>
      </c>
      <c r="FZ84" s="66">
        <v>0</v>
      </c>
      <c r="GA84" s="66">
        <v>0</v>
      </c>
      <c r="GB84" s="66">
        <v>0</v>
      </c>
      <c r="GC84" s="66">
        <v>0</v>
      </c>
      <c r="GD84" s="66">
        <v>0</v>
      </c>
      <c r="GE84" s="66">
        <v>0</v>
      </c>
      <c r="GF84" s="66">
        <v>0</v>
      </c>
      <c r="GG84" s="66">
        <v>0</v>
      </c>
      <c r="GH84" s="67" t="s">
        <v>1094</v>
      </c>
      <c r="GI84" s="67" t="s">
        <v>1094</v>
      </c>
      <c r="GJ84" s="67">
        <v>0</v>
      </c>
      <c r="GK84" s="67">
        <v>0</v>
      </c>
      <c r="GL84" s="67">
        <v>0</v>
      </c>
      <c r="GM84" s="66">
        <v>0</v>
      </c>
      <c r="GN84" s="66">
        <v>0</v>
      </c>
      <c r="GO84" s="66">
        <v>0</v>
      </c>
      <c r="GP84" s="66">
        <v>0</v>
      </c>
      <c r="GQ84" s="66">
        <v>0</v>
      </c>
      <c r="GR84" s="66">
        <v>0</v>
      </c>
      <c r="GS84" s="66">
        <v>0</v>
      </c>
      <c r="GT84" s="66">
        <v>0</v>
      </c>
      <c r="GU84" s="66">
        <v>0</v>
      </c>
      <c r="GV84" s="66">
        <v>0</v>
      </c>
      <c r="GW84" s="66">
        <v>0</v>
      </c>
      <c r="GX84" s="67" t="s">
        <v>1094</v>
      </c>
      <c r="GY84" s="67" t="s">
        <v>1094</v>
      </c>
      <c r="GZ84" s="67">
        <v>0</v>
      </c>
      <c r="HA84" s="67">
        <v>0</v>
      </c>
      <c r="HB84" s="67">
        <v>0</v>
      </c>
      <c r="HC84" s="66">
        <v>1.8665</v>
      </c>
      <c r="HD84" s="66">
        <v>0</v>
      </c>
      <c r="HE84" s="66">
        <v>2.6665000000000001</v>
      </c>
      <c r="HF84" s="66">
        <v>1.8665</v>
      </c>
      <c r="HG84" s="66">
        <v>0.8</v>
      </c>
      <c r="HH84" s="66">
        <v>1.8665</v>
      </c>
      <c r="HI84" s="66">
        <v>0</v>
      </c>
      <c r="HJ84" s="66">
        <v>2.6665000000000001</v>
      </c>
      <c r="HK84" s="66">
        <v>1.8665</v>
      </c>
      <c r="HL84" s="66">
        <v>0</v>
      </c>
      <c r="HM84" s="66">
        <v>0.8</v>
      </c>
      <c r="HN84" s="67">
        <v>100</v>
      </c>
      <c r="HO84" s="67">
        <v>100</v>
      </c>
      <c r="HP84" s="67">
        <v>30.001875117194825</v>
      </c>
      <c r="HQ84" s="67">
        <v>0</v>
      </c>
      <c r="HR84" s="67">
        <v>0</v>
      </c>
      <c r="HS84" s="66">
        <v>0</v>
      </c>
      <c r="HT84" s="66">
        <v>0</v>
      </c>
      <c r="HU84" s="66">
        <v>0</v>
      </c>
      <c r="HV84" s="66">
        <v>0</v>
      </c>
      <c r="HW84" s="66">
        <v>0</v>
      </c>
      <c r="HX84" s="66">
        <v>0</v>
      </c>
      <c r="HY84" s="66">
        <v>0</v>
      </c>
      <c r="HZ84" s="66">
        <v>0</v>
      </c>
      <c r="IA84" s="66">
        <v>0</v>
      </c>
      <c r="IB84" s="66">
        <v>0</v>
      </c>
      <c r="IC84" s="66">
        <v>0</v>
      </c>
      <c r="ID84" s="67" t="s">
        <v>1094</v>
      </c>
      <c r="IE84" s="67" t="s">
        <v>1094</v>
      </c>
      <c r="IF84" s="67">
        <v>0</v>
      </c>
      <c r="IG84" s="67">
        <v>0</v>
      </c>
      <c r="IH84" s="67">
        <v>0</v>
      </c>
    </row>
    <row r="85" spans="1:242" ht="15.75" x14ac:dyDescent="0.25">
      <c r="A85" s="11">
        <v>74</v>
      </c>
      <c r="B85" s="189" t="s">
        <v>198</v>
      </c>
      <c r="C85" s="66">
        <v>11.964700000000001</v>
      </c>
      <c r="D85" s="66">
        <v>0</v>
      </c>
      <c r="E85" s="66">
        <v>17.092459999999999</v>
      </c>
      <c r="F85" s="66">
        <v>11.964700000000001</v>
      </c>
      <c r="G85" s="66">
        <v>5.1277600000000003</v>
      </c>
      <c r="H85" s="66">
        <v>11.964700000000001</v>
      </c>
      <c r="I85" s="66">
        <v>4.3515440000000002E-2</v>
      </c>
      <c r="J85" s="66">
        <v>17.092459999999999</v>
      </c>
      <c r="K85" s="66">
        <v>11.964700000000001</v>
      </c>
      <c r="L85" s="66">
        <v>0</v>
      </c>
      <c r="M85" s="66">
        <v>5.1277600000000003</v>
      </c>
      <c r="N85" s="67">
        <v>100</v>
      </c>
      <c r="O85" s="67">
        <v>100</v>
      </c>
      <c r="P85" s="67">
        <v>30.000128711724354</v>
      </c>
      <c r="Q85" s="66">
        <v>4.3515440000000002E-2</v>
      </c>
      <c r="R85" s="67">
        <v>1.8041124150158794E-16</v>
      </c>
      <c r="S85" s="66">
        <v>3.1311</v>
      </c>
      <c r="T85" s="66">
        <v>0</v>
      </c>
      <c r="U85" s="66">
        <v>4.4729999999999999</v>
      </c>
      <c r="V85" s="66">
        <v>3.1311</v>
      </c>
      <c r="W85" s="66">
        <v>1.3419000000000001</v>
      </c>
      <c r="X85" s="66">
        <v>3.1311</v>
      </c>
      <c r="Y85" s="66">
        <v>4.3515440000000002E-2</v>
      </c>
      <c r="Z85" s="66">
        <v>4.4729999999999999</v>
      </c>
      <c r="AA85" s="66">
        <v>3.1311</v>
      </c>
      <c r="AB85" s="66">
        <v>0</v>
      </c>
      <c r="AC85" s="66">
        <v>1.3419000000000001</v>
      </c>
      <c r="AD85" s="67">
        <v>100</v>
      </c>
      <c r="AE85" s="67">
        <v>100</v>
      </c>
      <c r="AF85" s="67">
        <v>30.000000000000004</v>
      </c>
      <c r="AG85" s="67">
        <v>4.3515440000000002E-2</v>
      </c>
      <c r="AH85" s="67">
        <v>1.8041124150158794E-16</v>
      </c>
      <c r="AI85" s="66">
        <v>0</v>
      </c>
      <c r="AJ85" s="66">
        <v>0</v>
      </c>
      <c r="AK85" s="66">
        <v>0</v>
      </c>
      <c r="AL85" s="66">
        <v>0</v>
      </c>
      <c r="AM85" s="66">
        <v>0</v>
      </c>
      <c r="AN85" s="66">
        <v>0</v>
      </c>
      <c r="AO85" s="66">
        <v>0</v>
      </c>
      <c r="AP85" s="66">
        <v>0</v>
      </c>
      <c r="AQ85" s="66">
        <v>0</v>
      </c>
      <c r="AR85" s="66">
        <v>0</v>
      </c>
      <c r="AS85" s="66">
        <v>0</v>
      </c>
      <c r="AT85" s="67" t="s">
        <v>1094</v>
      </c>
      <c r="AU85" s="67" t="s">
        <v>1094</v>
      </c>
      <c r="AV85" s="67">
        <v>0</v>
      </c>
      <c r="AW85" s="67">
        <v>0</v>
      </c>
      <c r="AX85" s="67">
        <v>0</v>
      </c>
      <c r="AY85" s="66">
        <v>0</v>
      </c>
      <c r="AZ85" s="66">
        <v>0</v>
      </c>
      <c r="BA85" s="66">
        <v>0</v>
      </c>
      <c r="BB85" s="66">
        <v>0</v>
      </c>
      <c r="BC85" s="66">
        <v>0</v>
      </c>
      <c r="BD85" s="66">
        <v>0</v>
      </c>
      <c r="BE85" s="66">
        <v>0</v>
      </c>
      <c r="BF85" s="66">
        <v>0</v>
      </c>
      <c r="BG85" s="66">
        <v>0</v>
      </c>
      <c r="BH85" s="66">
        <v>0</v>
      </c>
      <c r="BI85" s="66">
        <v>0</v>
      </c>
      <c r="BJ85" s="67" t="s">
        <v>1094</v>
      </c>
      <c r="BK85" s="67" t="s">
        <v>1094</v>
      </c>
      <c r="BL85" s="67">
        <v>0</v>
      </c>
      <c r="BM85" s="67">
        <v>0</v>
      </c>
      <c r="BN85" s="67">
        <v>0</v>
      </c>
      <c r="BO85" s="66">
        <v>0</v>
      </c>
      <c r="BP85" s="66">
        <v>0</v>
      </c>
      <c r="BQ85" s="66">
        <v>0</v>
      </c>
      <c r="BR85" s="66">
        <v>0</v>
      </c>
      <c r="BS85" s="66">
        <v>0</v>
      </c>
      <c r="BT85" s="66">
        <v>0</v>
      </c>
      <c r="BU85" s="66">
        <v>0</v>
      </c>
      <c r="BV85" s="66">
        <v>0</v>
      </c>
      <c r="BW85" s="66">
        <v>0</v>
      </c>
      <c r="BX85" s="66">
        <v>0</v>
      </c>
      <c r="BY85" s="66">
        <v>0</v>
      </c>
      <c r="BZ85" s="67" t="s">
        <v>1094</v>
      </c>
      <c r="CA85" s="67" t="s">
        <v>1094</v>
      </c>
      <c r="CB85" s="67">
        <v>0</v>
      </c>
      <c r="CC85" s="67">
        <v>0</v>
      </c>
      <c r="CD85" s="67">
        <v>0</v>
      </c>
      <c r="CE85" s="66">
        <v>0</v>
      </c>
      <c r="CF85" s="66">
        <v>0</v>
      </c>
      <c r="CG85" s="66">
        <v>0</v>
      </c>
      <c r="CH85" s="66">
        <v>0</v>
      </c>
      <c r="CI85" s="66">
        <v>0</v>
      </c>
      <c r="CJ85" s="66">
        <v>0</v>
      </c>
      <c r="CK85" s="66">
        <v>0</v>
      </c>
      <c r="CL85" s="66">
        <v>0</v>
      </c>
      <c r="CM85" s="66">
        <v>0</v>
      </c>
      <c r="CN85" s="66">
        <v>0</v>
      </c>
      <c r="CO85" s="66">
        <v>0</v>
      </c>
      <c r="CP85" s="67" t="s">
        <v>1094</v>
      </c>
      <c r="CQ85" s="67" t="s">
        <v>1094</v>
      </c>
      <c r="CR85" s="67">
        <v>0</v>
      </c>
      <c r="CS85" s="67">
        <v>0</v>
      </c>
      <c r="CT85" s="67">
        <v>0</v>
      </c>
      <c r="CU85" s="66">
        <v>0</v>
      </c>
      <c r="CV85" s="66">
        <v>0</v>
      </c>
      <c r="CW85" s="66">
        <v>0</v>
      </c>
      <c r="CX85" s="66">
        <v>0</v>
      </c>
      <c r="CY85" s="66">
        <v>0</v>
      </c>
      <c r="CZ85" s="66">
        <v>0</v>
      </c>
      <c r="DA85" s="66">
        <v>0</v>
      </c>
      <c r="DB85" s="66">
        <v>0</v>
      </c>
      <c r="DC85" s="66">
        <v>0</v>
      </c>
      <c r="DD85" s="66">
        <v>0</v>
      </c>
      <c r="DE85" s="66">
        <v>0</v>
      </c>
      <c r="DF85" s="67" t="s">
        <v>1094</v>
      </c>
      <c r="DG85" s="67" t="s">
        <v>1094</v>
      </c>
      <c r="DH85" s="67">
        <v>0</v>
      </c>
      <c r="DI85" s="67">
        <v>0</v>
      </c>
      <c r="DJ85" s="67">
        <v>0</v>
      </c>
      <c r="DK85" s="66">
        <v>4.8928000000000003</v>
      </c>
      <c r="DL85" s="66">
        <v>0</v>
      </c>
      <c r="DM85" s="66">
        <v>6.9897</v>
      </c>
      <c r="DN85" s="66">
        <v>4.8928000000000003</v>
      </c>
      <c r="DO85" s="66">
        <v>2.0969000000000002</v>
      </c>
      <c r="DP85" s="66">
        <v>4.8928000000000003</v>
      </c>
      <c r="DQ85" s="66">
        <v>0</v>
      </c>
      <c r="DR85" s="66">
        <v>6.9897</v>
      </c>
      <c r="DS85" s="66">
        <v>4.8928000000000003</v>
      </c>
      <c r="DT85" s="66">
        <v>0</v>
      </c>
      <c r="DU85" s="66">
        <v>2.0969000000000002</v>
      </c>
      <c r="DV85" s="67">
        <v>100</v>
      </c>
      <c r="DW85" s="67">
        <v>100</v>
      </c>
      <c r="DX85" s="67">
        <v>29.99985693234331</v>
      </c>
      <c r="DY85" s="67">
        <v>0</v>
      </c>
      <c r="DZ85" s="67">
        <v>0</v>
      </c>
      <c r="EA85" s="66">
        <v>0</v>
      </c>
      <c r="EB85" s="66">
        <v>0</v>
      </c>
      <c r="EC85" s="66">
        <v>0</v>
      </c>
      <c r="ED85" s="66">
        <v>0</v>
      </c>
      <c r="EE85" s="66">
        <v>0</v>
      </c>
      <c r="EF85" s="66">
        <v>0</v>
      </c>
      <c r="EG85" s="66">
        <v>0</v>
      </c>
      <c r="EH85" s="66">
        <v>0</v>
      </c>
      <c r="EI85" s="66">
        <v>0</v>
      </c>
      <c r="EJ85" s="66">
        <v>0</v>
      </c>
      <c r="EK85" s="66">
        <v>0</v>
      </c>
      <c r="EL85" s="67" t="s">
        <v>1094</v>
      </c>
      <c r="EM85" s="67" t="s">
        <v>1094</v>
      </c>
      <c r="EN85" s="67">
        <v>0</v>
      </c>
      <c r="EO85" s="67">
        <v>0</v>
      </c>
      <c r="EP85" s="67">
        <v>0</v>
      </c>
      <c r="EQ85" s="66">
        <v>3.1379999999999999</v>
      </c>
      <c r="ER85" s="66">
        <v>0</v>
      </c>
      <c r="ES85" s="66">
        <v>4.4828599999999996</v>
      </c>
      <c r="ET85" s="66">
        <v>3.1379999999999999</v>
      </c>
      <c r="EU85" s="66">
        <v>1.3448599999999999</v>
      </c>
      <c r="EV85" s="66">
        <v>3.1379999999999999</v>
      </c>
      <c r="EW85" s="66">
        <v>0</v>
      </c>
      <c r="EX85" s="66">
        <v>4.4828599999999996</v>
      </c>
      <c r="EY85" s="66">
        <v>3.1379999999999999</v>
      </c>
      <c r="EZ85" s="66">
        <v>0</v>
      </c>
      <c r="FA85" s="66">
        <v>1.3448599999999999</v>
      </c>
      <c r="FB85" s="67">
        <v>100</v>
      </c>
      <c r="FC85" s="67">
        <v>100</v>
      </c>
      <c r="FD85" s="67">
        <v>30.000044614375643</v>
      </c>
      <c r="FE85" s="67">
        <v>0</v>
      </c>
      <c r="FF85" s="67">
        <v>0</v>
      </c>
      <c r="FG85" s="66">
        <v>0</v>
      </c>
      <c r="FH85" s="66">
        <v>0</v>
      </c>
      <c r="FI85" s="66">
        <v>0</v>
      </c>
      <c r="FJ85" s="66">
        <v>0</v>
      </c>
      <c r="FK85" s="66">
        <v>0</v>
      </c>
      <c r="FL85" s="66">
        <v>0</v>
      </c>
      <c r="FM85" s="66">
        <v>0</v>
      </c>
      <c r="FN85" s="66">
        <v>0</v>
      </c>
      <c r="FO85" s="66">
        <v>0</v>
      </c>
      <c r="FP85" s="66">
        <v>0</v>
      </c>
      <c r="FQ85" s="66">
        <v>0</v>
      </c>
      <c r="FR85" s="67" t="s">
        <v>1094</v>
      </c>
      <c r="FS85" s="67" t="s">
        <v>1094</v>
      </c>
      <c r="FT85" s="67">
        <v>0</v>
      </c>
      <c r="FU85" s="67">
        <v>0</v>
      </c>
      <c r="FV85" s="67">
        <v>0</v>
      </c>
      <c r="FW85" s="66">
        <v>0</v>
      </c>
      <c r="FX85" s="66">
        <v>0</v>
      </c>
      <c r="FY85" s="66">
        <v>0</v>
      </c>
      <c r="FZ85" s="66">
        <v>0</v>
      </c>
      <c r="GA85" s="66">
        <v>0</v>
      </c>
      <c r="GB85" s="66">
        <v>0</v>
      </c>
      <c r="GC85" s="66">
        <v>0</v>
      </c>
      <c r="GD85" s="66">
        <v>0</v>
      </c>
      <c r="GE85" s="66">
        <v>0</v>
      </c>
      <c r="GF85" s="66">
        <v>0</v>
      </c>
      <c r="GG85" s="66">
        <v>0</v>
      </c>
      <c r="GH85" s="67" t="s">
        <v>1094</v>
      </c>
      <c r="GI85" s="67" t="s">
        <v>1094</v>
      </c>
      <c r="GJ85" s="67">
        <v>0</v>
      </c>
      <c r="GK85" s="67">
        <v>0</v>
      </c>
      <c r="GL85" s="67">
        <v>0</v>
      </c>
      <c r="GM85" s="66">
        <v>0</v>
      </c>
      <c r="GN85" s="66">
        <v>0</v>
      </c>
      <c r="GO85" s="66">
        <v>0</v>
      </c>
      <c r="GP85" s="66">
        <v>0</v>
      </c>
      <c r="GQ85" s="66">
        <v>0</v>
      </c>
      <c r="GR85" s="66">
        <v>0</v>
      </c>
      <c r="GS85" s="66">
        <v>0</v>
      </c>
      <c r="GT85" s="66">
        <v>0</v>
      </c>
      <c r="GU85" s="66">
        <v>0</v>
      </c>
      <c r="GV85" s="66">
        <v>0</v>
      </c>
      <c r="GW85" s="66">
        <v>0</v>
      </c>
      <c r="GX85" s="67" t="s">
        <v>1094</v>
      </c>
      <c r="GY85" s="67" t="s">
        <v>1094</v>
      </c>
      <c r="GZ85" s="67">
        <v>0</v>
      </c>
      <c r="HA85" s="67">
        <v>0</v>
      </c>
      <c r="HB85" s="67">
        <v>0</v>
      </c>
      <c r="HC85" s="66">
        <v>0.80279999999999996</v>
      </c>
      <c r="HD85" s="66">
        <v>0</v>
      </c>
      <c r="HE85" s="66">
        <v>1.1469</v>
      </c>
      <c r="HF85" s="66">
        <v>0.80279999999999996</v>
      </c>
      <c r="HG85" s="66">
        <v>0.34410000000000002</v>
      </c>
      <c r="HH85" s="66">
        <v>0.80279999999999996</v>
      </c>
      <c r="HI85" s="66">
        <v>0</v>
      </c>
      <c r="HJ85" s="66">
        <v>1.1469</v>
      </c>
      <c r="HK85" s="66">
        <v>0.80279999999999996</v>
      </c>
      <c r="HL85" s="66">
        <v>0</v>
      </c>
      <c r="HM85" s="66">
        <v>0.34410000000000002</v>
      </c>
      <c r="HN85" s="67">
        <v>100</v>
      </c>
      <c r="HO85" s="67">
        <v>100</v>
      </c>
      <c r="HP85" s="67">
        <v>30.002615746795712</v>
      </c>
      <c r="HQ85" s="67">
        <v>0</v>
      </c>
      <c r="HR85" s="67">
        <v>0</v>
      </c>
      <c r="HS85" s="66">
        <v>0</v>
      </c>
      <c r="HT85" s="66">
        <v>0</v>
      </c>
      <c r="HU85" s="66">
        <v>0</v>
      </c>
      <c r="HV85" s="66">
        <v>0</v>
      </c>
      <c r="HW85" s="66">
        <v>0</v>
      </c>
      <c r="HX85" s="66">
        <v>0</v>
      </c>
      <c r="HY85" s="66">
        <v>0</v>
      </c>
      <c r="HZ85" s="66">
        <v>0</v>
      </c>
      <c r="IA85" s="66">
        <v>0</v>
      </c>
      <c r="IB85" s="66">
        <v>0</v>
      </c>
      <c r="IC85" s="66">
        <v>0</v>
      </c>
      <c r="ID85" s="67" t="s">
        <v>1094</v>
      </c>
      <c r="IE85" s="67" t="s">
        <v>1094</v>
      </c>
      <c r="IF85" s="67">
        <v>0</v>
      </c>
      <c r="IG85" s="67">
        <v>0</v>
      </c>
      <c r="IH85" s="67">
        <v>0</v>
      </c>
    </row>
    <row r="86" spans="1:242" ht="15.75" x14ac:dyDescent="0.25">
      <c r="A86" s="11">
        <v>75</v>
      </c>
      <c r="B86" s="189" t="s">
        <v>201</v>
      </c>
      <c r="C86" s="66">
        <v>66.42410000000001</v>
      </c>
      <c r="D86" s="66">
        <v>0</v>
      </c>
      <c r="E86" s="66">
        <v>76.852770000000007</v>
      </c>
      <c r="F86" s="66">
        <v>66.42410000000001</v>
      </c>
      <c r="G86" s="66">
        <v>10.42867</v>
      </c>
      <c r="H86" s="66">
        <v>66.39239142000001</v>
      </c>
      <c r="I86" s="66">
        <v>0</v>
      </c>
      <c r="J86" s="66">
        <v>76.821007150000014</v>
      </c>
      <c r="K86" s="66">
        <v>66.39239142000001</v>
      </c>
      <c r="L86" s="66">
        <v>0</v>
      </c>
      <c r="M86" s="66">
        <v>10.428615730000001</v>
      </c>
      <c r="N86" s="67">
        <v>99.95226344052837</v>
      </c>
      <c r="O86" s="67">
        <v>99.9994796076585</v>
      </c>
      <c r="P86" s="67">
        <v>13.575213495492422</v>
      </c>
      <c r="Q86" s="66">
        <v>0</v>
      </c>
      <c r="R86" s="67">
        <v>0</v>
      </c>
      <c r="S86" s="66">
        <v>40.898600000000002</v>
      </c>
      <c r="T86" s="66">
        <v>0</v>
      </c>
      <c r="U86" s="66">
        <v>45.390700000000002</v>
      </c>
      <c r="V86" s="66">
        <v>40.898600000000002</v>
      </c>
      <c r="W86" s="66">
        <v>4.4920999999999998</v>
      </c>
      <c r="X86" s="66">
        <v>40.898550700000001</v>
      </c>
      <c r="Y86" s="66">
        <v>0</v>
      </c>
      <c r="Z86" s="66">
        <v>45.390596430000002</v>
      </c>
      <c r="AA86" s="66">
        <v>40.898550700000001</v>
      </c>
      <c r="AB86" s="66">
        <v>0</v>
      </c>
      <c r="AC86" s="66">
        <v>4.4920457300000001</v>
      </c>
      <c r="AD86" s="67">
        <v>99.999879457976562</v>
      </c>
      <c r="AE86" s="67">
        <v>99.998791879076606</v>
      </c>
      <c r="AF86" s="67">
        <v>9.8964236720870069</v>
      </c>
      <c r="AG86" s="67">
        <v>0</v>
      </c>
      <c r="AH86" s="67">
        <v>0</v>
      </c>
      <c r="AI86" s="66">
        <v>0</v>
      </c>
      <c r="AJ86" s="66">
        <v>0</v>
      </c>
      <c r="AK86" s="66">
        <v>0</v>
      </c>
      <c r="AL86" s="66">
        <v>0</v>
      </c>
      <c r="AM86" s="66">
        <v>0</v>
      </c>
      <c r="AN86" s="66">
        <v>0</v>
      </c>
      <c r="AO86" s="66">
        <v>0</v>
      </c>
      <c r="AP86" s="66">
        <v>0</v>
      </c>
      <c r="AQ86" s="66">
        <v>0</v>
      </c>
      <c r="AR86" s="66">
        <v>0</v>
      </c>
      <c r="AS86" s="66">
        <v>0</v>
      </c>
      <c r="AT86" s="67" t="s">
        <v>1094</v>
      </c>
      <c r="AU86" s="67" t="s">
        <v>1094</v>
      </c>
      <c r="AV86" s="67">
        <v>0</v>
      </c>
      <c r="AW86" s="67">
        <v>0</v>
      </c>
      <c r="AX86" s="67">
        <v>0</v>
      </c>
      <c r="AY86" s="66">
        <v>11.0519</v>
      </c>
      <c r="AZ86" s="66">
        <v>0</v>
      </c>
      <c r="BA86" s="66">
        <v>11.6335</v>
      </c>
      <c r="BB86" s="66">
        <v>11.0519</v>
      </c>
      <c r="BC86" s="66">
        <v>0.58160000000000001</v>
      </c>
      <c r="BD86" s="66">
        <v>11.0519</v>
      </c>
      <c r="BE86" s="66">
        <v>0</v>
      </c>
      <c r="BF86" s="66">
        <v>11.6335</v>
      </c>
      <c r="BG86" s="66">
        <v>11.0519</v>
      </c>
      <c r="BH86" s="66">
        <v>0</v>
      </c>
      <c r="BI86" s="66">
        <v>0.58160000000000001</v>
      </c>
      <c r="BJ86" s="67">
        <v>100</v>
      </c>
      <c r="BK86" s="67">
        <v>100</v>
      </c>
      <c r="BL86" s="67">
        <v>4.9993553100958437</v>
      </c>
      <c r="BM86" s="67">
        <v>0</v>
      </c>
      <c r="BN86" s="67">
        <v>0</v>
      </c>
      <c r="BO86" s="66">
        <v>0</v>
      </c>
      <c r="BP86" s="66">
        <v>0</v>
      </c>
      <c r="BQ86" s="66">
        <v>0</v>
      </c>
      <c r="BR86" s="66">
        <v>0</v>
      </c>
      <c r="BS86" s="66">
        <v>0</v>
      </c>
      <c r="BT86" s="66">
        <v>0</v>
      </c>
      <c r="BU86" s="66">
        <v>0</v>
      </c>
      <c r="BV86" s="66">
        <v>0</v>
      </c>
      <c r="BW86" s="66">
        <v>0</v>
      </c>
      <c r="BX86" s="66">
        <v>0</v>
      </c>
      <c r="BY86" s="66">
        <v>0</v>
      </c>
      <c r="BZ86" s="67" t="s">
        <v>1094</v>
      </c>
      <c r="CA86" s="67" t="s">
        <v>1094</v>
      </c>
      <c r="CB86" s="67">
        <v>0</v>
      </c>
      <c r="CC86" s="67">
        <v>0</v>
      </c>
      <c r="CD86" s="67">
        <v>0</v>
      </c>
      <c r="CE86" s="66">
        <v>12.15</v>
      </c>
      <c r="CF86" s="66">
        <v>0</v>
      </c>
      <c r="CG86" s="66">
        <v>12.925599999999999</v>
      </c>
      <c r="CH86" s="66">
        <v>12.15</v>
      </c>
      <c r="CI86" s="66">
        <v>0.77559999999999996</v>
      </c>
      <c r="CJ86" s="66">
        <v>12.149935880000001</v>
      </c>
      <c r="CK86" s="66">
        <v>0</v>
      </c>
      <c r="CL86" s="66">
        <v>12.92553588</v>
      </c>
      <c r="CM86" s="66">
        <v>12.149935880000001</v>
      </c>
      <c r="CN86" s="66">
        <v>0</v>
      </c>
      <c r="CO86" s="66">
        <v>0.77559999999999996</v>
      </c>
      <c r="CP86" s="67">
        <v>99.999472263374486</v>
      </c>
      <c r="CQ86" s="67">
        <v>100</v>
      </c>
      <c r="CR86" s="67">
        <v>6.0005249082175771</v>
      </c>
      <c r="CS86" s="67">
        <v>0</v>
      </c>
      <c r="CT86" s="67">
        <v>0</v>
      </c>
      <c r="CU86" s="66">
        <v>0</v>
      </c>
      <c r="CV86" s="66">
        <v>0</v>
      </c>
      <c r="CW86" s="66">
        <v>0</v>
      </c>
      <c r="CX86" s="66">
        <v>0</v>
      </c>
      <c r="CY86" s="66">
        <v>0</v>
      </c>
      <c r="CZ86" s="66">
        <v>0</v>
      </c>
      <c r="DA86" s="66">
        <v>0</v>
      </c>
      <c r="DB86" s="66">
        <v>0</v>
      </c>
      <c r="DC86" s="66">
        <v>0</v>
      </c>
      <c r="DD86" s="66">
        <v>0</v>
      </c>
      <c r="DE86" s="66">
        <v>0</v>
      </c>
      <c r="DF86" s="67" t="s">
        <v>1094</v>
      </c>
      <c r="DG86" s="67" t="s">
        <v>1094</v>
      </c>
      <c r="DH86" s="67">
        <v>0</v>
      </c>
      <c r="DI86" s="67">
        <v>0</v>
      </c>
      <c r="DJ86" s="67">
        <v>0</v>
      </c>
      <c r="DK86" s="66">
        <v>1.5529999999999999</v>
      </c>
      <c r="DL86" s="66">
        <v>0</v>
      </c>
      <c r="DM86" s="66">
        <v>6.01227</v>
      </c>
      <c r="DN86" s="66">
        <v>1.5529999999999999</v>
      </c>
      <c r="DO86" s="66">
        <v>4.4592700000000001</v>
      </c>
      <c r="DP86" s="66">
        <v>1.52140484</v>
      </c>
      <c r="DQ86" s="66">
        <v>0</v>
      </c>
      <c r="DR86" s="66">
        <v>5.9806748399999998</v>
      </c>
      <c r="DS86" s="66">
        <v>1.52140484</v>
      </c>
      <c r="DT86" s="66">
        <v>0</v>
      </c>
      <c r="DU86" s="66">
        <v>4.4592700000000001</v>
      </c>
      <c r="DV86" s="67">
        <v>97.965540244687702</v>
      </c>
      <c r="DW86" s="67">
        <v>100</v>
      </c>
      <c r="DX86" s="67">
        <v>74.561318234114211</v>
      </c>
      <c r="DY86" s="67">
        <v>0</v>
      </c>
      <c r="DZ86" s="67">
        <v>0</v>
      </c>
      <c r="EA86" s="66">
        <v>0</v>
      </c>
      <c r="EB86" s="66">
        <v>0</v>
      </c>
      <c r="EC86" s="66">
        <v>0</v>
      </c>
      <c r="ED86" s="66">
        <v>0</v>
      </c>
      <c r="EE86" s="66">
        <v>0</v>
      </c>
      <c r="EF86" s="66">
        <v>0</v>
      </c>
      <c r="EG86" s="66">
        <v>0</v>
      </c>
      <c r="EH86" s="66">
        <v>0</v>
      </c>
      <c r="EI86" s="66">
        <v>0</v>
      </c>
      <c r="EJ86" s="66">
        <v>0</v>
      </c>
      <c r="EK86" s="66">
        <v>0</v>
      </c>
      <c r="EL86" s="67" t="s">
        <v>1094</v>
      </c>
      <c r="EM86" s="67" t="s">
        <v>1094</v>
      </c>
      <c r="EN86" s="67">
        <v>0</v>
      </c>
      <c r="EO86" s="67">
        <v>0</v>
      </c>
      <c r="EP86" s="67">
        <v>0</v>
      </c>
      <c r="EQ86" s="66">
        <v>0.41499999999999998</v>
      </c>
      <c r="ER86" s="66">
        <v>0</v>
      </c>
      <c r="ES86" s="66">
        <v>0.50319999999999998</v>
      </c>
      <c r="ET86" s="66">
        <v>0.41499999999999998</v>
      </c>
      <c r="EU86" s="66">
        <v>8.8200000000000001E-2</v>
      </c>
      <c r="EV86" s="66">
        <v>0.41499999999999998</v>
      </c>
      <c r="EW86" s="66">
        <v>0</v>
      </c>
      <c r="EX86" s="66">
        <v>0.50319999999999998</v>
      </c>
      <c r="EY86" s="66">
        <v>0.41499999999999998</v>
      </c>
      <c r="EZ86" s="66">
        <v>0</v>
      </c>
      <c r="FA86" s="66">
        <v>8.8200000000000001E-2</v>
      </c>
      <c r="FB86" s="67">
        <v>100</v>
      </c>
      <c r="FC86" s="67">
        <v>100</v>
      </c>
      <c r="FD86" s="67">
        <v>17.527821939586648</v>
      </c>
      <c r="FE86" s="67">
        <v>0</v>
      </c>
      <c r="FF86" s="67">
        <v>0</v>
      </c>
      <c r="FG86" s="66">
        <v>0</v>
      </c>
      <c r="FH86" s="66">
        <v>0</v>
      </c>
      <c r="FI86" s="66">
        <v>0</v>
      </c>
      <c r="FJ86" s="66">
        <v>0</v>
      </c>
      <c r="FK86" s="66">
        <v>0</v>
      </c>
      <c r="FL86" s="66">
        <v>0</v>
      </c>
      <c r="FM86" s="66">
        <v>0</v>
      </c>
      <c r="FN86" s="66">
        <v>0</v>
      </c>
      <c r="FO86" s="66">
        <v>0</v>
      </c>
      <c r="FP86" s="66">
        <v>0</v>
      </c>
      <c r="FQ86" s="66">
        <v>0</v>
      </c>
      <c r="FR86" s="67" t="s">
        <v>1094</v>
      </c>
      <c r="FS86" s="67" t="s">
        <v>1094</v>
      </c>
      <c r="FT86" s="67">
        <v>0</v>
      </c>
      <c r="FU86" s="67">
        <v>0</v>
      </c>
      <c r="FV86" s="67">
        <v>0</v>
      </c>
      <c r="FW86" s="66">
        <v>0</v>
      </c>
      <c r="FX86" s="66">
        <v>0</v>
      </c>
      <c r="FY86" s="66">
        <v>0</v>
      </c>
      <c r="FZ86" s="66">
        <v>0</v>
      </c>
      <c r="GA86" s="66">
        <v>0</v>
      </c>
      <c r="GB86" s="66">
        <v>0</v>
      </c>
      <c r="GC86" s="66">
        <v>0</v>
      </c>
      <c r="GD86" s="66">
        <v>0</v>
      </c>
      <c r="GE86" s="66">
        <v>0</v>
      </c>
      <c r="GF86" s="66">
        <v>0</v>
      </c>
      <c r="GG86" s="66">
        <v>0</v>
      </c>
      <c r="GH86" s="67" t="s">
        <v>1094</v>
      </c>
      <c r="GI86" s="67" t="s">
        <v>1094</v>
      </c>
      <c r="GJ86" s="67">
        <v>0</v>
      </c>
      <c r="GK86" s="67">
        <v>0</v>
      </c>
      <c r="GL86" s="67">
        <v>0</v>
      </c>
      <c r="GM86" s="66">
        <v>0</v>
      </c>
      <c r="GN86" s="66">
        <v>0</v>
      </c>
      <c r="GO86" s="66">
        <v>0</v>
      </c>
      <c r="GP86" s="66">
        <v>0</v>
      </c>
      <c r="GQ86" s="66">
        <v>0</v>
      </c>
      <c r="GR86" s="66">
        <v>0</v>
      </c>
      <c r="GS86" s="66">
        <v>0</v>
      </c>
      <c r="GT86" s="66">
        <v>0</v>
      </c>
      <c r="GU86" s="66">
        <v>0</v>
      </c>
      <c r="GV86" s="66">
        <v>0</v>
      </c>
      <c r="GW86" s="66">
        <v>0</v>
      </c>
      <c r="GX86" s="67" t="s">
        <v>1094</v>
      </c>
      <c r="GY86" s="67" t="s">
        <v>1094</v>
      </c>
      <c r="GZ86" s="67">
        <v>0</v>
      </c>
      <c r="HA86" s="67">
        <v>0</v>
      </c>
      <c r="HB86" s="67">
        <v>0</v>
      </c>
      <c r="HC86" s="66">
        <v>0.35560000000000003</v>
      </c>
      <c r="HD86" s="66">
        <v>0</v>
      </c>
      <c r="HE86" s="66">
        <v>0.38750000000000001</v>
      </c>
      <c r="HF86" s="66">
        <v>0.35560000000000003</v>
      </c>
      <c r="HG86" s="66">
        <v>3.1899999999999998E-2</v>
      </c>
      <c r="HH86" s="66">
        <v>0.35560000000000003</v>
      </c>
      <c r="HI86" s="66">
        <v>0</v>
      </c>
      <c r="HJ86" s="66">
        <v>0.38750000000000001</v>
      </c>
      <c r="HK86" s="66">
        <v>0.35560000000000003</v>
      </c>
      <c r="HL86" s="66">
        <v>0</v>
      </c>
      <c r="HM86" s="66">
        <v>3.1899999999999998E-2</v>
      </c>
      <c r="HN86" s="67">
        <v>100</v>
      </c>
      <c r="HO86" s="67">
        <v>100</v>
      </c>
      <c r="HP86" s="67">
        <v>8.2322580645161274</v>
      </c>
      <c r="HQ86" s="67">
        <v>0</v>
      </c>
      <c r="HR86" s="67">
        <v>0</v>
      </c>
      <c r="HS86" s="66">
        <v>0</v>
      </c>
      <c r="HT86" s="66">
        <v>0</v>
      </c>
      <c r="HU86" s="66">
        <v>0</v>
      </c>
      <c r="HV86" s="66">
        <v>0</v>
      </c>
      <c r="HW86" s="66">
        <v>0</v>
      </c>
      <c r="HX86" s="66">
        <v>0</v>
      </c>
      <c r="HY86" s="66">
        <v>0</v>
      </c>
      <c r="HZ86" s="66">
        <v>0</v>
      </c>
      <c r="IA86" s="66">
        <v>0</v>
      </c>
      <c r="IB86" s="66">
        <v>0</v>
      </c>
      <c r="IC86" s="66">
        <v>0</v>
      </c>
      <c r="ID86" s="67" t="s">
        <v>1094</v>
      </c>
      <c r="IE86" s="67" t="s">
        <v>1094</v>
      </c>
      <c r="IF86" s="67">
        <v>0</v>
      </c>
      <c r="IG86" s="67">
        <v>0</v>
      </c>
      <c r="IH86" s="67">
        <v>0</v>
      </c>
    </row>
    <row r="87" spans="1:242" ht="15.75" x14ac:dyDescent="0.25">
      <c r="A87" s="11">
        <v>76</v>
      </c>
      <c r="B87" s="189" t="s">
        <v>204</v>
      </c>
      <c r="C87" s="66">
        <v>7.3814000000000002</v>
      </c>
      <c r="D87" s="66">
        <v>0</v>
      </c>
      <c r="E87" s="66">
        <v>22.12416</v>
      </c>
      <c r="F87" s="66">
        <v>7.3814000000000002</v>
      </c>
      <c r="G87" s="66">
        <v>14.742760000000001</v>
      </c>
      <c r="H87" s="66">
        <v>7.3814000000000002</v>
      </c>
      <c r="I87" s="66">
        <v>4.4012000000000003E-2</v>
      </c>
      <c r="J87" s="66">
        <v>22.12416</v>
      </c>
      <c r="K87" s="66">
        <v>7.3814000000000002</v>
      </c>
      <c r="L87" s="66">
        <v>0</v>
      </c>
      <c r="M87" s="66">
        <v>14.742760000000001</v>
      </c>
      <c r="N87" s="67">
        <v>100</v>
      </c>
      <c r="O87" s="67">
        <v>100</v>
      </c>
      <c r="P87" s="67">
        <v>66.636473429951693</v>
      </c>
      <c r="Q87" s="66">
        <v>4.4012000000000003E-2</v>
      </c>
      <c r="R87" s="67">
        <v>3.8163916471489756E-16</v>
      </c>
      <c r="S87" s="66">
        <v>5.9504000000000001</v>
      </c>
      <c r="T87" s="66">
        <v>0</v>
      </c>
      <c r="U87" s="66">
        <v>15.9504</v>
      </c>
      <c r="V87" s="66">
        <v>5.9504000000000001</v>
      </c>
      <c r="W87" s="66">
        <v>10</v>
      </c>
      <c r="X87" s="66">
        <v>5.9504000000000001</v>
      </c>
      <c r="Y87" s="66">
        <v>4.4012000000000003E-2</v>
      </c>
      <c r="Z87" s="66">
        <v>15.9504</v>
      </c>
      <c r="AA87" s="66">
        <v>5.9504000000000001</v>
      </c>
      <c r="AB87" s="66">
        <v>0</v>
      </c>
      <c r="AC87" s="66">
        <v>10</v>
      </c>
      <c r="AD87" s="67">
        <v>100</v>
      </c>
      <c r="AE87" s="67">
        <v>100</v>
      </c>
      <c r="AF87" s="67">
        <v>62.694352492727454</v>
      </c>
      <c r="AG87" s="67">
        <v>4.4012000000000003E-2</v>
      </c>
      <c r="AH87" s="67">
        <v>3.8163916471489756E-16</v>
      </c>
      <c r="AI87" s="66">
        <v>0</v>
      </c>
      <c r="AJ87" s="66">
        <v>0</v>
      </c>
      <c r="AK87" s="66">
        <v>0</v>
      </c>
      <c r="AL87" s="66">
        <v>0</v>
      </c>
      <c r="AM87" s="66">
        <v>0</v>
      </c>
      <c r="AN87" s="66">
        <v>0</v>
      </c>
      <c r="AO87" s="66">
        <v>0</v>
      </c>
      <c r="AP87" s="66">
        <v>0</v>
      </c>
      <c r="AQ87" s="66">
        <v>0</v>
      </c>
      <c r="AR87" s="66">
        <v>0</v>
      </c>
      <c r="AS87" s="66">
        <v>0</v>
      </c>
      <c r="AT87" s="67" t="s">
        <v>1094</v>
      </c>
      <c r="AU87" s="67" t="s">
        <v>1094</v>
      </c>
      <c r="AV87" s="67">
        <v>0</v>
      </c>
      <c r="AW87" s="67">
        <v>0</v>
      </c>
      <c r="AX87" s="67">
        <v>0</v>
      </c>
      <c r="AY87" s="66">
        <v>0</v>
      </c>
      <c r="AZ87" s="66">
        <v>0</v>
      </c>
      <c r="BA87" s="66">
        <v>0</v>
      </c>
      <c r="BB87" s="66">
        <v>0</v>
      </c>
      <c r="BC87" s="66">
        <v>0</v>
      </c>
      <c r="BD87" s="66">
        <v>0</v>
      </c>
      <c r="BE87" s="66">
        <v>0</v>
      </c>
      <c r="BF87" s="66">
        <v>0</v>
      </c>
      <c r="BG87" s="66">
        <v>0</v>
      </c>
      <c r="BH87" s="66">
        <v>0</v>
      </c>
      <c r="BI87" s="66">
        <v>0</v>
      </c>
      <c r="BJ87" s="67" t="s">
        <v>1094</v>
      </c>
      <c r="BK87" s="67" t="s">
        <v>1094</v>
      </c>
      <c r="BL87" s="67">
        <v>0</v>
      </c>
      <c r="BM87" s="67">
        <v>0</v>
      </c>
      <c r="BN87" s="67">
        <v>0</v>
      </c>
      <c r="BO87" s="66">
        <v>0</v>
      </c>
      <c r="BP87" s="66">
        <v>0</v>
      </c>
      <c r="BQ87" s="66">
        <v>0</v>
      </c>
      <c r="BR87" s="66">
        <v>0</v>
      </c>
      <c r="BS87" s="66">
        <v>0</v>
      </c>
      <c r="BT87" s="66">
        <v>0</v>
      </c>
      <c r="BU87" s="66">
        <v>0</v>
      </c>
      <c r="BV87" s="66">
        <v>0</v>
      </c>
      <c r="BW87" s="66">
        <v>0</v>
      </c>
      <c r="BX87" s="66">
        <v>0</v>
      </c>
      <c r="BY87" s="66">
        <v>0</v>
      </c>
      <c r="BZ87" s="67" t="s">
        <v>1094</v>
      </c>
      <c r="CA87" s="67" t="s">
        <v>1094</v>
      </c>
      <c r="CB87" s="67">
        <v>0</v>
      </c>
      <c r="CC87" s="67">
        <v>0</v>
      </c>
      <c r="CD87" s="67">
        <v>0</v>
      </c>
      <c r="CE87" s="66">
        <v>0</v>
      </c>
      <c r="CF87" s="66">
        <v>0</v>
      </c>
      <c r="CG87" s="66">
        <v>0</v>
      </c>
      <c r="CH87" s="66">
        <v>0</v>
      </c>
      <c r="CI87" s="66">
        <v>0</v>
      </c>
      <c r="CJ87" s="66">
        <v>0</v>
      </c>
      <c r="CK87" s="66">
        <v>0</v>
      </c>
      <c r="CL87" s="66">
        <v>0</v>
      </c>
      <c r="CM87" s="66">
        <v>0</v>
      </c>
      <c r="CN87" s="66">
        <v>0</v>
      </c>
      <c r="CO87" s="66">
        <v>0</v>
      </c>
      <c r="CP87" s="67" t="s">
        <v>1094</v>
      </c>
      <c r="CQ87" s="67" t="s">
        <v>1094</v>
      </c>
      <c r="CR87" s="67">
        <v>0</v>
      </c>
      <c r="CS87" s="67">
        <v>0</v>
      </c>
      <c r="CT87" s="67">
        <v>0</v>
      </c>
      <c r="CU87" s="66">
        <v>0</v>
      </c>
      <c r="CV87" s="66">
        <v>0</v>
      </c>
      <c r="CW87" s="66">
        <v>0</v>
      </c>
      <c r="CX87" s="66">
        <v>0</v>
      </c>
      <c r="CY87" s="66">
        <v>0</v>
      </c>
      <c r="CZ87" s="66">
        <v>0</v>
      </c>
      <c r="DA87" s="66">
        <v>0</v>
      </c>
      <c r="DB87" s="66">
        <v>0</v>
      </c>
      <c r="DC87" s="66">
        <v>0</v>
      </c>
      <c r="DD87" s="66">
        <v>0</v>
      </c>
      <c r="DE87" s="66">
        <v>0</v>
      </c>
      <c r="DF87" s="67" t="s">
        <v>1094</v>
      </c>
      <c r="DG87" s="67" t="s">
        <v>1094</v>
      </c>
      <c r="DH87" s="67">
        <v>0</v>
      </c>
      <c r="DI87" s="67">
        <v>0</v>
      </c>
      <c r="DJ87" s="67">
        <v>0</v>
      </c>
      <c r="DK87" s="66">
        <v>1.431</v>
      </c>
      <c r="DL87" s="66">
        <v>0</v>
      </c>
      <c r="DM87" s="66">
        <v>6.1737599999999997</v>
      </c>
      <c r="DN87" s="66">
        <v>1.431</v>
      </c>
      <c r="DO87" s="66">
        <v>4.7427599999999996</v>
      </c>
      <c r="DP87" s="66">
        <v>1.431</v>
      </c>
      <c r="DQ87" s="66">
        <v>0</v>
      </c>
      <c r="DR87" s="66">
        <v>6.1737599999999997</v>
      </c>
      <c r="DS87" s="66">
        <v>1.431</v>
      </c>
      <c r="DT87" s="66">
        <v>0</v>
      </c>
      <c r="DU87" s="66">
        <v>4.7427599999999996</v>
      </c>
      <c r="DV87" s="67">
        <v>100</v>
      </c>
      <c r="DW87" s="67">
        <v>100</v>
      </c>
      <c r="DX87" s="67">
        <v>76.821256414243507</v>
      </c>
      <c r="DY87" s="67">
        <v>0</v>
      </c>
      <c r="DZ87" s="67">
        <v>0</v>
      </c>
      <c r="EA87" s="66">
        <v>0</v>
      </c>
      <c r="EB87" s="66">
        <v>0</v>
      </c>
      <c r="EC87" s="66">
        <v>0</v>
      </c>
      <c r="ED87" s="66">
        <v>0</v>
      </c>
      <c r="EE87" s="66">
        <v>0</v>
      </c>
      <c r="EF87" s="66">
        <v>0</v>
      </c>
      <c r="EG87" s="66">
        <v>0</v>
      </c>
      <c r="EH87" s="66">
        <v>0</v>
      </c>
      <c r="EI87" s="66">
        <v>0</v>
      </c>
      <c r="EJ87" s="66">
        <v>0</v>
      </c>
      <c r="EK87" s="66">
        <v>0</v>
      </c>
      <c r="EL87" s="67" t="s">
        <v>1094</v>
      </c>
      <c r="EM87" s="67" t="s">
        <v>1094</v>
      </c>
      <c r="EN87" s="67">
        <v>0</v>
      </c>
      <c r="EO87" s="67">
        <v>0</v>
      </c>
      <c r="EP87" s="67">
        <v>0</v>
      </c>
      <c r="EQ87" s="66">
        <v>0</v>
      </c>
      <c r="ER87" s="66">
        <v>0</v>
      </c>
      <c r="ES87" s="66">
        <v>0</v>
      </c>
      <c r="ET87" s="66">
        <v>0</v>
      </c>
      <c r="EU87" s="66">
        <v>0</v>
      </c>
      <c r="EV87" s="66">
        <v>0</v>
      </c>
      <c r="EW87" s="66">
        <v>0</v>
      </c>
      <c r="EX87" s="66">
        <v>0</v>
      </c>
      <c r="EY87" s="66">
        <v>0</v>
      </c>
      <c r="EZ87" s="66">
        <v>0</v>
      </c>
      <c r="FA87" s="66">
        <v>0</v>
      </c>
      <c r="FB87" s="67" t="s">
        <v>1094</v>
      </c>
      <c r="FC87" s="67" t="s">
        <v>1094</v>
      </c>
      <c r="FD87" s="67">
        <v>0</v>
      </c>
      <c r="FE87" s="67">
        <v>0</v>
      </c>
      <c r="FF87" s="67">
        <v>0</v>
      </c>
      <c r="FG87" s="66">
        <v>0</v>
      </c>
      <c r="FH87" s="66">
        <v>0</v>
      </c>
      <c r="FI87" s="66">
        <v>0</v>
      </c>
      <c r="FJ87" s="66">
        <v>0</v>
      </c>
      <c r="FK87" s="66">
        <v>0</v>
      </c>
      <c r="FL87" s="66">
        <v>0</v>
      </c>
      <c r="FM87" s="66">
        <v>0</v>
      </c>
      <c r="FN87" s="66">
        <v>0</v>
      </c>
      <c r="FO87" s="66">
        <v>0</v>
      </c>
      <c r="FP87" s="66">
        <v>0</v>
      </c>
      <c r="FQ87" s="66">
        <v>0</v>
      </c>
      <c r="FR87" s="67" t="s">
        <v>1094</v>
      </c>
      <c r="FS87" s="67" t="s">
        <v>1094</v>
      </c>
      <c r="FT87" s="67">
        <v>0</v>
      </c>
      <c r="FU87" s="67">
        <v>0</v>
      </c>
      <c r="FV87" s="67">
        <v>0</v>
      </c>
      <c r="FW87" s="66">
        <v>0</v>
      </c>
      <c r="FX87" s="66">
        <v>0</v>
      </c>
      <c r="FY87" s="66">
        <v>0</v>
      </c>
      <c r="FZ87" s="66">
        <v>0</v>
      </c>
      <c r="GA87" s="66">
        <v>0</v>
      </c>
      <c r="GB87" s="66">
        <v>0</v>
      </c>
      <c r="GC87" s="66">
        <v>0</v>
      </c>
      <c r="GD87" s="66">
        <v>0</v>
      </c>
      <c r="GE87" s="66">
        <v>0</v>
      </c>
      <c r="GF87" s="66">
        <v>0</v>
      </c>
      <c r="GG87" s="66">
        <v>0</v>
      </c>
      <c r="GH87" s="67" t="s">
        <v>1094</v>
      </c>
      <c r="GI87" s="67" t="s">
        <v>1094</v>
      </c>
      <c r="GJ87" s="67">
        <v>0</v>
      </c>
      <c r="GK87" s="67">
        <v>0</v>
      </c>
      <c r="GL87" s="67">
        <v>0</v>
      </c>
      <c r="GM87" s="66">
        <v>0</v>
      </c>
      <c r="GN87" s="66">
        <v>0</v>
      </c>
      <c r="GO87" s="66">
        <v>0</v>
      </c>
      <c r="GP87" s="66">
        <v>0</v>
      </c>
      <c r="GQ87" s="66">
        <v>0</v>
      </c>
      <c r="GR87" s="66">
        <v>0</v>
      </c>
      <c r="GS87" s="66">
        <v>0</v>
      </c>
      <c r="GT87" s="66">
        <v>0</v>
      </c>
      <c r="GU87" s="66">
        <v>0</v>
      </c>
      <c r="GV87" s="66">
        <v>0</v>
      </c>
      <c r="GW87" s="66">
        <v>0</v>
      </c>
      <c r="GX87" s="67" t="s">
        <v>1094</v>
      </c>
      <c r="GY87" s="67" t="s">
        <v>1094</v>
      </c>
      <c r="GZ87" s="67">
        <v>0</v>
      </c>
      <c r="HA87" s="67">
        <v>0</v>
      </c>
      <c r="HB87" s="67">
        <v>0</v>
      </c>
      <c r="HC87" s="66">
        <v>0</v>
      </c>
      <c r="HD87" s="66">
        <v>0</v>
      </c>
      <c r="HE87" s="66">
        <v>0</v>
      </c>
      <c r="HF87" s="66">
        <v>0</v>
      </c>
      <c r="HG87" s="66">
        <v>0</v>
      </c>
      <c r="HH87" s="66">
        <v>0</v>
      </c>
      <c r="HI87" s="66">
        <v>0</v>
      </c>
      <c r="HJ87" s="66">
        <v>0</v>
      </c>
      <c r="HK87" s="66">
        <v>0</v>
      </c>
      <c r="HL87" s="66">
        <v>0</v>
      </c>
      <c r="HM87" s="66">
        <v>0</v>
      </c>
      <c r="HN87" s="67" t="s">
        <v>1094</v>
      </c>
      <c r="HO87" s="67" t="s">
        <v>1094</v>
      </c>
      <c r="HP87" s="67">
        <v>0</v>
      </c>
      <c r="HQ87" s="67">
        <v>0</v>
      </c>
      <c r="HR87" s="67">
        <v>0</v>
      </c>
      <c r="HS87" s="66">
        <v>0</v>
      </c>
      <c r="HT87" s="66">
        <v>0</v>
      </c>
      <c r="HU87" s="66">
        <v>0</v>
      </c>
      <c r="HV87" s="66">
        <v>0</v>
      </c>
      <c r="HW87" s="66">
        <v>0</v>
      </c>
      <c r="HX87" s="66">
        <v>0</v>
      </c>
      <c r="HY87" s="66">
        <v>0</v>
      </c>
      <c r="HZ87" s="66">
        <v>0</v>
      </c>
      <c r="IA87" s="66">
        <v>0</v>
      </c>
      <c r="IB87" s="66">
        <v>0</v>
      </c>
      <c r="IC87" s="66">
        <v>0</v>
      </c>
      <c r="ID87" s="67" t="s">
        <v>1094</v>
      </c>
      <c r="IE87" s="67" t="s">
        <v>1094</v>
      </c>
      <c r="IF87" s="67">
        <v>0</v>
      </c>
      <c r="IG87" s="67">
        <v>0</v>
      </c>
      <c r="IH87" s="67">
        <v>0</v>
      </c>
    </row>
    <row r="88" spans="1:242" ht="15.75" x14ac:dyDescent="0.25">
      <c r="A88" s="11">
        <v>77</v>
      </c>
      <c r="B88" s="189" t="s">
        <v>207</v>
      </c>
      <c r="C88" s="66">
        <v>156.65470000000002</v>
      </c>
      <c r="D88" s="66">
        <v>0</v>
      </c>
      <c r="E88" s="66">
        <v>377.0933</v>
      </c>
      <c r="F88" s="66">
        <v>156.65470000000002</v>
      </c>
      <c r="G88" s="66">
        <v>220.43860000000001</v>
      </c>
      <c r="H88" s="66">
        <v>156.65470000000002</v>
      </c>
      <c r="I88" s="66">
        <v>2.2656349900000001</v>
      </c>
      <c r="J88" s="66">
        <v>376.57298409000003</v>
      </c>
      <c r="K88" s="66">
        <v>156.32533380000001</v>
      </c>
      <c r="L88" s="66">
        <v>0</v>
      </c>
      <c r="M88" s="66">
        <v>220.24765029</v>
      </c>
      <c r="N88" s="67">
        <v>99.789750195812815</v>
      </c>
      <c r="O88" s="67">
        <v>99.913377371295226</v>
      </c>
      <c r="P88" s="67">
        <v>58.487374186503338</v>
      </c>
      <c r="Q88" s="66">
        <v>2.2630363600000001</v>
      </c>
      <c r="R88" s="67">
        <v>0.33196483000000487</v>
      </c>
      <c r="S88" s="66">
        <v>84.2</v>
      </c>
      <c r="T88" s="66">
        <v>0</v>
      </c>
      <c r="U88" s="66">
        <v>134.19999999999999</v>
      </c>
      <c r="V88" s="66">
        <v>84.2</v>
      </c>
      <c r="W88" s="66">
        <v>50</v>
      </c>
      <c r="X88" s="66">
        <v>84.2</v>
      </c>
      <c r="Y88" s="66">
        <v>1.2825635200000001</v>
      </c>
      <c r="Z88" s="66">
        <v>133.67968408999999</v>
      </c>
      <c r="AA88" s="66">
        <v>83.870633799999993</v>
      </c>
      <c r="AB88" s="66">
        <v>0</v>
      </c>
      <c r="AC88" s="66">
        <v>49.809050290000002</v>
      </c>
      <c r="AD88" s="67">
        <v>99.608828741092623</v>
      </c>
      <c r="AE88" s="67">
        <v>99.618100580000004</v>
      </c>
      <c r="AF88" s="67">
        <v>37.259999998553262</v>
      </c>
      <c r="AG88" s="67">
        <v>1.2825635200000001</v>
      </c>
      <c r="AH88" s="67">
        <v>0.32936620000000616</v>
      </c>
      <c r="AI88" s="66">
        <v>0</v>
      </c>
      <c r="AJ88" s="66">
        <v>0</v>
      </c>
      <c r="AK88" s="66">
        <v>0</v>
      </c>
      <c r="AL88" s="66">
        <v>0</v>
      </c>
      <c r="AM88" s="66">
        <v>0</v>
      </c>
      <c r="AN88" s="66">
        <v>0</v>
      </c>
      <c r="AO88" s="66">
        <v>0.98307146999999995</v>
      </c>
      <c r="AP88" s="66">
        <v>0</v>
      </c>
      <c r="AQ88" s="66">
        <v>0</v>
      </c>
      <c r="AR88" s="66">
        <v>0</v>
      </c>
      <c r="AS88" s="66">
        <v>0</v>
      </c>
      <c r="AT88" s="67" t="s">
        <v>1094</v>
      </c>
      <c r="AU88" s="67" t="s">
        <v>1094</v>
      </c>
      <c r="AV88" s="67">
        <v>0</v>
      </c>
      <c r="AW88" s="67">
        <v>0.98047284000000001</v>
      </c>
      <c r="AX88" s="67">
        <v>2.5986299999999352E-3</v>
      </c>
      <c r="AY88" s="66">
        <v>51.45</v>
      </c>
      <c r="AZ88" s="66">
        <v>0</v>
      </c>
      <c r="BA88" s="66">
        <v>185.5556</v>
      </c>
      <c r="BB88" s="66">
        <v>51.45</v>
      </c>
      <c r="BC88" s="66">
        <v>134.10560000000001</v>
      </c>
      <c r="BD88" s="66">
        <v>51.45</v>
      </c>
      <c r="BE88" s="66">
        <v>0</v>
      </c>
      <c r="BF88" s="66">
        <v>185.5556</v>
      </c>
      <c r="BG88" s="66">
        <v>51.45</v>
      </c>
      <c r="BH88" s="66">
        <v>0</v>
      </c>
      <c r="BI88" s="66">
        <v>134.10560000000001</v>
      </c>
      <c r="BJ88" s="67">
        <v>100</v>
      </c>
      <c r="BK88" s="67">
        <v>100</v>
      </c>
      <c r="BL88" s="67">
        <v>72.272461731146905</v>
      </c>
      <c r="BM88" s="67">
        <v>0</v>
      </c>
      <c r="BN88" s="67">
        <v>0</v>
      </c>
      <c r="BO88" s="66">
        <v>0</v>
      </c>
      <c r="BP88" s="66">
        <v>0</v>
      </c>
      <c r="BQ88" s="66">
        <v>0</v>
      </c>
      <c r="BR88" s="66">
        <v>0</v>
      </c>
      <c r="BS88" s="66">
        <v>0</v>
      </c>
      <c r="BT88" s="66">
        <v>0</v>
      </c>
      <c r="BU88" s="66">
        <v>0</v>
      </c>
      <c r="BV88" s="66">
        <v>0</v>
      </c>
      <c r="BW88" s="66">
        <v>0</v>
      </c>
      <c r="BX88" s="66">
        <v>0</v>
      </c>
      <c r="BY88" s="66">
        <v>0</v>
      </c>
      <c r="BZ88" s="67" t="s">
        <v>1094</v>
      </c>
      <c r="CA88" s="67" t="s">
        <v>1094</v>
      </c>
      <c r="CB88" s="67">
        <v>0</v>
      </c>
      <c r="CC88" s="67">
        <v>0</v>
      </c>
      <c r="CD88" s="67">
        <v>0</v>
      </c>
      <c r="CE88" s="66">
        <v>0</v>
      </c>
      <c r="CF88" s="66">
        <v>0</v>
      </c>
      <c r="CG88" s="66">
        <v>0</v>
      </c>
      <c r="CH88" s="66">
        <v>0</v>
      </c>
      <c r="CI88" s="66">
        <v>0</v>
      </c>
      <c r="CJ88" s="66">
        <v>0</v>
      </c>
      <c r="CK88" s="66">
        <v>0</v>
      </c>
      <c r="CL88" s="66">
        <v>0</v>
      </c>
      <c r="CM88" s="66">
        <v>0</v>
      </c>
      <c r="CN88" s="66">
        <v>0</v>
      </c>
      <c r="CO88" s="66">
        <v>0</v>
      </c>
      <c r="CP88" s="67" t="s">
        <v>1094</v>
      </c>
      <c r="CQ88" s="67" t="s">
        <v>1094</v>
      </c>
      <c r="CR88" s="67">
        <v>0</v>
      </c>
      <c r="CS88" s="67">
        <v>0</v>
      </c>
      <c r="CT88" s="67">
        <v>0</v>
      </c>
      <c r="CU88" s="66">
        <v>0</v>
      </c>
      <c r="CV88" s="66">
        <v>0</v>
      </c>
      <c r="CW88" s="66">
        <v>0</v>
      </c>
      <c r="CX88" s="66">
        <v>0</v>
      </c>
      <c r="CY88" s="66">
        <v>0</v>
      </c>
      <c r="CZ88" s="66">
        <v>0</v>
      </c>
      <c r="DA88" s="66">
        <v>0</v>
      </c>
      <c r="DB88" s="66">
        <v>0</v>
      </c>
      <c r="DC88" s="66">
        <v>0</v>
      </c>
      <c r="DD88" s="66">
        <v>0</v>
      </c>
      <c r="DE88" s="66">
        <v>0</v>
      </c>
      <c r="DF88" s="67" t="s">
        <v>1094</v>
      </c>
      <c r="DG88" s="67" t="s">
        <v>1094</v>
      </c>
      <c r="DH88" s="67">
        <v>0</v>
      </c>
      <c r="DI88" s="67">
        <v>0</v>
      </c>
      <c r="DJ88" s="67">
        <v>0</v>
      </c>
      <c r="DK88" s="66">
        <v>8.5709999999999997</v>
      </c>
      <c r="DL88" s="66">
        <v>0</v>
      </c>
      <c r="DM88" s="66">
        <v>18.285</v>
      </c>
      <c r="DN88" s="66">
        <v>8.5709999999999997</v>
      </c>
      <c r="DO88" s="66">
        <v>9.7140000000000004</v>
      </c>
      <c r="DP88" s="66">
        <v>8.5709999999999997</v>
      </c>
      <c r="DQ88" s="66">
        <v>0</v>
      </c>
      <c r="DR88" s="66">
        <v>18.285</v>
      </c>
      <c r="DS88" s="66">
        <v>8.5709999999999997</v>
      </c>
      <c r="DT88" s="66">
        <v>0</v>
      </c>
      <c r="DU88" s="66">
        <v>9.7140000000000004</v>
      </c>
      <c r="DV88" s="67">
        <v>100</v>
      </c>
      <c r="DW88" s="67">
        <v>100</v>
      </c>
      <c r="DX88" s="67">
        <v>53.125512715340442</v>
      </c>
      <c r="DY88" s="67">
        <v>0</v>
      </c>
      <c r="DZ88" s="67">
        <v>0</v>
      </c>
      <c r="EA88" s="66">
        <v>0</v>
      </c>
      <c r="EB88" s="66">
        <v>0</v>
      </c>
      <c r="EC88" s="66">
        <v>0</v>
      </c>
      <c r="ED88" s="66">
        <v>0</v>
      </c>
      <c r="EE88" s="66">
        <v>0</v>
      </c>
      <c r="EF88" s="66">
        <v>0</v>
      </c>
      <c r="EG88" s="66">
        <v>0</v>
      </c>
      <c r="EH88" s="66">
        <v>0</v>
      </c>
      <c r="EI88" s="66">
        <v>0</v>
      </c>
      <c r="EJ88" s="66">
        <v>0</v>
      </c>
      <c r="EK88" s="66">
        <v>0</v>
      </c>
      <c r="EL88" s="67" t="s">
        <v>1094</v>
      </c>
      <c r="EM88" s="67" t="s">
        <v>1094</v>
      </c>
      <c r="EN88" s="67">
        <v>0</v>
      </c>
      <c r="EO88" s="67">
        <v>0</v>
      </c>
      <c r="EP88" s="67">
        <v>0</v>
      </c>
      <c r="EQ88" s="66">
        <v>5.3540000000000001</v>
      </c>
      <c r="ER88" s="66">
        <v>0</v>
      </c>
      <c r="ES88" s="66">
        <v>13.584</v>
      </c>
      <c r="ET88" s="66">
        <v>5.3540000000000001</v>
      </c>
      <c r="EU88" s="66">
        <v>8.23</v>
      </c>
      <c r="EV88" s="66">
        <v>5.3540000000000001</v>
      </c>
      <c r="EW88" s="66">
        <v>0</v>
      </c>
      <c r="EX88" s="66">
        <v>13.584</v>
      </c>
      <c r="EY88" s="66">
        <v>5.3540000000000001</v>
      </c>
      <c r="EZ88" s="66">
        <v>0</v>
      </c>
      <c r="FA88" s="66">
        <v>8.23</v>
      </c>
      <c r="FB88" s="67">
        <v>100</v>
      </c>
      <c r="FC88" s="67">
        <v>100</v>
      </c>
      <c r="FD88" s="67">
        <v>60.585983510011786</v>
      </c>
      <c r="FE88" s="67">
        <v>0</v>
      </c>
      <c r="FF88" s="67">
        <v>0</v>
      </c>
      <c r="FG88" s="66">
        <v>0</v>
      </c>
      <c r="FH88" s="66">
        <v>0</v>
      </c>
      <c r="FI88" s="66">
        <v>0</v>
      </c>
      <c r="FJ88" s="66">
        <v>0</v>
      </c>
      <c r="FK88" s="66">
        <v>0</v>
      </c>
      <c r="FL88" s="66">
        <v>0</v>
      </c>
      <c r="FM88" s="66">
        <v>0</v>
      </c>
      <c r="FN88" s="66">
        <v>0</v>
      </c>
      <c r="FO88" s="66">
        <v>0</v>
      </c>
      <c r="FP88" s="66">
        <v>0</v>
      </c>
      <c r="FQ88" s="66">
        <v>0</v>
      </c>
      <c r="FR88" s="67" t="s">
        <v>1094</v>
      </c>
      <c r="FS88" s="67" t="s">
        <v>1094</v>
      </c>
      <c r="FT88" s="67">
        <v>0</v>
      </c>
      <c r="FU88" s="67">
        <v>0</v>
      </c>
      <c r="FV88" s="67">
        <v>0</v>
      </c>
      <c r="FW88" s="66">
        <v>0</v>
      </c>
      <c r="FX88" s="66">
        <v>0</v>
      </c>
      <c r="FY88" s="66">
        <v>0</v>
      </c>
      <c r="FZ88" s="66">
        <v>0</v>
      </c>
      <c r="GA88" s="66">
        <v>0</v>
      </c>
      <c r="GB88" s="66">
        <v>0</v>
      </c>
      <c r="GC88" s="66">
        <v>0</v>
      </c>
      <c r="GD88" s="66">
        <v>0</v>
      </c>
      <c r="GE88" s="66">
        <v>0</v>
      </c>
      <c r="GF88" s="66">
        <v>0</v>
      </c>
      <c r="GG88" s="66">
        <v>0</v>
      </c>
      <c r="GH88" s="67" t="s">
        <v>1094</v>
      </c>
      <c r="GI88" s="67" t="s">
        <v>1094</v>
      </c>
      <c r="GJ88" s="67">
        <v>0</v>
      </c>
      <c r="GK88" s="67">
        <v>0</v>
      </c>
      <c r="GL88" s="67">
        <v>0</v>
      </c>
      <c r="GM88" s="66">
        <v>0</v>
      </c>
      <c r="GN88" s="66">
        <v>0</v>
      </c>
      <c r="GO88" s="66">
        <v>0</v>
      </c>
      <c r="GP88" s="66">
        <v>0</v>
      </c>
      <c r="GQ88" s="66">
        <v>0</v>
      </c>
      <c r="GR88" s="66">
        <v>0</v>
      </c>
      <c r="GS88" s="66">
        <v>0</v>
      </c>
      <c r="GT88" s="66">
        <v>0</v>
      </c>
      <c r="GU88" s="66">
        <v>0</v>
      </c>
      <c r="GV88" s="66">
        <v>0</v>
      </c>
      <c r="GW88" s="66">
        <v>0</v>
      </c>
      <c r="GX88" s="67" t="s">
        <v>1094</v>
      </c>
      <c r="GY88" s="67" t="s">
        <v>1094</v>
      </c>
      <c r="GZ88" s="67">
        <v>0</v>
      </c>
      <c r="HA88" s="67">
        <v>0</v>
      </c>
      <c r="HB88" s="67">
        <v>0</v>
      </c>
      <c r="HC88" s="66">
        <v>7.0796999999999999</v>
      </c>
      <c r="HD88" s="66">
        <v>0</v>
      </c>
      <c r="HE88" s="66">
        <v>25.468699999999998</v>
      </c>
      <c r="HF88" s="66">
        <v>7.0796999999999999</v>
      </c>
      <c r="HG88" s="66">
        <v>18.388999999999999</v>
      </c>
      <c r="HH88" s="66">
        <v>7.0796999999999999</v>
      </c>
      <c r="HI88" s="66">
        <v>0</v>
      </c>
      <c r="HJ88" s="66">
        <v>25.468699999999998</v>
      </c>
      <c r="HK88" s="66">
        <v>7.0796999999999999</v>
      </c>
      <c r="HL88" s="66">
        <v>0</v>
      </c>
      <c r="HM88" s="66">
        <v>18.388999999999999</v>
      </c>
      <c r="HN88" s="67">
        <v>100</v>
      </c>
      <c r="HO88" s="67">
        <v>100</v>
      </c>
      <c r="HP88" s="67">
        <v>72.202350335902494</v>
      </c>
      <c r="HQ88" s="67">
        <v>0</v>
      </c>
      <c r="HR88" s="67">
        <v>0</v>
      </c>
      <c r="HS88" s="66">
        <v>0</v>
      </c>
      <c r="HT88" s="66">
        <v>0</v>
      </c>
      <c r="HU88" s="66">
        <v>0</v>
      </c>
      <c r="HV88" s="66">
        <v>0</v>
      </c>
      <c r="HW88" s="66">
        <v>0</v>
      </c>
      <c r="HX88" s="66">
        <v>0</v>
      </c>
      <c r="HY88" s="66">
        <v>0</v>
      </c>
      <c r="HZ88" s="66">
        <v>0</v>
      </c>
      <c r="IA88" s="66">
        <v>0</v>
      </c>
      <c r="IB88" s="66">
        <v>0</v>
      </c>
      <c r="IC88" s="66">
        <v>0</v>
      </c>
      <c r="ID88" s="67" t="s">
        <v>1094</v>
      </c>
      <c r="IE88" s="67" t="s">
        <v>1094</v>
      </c>
      <c r="IF88" s="67">
        <v>0</v>
      </c>
      <c r="IG88" s="67">
        <v>0</v>
      </c>
      <c r="IH88" s="67">
        <v>0</v>
      </c>
    </row>
    <row r="89" spans="1:242" ht="15.75" x14ac:dyDescent="0.25">
      <c r="A89" s="11">
        <v>78</v>
      </c>
      <c r="B89" s="189" t="s">
        <v>210</v>
      </c>
      <c r="C89" s="66">
        <v>45.282599999999995</v>
      </c>
      <c r="D89" s="66">
        <v>0</v>
      </c>
      <c r="E89" s="66">
        <v>78.497600000000006</v>
      </c>
      <c r="F89" s="66">
        <v>45.282599999999995</v>
      </c>
      <c r="G89" s="66">
        <v>33.215000000000003</v>
      </c>
      <c r="H89" s="66">
        <v>45.282599999999995</v>
      </c>
      <c r="I89" s="66">
        <v>0.88801085000000002</v>
      </c>
      <c r="J89" s="66">
        <v>78.497600000000006</v>
      </c>
      <c r="K89" s="66">
        <v>45.282599999999995</v>
      </c>
      <c r="L89" s="66">
        <v>0</v>
      </c>
      <c r="M89" s="66">
        <v>33.215000000000003</v>
      </c>
      <c r="N89" s="67">
        <v>100</v>
      </c>
      <c r="O89" s="67">
        <v>100</v>
      </c>
      <c r="P89" s="67">
        <v>42.313395568781722</v>
      </c>
      <c r="Q89" s="66">
        <v>0.88801085000000002</v>
      </c>
      <c r="R89" s="67">
        <v>5.5511151231257827E-16</v>
      </c>
      <c r="S89" s="66">
        <v>42.609699999999997</v>
      </c>
      <c r="T89" s="66">
        <v>0</v>
      </c>
      <c r="U89" s="66">
        <v>73.824700000000007</v>
      </c>
      <c r="V89" s="66">
        <v>42.609699999999997</v>
      </c>
      <c r="W89" s="66">
        <v>31.215</v>
      </c>
      <c r="X89" s="66">
        <v>42.609699999999997</v>
      </c>
      <c r="Y89" s="66">
        <v>0.88801085000000002</v>
      </c>
      <c r="Z89" s="66">
        <v>73.824700000000007</v>
      </c>
      <c r="AA89" s="66">
        <v>42.609699999999997</v>
      </c>
      <c r="AB89" s="66">
        <v>0</v>
      </c>
      <c r="AC89" s="66">
        <v>31.215</v>
      </c>
      <c r="AD89" s="67">
        <v>100</v>
      </c>
      <c r="AE89" s="67">
        <v>100</v>
      </c>
      <c r="AF89" s="67">
        <v>42.282596475163459</v>
      </c>
      <c r="AG89" s="67">
        <v>0.88801085000000002</v>
      </c>
      <c r="AH89" s="67">
        <v>5.5511151231257827E-16</v>
      </c>
      <c r="AI89" s="66">
        <v>0</v>
      </c>
      <c r="AJ89" s="66">
        <v>0</v>
      </c>
      <c r="AK89" s="66">
        <v>0</v>
      </c>
      <c r="AL89" s="66">
        <v>0</v>
      </c>
      <c r="AM89" s="66">
        <v>0</v>
      </c>
      <c r="AN89" s="66">
        <v>0</v>
      </c>
      <c r="AO89" s="66">
        <v>0</v>
      </c>
      <c r="AP89" s="66">
        <v>0</v>
      </c>
      <c r="AQ89" s="66">
        <v>0</v>
      </c>
      <c r="AR89" s="66">
        <v>0</v>
      </c>
      <c r="AS89" s="66">
        <v>0</v>
      </c>
      <c r="AT89" s="67" t="s">
        <v>1094</v>
      </c>
      <c r="AU89" s="67" t="s">
        <v>1094</v>
      </c>
      <c r="AV89" s="67">
        <v>0</v>
      </c>
      <c r="AW89" s="67">
        <v>0</v>
      </c>
      <c r="AX89" s="67">
        <v>0</v>
      </c>
      <c r="AY89" s="66">
        <v>0</v>
      </c>
      <c r="AZ89" s="66">
        <v>0</v>
      </c>
      <c r="BA89" s="66">
        <v>0</v>
      </c>
      <c r="BB89" s="66">
        <v>0</v>
      </c>
      <c r="BC89" s="66">
        <v>0</v>
      </c>
      <c r="BD89" s="66">
        <v>0</v>
      </c>
      <c r="BE89" s="66">
        <v>0</v>
      </c>
      <c r="BF89" s="66">
        <v>0</v>
      </c>
      <c r="BG89" s="66">
        <v>0</v>
      </c>
      <c r="BH89" s="66">
        <v>0</v>
      </c>
      <c r="BI89" s="66">
        <v>0</v>
      </c>
      <c r="BJ89" s="67" t="s">
        <v>1094</v>
      </c>
      <c r="BK89" s="67" t="s">
        <v>1094</v>
      </c>
      <c r="BL89" s="67">
        <v>0</v>
      </c>
      <c r="BM89" s="67">
        <v>0</v>
      </c>
      <c r="BN89" s="67">
        <v>0</v>
      </c>
      <c r="BO89" s="66">
        <v>0</v>
      </c>
      <c r="BP89" s="66">
        <v>0</v>
      </c>
      <c r="BQ89" s="66">
        <v>0</v>
      </c>
      <c r="BR89" s="66">
        <v>0</v>
      </c>
      <c r="BS89" s="66">
        <v>0</v>
      </c>
      <c r="BT89" s="66">
        <v>0</v>
      </c>
      <c r="BU89" s="66">
        <v>0</v>
      </c>
      <c r="BV89" s="66">
        <v>0</v>
      </c>
      <c r="BW89" s="66">
        <v>0</v>
      </c>
      <c r="BX89" s="66">
        <v>0</v>
      </c>
      <c r="BY89" s="66">
        <v>0</v>
      </c>
      <c r="BZ89" s="67" t="s">
        <v>1094</v>
      </c>
      <c r="CA89" s="67" t="s">
        <v>1094</v>
      </c>
      <c r="CB89" s="67">
        <v>0</v>
      </c>
      <c r="CC89" s="67">
        <v>0</v>
      </c>
      <c r="CD89" s="67">
        <v>0</v>
      </c>
      <c r="CE89" s="66">
        <v>0</v>
      </c>
      <c r="CF89" s="66">
        <v>0</v>
      </c>
      <c r="CG89" s="66">
        <v>0</v>
      </c>
      <c r="CH89" s="66">
        <v>0</v>
      </c>
      <c r="CI89" s="66">
        <v>0</v>
      </c>
      <c r="CJ89" s="66">
        <v>0</v>
      </c>
      <c r="CK89" s="66">
        <v>0</v>
      </c>
      <c r="CL89" s="66">
        <v>0</v>
      </c>
      <c r="CM89" s="66">
        <v>0</v>
      </c>
      <c r="CN89" s="66">
        <v>0</v>
      </c>
      <c r="CO89" s="66">
        <v>0</v>
      </c>
      <c r="CP89" s="67" t="s">
        <v>1094</v>
      </c>
      <c r="CQ89" s="67" t="s">
        <v>1094</v>
      </c>
      <c r="CR89" s="67">
        <v>0</v>
      </c>
      <c r="CS89" s="67">
        <v>0</v>
      </c>
      <c r="CT89" s="67">
        <v>0</v>
      </c>
      <c r="CU89" s="66">
        <v>0</v>
      </c>
      <c r="CV89" s="66">
        <v>0</v>
      </c>
      <c r="CW89" s="66">
        <v>0</v>
      </c>
      <c r="CX89" s="66">
        <v>0</v>
      </c>
      <c r="CY89" s="66">
        <v>0</v>
      </c>
      <c r="CZ89" s="66">
        <v>0</v>
      </c>
      <c r="DA89" s="66">
        <v>0</v>
      </c>
      <c r="DB89" s="66">
        <v>0</v>
      </c>
      <c r="DC89" s="66">
        <v>0</v>
      </c>
      <c r="DD89" s="66">
        <v>0</v>
      </c>
      <c r="DE89" s="66">
        <v>0</v>
      </c>
      <c r="DF89" s="67" t="s">
        <v>1094</v>
      </c>
      <c r="DG89" s="67" t="s">
        <v>1094</v>
      </c>
      <c r="DH89" s="67">
        <v>0</v>
      </c>
      <c r="DI89" s="67">
        <v>0</v>
      </c>
      <c r="DJ89" s="67">
        <v>0</v>
      </c>
      <c r="DK89" s="66">
        <v>0</v>
      </c>
      <c r="DL89" s="66">
        <v>0</v>
      </c>
      <c r="DM89" s="66">
        <v>0</v>
      </c>
      <c r="DN89" s="66">
        <v>0</v>
      </c>
      <c r="DO89" s="66">
        <v>0</v>
      </c>
      <c r="DP89" s="66">
        <v>0</v>
      </c>
      <c r="DQ89" s="66">
        <v>0</v>
      </c>
      <c r="DR89" s="66">
        <v>0</v>
      </c>
      <c r="DS89" s="66">
        <v>0</v>
      </c>
      <c r="DT89" s="66">
        <v>0</v>
      </c>
      <c r="DU89" s="66">
        <v>0</v>
      </c>
      <c r="DV89" s="67" t="s">
        <v>1094</v>
      </c>
      <c r="DW89" s="67" t="s">
        <v>1094</v>
      </c>
      <c r="DX89" s="67">
        <v>0</v>
      </c>
      <c r="DY89" s="67">
        <v>0</v>
      </c>
      <c r="DZ89" s="67">
        <v>0</v>
      </c>
      <c r="EA89" s="66">
        <v>0</v>
      </c>
      <c r="EB89" s="66">
        <v>0</v>
      </c>
      <c r="EC89" s="66">
        <v>0</v>
      </c>
      <c r="ED89" s="66">
        <v>0</v>
      </c>
      <c r="EE89" s="66">
        <v>0</v>
      </c>
      <c r="EF89" s="66">
        <v>0</v>
      </c>
      <c r="EG89" s="66">
        <v>0</v>
      </c>
      <c r="EH89" s="66">
        <v>0</v>
      </c>
      <c r="EI89" s="66">
        <v>0</v>
      </c>
      <c r="EJ89" s="66">
        <v>0</v>
      </c>
      <c r="EK89" s="66">
        <v>0</v>
      </c>
      <c r="EL89" s="67" t="s">
        <v>1094</v>
      </c>
      <c r="EM89" s="67" t="s">
        <v>1094</v>
      </c>
      <c r="EN89" s="67">
        <v>0</v>
      </c>
      <c r="EO89" s="67">
        <v>0</v>
      </c>
      <c r="EP89" s="67">
        <v>0</v>
      </c>
      <c r="EQ89" s="66">
        <v>1.865</v>
      </c>
      <c r="ER89" s="66">
        <v>0</v>
      </c>
      <c r="ES89" s="66">
        <v>2.8650000000000002</v>
      </c>
      <c r="ET89" s="66">
        <v>1.865</v>
      </c>
      <c r="EU89" s="66">
        <v>1</v>
      </c>
      <c r="EV89" s="66">
        <v>1.865</v>
      </c>
      <c r="EW89" s="66">
        <v>0</v>
      </c>
      <c r="EX89" s="66">
        <v>2.8650000000000002</v>
      </c>
      <c r="EY89" s="66">
        <v>1.865</v>
      </c>
      <c r="EZ89" s="66">
        <v>0</v>
      </c>
      <c r="FA89" s="66">
        <v>1</v>
      </c>
      <c r="FB89" s="67">
        <v>100</v>
      </c>
      <c r="FC89" s="67">
        <v>100</v>
      </c>
      <c r="FD89" s="67">
        <v>34.904013961605585</v>
      </c>
      <c r="FE89" s="67">
        <v>0</v>
      </c>
      <c r="FF89" s="67">
        <v>0</v>
      </c>
      <c r="FG89" s="66">
        <v>0</v>
      </c>
      <c r="FH89" s="66">
        <v>0</v>
      </c>
      <c r="FI89" s="66">
        <v>0</v>
      </c>
      <c r="FJ89" s="66">
        <v>0</v>
      </c>
      <c r="FK89" s="66">
        <v>0</v>
      </c>
      <c r="FL89" s="66">
        <v>0</v>
      </c>
      <c r="FM89" s="66">
        <v>0</v>
      </c>
      <c r="FN89" s="66">
        <v>0</v>
      </c>
      <c r="FO89" s="66">
        <v>0</v>
      </c>
      <c r="FP89" s="66">
        <v>0</v>
      </c>
      <c r="FQ89" s="66">
        <v>0</v>
      </c>
      <c r="FR89" s="67" t="s">
        <v>1094</v>
      </c>
      <c r="FS89" s="67" t="s">
        <v>1094</v>
      </c>
      <c r="FT89" s="67">
        <v>0</v>
      </c>
      <c r="FU89" s="67">
        <v>0</v>
      </c>
      <c r="FV89" s="67">
        <v>0</v>
      </c>
      <c r="FW89" s="66">
        <v>0</v>
      </c>
      <c r="FX89" s="66">
        <v>0</v>
      </c>
      <c r="FY89" s="66">
        <v>0</v>
      </c>
      <c r="FZ89" s="66">
        <v>0</v>
      </c>
      <c r="GA89" s="66">
        <v>0</v>
      </c>
      <c r="GB89" s="66">
        <v>0</v>
      </c>
      <c r="GC89" s="66">
        <v>0</v>
      </c>
      <c r="GD89" s="66">
        <v>0</v>
      </c>
      <c r="GE89" s="66">
        <v>0</v>
      </c>
      <c r="GF89" s="66">
        <v>0</v>
      </c>
      <c r="GG89" s="66">
        <v>0</v>
      </c>
      <c r="GH89" s="67" t="s">
        <v>1094</v>
      </c>
      <c r="GI89" s="67" t="s">
        <v>1094</v>
      </c>
      <c r="GJ89" s="67">
        <v>0</v>
      </c>
      <c r="GK89" s="67">
        <v>0</v>
      </c>
      <c r="GL89" s="67">
        <v>0</v>
      </c>
      <c r="GM89" s="66">
        <v>0</v>
      </c>
      <c r="GN89" s="66">
        <v>0</v>
      </c>
      <c r="GO89" s="66">
        <v>0</v>
      </c>
      <c r="GP89" s="66">
        <v>0</v>
      </c>
      <c r="GQ89" s="66">
        <v>0</v>
      </c>
      <c r="GR89" s="66">
        <v>0</v>
      </c>
      <c r="GS89" s="66">
        <v>0</v>
      </c>
      <c r="GT89" s="66">
        <v>0</v>
      </c>
      <c r="GU89" s="66">
        <v>0</v>
      </c>
      <c r="GV89" s="66">
        <v>0</v>
      </c>
      <c r="GW89" s="66">
        <v>0</v>
      </c>
      <c r="GX89" s="67" t="s">
        <v>1094</v>
      </c>
      <c r="GY89" s="67" t="s">
        <v>1094</v>
      </c>
      <c r="GZ89" s="67">
        <v>0</v>
      </c>
      <c r="HA89" s="67">
        <v>0</v>
      </c>
      <c r="HB89" s="67">
        <v>0</v>
      </c>
      <c r="HC89" s="66">
        <v>0.80789999999999995</v>
      </c>
      <c r="HD89" s="66">
        <v>0</v>
      </c>
      <c r="HE89" s="66">
        <v>1.8079000000000001</v>
      </c>
      <c r="HF89" s="66">
        <v>0.80789999999999995</v>
      </c>
      <c r="HG89" s="66">
        <v>1</v>
      </c>
      <c r="HH89" s="66">
        <v>0.80789999999999995</v>
      </c>
      <c r="HI89" s="66">
        <v>0</v>
      </c>
      <c r="HJ89" s="66">
        <v>1.8079000000000001</v>
      </c>
      <c r="HK89" s="66">
        <v>0.80789999999999995</v>
      </c>
      <c r="HL89" s="66">
        <v>0</v>
      </c>
      <c r="HM89" s="66">
        <v>1</v>
      </c>
      <c r="HN89" s="67">
        <v>100</v>
      </c>
      <c r="HO89" s="67">
        <v>100</v>
      </c>
      <c r="HP89" s="67">
        <v>55.312793849217321</v>
      </c>
      <c r="HQ89" s="67">
        <v>0</v>
      </c>
      <c r="HR89" s="67">
        <v>0</v>
      </c>
      <c r="HS89" s="66">
        <v>0</v>
      </c>
      <c r="HT89" s="66">
        <v>0</v>
      </c>
      <c r="HU89" s="66">
        <v>0</v>
      </c>
      <c r="HV89" s="66">
        <v>0</v>
      </c>
      <c r="HW89" s="66">
        <v>0</v>
      </c>
      <c r="HX89" s="66">
        <v>0</v>
      </c>
      <c r="HY89" s="66">
        <v>0</v>
      </c>
      <c r="HZ89" s="66">
        <v>0</v>
      </c>
      <c r="IA89" s="66">
        <v>0</v>
      </c>
      <c r="IB89" s="66">
        <v>0</v>
      </c>
      <c r="IC89" s="66">
        <v>0</v>
      </c>
      <c r="ID89" s="67" t="s">
        <v>1094</v>
      </c>
      <c r="IE89" s="67" t="s">
        <v>1094</v>
      </c>
      <c r="IF89" s="67">
        <v>0</v>
      </c>
      <c r="IG89" s="67">
        <v>0</v>
      </c>
      <c r="IH89" s="67">
        <v>0</v>
      </c>
    </row>
    <row r="90" spans="1:242" ht="15.75" x14ac:dyDescent="0.25">
      <c r="A90" s="11">
        <v>79</v>
      </c>
      <c r="B90" s="189" t="s">
        <v>213</v>
      </c>
      <c r="C90" s="66">
        <v>162.0369</v>
      </c>
      <c r="D90" s="66">
        <v>0</v>
      </c>
      <c r="E90" s="66">
        <v>504.88419999999996</v>
      </c>
      <c r="F90" s="66">
        <v>162.0369</v>
      </c>
      <c r="G90" s="66">
        <v>342.84730000000002</v>
      </c>
      <c r="H90" s="66">
        <v>143.6342406</v>
      </c>
      <c r="I90" s="66">
        <v>3.1048799700000003</v>
      </c>
      <c r="J90" s="66">
        <v>352.76894321999998</v>
      </c>
      <c r="K90" s="66">
        <v>143.6342406</v>
      </c>
      <c r="L90" s="66">
        <v>0</v>
      </c>
      <c r="M90" s="66">
        <v>209.13470261999998</v>
      </c>
      <c r="N90" s="67">
        <v>88.642920594012836</v>
      </c>
      <c r="O90" s="67">
        <v>60.999372787827113</v>
      </c>
      <c r="P90" s="67">
        <v>59.283762541867446</v>
      </c>
      <c r="Q90" s="66">
        <v>3.08273675</v>
      </c>
      <c r="R90" s="67">
        <v>2.214322000001312E-2</v>
      </c>
      <c r="S90" s="66">
        <v>139.7499</v>
      </c>
      <c r="T90" s="66">
        <v>0</v>
      </c>
      <c r="U90" s="66">
        <v>318.34949999999998</v>
      </c>
      <c r="V90" s="66">
        <v>139.7499</v>
      </c>
      <c r="W90" s="66">
        <v>178.59960000000001</v>
      </c>
      <c r="X90" s="66">
        <v>139.43655077</v>
      </c>
      <c r="Y90" s="66">
        <v>3.1048799700000003</v>
      </c>
      <c r="Z90" s="66">
        <v>317.63569047999999</v>
      </c>
      <c r="AA90" s="66">
        <v>139.43655077</v>
      </c>
      <c r="AB90" s="66">
        <v>0</v>
      </c>
      <c r="AC90" s="66">
        <v>178.19913971</v>
      </c>
      <c r="AD90" s="67">
        <v>99.775778565852278</v>
      </c>
      <c r="AE90" s="67">
        <v>99.775777610924095</v>
      </c>
      <c r="AF90" s="67">
        <v>56.101737005911289</v>
      </c>
      <c r="AG90" s="67">
        <v>3.08273675</v>
      </c>
      <c r="AH90" s="67">
        <v>2.214322000001312E-2</v>
      </c>
      <c r="AI90" s="66">
        <v>0</v>
      </c>
      <c r="AJ90" s="66">
        <v>0</v>
      </c>
      <c r="AK90" s="66">
        <v>0</v>
      </c>
      <c r="AL90" s="66">
        <v>0</v>
      </c>
      <c r="AM90" s="66">
        <v>0</v>
      </c>
      <c r="AN90" s="66">
        <v>0</v>
      </c>
      <c r="AO90" s="66">
        <v>0</v>
      </c>
      <c r="AP90" s="66">
        <v>0</v>
      </c>
      <c r="AQ90" s="66">
        <v>0</v>
      </c>
      <c r="AR90" s="66">
        <v>0</v>
      </c>
      <c r="AS90" s="66">
        <v>0</v>
      </c>
      <c r="AT90" s="67" t="s">
        <v>1094</v>
      </c>
      <c r="AU90" s="67" t="s">
        <v>1094</v>
      </c>
      <c r="AV90" s="67">
        <v>0</v>
      </c>
      <c r="AW90" s="67">
        <v>0</v>
      </c>
      <c r="AX90" s="67">
        <v>0</v>
      </c>
      <c r="AY90" s="66">
        <v>0</v>
      </c>
      <c r="AZ90" s="66">
        <v>0</v>
      </c>
      <c r="BA90" s="66">
        <v>0</v>
      </c>
      <c r="BB90" s="66">
        <v>0</v>
      </c>
      <c r="BC90" s="66">
        <v>0</v>
      </c>
      <c r="BD90" s="66">
        <v>0</v>
      </c>
      <c r="BE90" s="66">
        <v>0</v>
      </c>
      <c r="BF90" s="66">
        <v>0</v>
      </c>
      <c r="BG90" s="66">
        <v>0</v>
      </c>
      <c r="BH90" s="66">
        <v>0</v>
      </c>
      <c r="BI90" s="66">
        <v>0</v>
      </c>
      <c r="BJ90" s="67" t="s">
        <v>1094</v>
      </c>
      <c r="BK90" s="67" t="s">
        <v>1094</v>
      </c>
      <c r="BL90" s="67">
        <v>0</v>
      </c>
      <c r="BM90" s="67">
        <v>0</v>
      </c>
      <c r="BN90" s="67">
        <v>0</v>
      </c>
      <c r="BO90" s="66">
        <v>0</v>
      </c>
      <c r="BP90" s="66">
        <v>0</v>
      </c>
      <c r="BQ90" s="66">
        <v>0</v>
      </c>
      <c r="BR90" s="66">
        <v>0</v>
      </c>
      <c r="BS90" s="66">
        <v>0</v>
      </c>
      <c r="BT90" s="66">
        <v>0</v>
      </c>
      <c r="BU90" s="66">
        <v>0</v>
      </c>
      <c r="BV90" s="66">
        <v>0</v>
      </c>
      <c r="BW90" s="66">
        <v>0</v>
      </c>
      <c r="BX90" s="66">
        <v>0</v>
      </c>
      <c r="BY90" s="66">
        <v>0</v>
      </c>
      <c r="BZ90" s="67" t="s">
        <v>1094</v>
      </c>
      <c r="CA90" s="67" t="s">
        <v>1094</v>
      </c>
      <c r="CB90" s="67">
        <v>0</v>
      </c>
      <c r="CC90" s="67">
        <v>0</v>
      </c>
      <c r="CD90" s="67">
        <v>0</v>
      </c>
      <c r="CE90" s="66">
        <v>22.286999999999999</v>
      </c>
      <c r="CF90" s="66">
        <v>0</v>
      </c>
      <c r="CG90" s="66">
        <v>186.53469999999999</v>
      </c>
      <c r="CH90" s="66">
        <v>22.286999999999999</v>
      </c>
      <c r="CI90" s="66">
        <v>164.24770000000001</v>
      </c>
      <c r="CJ90" s="66">
        <v>4.1976898299999998</v>
      </c>
      <c r="CK90" s="66">
        <v>0</v>
      </c>
      <c r="CL90" s="66">
        <v>35.133252740000003</v>
      </c>
      <c r="CM90" s="66">
        <v>4.1976898299999998</v>
      </c>
      <c r="CN90" s="66">
        <v>0</v>
      </c>
      <c r="CO90" s="66">
        <v>30.935562910000002</v>
      </c>
      <c r="CP90" s="67">
        <v>18.83470108134787</v>
      </c>
      <c r="CQ90" s="67">
        <v>18.834700826860892</v>
      </c>
      <c r="CR90" s="67">
        <v>88.052088825749863</v>
      </c>
      <c r="CS90" s="67">
        <v>0</v>
      </c>
      <c r="CT90" s="67">
        <v>0</v>
      </c>
      <c r="CU90" s="66">
        <v>0</v>
      </c>
      <c r="CV90" s="66">
        <v>0</v>
      </c>
      <c r="CW90" s="66">
        <v>0</v>
      </c>
      <c r="CX90" s="66">
        <v>0</v>
      </c>
      <c r="CY90" s="66">
        <v>0</v>
      </c>
      <c r="CZ90" s="66">
        <v>0</v>
      </c>
      <c r="DA90" s="66">
        <v>0</v>
      </c>
      <c r="DB90" s="66">
        <v>0</v>
      </c>
      <c r="DC90" s="66">
        <v>0</v>
      </c>
      <c r="DD90" s="66">
        <v>0</v>
      </c>
      <c r="DE90" s="66">
        <v>0</v>
      </c>
      <c r="DF90" s="67" t="s">
        <v>1094</v>
      </c>
      <c r="DG90" s="67" t="s">
        <v>1094</v>
      </c>
      <c r="DH90" s="67">
        <v>0</v>
      </c>
      <c r="DI90" s="67">
        <v>0</v>
      </c>
      <c r="DJ90" s="67">
        <v>0</v>
      </c>
      <c r="DK90" s="66">
        <v>0</v>
      </c>
      <c r="DL90" s="66">
        <v>0</v>
      </c>
      <c r="DM90" s="66">
        <v>0</v>
      </c>
      <c r="DN90" s="66">
        <v>0</v>
      </c>
      <c r="DO90" s="66">
        <v>0</v>
      </c>
      <c r="DP90" s="66">
        <v>0</v>
      </c>
      <c r="DQ90" s="66">
        <v>0</v>
      </c>
      <c r="DR90" s="66">
        <v>0</v>
      </c>
      <c r="DS90" s="66">
        <v>0</v>
      </c>
      <c r="DT90" s="66">
        <v>0</v>
      </c>
      <c r="DU90" s="66">
        <v>0</v>
      </c>
      <c r="DV90" s="67" t="s">
        <v>1094</v>
      </c>
      <c r="DW90" s="67" t="s">
        <v>1094</v>
      </c>
      <c r="DX90" s="67">
        <v>0</v>
      </c>
      <c r="DY90" s="67">
        <v>0</v>
      </c>
      <c r="DZ90" s="67">
        <v>0</v>
      </c>
      <c r="EA90" s="66">
        <v>0</v>
      </c>
      <c r="EB90" s="66">
        <v>0</v>
      </c>
      <c r="EC90" s="66">
        <v>0</v>
      </c>
      <c r="ED90" s="66">
        <v>0</v>
      </c>
      <c r="EE90" s="66">
        <v>0</v>
      </c>
      <c r="EF90" s="66">
        <v>0</v>
      </c>
      <c r="EG90" s="66">
        <v>0</v>
      </c>
      <c r="EH90" s="66">
        <v>0</v>
      </c>
      <c r="EI90" s="66">
        <v>0</v>
      </c>
      <c r="EJ90" s="66">
        <v>0</v>
      </c>
      <c r="EK90" s="66">
        <v>0</v>
      </c>
      <c r="EL90" s="67" t="s">
        <v>1094</v>
      </c>
      <c r="EM90" s="67" t="s">
        <v>1094</v>
      </c>
      <c r="EN90" s="67">
        <v>0</v>
      </c>
      <c r="EO90" s="67">
        <v>0</v>
      </c>
      <c r="EP90" s="67">
        <v>0</v>
      </c>
      <c r="EQ90" s="66">
        <v>0</v>
      </c>
      <c r="ER90" s="66">
        <v>0</v>
      </c>
      <c r="ES90" s="66">
        <v>0</v>
      </c>
      <c r="ET90" s="66">
        <v>0</v>
      </c>
      <c r="EU90" s="66">
        <v>0</v>
      </c>
      <c r="EV90" s="66">
        <v>0</v>
      </c>
      <c r="EW90" s="66">
        <v>0</v>
      </c>
      <c r="EX90" s="66">
        <v>0</v>
      </c>
      <c r="EY90" s="66">
        <v>0</v>
      </c>
      <c r="EZ90" s="66">
        <v>0</v>
      </c>
      <c r="FA90" s="66">
        <v>0</v>
      </c>
      <c r="FB90" s="67" t="s">
        <v>1094</v>
      </c>
      <c r="FC90" s="67" t="s">
        <v>1094</v>
      </c>
      <c r="FD90" s="67">
        <v>0</v>
      </c>
      <c r="FE90" s="67">
        <v>0</v>
      </c>
      <c r="FF90" s="67">
        <v>0</v>
      </c>
      <c r="FG90" s="66">
        <v>0</v>
      </c>
      <c r="FH90" s="66">
        <v>0</v>
      </c>
      <c r="FI90" s="66">
        <v>0</v>
      </c>
      <c r="FJ90" s="66">
        <v>0</v>
      </c>
      <c r="FK90" s="66">
        <v>0</v>
      </c>
      <c r="FL90" s="66">
        <v>0</v>
      </c>
      <c r="FM90" s="66">
        <v>0</v>
      </c>
      <c r="FN90" s="66">
        <v>0</v>
      </c>
      <c r="FO90" s="66">
        <v>0</v>
      </c>
      <c r="FP90" s="66">
        <v>0</v>
      </c>
      <c r="FQ90" s="66">
        <v>0</v>
      </c>
      <c r="FR90" s="67" t="s">
        <v>1094</v>
      </c>
      <c r="FS90" s="67" t="s">
        <v>1094</v>
      </c>
      <c r="FT90" s="67">
        <v>0</v>
      </c>
      <c r="FU90" s="67">
        <v>0</v>
      </c>
      <c r="FV90" s="67">
        <v>0</v>
      </c>
      <c r="FW90" s="66">
        <v>0</v>
      </c>
      <c r="FX90" s="66">
        <v>0</v>
      </c>
      <c r="FY90" s="66">
        <v>0</v>
      </c>
      <c r="FZ90" s="66">
        <v>0</v>
      </c>
      <c r="GA90" s="66">
        <v>0</v>
      </c>
      <c r="GB90" s="66">
        <v>0</v>
      </c>
      <c r="GC90" s="66">
        <v>0</v>
      </c>
      <c r="GD90" s="66">
        <v>0</v>
      </c>
      <c r="GE90" s="66">
        <v>0</v>
      </c>
      <c r="GF90" s="66">
        <v>0</v>
      </c>
      <c r="GG90" s="66">
        <v>0</v>
      </c>
      <c r="GH90" s="67" t="s">
        <v>1094</v>
      </c>
      <c r="GI90" s="67" t="s">
        <v>1094</v>
      </c>
      <c r="GJ90" s="67">
        <v>0</v>
      </c>
      <c r="GK90" s="67">
        <v>0</v>
      </c>
      <c r="GL90" s="67">
        <v>0</v>
      </c>
      <c r="GM90" s="66">
        <v>0</v>
      </c>
      <c r="GN90" s="66">
        <v>0</v>
      </c>
      <c r="GO90" s="66">
        <v>0</v>
      </c>
      <c r="GP90" s="66">
        <v>0</v>
      </c>
      <c r="GQ90" s="66">
        <v>0</v>
      </c>
      <c r="GR90" s="66">
        <v>0</v>
      </c>
      <c r="GS90" s="66">
        <v>0</v>
      </c>
      <c r="GT90" s="66">
        <v>0</v>
      </c>
      <c r="GU90" s="66">
        <v>0</v>
      </c>
      <c r="GV90" s="66">
        <v>0</v>
      </c>
      <c r="GW90" s="66">
        <v>0</v>
      </c>
      <c r="GX90" s="67" t="s">
        <v>1094</v>
      </c>
      <c r="GY90" s="67" t="s">
        <v>1094</v>
      </c>
      <c r="GZ90" s="67">
        <v>0</v>
      </c>
      <c r="HA90" s="67">
        <v>0</v>
      </c>
      <c r="HB90" s="67">
        <v>0</v>
      </c>
      <c r="HC90" s="66">
        <v>0</v>
      </c>
      <c r="HD90" s="66">
        <v>0</v>
      </c>
      <c r="HE90" s="66">
        <v>0</v>
      </c>
      <c r="HF90" s="66">
        <v>0</v>
      </c>
      <c r="HG90" s="66">
        <v>0</v>
      </c>
      <c r="HH90" s="66">
        <v>0</v>
      </c>
      <c r="HI90" s="66">
        <v>0</v>
      </c>
      <c r="HJ90" s="66">
        <v>0</v>
      </c>
      <c r="HK90" s="66">
        <v>0</v>
      </c>
      <c r="HL90" s="66">
        <v>0</v>
      </c>
      <c r="HM90" s="66">
        <v>0</v>
      </c>
      <c r="HN90" s="67" t="s">
        <v>1094</v>
      </c>
      <c r="HO90" s="67" t="s">
        <v>1094</v>
      </c>
      <c r="HP90" s="67">
        <v>0</v>
      </c>
      <c r="HQ90" s="67">
        <v>0</v>
      </c>
      <c r="HR90" s="67">
        <v>0</v>
      </c>
      <c r="HS90" s="66">
        <v>0</v>
      </c>
      <c r="HT90" s="66">
        <v>0</v>
      </c>
      <c r="HU90" s="66">
        <v>0</v>
      </c>
      <c r="HV90" s="66">
        <v>0</v>
      </c>
      <c r="HW90" s="66">
        <v>0</v>
      </c>
      <c r="HX90" s="66">
        <v>0</v>
      </c>
      <c r="HY90" s="66">
        <v>0</v>
      </c>
      <c r="HZ90" s="66">
        <v>0</v>
      </c>
      <c r="IA90" s="66">
        <v>0</v>
      </c>
      <c r="IB90" s="66">
        <v>0</v>
      </c>
      <c r="IC90" s="66">
        <v>0</v>
      </c>
      <c r="ID90" s="67" t="s">
        <v>1094</v>
      </c>
      <c r="IE90" s="67" t="s">
        <v>1094</v>
      </c>
      <c r="IF90" s="67">
        <v>0</v>
      </c>
      <c r="IG90" s="67">
        <v>0</v>
      </c>
      <c r="IH90" s="67">
        <v>0</v>
      </c>
    </row>
    <row r="91" spans="1:242" ht="15.75" x14ac:dyDescent="0.25">
      <c r="A91" s="11">
        <v>80</v>
      </c>
      <c r="B91" s="189" t="s">
        <v>216</v>
      </c>
      <c r="C91" s="66">
        <v>274.68699999999995</v>
      </c>
      <c r="D91" s="66">
        <v>0</v>
      </c>
      <c r="E91" s="66">
        <v>565.52979999999991</v>
      </c>
      <c r="F91" s="66">
        <v>274.68699999999995</v>
      </c>
      <c r="G91" s="66">
        <v>290.84280000000001</v>
      </c>
      <c r="H91" s="66">
        <v>272.57002646000007</v>
      </c>
      <c r="I91" s="66">
        <v>0.17291357999999998</v>
      </c>
      <c r="J91" s="66">
        <v>560.56987366999999</v>
      </c>
      <c r="K91" s="66">
        <v>272.57000303000007</v>
      </c>
      <c r="L91" s="66">
        <v>0</v>
      </c>
      <c r="M91" s="66">
        <v>287.99987063999998</v>
      </c>
      <c r="N91" s="67">
        <v>99.229305729794319</v>
      </c>
      <c r="O91" s="67">
        <v>99.022520289310918</v>
      </c>
      <c r="P91" s="67">
        <v>51.376266218962328</v>
      </c>
      <c r="Q91" s="66">
        <v>0.17291357999999998</v>
      </c>
      <c r="R91" s="67">
        <v>2.3429999998297868E-5</v>
      </c>
      <c r="S91" s="66">
        <v>132.05080000000001</v>
      </c>
      <c r="T91" s="66">
        <v>0</v>
      </c>
      <c r="U91" s="66">
        <v>255.68350000000001</v>
      </c>
      <c r="V91" s="66">
        <v>132.05080000000001</v>
      </c>
      <c r="W91" s="66">
        <v>123.6327</v>
      </c>
      <c r="X91" s="66">
        <v>132.04666731</v>
      </c>
      <c r="Y91" s="66">
        <v>2.6421179999999999E-2</v>
      </c>
      <c r="Z91" s="66">
        <v>255.6755</v>
      </c>
      <c r="AA91" s="66">
        <v>132.04666731</v>
      </c>
      <c r="AB91" s="66">
        <v>0</v>
      </c>
      <c r="AC91" s="66">
        <v>123.62883269</v>
      </c>
      <c r="AD91" s="67">
        <v>99.99687037867244</v>
      </c>
      <c r="AE91" s="67">
        <v>99.996871935984572</v>
      </c>
      <c r="AF91" s="67">
        <v>48.353804995003429</v>
      </c>
      <c r="AG91" s="67">
        <v>2.6421179999999999E-2</v>
      </c>
      <c r="AH91" s="67">
        <v>-1.7694179454963432E-16</v>
      </c>
      <c r="AI91" s="66">
        <v>0</v>
      </c>
      <c r="AJ91" s="66">
        <v>0</v>
      </c>
      <c r="AK91" s="66">
        <v>0</v>
      </c>
      <c r="AL91" s="66">
        <v>0</v>
      </c>
      <c r="AM91" s="66">
        <v>0</v>
      </c>
      <c r="AN91" s="66">
        <v>0</v>
      </c>
      <c r="AO91" s="66">
        <v>0.14649239999999999</v>
      </c>
      <c r="AP91" s="66">
        <v>0</v>
      </c>
      <c r="AQ91" s="66">
        <v>0</v>
      </c>
      <c r="AR91" s="66">
        <v>0</v>
      </c>
      <c r="AS91" s="66">
        <v>0</v>
      </c>
      <c r="AT91" s="67" t="s">
        <v>1094</v>
      </c>
      <c r="AU91" s="67" t="s">
        <v>1094</v>
      </c>
      <c r="AV91" s="67">
        <v>0</v>
      </c>
      <c r="AW91" s="67">
        <v>0.14649239999999999</v>
      </c>
      <c r="AX91" s="67">
        <v>0</v>
      </c>
      <c r="AY91" s="66">
        <v>64.709999999999994</v>
      </c>
      <c r="AZ91" s="66">
        <v>0</v>
      </c>
      <c r="BA91" s="66">
        <v>116.2581</v>
      </c>
      <c r="BB91" s="66">
        <v>64.709999999999994</v>
      </c>
      <c r="BC91" s="66">
        <v>51.548099999999998</v>
      </c>
      <c r="BD91" s="66">
        <v>64.678839940000003</v>
      </c>
      <c r="BE91" s="66">
        <v>0</v>
      </c>
      <c r="BF91" s="66">
        <v>116.20177751999999</v>
      </c>
      <c r="BG91" s="66">
        <v>64.678816510000004</v>
      </c>
      <c r="BH91" s="66">
        <v>0</v>
      </c>
      <c r="BI91" s="66">
        <v>51.522961009999996</v>
      </c>
      <c r="BJ91" s="67">
        <v>99.951810400247282</v>
      </c>
      <c r="BK91" s="67">
        <v>99.951231975572327</v>
      </c>
      <c r="BL91" s="67">
        <v>44.33921933864751</v>
      </c>
      <c r="BM91" s="67">
        <v>0</v>
      </c>
      <c r="BN91" s="67">
        <v>2.3429999998825224E-5</v>
      </c>
      <c r="BO91" s="66">
        <v>0</v>
      </c>
      <c r="BP91" s="66">
        <v>0</v>
      </c>
      <c r="BQ91" s="66">
        <v>0</v>
      </c>
      <c r="BR91" s="66">
        <v>0</v>
      </c>
      <c r="BS91" s="66">
        <v>0</v>
      </c>
      <c r="BT91" s="66">
        <v>0</v>
      </c>
      <c r="BU91" s="66">
        <v>0</v>
      </c>
      <c r="BV91" s="66">
        <v>0</v>
      </c>
      <c r="BW91" s="66">
        <v>0</v>
      </c>
      <c r="BX91" s="66">
        <v>0</v>
      </c>
      <c r="BY91" s="66">
        <v>0</v>
      </c>
      <c r="BZ91" s="67" t="s">
        <v>1094</v>
      </c>
      <c r="CA91" s="67" t="s">
        <v>1094</v>
      </c>
      <c r="CB91" s="67">
        <v>0</v>
      </c>
      <c r="CC91" s="67">
        <v>0</v>
      </c>
      <c r="CD91" s="67">
        <v>0</v>
      </c>
      <c r="CE91" s="66">
        <v>56.712499999999999</v>
      </c>
      <c r="CF91" s="66">
        <v>0</v>
      </c>
      <c r="CG91" s="66">
        <v>153.3201</v>
      </c>
      <c r="CH91" s="66">
        <v>56.712499999999999</v>
      </c>
      <c r="CI91" s="66">
        <v>96.607600000000005</v>
      </c>
      <c r="CJ91" s="66">
        <v>56.712468890000004</v>
      </c>
      <c r="CK91" s="66">
        <v>0</v>
      </c>
      <c r="CL91" s="66">
        <v>153.32006888999999</v>
      </c>
      <c r="CM91" s="66">
        <v>56.712468890000004</v>
      </c>
      <c r="CN91" s="66">
        <v>0</v>
      </c>
      <c r="CO91" s="66">
        <v>96.607600000000005</v>
      </c>
      <c r="CP91" s="67">
        <v>99.999945144368525</v>
      </c>
      <c r="CQ91" s="67">
        <v>100</v>
      </c>
      <c r="CR91" s="67">
        <v>63.010407378117904</v>
      </c>
      <c r="CS91" s="67">
        <v>0</v>
      </c>
      <c r="CT91" s="67">
        <v>0</v>
      </c>
      <c r="CU91" s="66">
        <v>0</v>
      </c>
      <c r="CV91" s="66">
        <v>0</v>
      </c>
      <c r="CW91" s="66">
        <v>0</v>
      </c>
      <c r="CX91" s="66">
        <v>0</v>
      </c>
      <c r="CY91" s="66">
        <v>0</v>
      </c>
      <c r="CZ91" s="66">
        <v>0</v>
      </c>
      <c r="DA91" s="66">
        <v>0</v>
      </c>
      <c r="DB91" s="66">
        <v>0</v>
      </c>
      <c r="DC91" s="66">
        <v>0</v>
      </c>
      <c r="DD91" s="66">
        <v>0</v>
      </c>
      <c r="DE91" s="66">
        <v>0</v>
      </c>
      <c r="DF91" s="67" t="s">
        <v>1094</v>
      </c>
      <c r="DG91" s="67" t="s">
        <v>1094</v>
      </c>
      <c r="DH91" s="67">
        <v>0</v>
      </c>
      <c r="DI91" s="67">
        <v>0</v>
      </c>
      <c r="DJ91" s="67">
        <v>0</v>
      </c>
      <c r="DK91" s="66">
        <v>4.1929999999999996</v>
      </c>
      <c r="DL91" s="66">
        <v>0</v>
      </c>
      <c r="DM91" s="66">
        <v>7.0670999999999999</v>
      </c>
      <c r="DN91" s="66">
        <v>4.1929999999999996</v>
      </c>
      <c r="DO91" s="66">
        <v>2.8740999999999999</v>
      </c>
      <c r="DP91" s="66">
        <v>3.9787282599999996</v>
      </c>
      <c r="DQ91" s="66">
        <v>0</v>
      </c>
      <c r="DR91" s="66">
        <v>6.8528282599999999</v>
      </c>
      <c r="DS91" s="66">
        <v>3.9787282599999996</v>
      </c>
      <c r="DT91" s="66">
        <v>0</v>
      </c>
      <c r="DU91" s="66">
        <v>2.8740999999999999</v>
      </c>
      <c r="DV91" s="67">
        <v>94.889774862866687</v>
      </c>
      <c r="DW91" s="67">
        <v>100</v>
      </c>
      <c r="DX91" s="67">
        <v>41.94034770688971</v>
      </c>
      <c r="DY91" s="67">
        <v>0</v>
      </c>
      <c r="DZ91" s="67">
        <v>0</v>
      </c>
      <c r="EA91" s="66">
        <v>0</v>
      </c>
      <c r="EB91" s="66">
        <v>0</v>
      </c>
      <c r="EC91" s="66">
        <v>0</v>
      </c>
      <c r="ED91" s="66">
        <v>0</v>
      </c>
      <c r="EE91" s="66">
        <v>0</v>
      </c>
      <c r="EF91" s="66">
        <v>0</v>
      </c>
      <c r="EG91" s="66">
        <v>0</v>
      </c>
      <c r="EH91" s="66">
        <v>0</v>
      </c>
      <c r="EI91" s="66">
        <v>0</v>
      </c>
      <c r="EJ91" s="66">
        <v>0</v>
      </c>
      <c r="EK91" s="66">
        <v>0</v>
      </c>
      <c r="EL91" s="67" t="s">
        <v>1094</v>
      </c>
      <c r="EM91" s="67" t="s">
        <v>1094</v>
      </c>
      <c r="EN91" s="67">
        <v>0</v>
      </c>
      <c r="EO91" s="67">
        <v>0</v>
      </c>
      <c r="EP91" s="67">
        <v>0</v>
      </c>
      <c r="EQ91" s="66">
        <v>3.181</v>
      </c>
      <c r="ER91" s="66">
        <v>0</v>
      </c>
      <c r="ES91" s="66">
        <v>7.9744000000000002</v>
      </c>
      <c r="ET91" s="66">
        <v>3.181</v>
      </c>
      <c r="EU91" s="66">
        <v>4.7934000000000001</v>
      </c>
      <c r="EV91" s="66">
        <v>1.3136220600000001</v>
      </c>
      <c r="EW91" s="66">
        <v>0</v>
      </c>
      <c r="EX91" s="66">
        <v>3.2930990000000002</v>
      </c>
      <c r="EY91" s="66">
        <v>1.3136220600000001</v>
      </c>
      <c r="EZ91" s="66">
        <v>0</v>
      </c>
      <c r="FA91" s="66">
        <v>1.9794769399999999</v>
      </c>
      <c r="FB91" s="67">
        <v>41.295883684375987</v>
      </c>
      <c r="FC91" s="67">
        <v>41.295884758209198</v>
      </c>
      <c r="FD91" s="67">
        <v>60.109852148386665</v>
      </c>
      <c r="FE91" s="67">
        <v>0</v>
      </c>
      <c r="FF91" s="67">
        <v>0</v>
      </c>
      <c r="FG91" s="66">
        <v>0</v>
      </c>
      <c r="FH91" s="66">
        <v>0</v>
      </c>
      <c r="FI91" s="66">
        <v>0</v>
      </c>
      <c r="FJ91" s="66">
        <v>0</v>
      </c>
      <c r="FK91" s="66">
        <v>0</v>
      </c>
      <c r="FL91" s="66">
        <v>0</v>
      </c>
      <c r="FM91" s="66">
        <v>0</v>
      </c>
      <c r="FN91" s="66">
        <v>0</v>
      </c>
      <c r="FO91" s="66">
        <v>0</v>
      </c>
      <c r="FP91" s="66">
        <v>0</v>
      </c>
      <c r="FQ91" s="66">
        <v>0</v>
      </c>
      <c r="FR91" s="67" t="s">
        <v>1094</v>
      </c>
      <c r="FS91" s="67" t="s">
        <v>1094</v>
      </c>
      <c r="FT91" s="67">
        <v>0</v>
      </c>
      <c r="FU91" s="67">
        <v>0</v>
      </c>
      <c r="FV91" s="67">
        <v>0</v>
      </c>
      <c r="FW91" s="66">
        <v>9.7893000000000008</v>
      </c>
      <c r="FX91" s="66">
        <v>0</v>
      </c>
      <c r="FY91" s="66">
        <v>18.960599999999999</v>
      </c>
      <c r="FZ91" s="66">
        <v>9.7893000000000008</v>
      </c>
      <c r="GA91" s="66">
        <v>9.1713000000000005</v>
      </c>
      <c r="GB91" s="66">
        <v>9.7893000000000008</v>
      </c>
      <c r="GC91" s="66">
        <v>0</v>
      </c>
      <c r="GD91" s="66">
        <v>18.960599999999999</v>
      </c>
      <c r="GE91" s="66">
        <v>9.7893000000000008</v>
      </c>
      <c r="GF91" s="66">
        <v>0</v>
      </c>
      <c r="GG91" s="66">
        <v>9.1713000000000005</v>
      </c>
      <c r="GH91" s="67">
        <v>100</v>
      </c>
      <c r="GI91" s="67">
        <v>100</v>
      </c>
      <c r="GJ91" s="67">
        <v>48.370304737191866</v>
      </c>
      <c r="GK91" s="67">
        <v>0</v>
      </c>
      <c r="GL91" s="67">
        <v>0</v>
      </c>
      <c r="GM91" s="66">
        <v>0</v>
      </c>
      <c r="GN91" s="66">
        <v>0</v>
      </c>
      <c r="GO91" s="66">
        <v>0</v>
      </c>
      <c r="GP91" s="66">
        <v>0</v>
      </c>
      <c r="GQ91" s="66">
        <v>0</v>
      </c>
      <c r="GR91" s="66">
        <v>0</v>
      </c>
      <c r="GS91" s="66">
        <v>0</v>
      </c>
      <c r="GT91" s="66">
        <v>0</v>
      </c>
      <c r="GU91" s="66">
        <v>0</v>
      </c>
      <c r="GV91" s="66">
        <v>0</v>
      </c>
      <c r="GW91" s="66">
        <v>0</v>
      </c>
      <c r="GX91" s="67" t="s">
        <v>1094</v>
      </c>
      <c r="GY91" s="67" t="s">
        <v>1094</v>
      </c>
      <c r="GZ91" s="67">
        <v>0</v>
      </c>
      <c r="HA91" s="67">
        <v>0</v>
      </c>
      <c r="HB91" s="67">
        <v>0</v>
      </c>
      <c r="HC91" s="66">
        <v>4.0503999999999998</v>
      </c>
      <c r="HD91" s="66">
        <v>0</v>
      </c>
      <c r="HE91" s="66">
        <v>6.266</v>
      </c>
      <c r="HF91" s="66">
        <v>4.0503999999999998</v>
      </c>
      <c r="HG91" s="66">
        <v>2.2155999999999998</v>
      </c>
      <c r="HH91" s="66">
        <v>4.0503999999999998</v>
      </c>
      <c r="HI91" s="66">
        <v>0</v>
      </c>
      <c r="HJ91" s="66">
        <v>6.266</v>
      </c>
      <c r="HK91" s="66">
        <v>4.0503999999999998</v>
      </c>
      <c r="HL91" s="66">
        <v>0</v>
      </c>
      <c r="HM91" s="66">
        <v>2.2155999999999998</v>
      </c>
      <c r="HN91" s="67">
        <v>100</v>
      </c>
      <c r="HO91" s="67">
        <v>100</v>
      </c>
      <c r="HP91" s="67">
        <v>35.35908075327162</v>
      </c>
      <c r="HQ91" s="67">
        <v>0</v>
      </c>
      <c r="HR91" s="67">
        <v>0</v>
      </c>
      <c r="HS91" s="66">
        <v>0</v>
      </c>
      <c r="HT91" s="66">
        <v>0</v>
      </c>
      <c r="HU91" s="66">
        <v>0</v>
      </c>
      <c r="HV91" s="66">
        <v>0</v>
      </c>
      <c r="HW91" s="66">
        <v>0</v>
      </c>
      <c r="HX91" s="66">
        <v>0</v>
      </c>
      <c r="HY91" s="66">
        <v>0</v>
      </c>
      <c r="HZ91" s="66">
        <v>0</v>
      </c>
      <c r="IA91" s="66">
        <v>0</v>
      </c>
      <c r="IB91" s="66">
        <v>0</v>
      </c>
      <c r="IC91" s="66">
        <v>0</v>
      </c>
      <c r="ID91" s="67" t="s">
        <v>1094</v>
      </c>
      <c r="IE91" s="67" t="s">
        <v>1094</v>
      </c>
      <c r="IF91" s="67">
        <v>0</v>
      </c>
      <c r="IG91" s="67">
        <v>0</v>
      </c>
      <c r="IH91" s="67">
        <v>0</v>
      </c>
    </row>
    <row r="92" spans="1:242" ht="15.75" x14ac:dyDescent="0.25">
      <c r="A92" s="11">
        <v>81</v>
      </c>
      <c r="B92" s="189" t="s">
        <v>219</v>
      </c>
      <c r="C92" s="66">
        <v>75.250999999999991</v>
      </c>
      <c r="D92" s="66">
        <v>0</v>
      </c>
      <c r="E92" s="66">
        <v>107.85726</v>
      </c>
      <c r="F92" s="66">
        <v>75.250999999999991</v>
      </c>
      <c r="G92" s="66">
        <v>32.606260000000006</v>
      </c>
      <c r="H92" s="66">
        <v>75.250999999999991</v>
      </c>
      <c r="I92" s="66">
        <v>2.8864479999999998E-2</v>
      </c>
      <c r="J92" s="66">
        <v>107.85726</v>
      </c>
      <c r="K92" s="66">
        <v>75.250999999999991</v>
      </c>
      <c r="L92" s="66">
        <v>0</v>
      </c>
      <c r="M92" s="66">
        <v>32.606260000000006</v>
      </c>
      <c r="N92" s="67">
        <v>100</v>
      </c>
      <c r="O92" s="67">
        <v>100</v>
      </c>
      <c r="P92" s="67">
        <v>30.230936702823719</v>
      </c>
      <c r="Q92" s="66">
        <v>2.8864479999999998E-2</v>
      </c>
      <c r="R92" s="67">
        <v>-4.2466030691912238E-15</v>
      </c>
      <c r="S92" s="66">
        <v>19.613900000000001</v>
      </c>
      <c r="T92" s="66">
        <v>0</v>
      </c>
      <c r="U92" s="66">
        <v>28.019860000000001</v>
      </c>
      <c r="V92" s="66">
        <v>19.613900000000001</v>
      </c>
      <c r="W92" s="66">
        <v>8.4059600000000003</v>
      </c>
      <c r="X92" s="66">
        <v>19.613900000000001</v>
      </c>
      <c r="Y92" s="66">
        <v>2.8864479999999998E-2</v>
      </c>
      <c r="Z92" s="66">
        <v>28.019860000000001</v>
      </c>
      <c r="AA92" s="66">
        <v>19.613900000000001</v>
      </c>
      <c r="AB92" s="66">
        <v>0</v>
      </c>
      <c r="AC92" s="66">
        <v>8.4059600000000003</v>
      </c>
      <c r="AD92" s="67">
        <v>100</v>
      </c>
      <c r="AE92" s="67">
        <v>100</v>
      </c>
      <c r="AF92" s="67">
        <v>30.000007137794405</v>
      </c>
      <c r="AG92" s="67">
        <v>2.8864479999999998E-2</v>
      </c>
      <c r="AH92" s="67">
        <v>-6.9388939039072284E-16</v>
      </c>
      <c r="AI92" s="66">
        <v>0</v>
      </c>
      <c r="AJ92" s="66">
        <v>0</v>
      </c>
      <c r="AK92" s="66">
        <v>0</v>
      </c>
      <c r="AL92" s="66">
        <v>0</v>
      </c>
      <c r="AM92" s="66">
        <v>0</v>
      </c>
      <c r="AN92" s="66">
        <v>0</v>
      </c>
      <c r="AO92" s="66">
        <v>0</v>
      </c>
      <c r="AP92" s="66">
        <v>0</v>
      </c>
      <c r="AQ92" s="66">
        <v>0</v>
      </c>
      <c r="AR92" s="66">
        <v>0</v>
      </c>
      <c r="AS92" s="66">
        <v>0</v>
      </c>
      <c r="AT92" s="67" t="s">
        <v>1094</v>
      </c>
      <c r="AU92" s="67" t="s">
        <v>1094</v>
      </c>
      <c r="AV92" s="67">
        <v>0</v>
      </c>
      <c r="AW92" s="67">
        <v>0</v>
      </c>
      <c r="AX92" s="67">
        <v>0</v>
      </c>
      <c r="AY92" s="66">
        <v>44.854300000000002</v>
      </c>
      <c r="AZ92" s="66">
        <v>0</v>
      </c>
      <c r="BA92" s="66">
        <v>64.433300000000003</v>
      </c>
      <c r="BB92" s="66">
        <v>44.854300000000002</v>
      </c>
      <c r="BC92" s="66">
        <v>19.579000000000001</v>
      </c>
      <c r="BD92" s="66">
        <v>44.854300000000002</v>
      </c>
      <c r="BE92" s="66">
        <v>0</v>
      </c>
      <c r="BF92" s="66">
        <v>64.433300000000003</v>
      </c>
      <c r="BG92" s="66">
        <v>44.854300000000002</v>
      </c>
      <c r="BH92" s="66">
        <v>0</v>
      </c>
      <c r="BI92" s="66">
        <v>19.579000000000001</v>
      </c>
      <c r="BJ92" s="67">
        <v>100</v>
      </c>
      <c r="BK92" s="67">
        <v>100</v>
      </c>
      <c r="BL92" s="67">
        <v>30.386461658800652</v>
      </c>
      <c r="BM92" s="67">
        <v>0</v>
      </c>
      <c r="BN92" s="67">
        <v>0</v>
      </c>
      <c r="BO92" s="66">
        <v>0</v>
      </c>
      <c r="BP92" s="66">
        <v>0</v>
      </c>
      <c r="BQ92" s="66">
        <v>0</v>
      </c>
      <c r="BR92" s="66">
        <v>0</v>
      </c>
      <c r="BS92" s="66">
        <v>0</v>
      </c>
      <c r="BT92" s="66">
        <v>0</v>
      </c>
      <c r="BU92" s="66">
        <v>0</v>
      </c>
      <c r="BV92" s="66">
        <v>0</v>
      </c>
      <c r="BW92" s="66">
        <v>0</v>
      </c>
      <c r="BX92" s="66">
        <v>0</v>
      </c>
      <c r="BY92" s="66">
        <v>0</v>
      </c>
      <c r="BZ92" s="67" t="s">
        <v>1094</v>
      </c>
      <c r="CA92" s="67" t="s">
        <v>1094</v>
      </c>
      <c r="CB92" s="67">
        <v>0</v>
      </c>
      <c r="CC92" s="67">
        <v>0</v>
      </c>
      <c r="CD92" s="67">
        <v>0</v>
      </c>
      <c r="CE92" s="66">
        <v>8.3415999999999997</v>
      </c>
      <c r="CF92" s="66">
        <v>0</v>
      </c>
      <c r="CG92" s="66">
        <v>11.916600000000001</v>
      </c>
      <c r="CH92" s="66">
        <v>8.3415999999999997</v>
      </c>
      <c r="CI92" s="66">
        <v>3.5750000000000002</v>
      </c>
      <c r="CJ92" s="66">
        <v>8.3415999999999997</v>
      </c>
      <c r="CK92" s="66">
        <v>0</v>
      </c>
      <c r="CL92" s="66">
        <v>11.916600000000001</v>
      </c>
      <c r="CM92" s="66">
        <v>8.3415999999999997</v>
      </c>
      <c r="CN92" s="66">
        <v>0</v>
      </c>
      <c r="CO92" s="66">
        <v>3.5750000000000002</v>
      </c>
      <c r="CP92" s="67">
        <v>100</v>
      </c>
      <c r="CQ92" s="67">
        <v>100</v>
      </c>
      <c r="CR92" s="67">
        <v>30.000167833106755</v>
      </c>
      <c r="CS92" s="67">
        <v>0</v>
      </c>
      <c r="CT92" s="67">
        <v>0</v>
      </c>
      <c r="CU92" s="66">
        <v>0</v>
      </c>
      <c r="CV92" s="66">
        <v>0</v>
      </c>
      <c r="CW92" s="66">
        <v>0</v>
      </c>
      <c r="CX92" s="66">
        <v>0</v>
      </c>
      <c r="CY92" s="66">
        <v>0</v>
      </c>
      <c r="CZ92" s="66">
        <v>0</v>
      </c>
      <c r="DA92" s="66">
        <v>0</v>
      </c>
      <c r="DB92" s="66">
        <v>0</v>
      </c>
      <c r="DC92" s="66">
        <v>0</v>
      </c>
      <c r="DD92" s="66">
        <v>0</v>
      </c>
      <c r="DE92" s="66">
        <v>0</v>
      </c>
      <c r="DF92" s="67" t="s">
        <v>1094</v>
      </c>
      <c r="DG92" s="67" t="s">
        <v>1094</v>
      </c>
      <c r="DH92" s="67">
        <v>0</v>
      </c>
      <c r="DI92" s="67">
        <v>0</v>
      </c>
      <c r="DJ92" s="67">
        <v>0</v>
      </c>
      <c r="DK92" s="66">
        <v>1.633</v>
      </c>
      <c r="DL92" s="66">
        <v>0</v>
      </c>
      <c r="DM92" s="66">
        <v>2.3329</v>
      </c>
      <c r="DN92" s="66">
        <v>1.633</v>
      </c>
      <c r="DO92" s="66">
        <v>0.69989999999999997</v>
      </c>
      <c r="DP92" s="66">
        <v>1.633</v>
      </c>
      <c r="DQ92" s="66">
        <v>0</v>
      </c>
      <c r="DR92" s="66">
        <v>2.3329</v>
      </c>
      <c r="DS92" s="66">
        <v>1.633</v>
      </c>
      <c r="DT92" s="66">
        <v>0</v>
      </c>
      <c r="DU92" s="66">
        <v>0.69989999999999997</v>
      </c>
      <c r="DV92" s="67">
        <v>100</v>
      </c>
      <c r="DW92" s="67">
        <v>100</v>
      </c>
      <c r="DX92" s="67">
        <v>30.001285953105576</v>
      </c>
      <c r="DY92" s="67">
        <v>0</v>
      </c>
      <c r="DZ92" s="67">
        <v>0</v>
      </c>
      <c r="EA92" s="66">
        <v>0</v>
      </c>
      <c r="EB92" s="66">
        <v>0</v>
      </c>
      <c r="EC92" s="66">
        <v>0</v>
      </c>
      <c r="ED92" s="66">
        <v>0</v>
      </c>
      <c r="EE92" s="66">
        <v>0</v>
      </c>
      <c r="EF92" s="66">
        <v>0</v>
      </c>
      <c r="EG92" s="66">
        <v>0</v>
      </c>
      <c r="EH92" s="66">
        <v>0</v>
      </c>
      <c r="EI92" s="66">
        <v>0</v>
      </c>
      <c r="EJ92" s="66">
        <v>0</v>
      </c>
      <c r="EK92" s="66">
        <v>0</v>
      </c>
      <c r="EL92" s="67" t="s">
        <v>1094</v>
      </c>
      <c r="EM92" s="67" t="s">
        <v>1094</v>
      </c>
      <c r="EN92" s="67">
        <v>0</v>
      </c>
      <c r="EO92" s="67">
        <v>0</v>
      </c>
      <c r="EP92" s="67">
        <v>0</v>
      </c>
      <c r="EQ92" s="66">
        <v>0.47199999999999998</v>
      </c>
      <c r="ER92" s="66">
        <v>0</v>
      </c>
      <c r="ES92" s="66">
        <v>0.67430000000000001</v>
      </c>
      <c r="ET92" s="66">
        <v>0.47199999999999998</v>
      </c>
      <c r="EU92" s="66">
        <v>0.20230000000000001</v>
      </c>
      <c r="EV92" s="66">
        <v>0.47199999999999998</v>
      </c>
      <c r="EW92" s="66">
        <v>0</v>
      </c>
      <c r="EX92" s="66">
        <v>0.67430000000000001</v>
      </c>
      <c r="EY92" s="66">
        <v>0.47199999999999998</v>
      </c>
      <c r="EZ92" s="66">
        <v>0</v>
      </c>
      <c r="FA92" s="66">
        <v>0.20230000000000001</v>
      </c>
      <c r="FB92" s="67">
        <v>100</v>
      </c>
      <c r="FC92" s="67">
        <v>100</v>
      </c>
      <c r="FD92" s="67">
        <v>30.001483019427553</v>
      </c>
      <c r="FE92" s="67">
        <v>0</v>
      </c>
      <c r="FF92" s="67">
        <v>0</v>
      </c>
      <c r="FG92" s="66">
        <v>0</v>
      </c>
      <c r="FH92" s="66">
        <v>0</v>
      </c>
      <c r="FI92" s="66">
        <v>0</v>
      </c>
      <c r="FJ92" s="66">
        <v>0</v>
      </c>
      <c r="FK92" s="66">
        <v>0</v>
      </c>
      <c r="FL92" s="66">
        <v>0</v>
      </c>
      <c r="FM92" s="66">
        <v>0</v>
      </c>
      <c r="FN92" s="66">
        <v>0</v>
      </c>
      <c r="FO92" s="66">
        <v>0</v>
      </c>
      <c r="FP92" s="66">
        <v>0</v>
      </c>
      <c r="FQ92" s="66">
        <v>0</v>
      </c>
      <c r="FR92" s="67" t="s">
        <v>1094</v>
      </c>
      <c r="FS92" s="67" t="s">
        <v>1094</v>
      </c>
      <c r="FT92" s="67">
        <v>0</v>
      </c>
      <c r="FU92" s="67">
        <v>0</v>
      </c>
      <c r="FV92" s="67">
        <v>0</v>
      </c>
      <c r="FW92" s="66">
        <v>0</v>
      </c>
      <c r="FX92" s="66">
        <v>0</v>
      </c>
      <c r="FY92" s="66">
        <v>0</v>
      </c>
      <c r="FZ92" s="66">
        <v>0</v>
      </c>
      <c r="GA92" s="66">
        <v>0</v>
      </c>
      <c r="GB92" s="66">
        <v>0</v>
      </c>
      <c r="GC92" s="66">
        <v>0</v>
      </c>
      <c r="GD92" s="66">
        <v>0</v>
      </c>
      <c r="GE92" s="66">
        <v>0</v>
      </c>
      <c r="GF92" s="66">
        <v>0</v>
      </c>
      <c r="GG92" s="66">
        <v>0</v>
      </c>
      <c r="GH92" s="67" t="s">
        <v>1094</v>
      </c>
      <c r="GI92" s="67" t="s">
        <v>1094</v>
      </c>
      <c r="GJ92" s="67">
        <v>0</v>
      </c>
      <c r="GK92" s="67">
        <v>0</v>
      </c>
      <c r="GL92" s="67">
        <v>0</v>
      </c>
      <c r="GM92" s="66">
        <v>0</v>
      </c>
      <c r="GN92" s="66">
        <v>0</v>
      </c>
      <c r="GO92" s="66">
        <v>0</v>
      </c>
      <c r="GP92" s="66">
        <v>0</v>
      </c>
      <c r="GQ92" s="66">
        <v>0</v>
      </c>
      <c r="GR92" s="66">
        <v>0</v>
      </c>
      <c r="GS92" s="66">
        <v>0</v>
      </c>
      <c r="GT92" s="66">
        <v>0</v>
      </c>
      <c r="GU92" s="66">
        <v>0</v>
      </c>
      <c r="GV92" s="66">
        <v>0</v>
      </c>
      <c r="GW92" s="66">
        <v>0</v>
      </c>
      <c r="GX92" s="67" t="s">
        <v>1094</v>
      </c>
      <c r="GY92" s="67" t="s">
        <v>1094</v>
      </c>
      <c r="GZ92" s="67">
        <v>0</v>
      </c>
      <c r="HA92" s="67">
        <v>0</v>
      </c>
      <c r="HB92" s="67">
        <v>0</v>
      </c>
      <c r="HC92" s="66">
        <v>0.3362</v>
      </c>
      <c r="HD92" s="66">
        <v>0</v>
      </c>
      <c r="HE92" s="66">
        <v>0.4803</v>
      </c>
      <c r="HF92" s="66">
        <v>0.3362</v>
      </c>
      <c r="HG92" s="66">
        <v>0.14410000000000001</v>
      </c>
      <c r="HH92" s="66">
        <v>0.3362</v>
      </c>
      <c r="HI92" s="66">
        <v>0</v>
      </c>
      <c r="HJ92" s="66">
        <v>0.4803</v>
      </c>
      <c r="HK92" s="66">
        <v>0.3362</v>
      </c>
      <c r="HL92" s="66">
        <v>0</v>
      </c>
      <c r="HM92" s="66">
        <v>0.14410000000000001</v>
      </c>
      <c r="HN92" s="67">
        <v>100</v>
      </c>
      <c r="HO92" s="67">
        <v>100</v>
      </c>
      <c r="HP92" s="67">
        <v>30.002082032063292</v>
      </c>
      <c r="HQ92" s="67">
        <v>0</v>
      </c>
      <c r="HR92" s="67">
        <v>0</v>
      </c>
      <c r="HS92" s="66">
        <v>0</v>
      </c>
      <c r="HT92" s="66">
        <v>0</v>
      </c>
      <c r="HU92" s="66">
        <v>0</v>
      </c>
      <c r="HV92" s="66">
        <v>0</v>
      </c>
      <c r="HW92" s="66">
        <v>0</v>
      </c>
      <c r="HX92" s="66">
        <v>0</v>
      </c>
      <c r="HY92" s="66">
        <v>0</v>
      </c>
      <c r="HZ92" s="66">
        <v>0</v>
      </c>
      <c r="IA92" s="66">
        <v>0</v>
      </c>
      <c r="IB92" s="66">
        <v>0</v>
      </c>
      <c r="IC92" s="66">
        <v>0</v>
      </c>
      <c r="ID92" s="67" t="s">
        <v>1094</v>
      </c>
      <c r="IE92" s="67" t="s">
        <v>1094</v>
      </c>
      <c r="IF92" s="67">
        <v>0</v>
      </c>
      <c r="IG92" s="67">
        <v>0</v>
      </c>
      <c r="IH92" s="67">
        <v>0</v>
      </c>
    </row>
    <row r="93" spans="1:242" ht="15.75" x14ac:dyDescent="0.25">
      <c r="A93" s="11">
        <v>82</v>
      </c>
      <c r="B93" s="189" t="s">
        <v>222</v>
      </c>
      <c r="C93" s="66">
        <v>82.429900000000004</v>
      </c>
      <c r="D93" s="66">
        <v>0</v>
      </c>
      <c r="E93" s="66">
        <v>163.61942999999999</v>
      </c>
      <c r="F93" s="66">
        <v>82.429900000000004</v>
      </c>
      <c r="G93" s="66">
        <v>81.189529999999991</v>
      </c>
      <c r="H93" s="66">
        <v>77.713259410000006</v>
      </c>
      <c r="I93" s="66">
        <v>0.51935549000000003</v>
      </c>
      <c r="J93" s="66">
        <v>154.99889825</v>
      </c>
      <c r="K93" s="66">
        <v>77.713259410000006</v>
      </c>
      <c r="L93" s="66">
        <v>0</v>
      </c>
      <c r="M93" s="66">
        <v>77.28563883999999</v>
      </c>
      <c r="N93" s="67">
        <v>94.277997923083731</v>
      </c>
      <c r="O93" s="67">
        <v>95.191632270811283</v>
      </c>
      <c r="P93" s="67">
        <v>49.8620569001367</v>
      </c>
      <c r="Q93" s="66">
        <v>0.44361527000000001</v>
      </c>
      <c r="R93" s="67">
        <v>7.5740219999995251E-2</v>
      </c>
      <c r="S93" s="66">
        <v>40.767899999999997</v>
      </c>
      <c r="T93" s="66">
        <v>0</v>
      </c>
      <c r="U93" s="66">
        <v>67.267899999999997</v>
      </c>
      <c r="V93" s="66">
        <v>40.767899999999997</v>
      </c>
      <c r="W93" s="66">
        <v>26.5</v>
      </c>
      <c r="X93" s="66">
        <v>37.642546700000004</v>
      </c>
      <c r="Y93" s="66">
        <v>0.51935549000000003</v>
      </c>
      <c r="Z93" s="66">
        <v>62.110999999999997</v>
      </c>
      <c r="AA93" s="66">
        <v>37.642546700000004</v>
      </c>
      <c r="AB93" s="66">
        <v>0</v>
      </c>
      <c r="AC93" s="66">
        <v>24.4684533</v>
      </c>
      <c r="AD93" s="67">
        <v>92.333788838767774</v>
      </c>
      <c r="AE93" s="67">
        <v>92.333786037735848</v>
      </c>
      <c r="AF93" s="67">
        <v>39.39471800486227</v>
      </c>
      <c r="AG93" s="67">
        <v>0.44361527000000001</v>
      </c>
      <c r="AH93" s="67">
        <v>7.5740220000002356E-2</v>
      </c>
      <c r="AI93" s="66">
        <v>0</v>
      </c>
      <c r="AJ93" s="66">
        <v>0</v>
      </c>
      <c r="AK93" s="66">
        <v>0</v>
      </c>
      <c r="AL93" s="66">
        <v>0</v>
      </c>
      <c r="AM93" s="66">
        <v>0</v>
      </c>
      <c r="AN93" s="66">
        <v>0</v>
      </c>
      <c r="AO93" s="66">
        <v>0</v>
      </c>
      <c r="AP93" s="66">
        <v>0</v>
      </c>
      <c r="AQ93" s="66">
        <v>0</v>
      </c>
      <c r="AR93" s="66">
        <v>0</v>
      </c>
      <c r="AS93" s="66">
        <v>0</v>
      </c>
      <c r="AT93" s="67" t="s">
        <v>1094</v>
      </c>
      <c r="AU93" s="67" t="s">
        <v>1094</v>
      </c>
      <c r="AV93" s="67">
        <v>0</v>
      </c>
      <c r="AW93" s="67">
        <v>0</v>
      </c>
      <c r="AX93" s="67">
        <v>0</v>
      </c>
      <c r="AY93" s="66">
        <v>41.661999999999999</v>
      </c>
      <c r="AZ93" s="66">
        <v>0</v>
      </c>
      <c r="BA93" s="66">
        <v>96.351529999999997</v>
      </c>
      <c r="BB93" s="66">
        <v>41.661999999999999</v>
      </c>
      <c r="BC93" s="66">
        <v>54.689529999999998</v>
      </c>
      <c r="BD93" s="66">
        <v>40.070712710000002</v>
      </c>
      <c r="BE93" s="66">
        <v>0</v>
      </c>
      <c r="BF93" s="66">
        <v>92.887898250000006</v>
      </c>
      <c r="BG93" s="66">
        <v>40.070712710000002</v>
      </c>
      <c r="BH93" s="66">
        <v>0</v>
      </c>
      <c r="BI93" s="66">
        <v>52.817185539999997</v>
      </c>
      <c r="BJ93" s="67">
        <v>96.180482718064425</v>
      </c>
      <c r="BK93" s="67">
        <v>96.576411499605129</v>
      </c>
      <c r="BL93" s="67">
        <v>56.861212854495811</v>
      </c>
      <c r="BM93" s="67">
        <v>0</v>
      </c>
      <c r="BN93" s="67">
        <v>0</v>
      </c>
      <c r="BO93" s="66">
        <v>0</v>
      </c>
      <c r="BP93" s="66">
        <v>0</v>
      </c>
      <c r="BQ93" s="66">
        <v>0</v>
      </c>
      <c r="BR93" s="66">
        <v>0</v>
      </c>
      <c r="BS93" s="66">
        <v>0</v>
      </c>
      <c r="BT93" s="66">
        <v>0</v>
      </c>
      <c r="BU93" s="66">
        <v>0</v>
      </c>
      <c r="BV93" s="66">
        <v>0</v>
      </c>
      <c r="BW93" s="66">
        <v>0</v>
      </c>
      <c r="BX93" s="66">
        <v>0</v>
      </c>
      <c r="BY93" s="66">
        <v>0</v>
      </c>
      <c r="BZ93" s="67" t="s">
        <v>1094</v>
      </c>
      <c r="CA93" s="67" t="s">
        <v>1094</v>
      </c>
      <c r="CB93" s="67">
        <v>0</v>
      </c>
      <c r="CC93" s="67">
        <v>0</v>
      </c>
      <c r="CD93" s="67">
        <v>0</v>
      </c>
      <c r="CE93" s="66">
        <v>0</v>
      </c>
      <c r="CF93" s="66">
        <v>0</v>
      </c>
      <c r="CG93" s="66">
        <v>0</v>
      </c>
      <c r="CH93" s="66">
        <v>0</v>
      </c>
      <c r="CI93" s="66">
        <v>0</v>
      </c>
      <c r="CJ93" s="66">
        <v>0</v>
      </c>
      <c r="CK93" s="66">
        <v>0</v>
      </c>
      <c r="CL93" s="66">
        <v>0</v>
      </c>
      <c r="CM93" s="66">
        <v>0</v>
      </c>
      <c r="CN93" s="66">
        <v>0</v>
      </c>
      <c r="CO93" s="66">
        <v>0</v>
      </c>
      <c r="CP93" s="67" t="s">
        <v>1094</v>
      </c>
      <c r="CQ93" s="67" t="s">
        <v>1094</v>
      </c>
      <c r="CR93" s="67">
        <v>0</v>
      </c>
      <c r="CS93" s="67">
        <v>0</v>
      </c>
      <c r="CT93" s="67">
        <v>0</v>
      </c>
      <c r="CU93" s="66">
        <v>0</v>
      </c>
      <c r="CV93" s="66">
        <v>0</v>
      </c>
      <c r="CW93" s="66">
        <v>0</v>
      </c>
      <c r="CX93" s="66">
        <v>0</v>
      </c>
      <c r="CY93" s="66">
        <v>0</v>
      </c>
      <c r="CZ93" s="66">
        <v>0</v>
      </c>
      <c r="DA93" s="66">
        <v>0</v>
      </c>
      <c r="DB93" s="66">
        <v>0</v>
      </c>
      <c r="DC93" s="66">
        <v>0</v>
      </c>
      <c r="DD93" s="66">
        <v>0</v>
      </c>
      <c r="DE93" s="66">
        <v>0</v>
      </c>
      <c r="DF93" s="67" t="s">
        <v>1094</v>
      </c>
      <c r="DG93" s="67" t="s">
        <v>1094</v>
      </c>
      <c r="DH93" s="67">
        <v>0</v>
      </c>
      <c r="DI93" s="67">
        <v>0</v>
      </c>
      <c r="DJ93" s="67">
        <v>0</v>
      </c>
      <c r="DK93" s="66">
        <v>0</v>
      </c>
      <c r="DL93" s="66">
        <v>0</v>
      </c>
      <c r="DM93" s="66">
        <v>0</v>
      </c>
      <c r="DN93" s="66">
        <v>0</v>
      </c>
      <c r="DO93" s="66">
        <v>0</v>
      </c>
      <c r="DP93" s="66">
        <v>0</v>
      </c>
      <c r="DQ93" s="66">
        <v>0</v>
      </c>
      <c r="DR93" s="66">
        <v>0</v>
      </c>
      <c r="DS93" s="66">
        <v>0</v>
      </c>
      <c r="DT93" s="66">
        <v>0</v>
      </c>
      <c r="DU93" s="66">
        <v>0</v>
      </c>
      <c r="DV93" s="67" t="s">
        <v>1094</v>
      </c>
      <c r="DW93" s="67" t="s">
        <v>1094</v>
      </c>
      <c r="DX93" s="67">
        <v>0</v>
      </c>
      <c r="DY93" s="67">
        <v>0</v>
      </c>
      <c r="DZ93" s="67">
        <v>0</v>
      </c>
      <c r="EA93" s="66">
        <v>0</v>
      </c>
      <c r="EB93" s="66">
        <v>0</v>
      </c>
      <c r="EC93" s="66">
        <v>0</v>
      </c>
      <c r="ED93" s="66">
        <v>0</v>
      </c>
      <c r="EE93" s="66">
        <v>0</v>
      </c>
      <c r="EF93" s="66">
        <v>0</v>
      </c>
      <c r="EG93" s="66">
        <v>0</v>
      </c>
      <c r="EH93" s="66">
        <v>0</v>
      </c>
      <c r="EI93" s="66">
        <v>0</v>
      </c>
      <c r="EJ93" s="66">
        <v>0</v>
      </c>
      <c r="EK93" s="66">
        <v>0</v>
      </c>
      <c r="EL93" s="67" t="s">
        <v>1094</v>
      </c>
      <c r="EM93" s="67" t="s">
        <v>1094</v>
      </c>
      <c r="EN93" s="67">
        <v>0</v>
      </c>
      <c r="EO93" s="67">
        <v>0</v>
      </c>
      <c r="EP93" s="67">
        <v>0</v>
      </c>
      <c r="EQ93" s="66">
        <v>0</v>
      </c>
      <c r="ER93" s="66">
        <v>0</v>
      </c>
      <c r="ES93" s="66">
        <v>0</v>
      </c>
      <c r="ET93" s="66">
        <v>0</v>
      </c>
      <c r="EU93" s="66">
        <v>0</v>
      </c>
      <c r="EV93" s="66">
        <v>0</v>
      </c>
      <c r="EW93" s="66">
        <v>0</v>
      </c>
      <c r="EX93" s="66">
        <v>0</v>
      </c>
      <c r="EY93" s="66">
        <v>0</v>
      </c>
      <c r="EZ93" s="66">
        <v>0</v>
      </c>
      <c r="FA93" s="66">
        <v>0</v>
      </c>
      <c r="FB93" s="67" t="s">
        <v>1094</v>
      </c>
      <c r="FC93" s="67" t="s">
        <v>1094</v>
      </c>
      <c r="FD93" s="67">
        <v>0</v>
      </c>
      <c r="FE93" s="67">
        <v>0</v>
      </c>
      <c r="FF93" s="67">
        <v>0</v>
      </c>
      <c r="FG93" s="66">
        <v>0</v>
      </c>
      <c r="FH93" s="66">
        <v>0</v>
      </c>
      <c r="FI93" s="66">
        <v>0</v>
      </c>
      <c r="FJ93" s="66">
        <v>0</v>
      </c>
      <c r="FK93" s="66">
        <v>0</v>
      </c>
      <c r="FL93" s="66">
        <v>0</v>
      </c>
      <c r="FM93" s="66">
        <v>0</v>
      </c>
      <c r="FN93" s="66">
        <v>0</v>
      </c>
      <c r="FO93" s="66">
        <v>0</v>
      </c>
      <c r="FP93" s="66">
        <v>0</v>
      </c>
      <c r="FQ93" s="66">
        <v>0</v>
      </c>
      <c r="FR93" s="67" t="s">
        <v>1094</v>
      </c>
      <c r="FS93" s="67" t="s">
        <v>1094</v>
      </c>
      <c r="FT93" s="67">
        <v>0</v>
      </c>
      <c r="FU93" s="67">
        <v>0</v>
      </c>
      <c r="FV93" s="67">
        <v>0</v>
      </c>
      <c r="FW93" s="66">
        <v>0</v>
      </c>
      <c r="FX93" s="66">
        <v>0</v>
      </c>
      <c r="FY93" s="66">
        <v>0</v>
      </c>
      <c r="FZ93" s="66">
        <v>0</v>
      </c>
      <c r="GA93" s="66">
        <v>0</v>
      </c>
      <c r="GB93" s="66">
        <v>0</v>
      </c>
      <c r="GC93" s="66">
        <v>0</v>
      </c>
      <c r="GD93" s="66">
        <v>0</v>
      </c>
      <c r="GE93" s="66">
        <v>0</v>
      </c>
      <c r="GF93" s="66">
        <v>0</v>
      </c>
      <c r="GG93" s="66">
        <v>0</v>
      </c>
      <c r="GH93" s="67" t="s">
        <v>1094</v>
      </c>
      <c r="GI93" s="67" t="s">
        <v>1094</v>
      </c>
      <c r="GJ93" s="67">
        <v>0</v>
      </c>
      <c r="GK93" s="67">
        <v>0</v>
      </c>
      <c r="GL93" s="67">
        <v>0</v>
      </c>
      <c r="GM93" s="66">
        <v>0</v>
      </c>
      <c r="GN93" s="66">
        <v>0</v>
      </c>
      <c r="GO93" s="66">
        <v>0</v>
      </c>
      <c r="GP93" s="66">
        <v>0</v>
      </c>
      <c r="GQ93" s="66">
        <v>0</v>
      </c>
      <c r="GR93" s="66">
        <v>0</v>
      </c>
      <c r="GS93" s="66">
        <v>0</v>
      </c>
      <c r="GT93" s="66">
        <v>0</v>
      </c>
      <c r="GU93" s="66">
        <v>0</v>
      </c>
      <c r="GV93" s="66">
        <v>0</v>
      </c>
      <c r="GW93" s="66">
        <v>0</v>
      </c>
      <c r="GX93" s="67" t="s">
        <v>1094</v>
      </c>
      <c r="GY93" s="67" t="s">
        <v>1094</v>
      </c>
      <c r="GZ93" s="67">
        <v>0</v>
      </c>
      <c r="HA93" s="67">
        <v>0</v>
      </c>
      <c r="HB93" s="67">
        <v>0</v>
      </c>
      <c r="HC93" s="66">
        <v>0</v>
      </c>
      <c r="HD93" s="66">
        <v>0</v>
      </c>
      <c r="HE93" s="66">
        <v>0</v>
      </c>
      <c r="HF93" s="66">
        <v>0</v>
      </c>
      <c r="HG93" s="66">
        <v>0</v>
      </c>
      <c r="HH93" s="66">
        <v>0</v>
      </c>
      <c r="HI93" s="66">
        <v>0</v>
      </c>
      <c r="HJ93" s="66">
        <v>0</v>
      </c>
      <c r="HK93" s="66">
        <v>0</v>
      </c>
      <c r="HL93" s="66">
        <v>0</v>
      </c>
      <c r="HM93" s="66">
        <v>0</v>
      </c>
      <c r="HN93" s="67" t="s">
        <v>1094</v>
      </c>
      <c r="HO93" s="67" t="s">
        <v>1094</v>
      </c>
      <c r="HP93" s="67">
        <v>0</v>
      </c>
      <c r="HQ93" s="67">
        <v>0</v>
      </c>
      <c r="HR93" s="67">
        <v>0</v>
      </c>
      <c r="HS93" s="66">
        <v>0</v>
      </c>
      <c r="HT93" s="66">
        <v>0</v>
      </c>
      <c r="HU93" s="66">
        <v>0</v>
      </c>
      <c r="HV93" s="66">
        <v>0</v>
      </c>
      <c r="HW93" s="66">
        <v>0</v>
      </c>
      <c r="HX93" s="66">
        <v>0</v>
      </c>
      <c r="HY93" s="66">
        <v>0</v>
      </c>
      <c r="HZ93" s="66">
        <v>0</v>
      </c>
      <c r="IA93" s="66">
        <v>0</v>
      </c>
      <c r="IB93" s="66">
        <v>0</v>
      </c>
      <c r="IC93" s="66">
        <v>0</v>
      </c>
      <c r="ID93" s="67" t="s">
        <v>1094</v>
      </c>
      <c r="IE93" s="67" t="s">
        <v>1094</v>
      </c>
      <c r="IF93" s="67">
        <v>0</v>
      </c>
      <c r="IG93" s="67">
        <v>0</v>
      </c>
      <c r="IH93" s="67">
        <v>0</v>
      </c>
    </row>
    <row r="94" spans="1:242" ht="15.75" x14ac:dyDescent="0.25">
      <c r="A94" s="11">
        <v>83</v>
      </c>
      <c r="B94" s="189" t="s">
        <v>225</v>
      </c>
      <c r="C94" s="66">
        <v>75.022999999999996</v>
      </c>
      <c r="D94" s="66">
        <v>0</v>
      </c>
      <c r="E94" s="66">
        <v>125.023</v>
      </c>
      <c r="F94" s="66">
        <v>75.022999999999996</v>
      </c>
      <c r="G94" s="66">
        <v>50</v>
      </c>
      <c r="H94" s="66">
        <v>70.976102609999998</v>
      </c>
      <c r="I94" s="66">
        <v>0.18</v>
      </c>
      <c r="J94" s="66">
        <v>118.54598739999999</v>
      </c>
      <c r="K94" s="66">
        <v>70.976102609999998</v>
      </c>
      <c r="L94" s="66">
        <v>0</v>
      </c>
      <c r="M94" s="66">
        <v>47.569884790000003</v>
      </c>
      <c r="N94" s="67">
        <v>94.605791037415202</v>
      </c>
      <c r="O94" s="67">
        <v>95.139769580000006</v>
      </c>
      <c r="P94" s="67">
        <v>40.127789926359</v>
      </c>
      <c r="Q94" s="66">
        <v>0.18</v>
      </c>
      <c r="R94" s="67">
        <v>6.8278716014447127E-15</v>
      </c>
      <c r="S94" s="66">
        <v>19.598800000000001</v>
      </c>
      <c r="T94" s="66">
        <v>0</v>
      </c>
      <c r="U94" s="66">
        <v>33.598799999999997</v>
      </c>
      <c r="V94" s="66">
        <v>19.598800000000001</v>
      </c>
      <c r="W94" s="66">
        <v>14</v>
      </c>
      <c r="X94" s="66">
        <v>19.597312300000002</v>
      </c>
      <c r="Y94" s="66">
        <v>0</v>
      </c>
      <c r="Z94" s="66">
        <v>33.597312299999999</v>
      </c>
      <c r="AA94" s="66">
        <v>19.597312300000002</v>
      </c>
      <c r="AB94" s="66">
        <v>0</v>
      </c>
      <c r="AC94" s="66">
        <v>14</v>
      </c>
      <c r="AD94" s="67">
        <v>99.992409229136484</v>
      </c>
      <c r="AE94" s="67">
        <v>100</v>
      </c>
      <c r="AF94" s="67">
        <v>41.669999894604665</v>
      </c>
      <c r="AG94" s="67">
        <v>0</v>
      </c>
      <c r="AH94" s="67">
        <v>0</v>
      </c>
      <c r="AI94" s="66">
        <v>0</v>
      </c>
      <c r="AJ94" s="66">
        <v>0</v>
      </c>
      <c r="AK94" s="66">
        <v>0</v>
      </c>
      <c r="AL94" s="66">
        <v>0</v>
      </c>
      <c r="AM94" s="66">
        <v>0</v>
      </c>
      <c r="AN94" s="66">
        <v>0</v>
      </c>
      <c r="AO94" s="66">
        <v>0.18</v>
      </c>
      <c r="AP94" s="66">
        <v>0</v>
      </c>
      <c r="AQ94" s="66">
        <v>0</v>
      </c>
      <c r="AR94" s="66">
        <v>0</v>
      </c>
      <c r="AS94" s="66">
        <v>0</v>
      </c>
      <c r="AT94" s="67" t="s">
        <v>1094</v>
      </c>
      <c r="AU94" s="67" t="s">
        <v>1094</v>
      </c>
      <c r="AV94" s="67">
        <v>0</v>
      </c>
      <c r="AW94" s="67">
        <v>0.18</v>
      </c>
      <c r="AX94" s="67">
        <v>0</v>
      </c>
      <c r="AY94" s="66">
        <v>55.289000000000001</v>
      </c>
      <c r="AZ94" s="66">
        <v>0</v>
      </c>
      <c r="BA94" s="66">
        <v>91.088999999999999</v>
      </c>
      <c r="BB94" s="66">
        <v>55.289000000000001</v>
      </c>
      <c r="BC94" s="66">
        <v>35.799999999999997</v>
      </c>
      <c r="BD94" s="66">
        <v>51.243590310000002</v>
      </c>
      <c r="BE94" s="66">
        <v>0</v>
      </c>
      <c r="BF94" s="66">
        <v>84.613475099999988</v>
      </c>
      <c r="BG94" s="66">
        <v>51.243590310000002</v>
      </c>
      <c r="BH94" s="66">
        <v>0</v>
      </c>
      <c r="BI94" s="66">
        <v>33.36988479</v>
      </c>
      <c r="BJ94" s="67">
        <v>92.683156342129536</v>
      </c>
      <c r="BK94" s="67">
        <v>93.211968687150843</v>
      </c>
      <c r="BL94" s="67">
        <v>39.438026567945563</v>
      </c>
      <c r="BM94" s="67">
        <v>0</v>
      </c>
      <c r="BN94" s="67">
        <v>0</v>
      </c>
      <c r="BO94" s="66">
        <v>0</v>
      </c>
      <c r="BP94" s="66">
        <v>0</v>
      </c>
      <c r="BQ94" s="66">
        <v>0</v>
      </c>
      <c r="BR94" s="66">
        <v>0</v>
      </c>
      <c r="BS94" s="66">
        <v>0</v>
      </c>
      <c r="BT94" s="66">
        <v>0</v>
      </c>
      <c r="BU94" s="66">
        <v>0</v>
      </c>
      <c r="BV94" s="66">
        <v>0</v>
      </c>
      <c r="BW94" s="66">
        <v>0</v>
      </c>
      <c r="BX94" s="66">
        <v>0</v>
      </c>
      <c r="BY94" s="66">
        <v>0</v>
      </c>
      <c r="BZ94" s="67" t="s">
        <v>1094</v>
      </c>
      <c r="CA94" s="67" t="s">
        <v>1094</v>
      </c>
      <c r="CB94" s="67">
        <v>0</v>
      </c>
      <c r="CC94" s="67">
        <v>0</v>
      </c>
      <c r="CD94" s="67">
        <v>0</v>
      </c>
      <c r="CE94" s="66">
        <v>0</v>
      </c>
      <c r="CF94" s="66">
        <v>0</v>
      </c>
      <c r="CG94" s="66">
        <v>0</v>
      </c>
      <c r="CH94" s="66">
        <v>0</v>
      </c>
      <c r="CI94" s="66">
        <v>0</v>
      </c>
      <c r="CJ94" s="66">
        <v>0</v>
      </c>
      <c r="CK94" s="66">
        <v>0</v>
      </c>
      <c r="CL94" s="66">
        <v>0</v>
      </c>
      <c r="CM94" s="66">
        <v>0</v>
      </c>
      <c r="CN94" s="66">
        <v>0</v>
      </c>
      <c r="CO94" s="66">
        <v>0</v>
      </c>
      <c r="CP94" s="67" t="s">
        <v>1094</v>
      </c>
      <c r="CQ94" s="67" t="s">
        <v>1094</v>
      </c>
      <c r="CR94" s="67">
        <v>0</v>
      </c>
      <c r="CS94" s="67">
        <v>0</v>
      </c>
      <c r="CT94" s="67">
        <v>0</v>
      </c>
      <c r="CU94" s="66">
        <v>0</v>
      </c>
      <c r="CV94" s="66">
        <v>0</v>
      </c>
      <c r="CW94" s="66">
        <v>0</v>
      </c>
      <c r="CX94" s="66">
        <v>0</v>
      </c>
      <c r="CY94" s="66">
        <v>0</v>
      </c>
      <c r="CZ94" s="66">
        <v>0</v>
      </c>
      <c r="DA94" s="66">
        <v>0</v>
      </c>
      <c r="DB94" s="66">
        <v>0</v>
      </c>
      <c r="DC94" s="66">
        <v>0</v>
      </c>
      <c r="DD94" s="66">
        <v>0</v>
      </c>
      <c r="DE94" s="66">
        <v>0</v>
      </c>
      <c r="DF94" s="67" t="s">
        <v>1094</v>
      </c>
      <c r="DG94" s="67" t="s">
        <v>1094</v>
      </c>
      <c r="DH94" s="67">
        <v>0</v>
      </c>
      <c r="DI94" s="67">
        <v>0</v>
      </c>
      <c r="DJ94" s="67">
        <v>0</v>
      </c>
      <c r="DK94" s="66">
        <v>0</v>
      </c>
      <c r="DL94" s="66">
        <v>0</v>
      </c>
      <c r="DM94" s="66">
        <v>0</v>
      </c>
      <c r="DN94" s="66">
        <v>0</v>
      </c>
      <c r="DO94" s="66">
        <v>0</v>
      </c>
      <c r="DP94" s="66">
        <v>0</v>
      </c>
      <c r="DQ94" s="66">
        <v>0</v>
      </c>
      <c r="DR94" s="66">
        <v>0</v>
      </c>
      <c r="DS94" s="66">
        <v>0</v>
      </c>
      <c r="DT94" s="66">
        <v>0</v>
      </c>
      <c r="DU94" s="66">
        <v>0</v>
      </c>
      <c r="DV94" s="67" t="s">
        <v>1094</v>
      </c>
      <c r="DW94" s="67" t="s">
        <v>1094</v>
      </c>
      <c r="DX94" s="67">
        <v>0</v>
      </c>
      <c r="DY94" s="67">
        <v>0</v>
      </c>
      <c r="DZ94" s="67">
        <v>0</v>
      </c>
      <c r="EA94" s="66">
        <v>0</v>
      </c>
      <c r="EB94" s="66">
        <v>0</v>
      </c>
      <c r="EC94" s="66">
        <v>0</v>
      </c>
      <c r="ED94" s="66">
        <v>0</v>
      </c>
      <c r="EE94" s="66">
        <v>0</v>
      </c>
      <c r="EF94" s="66">
        <v>0</v>
      </c>
      <c r="EG94" s="66">
        <v>0</v>
      </c>
      <c r="EH94" s="66">
        <v>0</v>
      </c>
      <c r="EI94" s="66">
        <v>0</v>
      </c>
      <c r="EJ94" s="66">
        <v>0</v>
      </c>
      <c r="EK94" s="66">
        <v>0</v>
      </c>
      <c r="EL94" s="67" t="s">
        <v>1094</v>
      </c>
      <c r="EM94" s="67" t="s">
        <v>1094</v>
      </c>
      <c r="EN94" s="67">
        <v>0</v>
      </c>
      <c r="EO94" s="67">
        <v>0</v>
      </c>
      <c r="EP94" s="67">
        <v>0</v>
      </c>
      <c r="EQ94" s="66">
        <v>0</v>
      </c>
      <c r="ER94" s="66">
        <v>0</v>
      </c>
      <c r="ES94" s="66">
        <v>0</v>
      </c>
      <c r="ET94" s="66">
        <v>0</v>
      </c>
      <c r="EU94" s="66">
        <v>0</v>
      </c>
      <c r="EV94" s="66">
        <v>0</v>
      </c>
      <c r="EW94" s="66">
        <v>0</v>
      </c>
      <c r="EX94" s="66">
        <v>0</v>
      </c>
      <c r="EY94" s="66">
        <v>0</v>
      </c>
      <c r="EZ94" s="66">
        <v>0</v>
      </c>
      <c r="FA94" s="66">
        <v>0</v>
      </c>
      <c r="FB94" s="67" t="s">
        <v>1094</v>
      </c>
      <c r="FC94" s="67" t="s">
        <v>1094</v>
      </c>
      <c r="FD94" s="67">
        <v>0</v>
      </c>
      <c r="FE94" s="67">
        <v>0</v>
      </c>
      <c r="FF94" s="67">
        <v>0</v>
      </c>
      <c r="FG94" s="66">
        <v>0</v>
      </c>
      <c r="FH94" s="66">
        <v>0</v>
      </c>
      <c r="FI94" s="66">
        <v>0</v>
      </c>
      <c r="FJ94" s="66">
        <v>0</v>
      </c>
      <c r="FK94" s="66">
        <v>0</v>
      </c>
      <c r="FL94" s="66">
        <v>0</v>
      </c>
      <c r="FM94" s="66">
        <v>0</v>
      </c>
      <c r="FN94" s="66">
        <v>0</v>
      </c>
      <c r="FO94" s="66">
        <v>0</v>
      </c>
      <c r="FP94" s="66">
        <v>0</v>
      </c>
      <c r="FQ94" s="66">
        <v>0</v>
      </c>
      <c r="FR94" s="67" t="s">
        <v>1094</v>
      </c>
      <c r="FS94" s="67" t="s">
        <v>1094</v>
      </c>
      <c r="FT94" s="67">
        <v>0</v>
      </c>
      <c r="FU94" s="67">
        <v>0</v>
      </c>
      <c r="FV94" s="67">
        <v>0</v>
      </c>
      <c r="FW94" s="66">
        <v>0</v>
      </c>
      <c r="FX94" s="66">
        <v>0</v>
      </c>
      <c r="FY94" s="66">
        <v>0</v>
      </c>
      <c r="FZ94" s="66">
        <v>0</v>
      </c>
      <c r="GA94" s="66">
        <v>0</v>
      </c>
      <c r="GB94" s="66">
        <v>0</v>
      </c>
      <c r="GC94" s="66">
        <v>0</v>
      </c>
      <c r="GD94" s="66">
        <v>0</v>
      </c>
      <c r="GE94" s="66">
        <v>0</v>
      </c>
      <c r="GF94" s="66">
        <v>0</v>
      </c>
      <c r="GG94" s="66">
        <v>0</v>
      </c>
      <c r="GH94" s="67" t="s">
        <v>1094</v>
      </c>
      <c r="GI94" s="67" t="s">
        <v>1094</v>
      </c>
      <c r="GJ94" s="67">
        <v>0</v>
      </c>
      <c r="GK94" s="67">
        <v>0</v>
      </c>
      <c r="GL94" s="67">
        <v>0</v>
      </c>
      <c r="GM94" s="66">
        <v>0</v>
      </c>
      <c r="GN94" s="66">
        <v>0</v>
      </c>
      <c r="GO94" s="66">
        <v>0</v>
      </c>
      <c r="GP94" s="66">
        <v>0</v>
      </c>
      <c r="GQ94" s="66">
        <v>0</v>
      </c>
      <c r="GR94" s="66">
        <v>0</v>
      </c>
      <c r="GS94" s="66">
        <v>0</v>
      </c>
      <c r="GT94" s="66">
        <v>0</v>
      </c>
      <c r="GU94" s="66">
        <v>0</v>
      </c>
      <c r="GV94" s="66">
        <v>0</v>
      </c>
      <c r="GW94" s="66">
        <v>0</v>
      </c>
      <c r="GX94" s="67" t="s">
        <v>1094</v>
      </c>
      <c r="GY94" s="67" t="s">
        <v>1094</v>
      </c>
      <c r="GZ94" s="67">
        <v>0</v>
      </c>
      <c r="HA94" s="67">
        <v>0</v>
      </c>
      <c r="HB94" s="67">
        <v>0</v>
      </c>
      <c r="HC94" s="66">
        <v>0.13519999999999999</v>
      </c>
      <c r="HD94" s="66">
        <v>0</v>
      </c>
      <c r="HE94" s="66">
        <v>0.3352</v>
      </c>
      <c r="HF94" s="66">
        <v>0.13519999999999999</v>
      </c>
      <c r="HG94" s="66">
        <v>0.2</v>
      </c>
      <c r="HH94" s="66">
        <v>0.13519999999999999</v>
      </c>
      <c r="HI94" s="66">
        <v>0</v>
      </c>
      <c r="HJ94" s="66">
        <v>0.3352</v>
      </c>
      <c r="HK94" s="66">
        <v>0.13519999999999999</v>
      </c>
      <c r="HL94" s="66">
        <v>0</v>
      </c>
      <c r="HM94" s="66">
        <v>0.2</v>
      </c>
      <c r="HN94" s="67">
        <v>100</v>
      </c>
      <c r="HO94" s="67">
        <v>100</v>
      </c>
      <c r="HP94" s="67">
        <v>59.665871121718382</v>
      </c>
      <c r="HQ94" s="67">
        <v>0</v>
      </c>
      <c r="HR94" s="67">
        <v>0</v>
      </c>
      <c r="HS94" s="66">
        <v>0</v>
      </c>
      <c r="HT94" s="66">
        <v>0</v>
      </c>
      <c r="HU94" s="66">
        <v>0</v>
      </c>
      <c r="HV94" s="66">
        <v>0</v>
      </c>
      <c r="HW94" s="66">
        <v>0</v>
      </c>
      <c r="HX94" s="66">
        <v>0</v>
      </c>
      <c r="HY94" s="66">
        <v>0</v>
      </c>
      <c r="HZ94" s="66">
        <v>0</v>
      </c>
      <c r="IA94" s="66">
        <v>0</v>
      </c>
      <c r="IB94" s="66">
        <v>0</v>
      </c>
      <c r="IC94" s="66">
        <v>0</v>
      </c>
      <c r="ID94" s="67" t="s">
        <v>1094</v>
      </c>
      <c r="IE94" s="67" t="s">
        <v>1094</v>
      </c>
      <c r="IF94" s="67">
        <v>0</v>
      </c>
      <c r="IG94" s="67">
        <v>0</v>
      </c>
      <c r="IH94" s="67">
        <v>0</v>
      </c>
    </row>
    <row r="95" spans="1:242" ht="15.75" x14ac:dyDescent="0.25">
      <c r="A95" s="74">
        <v>84</v>
      </c>
      <c r="B95" s="189" t="s">
        <v>228</v>
      </c>
      <c r="C95" s="66">
        <v>38.445700000000002</v>
      </c>
      <c r="D95" s="66">
        <v>0</v>
      </c>
      <c r="E95" s="66">
        <v>78.07047553999999</v>
      </c>
      <c r="F95" s="66">
        <v>38.445700000000002</v>
      </c>
      <c r="G95" s="66">
        <v>39.624775540000002</v>
      </c>
      <c r="H95" s="66">
        <v>38.445700000000002</v>
      </c>
      <c r="I95" s="66">
        <v>0.4482872</v>
      </c>
      <c r="J95" s="66">
        <v>78.07047553999999</v>
      </c>
      <c r="K95" s="66">
        <v>38.445700000000002</v>
      </c>
      <c r="L95" s="66">
        <v>0</v>
      </c>
      <c r="M95" s="66">
        <v>39.624775540000002</v>
      </c>
      <c r="N95" s="67">
        <v>100</v>
      </c>
      <c r="O95" s="67">
        <v>100</v>
      </c>
      <c r="P95" s="67">
        <v>50.755135364454077</v>
      </c>
      <c r="Q95" s="66">
        <v>0.2673082</v>
      </c>
      <c r="R95" s="67">
        <v>0.18097900000000289</v>
      </c>
      <c r="S95" s="66">
        <v>22.910699999999999</v>
      </c>
      <c r="T95" s="66">
        <v>0</v>
      </c>
      <c r="U95" s="66">
        <v>49.558199999999999</v>
      </c>
      <c r="V95" s="66">
        <v>22.910699999999999</v>
      </c>
      <c r="W95" s="66">
        <v>26.647500000000001</v>
      </c>
      <c r="X95" s="66">
        <v>22.910699999999999</v>
      </c>
      <c r="Y95" s="66">
        <v>0</v>
      </c>
      <c r="Z95" s="66">
        <v>49.558199999999999</v>
      </c>
      <c r="AA95" s="66">
        <v>22.910699999999999</v>
      </c>
      <c r="AB95" s="66">
        <v>0</v>
      </c>
      <c r="AC95" s="66">
        <v>26.647500000000001</v>
      </c>
      <c r="AD95" s="67">
        <v>100</v>
      </c>
      <c r="AE95" s="67">
        <v>100</v>
      </c>
      <c r="AF95" s="67">
        <v>53.770112715958206</v>
      </c>
      <c r="AG95" s="67">
        <v>0</v>
      </c>
      <c r="AH95" s="67">
        <v>0</v>
      </c>
      <c r="AI95" s="66">
        <v>0</v>
      </c>
      <c r="AJ95" s="66">
        <v>0</v>
      </c>
      <c r="AK95" s="66">
        <v>0</v>
      </c>
      <c r="AL95" s="66">
        <v>0</v>
      </c>
      <c r="AM95" s="66">
        <v>0</v>
      </c>
      <c r="AN95" s="66">
        <v>0</v>
      </c>
      <c r="AO95" s="66">
        <v>0.4482872</v>
      </c>
      <c r="AP95" s="66">
        <v>0</v>
      </c>
      <c r="AQ95" s="66">
        <v>0</v>
      </c>
      <c r="AR95" s="66">
        <v>0</v>
      </c>
      <c r="AS95" s="66">
        <v>0</v>
      </c>
      <c r="AT95" s="67" t="s">
        <v>1094</v>
      </c>
      <c r="AU95" s="67" t="s">
        <v>1094</v>
      </c>
      <c r="AV95" s="67">
        <v>0</v>
      </c>
      <c r="AW95" s="67">
        <v>0.2673082</v>
      </c>
      <c r="AX95" s="67">
        <v>0.180979</v>
      </c>
      <c r="AY95" s="66">
        <v>15.535</v>
      </c>
      <c r="AZ95" s="66">
        <v>0</v>
      </c>
      <c r="BA95" s="66">
        <v>28.512275539999997</v>
      </c>
      <c r="BB95" s="66">
        <v>15.535</v>
      </c>
      <c r="BC95" s="66">
        <v>12.977275539999999</v>
      </c>
      <c r="BD95" s="66">
        <v>15.535</v>
      </c>
      <c r="BE95" s="66">
        <v>0</v>
      </c>
      <c r="BF95" s="66">
        <v>28.512275539999997</v>
      </c>
      <c r="BG95" s="66">
        <v>15.535</v>
      </c>
      <c r="BH95" s="66">
        <v>0</v>
      </c>
      <c r="BI95" s="66">
        <v>12.977275539999999</v>
      </c>
      <c r="BJ95" s="67">
        <v>100</v>
      </c>
      <c r="BK95" s="67">
        <v>100</v>
      </c>
      <c r="BL95" s="67">
        <v>45.514696018541635</v>
      </c>
      <c r="BM95" s="67">
        <v>0</v>
      </c>
      <c r="BN95" s="67">
        <v>0</v>
      </c>
      <c r="BO95" s="66">
        <v>0</v>
      </c>
      <c r="BP95" s="66">
        <v>0</v>
      </c>
      <c r="BQ95" s="66">
        <v>0</v>
      </c>
      <c r="BR95" s="66">
        <v>0</v>
      </c>
      <c r="BS95" s="66">
        <v>0</v>
      </c>
      <c r="BT95" s="66">
        <v>0</v>
      </c>
      <c r="BU95" s="66">
        <v>0</v>
      </c>
      <c r="BV95" s="66">
        <v>0</v>
      </c>
      <c r="BW95" s="66">
        <v>0</v>
      </c>
      <c r="BX95" s="66">
        <v>0</v>
      </c>
      <c r="BY95" s="66">
        <v>0</v>
      </c>
      <c r="BZ95" s="67" t="s">
        <v>1094</v>
      </c>
      <c r="CA95" s="67" t="s">
        <v>1094</v>
      </c>
      <c r="CB95" s="67">
        <v>0</v>
      </c>
      <c r="CC95" s="67">
        <v>0</v>
      </c>
      <c r="CD95" s="67">
        <v>0</v>
      </c>
      <c r="CE95" s="66">
        <v>0</v>
      </c>
      <c r="CF95" s="66">
        <v>0</v>
      </c>
      <c r="CG95" s="66">
        <v>0</v>
      </c>
      <c r="CH95" s="66">
        <v>0</v>
      </c>
      <c r="CI95" s="66">
        <v>0</v>
      </c>
      <c r="CJ95" s="66">
        <v>0</v>
      </c>
      <c r="CK95" s="66">
        <v>0</v>
      </c>
      <c r="CL95" s="66">
        <v>0</v>
      </c>
      <c r="CM95" s="66">
        <v>0</v>
      </c>
      <c r="CN95" s="66">
        <v>0</v>
      </c>
      <c r="CO95" s="66">
        <v>0</v>
      </c>
      <c r="CP95" s="67" t="s">
        <v>1094</v>
      </c>
      <c r="CQ95" s="67" t="s">
        <v>1094</v>
      </c>
      <c r="CR95" s="67">
        <v>0</v>
      </c>
      <c r="CS95" s="67">
        <v>0</v>
      </c>
      <c r="CT95" s="67">
        <v>0</v>
      </c>
      <c r="CU95" s="66">
        <v>0</v>
      </c>
      <c r="CV95" s="66">
        <v>0</v>
      </c>
      <c r="CW95" s="66">
        <v>0</v>
      </c>
      <c r="CX95" s="66">
        <v>0</v>
      </c>
      <c r="CY95" s="66">
        <v>0</v>
      </c>
      <c r="CZ95" s="66">
        <v>0</v>
      </c>
      <c r="DA95" s="66">
        <v>0</v>
      </c>
      <c r="DB95" s="66">
        <v>0</v>
      </c>
      <c r="DC95" s="66">
        <v>0</v>
      </c>
      <c r="DD95" s="66">
        <v>0</v>
      </c>
      <c r="DE95" s="66">
        <v>0</v>
      </c>
      <c r="DF95" s="67" t="s">
        <v>1094</v>
      </c>
      <c r="DG95" s="67" t="s">
        <v>1094</v>
      </c>
      <c r="DH95" s="67">
        <v>0</v>
      </c>
      <c r="DI95" s="67">
        <v>0</v>
      </c>
      <c r="DJ95" s="67">
        <v>0</v>
      </c>
      <c r="DK95" s="66">
        <v>0</v>
      </c>
      <c r="DL95" s="66">
        <v>0</v>
      </c>
      <c r="DM95" s="66">
        <v>0</v>
      </c>
      <c r="DN95" s="66">
        <v>0</v>
      </c>
      <c r="DO95" s="66">
        <v>0</v>
      </c>
      <c r="DP95" s="66">
        <v>0</v>
      </c>
      <c r="DQ95" s="66">
        <v>0</v>
      </c>
      <c r="DR95" s="66">
        <v>0</v>
      </c>
      <c r="DS95" s="66">
        <v>0</v>
      </c>
      <c r="DT95" s="66">
        <v>0</v>
      </c>
      <c r="DU95" s="66">
        <v>0</v>
      </c>
      <c r="DV95" s="67" t="s">
        <v>1094</v>
      </c>
      <c r="DW95" s="67" t="s">
        <v>1094</v>
      </c>
      <c r="DX95" s="67">
        <v>0</v>
      </c>
      <c r="DY95" s="67">
        <v>0</v>
      </c>
      <c r="DZ95" s="67">
        <v>0</v>
      </c>
      <c r="EA95" s="66">
        <v>0</v>
      </c>
      <c r="EB95" s="66">
        <v>0</v>
      </c>
      <c r="EC95" s="66">
        <v>0</v>
      </c>
      <c r="ED95" s="66">
        <v>0</v>
      </c>
      <c r="EE95" s="66">
        <v>0</v>
      </c>
      <c r="EF95" s="66">
        <v>0</v>
      </c>
      <c r="EG95" s="66">
        <v>0</v>
      </c>
      <c r="EH95" s="66">
        <v>0</v>
      </c>
      <c r="EI95" s="66">
        <v>0</v>
      </c>
      <c r="EJ95" s="66">
        <v>0</v>
      </c>
      <c r="EK95" s="66">
        <v>0</v>
      </c>
      <c r="EL95" s="67" t="s">
        <v>1094</v>
      </c>
      <c r="EM95" s="67" t="s">
        <v>1094</v>
      </c>
      <c r="EN95" s="67">
        <v>0</v>
      </c>
      <c r="EO95" s="67">
        <v>0</v>
      </c>
      <c r="EP95" s="67">
        <v>0</v>
      </c>
      <c r="EQ95" s="66">
        <v>0</v>
      </c>
      <c r="ER95" s="66">
        <v>0</v>
      </c>
      <c r="ES95" s="66">
        <v>0</v>
      </c>
      <c r="ET95" s="66">
        <v>0</v>
      </c>
      <c r="EU95" s="66">
        <v>0</v>
      </c>
      <c r="EV95" s="66">
        <v>0</v>
      </c>
      <c r="EW95" s="66">
        <v>0</v>
      </c>
      <c r="EX95" s="66">
        <v>0</v>
      </c>
      <c r="EY95" s="66">
        <v>0</v>
      </c>
      <c r="EZ95" s="66">
        <v>0</v>
      </c>
      <c r="FA95" s="66">
        <v>0</v>
      </c>
      <c r="FB95" s="67" t="s">
        <v>1094</v>
      </c>
      <c r="FC95" s="67" t="s">
        <v>1094</v>
      </c>
      <c r="FD95" s="67">
        <v>0</v>
      </c>
      <c r="FE95" s="67">
        <v>0</v>
      </c>
      <c r="FF95" s="67">
        <v>0</v>
      </c>
      <c r="FG95" s="66">
        <v>0</v>
      </c>
      <c r="FH95" s="66">
        <v>0</v>
      </c>
      <c r="FI95" s="66">
        <v>0</v>
      </c>
      <c r="FJ95" s="66">
        <v>0</v>
      </c>
      <c r="FK95" s="66">
        <v>0</v>
      </c>
      <c r="FL95" s="66">
        <v>0</v>
      </c>
      <c r="FM95" s="66">
        <v>0</v>
      </c>
      <c r="FN95" s="66">
        <v>0</v>
      </c>
      <c r="FO95" s="66">
        <v>0</v>
      </c>
      <c r="FP95" s="66">
        <v>0</v>
      </c>
      <c r="FQ95" s="66">
        <v>0</v>
      </c>
      <c r="FR95" s="67" t="s">
        <v>1094</v>
      </c>
      <c r="FS95" s="67" t="s">
        <v>1094</v>
      </c>
      <c r="FT95" s="67">
        <v>0</v>
      </c>
      <c r="FU95" s="67">
        <v>0</v>
      </c>
      <c r="FV95" s="67">
        <v>0</v>
      </c>
      <c r="FW95" s="66">
        <v>0</v>
      </c>
      <c r="FX95" s="66">
        <v>0</v>
      </c>
      <c r="FY95" s="66">
        <v>0</v>
      </c>
      <c r="FZ95" s="66">
        <v>0</v>
      </c>
      <c r="GA95" s="66">
        <v>0</v>
      </c>
      <c r="GB95" s="66">
        <v>0</v>
      </c>
      <c r="GC95" s="66">
        <v>0</v>
      </c>
      <c r="GD95" s="66">
        <v>0</v>
      </c>
      <c r="GE95" s="66">
        <v>0</v>
      </c>
      <c r="GF95" s="66">
        <v>0</v>
      </c>
      <c r="GG95" s="66">
        <v>0</v>
      </c>
      <c r="GH95" s="67" t="s">
        <v>1094</v>
      </c>
      <c r="GI95" s="67" t="s">
        <v>1094</v>
      </c>
      <c r="GJ95" s="67">
        <v>0</v>
      </c>
      <c r="GK95" s="67">
        <v>0</v>
      </c>
      <c r="GL95" s="67">
        <v>0</v>
      </c>
      <c r="GM95" s="66">
        <v>0</v>
      </c>
      <c r="GN95" s="66">
        <v>0</v>
      </c>
      <c r="GO95" s="66">
        <v>0</v>
      </c>
      <c r="GP95" s="66">
        <v>0</v>
      </c>
      <c r="GQ95" s="66">
        <v>0</v>
      </c>
      <c r="GR95" s="66">
        <v>0</v>
      </c>
      <c r="GS95" s="66">
        <v>0</v>
      </c>
      <c r="GT95" s="66">
        <v>0</v>
      </c>
      <c r="GU95" s="66">
        <v>0</v>
      </c>
      <c r="GV95" s="66">
        <v>0</v>
      </c>
      <c r="GW95" s="66">
        <v>0</v>
      </c>
      <c r="GX95" s="67" t="s">
        <v>1094</v>
      </c>
      <c r="GY95" s="67" t="s">
        <v>1094</v>
      </c>
      <c r="GZ95" s="67">
        <v>0</v>
      </c>
      <c r="HA95" s="67">
        <v>0</v>
      </c>
      <c r="HB95" s="67">
        <v>0</v>
      </c>
      <c r="HC95" s="66">
        <v>0</v>
      </c>
      <c r="HD95" s="66">
        <v>0</v>
      </c>
      <c r="HE95" s="66">
        <v>0</v>
      </c>
      <c r="HF95" s="66">
        <v>0</v>
      </c>
      <c r="HG95" s="66">
        <v>0</v>
      </c>
      <c r="HH95" s="66">
        <v>0</v>
      </c>
      <c r="HI95" s="66">
        <v>0</v>
      </c>
      <c r="HJ95" s="66">
        <v>0</v>
      </c>
      <c r="HK95" s="66">
        <v>0</v>
      </c>
      <c r="HL95" s="66">
        <v>0</v>
      </c>
      <c r="HM95" s="66">
        <v>0</v>
      </c>
      <c r="HN95" s="67" t="s">
        <v>1094</v>
      </c>
      <c r="HO95" s="67" t="s">
        <v>1094</v>
      </c>
      <c r="HP95" s="67">
        <v>0</v>
      </c>
      <c r="HQ95" s="67">
        <v>0</v>
      </c>
      <c r="HR95" s="67">
        <v>0</v>
      </c>
      <c r="HS95" s="66">
        <v>0</v>
      </c>
      <c r="HT95" s="66">
        <v>0</v>
      </c>
      <c r="HU95" s="66">
        <v>0</v>
      </c>
      <c r="HV95" s="66">
        <v>0</v>
      </c>
      <c r="HW95" s="66">
        <v>0</v>
      </c>
      <c r="HX95" s="66">
        <v>0</v>
      </c>
      <c r="HY95" s="66">
        <v>0</v>
      </c>
      <c r="HZ95" s="66">
        <v>0</v>
      </c>
      <c r="IA95" s="66">
        <v>0</v>
      </c>
      <c r="IB95" s="66">
        <v>0</v>
      </c>
      <c r="IC95" s="66">
        <v>0</v>
      </c>
      <c r="ID95" s="67" t="s">
        <v>1094</v>
      </c>
      <c r="IE95" s="67" t="s">
        <v>1094</v>
      </c>
      <c r="IF95" s="67">
        <v>0</v>
      </c>
      <c r="IG95" s="67">
        <v>0</v>
      </c>
      <c r="IH95" s="67">
        <v>0</v>
      </c>
    </row>
    <row r="96" spans="1:242" ht="15.75" x14ac:dyDescent="0.25">
      <c r="A96" s="57">
        <v>85</v>
      </c>
      <c r="B96" s="190" t="s">
        <v>231</v>
      </c>
      <c r="C96" s="61">
        <v>642.53380000000016</v>
      </c>
      <c r="D96" s="61">
        <v>0</v>
      </c>
      <c r="E96" s="61">
        <v>1198.0295254200003</v>
      </c>
      <c r="F96" s="61">
        <v>642.53380000000016</v>
      </c>
      <c r="G96" s="61">
        <v>555.49572541999999</v>
      </c>
      <c r="H96" s="61">
        <v>609.62367617000018</v>
      </c>
      <c r="I96" s="61">
        <v>2.5378523799999999</v>
      </c>
      <c r="J96" s="61">
        <v>1114.6358691500004</v>
      </c>
      <c r="K96" s="61">
        <v>609.62367617000018</v>
      </c>
      <c r="L96" s="61">
        <v>0</v>
      </c>
      <c r="M96" s="61">
        <v>505.01219297999995</v>
      </c>
      <c r="N96" s="61">
        <v>94.878071187850352</v>
      </c>
      <c r="O96" s="61">
        <v>90.911985433941851</v>
      </c>
      <c r="P96" s="61">
        <v>45.307369604489075</v>
      </c>
      <c r="Q96" s="61">
        <v>2.5378523799999999</v>
      </c>
      <c r="R96" s="61">
        <v>5.5511151231257827E-16</v>
      </c>
      <c r="S96" s="61">
        <v>296.03939999999994</v>
      </c>
      <c r="T96" s="61">
        <v>0</v>
      </c>
      <c r="U96" s="61">
        <v>587.94736541999998</v>
      </c>
      <c r="V96" s="61">
        <v>296.03939999999994</v>
      </c>
      <c r="W96" s="61">
        <v>291.90796542000004</v>
      </c>
      <c r="X96" s="61">
        <v>295.99931251999999</v>
      </c>
      <c r="Y96" s="61">
        <v>2.34242756</v>
      </c>
      <c r="Z96" s="61">
        <v>587.74215286000003</v>
      </c>
      <c r="AA96" s="61">
        <v>295.99931251999999</v>
      </c>
      <c r="AB96" s="61">
        <v>0</v>
      </c>
      <c r="AC96" s="61">
        <v>291.74284033999999</v>
      </c>
      <c r="AD96" s="61">
        <v>99.986458734884636</v>
      </c>
      <c r="AE96" s="61">
        <v>99.943432485727996</v>
      </c>
      <c r="AF96" s="61">
        <v>49.637896298633024</v>
      </c>
      <c r="AG96" s="61">
        <v>2.34242756</v>
      </c>
      <c r="AH96" s="61">
        <v>-6.106226635438361E-16</v>
      </c>
      <c r="AI96" s="61">
        <v>0</v>
      </c>
      <c r="AJ96" s="61">
        <v>0</v>
      </c>
      <c r="AK96" s="61">
        <v>0</v>
      </c>
      <c r="AL96" s="61">
        <v>0</v>
      </c>
      <c r="AM96" s="61">
        <v>0</v>
      </c>
      <c r="AN96" s="61">
        <v>0</v>
      </c>
      <c r="AO96" s="61">
        <v>0.19542482</v>
      </c>
      <c r="AP96" s="61">
        <v>0</v>
      </c>
      <c r="AQ96" s="61">
        <v>0</v>
      </c>
      <c r="AR96" s="61">
        <v>0</v>
      </c>
      <c r="AS96" s="61">
        <v>0</v>
      </c>
      <c r="AT96" s="61" t="s">
        <v>1094</v>
      </c>
      <c r="AU96" s="61" t="s">
        <v>1094</v>
      </c>
      <c r="AV96" s="61">
        <v>0</v>
      </c>
      <c r="AW96" s="61">
        <v>0.19542482</v>
      </c>
      <c r="AX96" s="61">
        <v>0</v>
      </c>
      <c r="AY96" s="61">
        <v>193.9</v>
      </c>
      <c r="AZ96" s="61">
        <v>0</v>
      </c>
      <c r="BA96" s="61">
        <v>297.50686000000002</v>
      </c>
      <c r="BB96" s="61">
        <v>193.9</v>
      </c>
      <c r="BC96" s="61">
        <v>103.60686</v>
      </c>
      <c r="BD96" s="61">
        <v>193.9</v>
      </c>
      <c r="BE96" s="61">
        <v>0</v>
      </c>
      <c r="BF96" s="61">
        <v>297.50686000000002</v>
      </c>
      <c r="BG96" s="61">
        <v>193.9</v>
      </c>
      <c r="BH96" s="61">
        <v>0</v>
      </c>
      <c r="BI96" s="61">
        <v>103.60686</v>
      </c>
      <c r="BJ96" s="61">
        <v>100</v>
      </c>
      <c r="BK96" s="61">
        <v>100</v>
      </c>
      <c r="BL96" s="61">
        <v>34.825032269844122</v>
      </c>
      <c r="BM96" s="61">
        <v>0</v>
      </c>
      <c r="BN96" s="61">
        <v>0</v>
      </c>
      <c r="BO96" s="61">
        <v>0</v>
      </c>
      <c r="BP96" s="61">
        <v>0</v>
      </c>
      <c r="BQ96" s="61">
        <v>0</v>
      </c>
      <c r="BR96" s="61">
        <v>0</v>
      </c>
      <c r="BS96" s="61">
        <v>0</v>
      </c>
      <c r="BT96" s="61">
        <v>0</v>
      </c>
      <c r="BU96" s="61">
        <v>0</v>
      </c>
      <c r="BV96" s="61">
        <v>0</v>
      </c>
      <c r="BW96" s="61">
        <v>0</v>
      </c>
      <c r="BX96" s="61">
        <v>0</v>
      </c>
      <c r="BY96" s="61">
        <v>0</v>
      </c>
      <c r="BZ96" s="61" t="s">
        <v>1094</v>
      </c>
      <c r="CA96" s="61" t="s">
        <v>1094</v>
      </c>
      <c r="CB96" s="61">
        <v>0</v>
      </c>
      <c r="CC96" s="61">
        <v>0</v>
      </c>
      <c r="CD96" s="61">
        <v>0</v>
      </c>
      <c r="CE96" s="61">
        <v>0</v>
      </c>
      <c r="CF96" s="61">
        <v>0</v>
      </c>
      <c r="CG96" s="61">
        <v>0</v>
      </c>
      <c r="CH96" s="61">
        <v>0</v>
      </c>
      <c r="CI96" s="61">
        <v>0</v>
      </c>
      <c r="CJ96" s="61">
        <v>0</v>
      </c>
      <c r="CK96" s="61">
        <v>0</v>
      </c>
      <c r="CL96" s="61">
        <v>0</v>
      </c>
      <c r="CM96" s="61">
        <v>0</v>
      </c>
      <c r="CN96" s="61">
        <v>0</v>
      </c>
      <c r="CO96" s="61">
        <v>0</v>
      </c>
      <c r="CP96" s="61" t="s">
        <v>1094</v>
      </c>
      <c r="CQ96" s="61" t="s">
        <v>1094</v>
      </c>
      <c r="CR96" s="61">
        <v>0</v>
      </c>
      <c r="CS96" s="61">
        <v>0</v>
      </c>
      <c r="CT96" s="61">
        <v>0</v>
      </c>
      <c r="CU96" s="61">
        <v>0</v>
      </c>
      <c r="CV96" s="61">
        <v>0</v>
      </c>
      <c r="CW96" s="61">
        <v>0</v>
      </c>
      <c r="CX96" s="61">
        <v>0</v>
      </c>
      <c r="CY96" s="61">
        <v>0</v>
      </c>
      <c r="CZ96" s="61">
        <v>0</v>
      </c>
      <c r="DA96" s="61">
        <v>0</v>
      </c>
      <c r="DB96" s="61">
        <v>0</v>
      </c>
      <c r="DC96" s="61">
        <v>0</v>
      </c>
      <c r="DD96" s="61">
        <v>0</v>
      </c>
      <c r="DE96" s="61">
        <v>0</v>
      </c>
      <c r="DF96" s="61" t="s">
        <v>1094</v>
      </c>
      <c r="DG96" s="61" t="s">
        <v>1094</v>
      </c>
      <c r="DH96" s="61">
        <v>0</v>
      </c>
      <c r="DI96" s="61">
        <v>0</v>
      </c>
      <c r="DJ96" s="61">
        <v>0</v>
      </c>
      <c r="DK96" s="61">
        <v>4.7480000000000002</v>
      </c>
      <c r="DL96" s="61">
        <v>0</v>
      </c>
      <c r="DM96" s="61">
        <v>9.7479999999999993</v>
      </c>
      <c r="DN96" s="61">
        <v>4.7480000000000002</v>
      </c>
      <c r="DO96" s="61">
        <v>5</v>
      </c>
      <c r="DP96" s="61">
        <v>4.7480000000000002</v>
      </c>
      <c r="DQ96" s="61">
        <v>0</v>
      </c>
      <c r="DR96" s="61">
        <v>9.7479999999999993</v>
      </c>
      <c r="DS96" s="61">
        <v>4.7480000000000002</v>
      </c>
      <c r="DT96" s="61">
        <v>0</v>
      </c>
      <c r="DU96" s="61">
        <v>5</v>
      </c>
      <c r="DV96" s="61">
        <v>100</v>
      </c>
      <c r="DW96" s="61">
        <v>100</v>
      </c>
      <c r="DX96" s="61">
        <v>51.292572835453434</v>
      </c>
      <c r="DY96" s="61">
        <v>0</v>
      </c>
      <c r="DZ96" s="61">
        <v>0</v>
      </c>
      <c r="EA96" s="61">
        <v>0</v>
      </c>
      <c r="EB96" s="61">
        <v>0</v>
      </c>
      <c r="EC96" s="61">
        <v>0</v>
      </c>
      <c r="ED96" s="61">
        <v>0</v>
      </c>
      <c r="EE96" s="61">
        <v>0</v>
      </c>
      <c r="EF96" s="61">
        <v>0</v>
      </c>
      <c r="EG96" s="61">
        <v>0</v>
      </c>
      <c r="EH96" s="61">
        <v>0</v>
      </c>
      <c r="EI96" s="61">
        <v>0</v>
      </c>
      <c r="EJ96" s="61">
        <v>0</v>
      </c>
      <c r="EK96" s="61">
        <v>0</v>
      </c>
      <c r="EL96" s="61" t="s">
        <v>1094</v>
      </c>
      <c r="EM96" s="61" t="s">
        <v>1094</v>
      </c>
      <c r="EN96" s="61">
        <v>0</v>
      </c>
      <c r="EO96" s="61">
        <v>0</v>
      </c>
      <c r="EP96" s="61">
        <v>0</v>
      </c>
      <c r="EQ96" s="61">
        <v>0.94899999999999995</v>
      </c>
      <c r="ER96" s="61">
        <v>0</v>
      </c>
      <c r="ES96" s="61">
        <v>2.9489999999999998</v>
      </c>
      <c r="ET96" s="61">
        <v>0.94899999999999995</v>
      </c>
      <c r="EU96" s="61">
        <v>2</v>
      </c>
      <c r="EV96" s="61">
        <v>0.94899999999999995</v>
      </c>
      <c r="EW96" s="61">
        <v>0</v>
      </c>
      <c r="EX96" s="61">
        <v>2.9489999999999998</v>
      </c>
      <c r="EY96" s="61">
        <v>0.94899999999999995</v>
      </c>
      <c r="EZ96" s="61">
        <v>0</v>
      </c>
      <c r="FA96" s="61">
        <v>2</v>
      </c>
      <c r="FB96" s="61">
        <v>100</v>
      </c>
      <c r="FC96" s="61">
        <v>100</v>
      </c>
      <c r="FD96" s="61">
        <v>67.819599864360796</v>
      </c>
      <c r="FE96" s="61">
        <v>0</v>
      </c>
      <c r="FF96" s="61">
        <v>0</v>
      </c>
      <c r="FG96" s="61">
        <v>0</v>
      </c>
      <c r="FH96" s="61">
        <v>0</v>
      </c>
      <c r="FI96" s="61">
        <v>0</v>
      </c>
      <c r="FJ96" s="61">
        <v>0</v>
      </c>
      <c r="FK96" s="61">
        <v>0</v>
      </c>
      <c r="FL96" s="61">
        <v>0</v>
      </c>
      <c r="FM96" s="61">
        <v>0</v>
      </c>
      <c r="FN96" s="61">
        <v>0</v>
      </c>
      <c r="FO96" s="61">
        <v>0</v>
      </c>
      <c r="FP96" s="61">
        <v>0</v>
      </c>
      <c r="FQ96" s="61">
        <v>0</v>
      </c>
      <c r="FR96" s="61" t="s">
        <v>1094</v>
      </c>
      <c r="FS96" s="61" t="s">
        <v>1094</v>
      </c>
      <c r="FT96" s="61">
        <v>0</v>
      </c>
      <c r="FU96" s="61">
        <v>0</v>
      </c>
      <c r="FV96" s="61">
        <v>0</v>
      </c>
      <c r="FW96" s="61">
        <v>140.17750000000001</v>
      </c>
      <c r="FX96" s="61">
        <v>0</v>
      </c>
      <c r="FY96" s="61">
        <v>282.56740000000002</v>
      </c>
      <c r="FZ96" s="61">
        <v>140.17750000000001</v>
      </c>
      <c r="GA96" s="61">
        <v>142.38990000000001</v>
      </c>
      <c r="GB96" s="61">
        <v>107.30747032000001</v>
      </c>
      <c r="GC96" s="61">
        <v>0</v>
      </c>
      <c r="GD96" s="61">
        <v>199.37897187999999</v>
      </c>
      <c r="GE96" s="61">
        <v>107.30747032000001</v>
      </c>
      <c r="GF96" s="61">
        <v>0</v>
      </c>
      <c r="GG96" s="61">
        <v>92.071501560000002</v>
      </c>
      <c r="GH96" s="61">
        <v>76.551137179647228</v>
      </c>
      <c r="GI96" s="61">
        <v>64.661539589535494</v>
      </c>
      <c r="GJ96" s="61">
        <v>46.179143513396674</v>
      </c>
      <c r="GK96" s="61">
        <v>0</v>
      </c>
      <c r="GL96" s="61">
        <v>0</v>
      </c>
      <c r="GM96" s="61">
        <v>0</v>
      </c>
      <c r="GN96" s="61">
        <v>0</v>
      </c>
      <c r="GO96" s="61">
        <v>0</v>
      </c>
      <c r="GP96" s="61">
        <v>0</v>
      </c>
      <c r="GQ96" s="61">
        <v>0</v>
      </c>
      <c r="GR96" s="61">
        <v>0</v>
      </c>
      <c r="GS96" s="61">
        <v>0</v>
      </c>
      <c r="GT96" s="61">
        <v>0</v>
      </c>
      <c r="GU96" s="61">
        <v>0</v>
      </c>
      <c r="GV96" s="61">
        <v>0</v>
      </c>
      <c r="GW96" s="61">
        <v>0</v>
      </c>
      <c r="GX96" s="61" t="s">
        <v>1094</v>
      </c>
      <c r="GY96" s="61" t="s">
        <v>1094</v>
      </c>
      <c r="GZ96" s="61">
        <v>0</v>
      </c>
      <c r="HA96" s="61">
        <v>0</v>
      </c>
      <c r="HB96" s="61">
        <v>0</v>
      </c>
      <c r="HC96" s="61">
        <v>6.7198999999999991</v>
      </c>
      <c r="HD96" s="61">
        <v>0</v>
      </c>
      <c r="HE96" s="61">
        <v>17.3109</v>
      </c>
      <c r="HF96" s="61">
        <v>6.7198999999999991</v>
      </c>
      <c r="HG96" s="61">
        <v>10.590999999999999</v>
      </c>
      <c r="HH96" s="61">
        <v>6.7198933299999997</v>
      </c>
      <c r="HI96" s="61">
        <v>0</v>
      </c>
      <c r="HJ96" s="61">
        <v>17.31088441</v>
      </c>
      <c r="HK96" s="61">
        <v>6.7198933299999997</v>
      </c>
      <c r="HL96" s="61">
        <v>0</v>
      </c>
      <c r="HM96" s="61">
        <v>10.59099108</v>
      </c>
      <c r="HN96" s="61">
        <v>99.999900742570574</v>
      </c>
      <c r="HO96" s="61">
        <v>99.999915777546974</v>
      </c>
      <c r="HP96" s="61">
        <v>61.181109117000922</v>
      </c>
      <c r="HQ96" s="61">
        <v>0</v>
      </c>
      <c r="HR96" s="61">
        <v>0</v>
      </c>
      <c r="HS96" s="61">
        <v>0</v>
      </c>
      <c r="HT96" s="61">
        <v>0</v>
      </c>
      <c r="HU96" s="61">
        <v>0</v>
      </c>
      <c r="HV96" s="61">
        <v>0</v>
      </c>
      <c r="HW96" s="61">
        <v>0</v>
      </c>
      <c r="HX96" s="61">
        <v>0</v>
      </c>
      <c r="HY96" s="61">
        <v>0</v>
      </c>
      <c r="HZ96" s="61">
        <v>0</v>
      </c>
      <c r="IA96" s="61">
        <v>0</v>
      </c>
      <c r="IB96" s="61">
        <v>0</v>
      </c>
      <c r="IC96" s="61">
        <v>0</v>
      </c>
      <c r="ID96" s="61" t="s">
        <v>1094</v>
      </c>
      <c r="IE96" s="61" t="s">
        <v>1094</v>
      </c>
      <c r="IF96" s="61">
        <v>0</v>
      </c>
      <c r="IG96" s="61">
        <v>0</v>
      </c>
      <c r="IH96" s="61">
        <v>0</v>
      </c>
    </row>
    <row r="97" spans="1:242" ht="15.75" x14ac:dyDescent="0.25">
      <c r="A97" s="11">
        <v>86</v>
      </c>
      <c r="B97" s="189" t="s">
        <v>234</v>
      </c>
      <c r="C97" s="66">
        <v>549.24720000000002</v>
      </c>
      <c r="D97" s="66">
        <v>0</v>
      </c>
      <c r="E97" s="66">
        <v>924.7970600000001</v>
      </c>
      <c r="F97" s="66">
        <v>549.24720000000002</v>
      </c>
      <c r="G97" s="66">
        <v>375.54985999999997</v>
      </c>
      <c r="H97" s="66">
        <v>549.24720000000002</v>
      </c>
      <c r="I97" s="66">
        <v>0</v>
      </c>
      <c r="J97" s="66">
        <v>924.7970600000001</v>
      </c>
      <c r="K97" s="66">
        <v>549.24720000000002</v>
      </c>
      <c r="L97" s="66">
        <v>0</v>
      </c>
      <c r="M97" s="66">
        <v>375.54985999999997</v>
      </c>
      <c r="N97" s="67">
        <v>100</v>
      </c>
      <c r="O97" s="67">
        <v>100</v>
      </c>
      <c r="P97" s="67">
        <v>40.60889423675286</v>
      </c>
      <c r="Q97" s="66">
        <v>0</v>
      </c>
      <c r="R97" s="67">
        <v>0</v>
      </c>
      <c r="S97" s="66">
        <v>247.4331</v>
      </c>
      <c r="T97" s="66">
        <v>0</v>
      </c>
      <c r="U97" s="66">
        <v>419.43310000000002</v>
      </c>
      <c r="V97" s="66">
        <v>247.4331</v>
      </c>
      <c r="W97" s="66">
        <v>172</v>
      </c>
      <c r="X97" s="66">
        <v>247.4331</v>
      </c>
      <c r="Y97" s="66">
        <v>0</v>
      </c>
      <c r="Z97" s="66">
        <v>419.43310000000002</v>
      </c>
      <c r="AA97" s="66">
        <v>247.4331</v>
      </c>
      <c r="AB97" s="66">
        <v>0</v>
      </c>
      <c r="AC97" s="66">
        <v>172</v>
      </c>
      <c r="AD97" s="67">
        <v>100</v>
      </c>
      <c r="AE97" s="67">
        <v>100</v>
      </c>
      <c r="AF97" s="67">
        <v>41.007731626330873</v>
      </c>
      <c r="AG97" s="67">
        <v>0</v>
      </c>
      <c r="AH97" s="67">
        <v>0</v>
      </c>
      <c r="AI97" s="66">
        <v>0</v>
      </c>
      <c r="AJ97" s="66">
        <v>0</v>
      </c>
      <c r="AK97" s="66">
        <v>0</v>
      </c>
      <c r="AL97" s="66">
        <v>0</v>
      </c>
      <c r="AM97" s="66">
        <v>0</v>
      </c>
      <c r="AN97" s="66">
        <v>0</v>
      </c>
      <c r="AO97" s="66">
        <v>0</v>
      </c>
      <c r="AP97" s="66">
        <v>0</v>
      </c>
      <c r="AQ97" s="66">
        <v>0</v>
      </c>
      <c r="AR97" s="66">
        <v>0</v>
      </c>
      <c r="AS97" s="66">
        <v>0</v>
      </c>
      <c r="AT97" s="67" t="s">
        <v>1094</v>
      </c>
      <c r="AU97" s="67" t="s">
        <v>1094</v>
      </c>
      <c r="AV97" s="67">
        <v>0</v>
      </c>
      <c r="AW97" s="67">
        <v>0</v>
      </c>
      <c r="AX97" s="67">
        <v>0</v>
      </c>
      <c r="AY97" s="66">
        <v>193.9</v>
      </c>
      <c r="AZ97" s="66">
        <v>0</v>
      </c>
      <c r="BA97" s="66">
        <v>297.50686000000002</v>
      </c>
      <c r="BB97" s="66">
        <v>193.9</v>
      </c>
      <c r="BC97" s="66">
        <v>103.60686</v>
      </c>
      <c r="BD97" s="66">
        <v>193.9</v>
      </c>
      <c r="BE97" s="66">
        <v>0</v>
      </c>
      <c r="BF97" s="66">
        <v>297.50686000000002</v>
      </c>
      <c r="BG97" s="66">
        <v>193.9</v>
      </c>
      <c r="BH97" s="66">
        <v>0</v>
      </c>
      <c r="BI97" s="66">
        <v>103.60686</v>
      </c>
      <c r="BJ97" s="67">
        <v>100</v>
      </c>
      <c r="BK97" s="67">
        <v>100</v>
      </c>
      <c r="BL97" s="67">
        <v>34.825032269844122</v>
      </c>
      <c r="BM97" s="67">
        <v>0</v>
      </c>
      <c r="BN97" s="67">
        <v>0</v>
      </c>
      <c r="BO97" s="66">
        <v>0</v>
      </c>
      <c r="BP97" s="66">
        <v>0</v>
      </c>
      <c r="BQ97" s="66">
        <v>0</v>
      </c>
      <c r="BR97" s="66">
        <v>0</v>
      </c>
      <c r="BS97" s="66">
        <v>0</v>
      </c>
      <c r="BT97" s="66">
        <v>0</v>
      </c>
      <c r="BU97" s="66">
        <v>0</v>
      </c>
      <c r="BV97" s="66">
        <v>0</v>
      </c>
      <c r="BW97" s="66">
        <v>0</v>
      </c>
      <c r="BX97" s="66">
        <v>0</v>
      </c>
      <c r="BY97" s="66">
        <v>0</v>
      </c>
      <c r="BZ97" s="67" t="s">
        <v>1094</v>
      </c>
      <c r="CA97" s="67" t="s">
        <v>1094</v>
      </c>
      <c r="CB97" s="67">
        <v>0</v>
      </c>
      <c r="CC97" s="67">
        <v>0</v>
      </c>
      <c r="CD97" s="67">
        <v>0</v>
      </c>
      <c r="CE97" s="66">
        <v>0</v>
      </c>
      <c r="CF97" s="66">
        <v>0</v>
      </c>
      <c r="CG97" s="66">
        <v>0</v>
      </c>
      <c r="CH97" s="66">
        <v>0</v>
      </c>
      <c r="CI97" s="66">
        <v>0</v>
      </c>
      <c r="CJ97" s="66">
        <v>0</v>
      </c>
      <c r="CK97" s="66">
        <v>0</v>
      </c>
      <c r="CL97" s="66">
        <v>0</v>
      </c>
      <c r="CM97" s="66">
        <v>0</v>
      </c>
      <c r="CN97" s="66">
        <v>0</v>
      </c>
      <c r="CO97" s="66">
        <v>0</v>
      </c>
      <c r="CP97" s="67" t="s">
        <v>1094</v>
      </c>
      <c r="CQ97" s="67" t="s">
        <v>1094</v>
      </c>
      <c r="CR97" s="67">
        <v>0</v>
      </c>
      <c r="CS97" s="67">
        <v>0</v>
      </c>
      <c r="CT97" s="67">
        <v>0</v>
      </c>
      <c r="CU97" s="66">
        <v>0</v>
      </c>
      <c r="CV97" s="66">
        <v>0</v>
      </c>
      <c r="CW97" s="66">
        <v>0</v>
      </c>
      <c r="CX97" s="66">
        <v>0</v>
      </c>
      <c r="CY97" s="66">
        <v>0</v>
      </c>
      <c r="CZ97" s="66">
        <v>0</v>
      </c>
      <c r="DA97" s="66">
        <v>0</v>
      </c>
      <c r="DB97" s="66">
        <v>0</v>
      </c>
      <c r="DC97" s="66">
        <v>0</v>
      </c>
      <c r="DD97" s="66">
        <v>0</v>
      </c>
      <c r="DE97" s="66">
        <v>0</v>
      </c>
      <c r="DF97" s="67" t="s">
        <v>1094</v>
      </c>
      <c r="DG97" s="67" t="s">
        <v>1094</v>
      </c>
      <c r="DH97" s="67">
        <v>0</v>
      </c>
      <c r="DI97" s="67">
        <v>0</v>
      </c>
      <c r="DJ97" s="67">
        <v>0</v>
      </c>
      <c r="DK97" s="66">
        <v>4.7480000000000002</v>
      </c>
      <c r="DL97" s="66">
        <v>0</v>
      </c>
      <c r="DM97" s="66">
        <v>9.7479999999999993</v>
      </c>
      <c r="DN97" s="66">
        <v>4.7480000000000002</v>
      </c>
      <c r="DO97" s="66">
        <v>5</v>
      </c>
      <c r="DP97" s="66">
        <v>4.7480000000000002</v>
      </c>
      <c r="DQ97" s="66">
        <v>0</v>
      </c>
      <c r="DR97" s="66">
        <v>9.7479999999999993</v>
      </c>
      <c r="DS97" s="66">
        <v>4.7480000000000002</v>
      </c>
      <c r="DT97" s="66">
        <v>0</v>
      </c>
      <c r="DU97" s="66">
        <v>5</v>
      </c>
      <c r="DV97" s="67">
        <v>100</v>
      </c>
      <c r="DW97" s="67">
        <v>100</v>
      </c>
      <c r="DX97" s="67">
        <v>51.292572835453434</v>
      </c>
      <c r="DY97" s="67">
        <v>0</v>
      </c>
      <c r="DZ97" s="67">
        <v>0</v>
      </c>
      <c r="EA97" s="66">
        <v>0</v>
      </c>
      <c r="EB97" s="66">
        <v>0</v>
      </c>
      <c r="EC97" s="66">
        <v>0</v>
      </c>
      <c r="ED97" s="66">
        <v>0</v>
      </c>
      <c r="EE97" s="66">
        <v>0</v>
      </c>
      <c r="EF97" s="66">
        <v>0</v>
      </c>
      <c r="EG97" s="66">
        <v>0</v>
      </c>
      <c r="EH97" s="66">
        <v>0</v>
      </c>
      <c r="EI97" s="66">
        <v>0</v>
      </c>
      <c r="EJ97" s="66">
        <v>0</v>
      </c>
      <c r="EK97" s="66">
        <v>0</v>
      </c>
      <c r="EL97" s="67" t="s">
        <v>1094</v>
      </c>
      <c r="EM97" s="67" t="s">
        <v>1094</v>
      </c>
      <c r="EN97" s="67">
        <v>0</v>
      </c>
      <c r="EO97" s="67">
        <v>0</v>
      </c>
      <c r="EP97" s="67">
        <v>0</v>
      </c>
      <c r="EQ97" s="66">
        <v>0</v>
      </c>
      <c r="ER97" s="66">
        <v>0</v>
      </c>
      <c r="ES97" s="66">
        <v>0</v>
      </c>
      <c r="ET97" s="66">
        <v>0</v>
      </c>
      <c r="EU97" s="66">
        <v>0</v>
      </c>
      <c r="EV97" s="66">
        <v>0</v>
      </c>
      <c r="EW97" s="66">
        <v>0</v>
      </c>
      <c r="EX97" s="66">
        <v>0</v>
      </c>
      <c r="EY97" s="66">
        <v>0</v>
      </c>
      <c r="EZ97" s="66">
        <v>0</v>
      </c>
      <c r="FA97" s="66">
        <v>0</v>
      </c>
      <c r="FB97" s="67" t="s">
        <v>1094</v>
      </c>
      <c r="FC97" s="67" t="s">
        <v>1094</v>
      </c>
      <c r="FD97" s="67">
        <v>0</v>
      </c>
      <c r="FE97" s="67">
        <v>0</v>
      </c>
      <c r="FF97" s="67">
        <v>0</v>
      </c>
      <c r="FG97" s="66">
        <v>0</v>
      </c>
      <c r="FH97" s="66">
        <v>0</v>
      </c>
      <c r="FI97" s="66">
        <v>0</v>
      </c>
      <c r="FJ97" s="66">
        <v>0</v>
      </c>
      <c r="FK97" s="66">
        <v>0</v>
      </c>
      <c r="FL97" s="66">
        <v>0</v>
      </c>
      <c r="FM97" s="66">
        <v>0</v>
      </c>
      <c r="FN97" s="66">
        <v>0</v>
      </c>
      <c r="FO97" s="66">
        <v>0</v>
      </c>
      <c r="FP97" s="66">
        <v>0</v>
      </c>
      <c r="FQ97" s="66">
        <v>0</v>
      </c>
      <c r="FR97" s="67" t="s">
        <v>1094</v>
      </c>
      <c r="FS97" s="67" t="s">
        <v>1094</v>
      </c>
      <c r="FT97" s="67">
        <v>0</v>
      </c>
      <c r="FU97" s="67">
        <v>0</v>
      </c>
      <c r="FV97" s="67">
        <v>0</v>
      </c>
      <c r="FW97" s="66">
        <v>97.674300000000002</v>
      </c>
      <c r="FX97" s="66">
        <v>0</v>
      </c>
      <c r="FY97" s="66">
        <v>185.6173</v>
      </c>
      <c r="FZ97" s="66">
        <v>97.674300000000002</v>
      </c>
      <c r="GA97" s="66">
        <v>87.942999999999998</v>
      </c>
      <c r="GB97" s="66">
        <v>97.674300000000002</v>
      </c>
      <c r="GC97" s="66">
        <v>0</v>
      </c>
      <c r="GD97" s="66">
        <v>185.6173</v>
      </c>
      <c r="GE97" s="66">
        <v>97.674300000000002</v>
      </c>
      <c r="GF97" s="66">
        <v>0</v>
      </c>
      <c r="GG97" s="66">
        <v>87.942999999999998</v>
      </c>
      <c r="GH97" s="67">
        <v>100</v>
      </c>
      <c r="GI97" s="67">
        <v>100</v>
      </c>
      <c r="GJ97" s="67">
        <v>47.378665673943104</v>
      </c>
      <c r="GK97" s="67">
        <v>0</v>
      </c>
      <c r="GL97" s="67">
        <v>0</v>
      </c>
      <c r="GM97" s="66">
        <v>0</v>
      </c>
      <c r="GN97" s="66">
        <v>0</v>
      </c>
      <c r="GO97" s="66">
        <v>0</v>
      </c>
      <c r="GP97" s="66">
        <v>0</v>
      </c>
      <c r="GQ97" s="66">
        <v>0</v>
      </c>
      <c r="GR97" s="66">
        <v>0</v>
      </c>
      <c r="GS97" s="66">
        <v>0</v>
      </c>
      <c r="GT97" s="66">
        <v>0</v>
      </c>
      <c r="GU97" s="66">
        <v>0</v>
      </c>
      <c r="GV97" s="66">
        <v>0</v>
      </c>
      <c r="GW97" s="66">
        <v>0</v>
      </c>
      <c r="GX97" s="67" t="s">
        <v>1094</v>
      </c>
      <c r="GY97" s="67" t="s">
        <v>1094</v>
      </c>
      <c r="GZ97" s="67">
        <v>0</v>
      </c>
      <c r="HA97" s="67">
        <v>0</v>
      </c>
      <c r="HB97" s="67">
        <v>0</v>
      </c>
      <c r="HC97" s="66">
        <v>5.4917999999999996</v>
      </c>
      <c r="HD97" s="66">
        <v>0</v>
      </c>
      <c r="HE97" s="66">
        <v>12.4918</v>
      </c>
      <c r="HF97" s="66">
        <v>5.4917999999999996</v>
      </c>
      <c r="HG97" s="66">
        <v>7</v>
      </c>
      <c r="HH97" s="66">
        <v>5.4917999999999996</v>
      </c>
      <c r="HI97" s="66">
        <v>0</v>
      </c>
      <c r="HJ97" s="66">
        <v>12.4918</v>
      </c>
      <c r="HK97" s="66">
        <v>5.4917999999999996</v>
      </c>
      <c r="HL97" s="66">
        <v>0</v>
      </c>
      <c r="HM97" s="66">
        <v>7</v>
      </c>
      <c r="HN97" s="67">
        <v>100</v>
      </c>
      <c r="HO97" s="67">
        <v>100</v>
      </c>
      <c r="HP97" s="67">
        <v>56.0367601146352</v>
      </c>
      <c r="HQ97" s="67">
        <v>0</v>
      </c>
      <c r="HR97" s="67">
        <v>0</v>
      </c>
      <c r="HS97" s="66">
        <v>0</v>
      </c>
      <c r="HT97" s="66">
        <v>0</v>
      </c>
      <c r="HU97" s="66">
        <v>0</v>
      </c>
      <c r="HV97" s="66">
        <v>0</v>
      </c>
      <c r="HW97" s="66">
        <v>0</v>
      </c>
      <c r="HX97" s="66">
        <v>0</v>
      </c>
      <c r="HY97" s="66">
        <v>0</v>
      </c>
      <c r="HZ97" s="66">
        <v>0</v>
      </c>
      <c r="IA97" s="66">
        <v>0</v>
      </c>
      <c r="IB97" s="66">
        <v>0</v>
      </c>
      <c r="IC97" s="66">
        <v>0</v>
      </c>
      <c r="ID97" s="67" t="s">
        <v>1094</v>
      </c>
      <c r="IE97" s="67" t="s">
        <v>1094</v>
      </c>
      <c r="IF97" s="67">
        <v>0</v>
      </c>
      <c r="IG97" s="67">
        <v>0</v>
      </c>
      <c r="IH97" s="67">
        <v>0</v>
      </c>
    </row>
    <row r="98" spans="1:242" ht="15.75" x14ac:dyDescent="0.25">
      <c r="A98" s="11">
        <v>87</v>
      </c>
      <c r="B98" s="189" t="s">
        <v>237</v>
      </c>
      <c r="C98" s="66">
        <v>7.6058000000000003</v>
      </c>
      <c r="D98" s="66">
        <v>0</v>
      </c>
      <c r="E98" s="66">
        <v>8.00610526</v>
      </c>
      <c r="F98" s="66">
        <v>7.6058000000000003</v>
      </c>
      <c r="G98" s="66">
        <v>0.40030526</v>
      </c>
      <c r="H98" s="66">
        <v>7.6058000000000003</v>
      </c>
      <c r="I98" s="66">
        <v>0</v>
      </c>
      <c r="J98" s="66">
        <v>8.00610526</v>
      </c>
      <c r="K98" s="66">
        <v>7.6058000000000003</v>
      </c>
      <c r="L98" s="66">
        <v>0</v>
      </c>
      <c r="M98" s="66">
        <v>0.40030526</v>
      </c>
      <c r="N98" s="67">
        <v>100</v>
      </c>
      <c r="O98" s="67">
        <v>100</v>
      </c>
      <c r="P98" s="67">
        <v>4.9999999625285962</v>
      </c>
      <c r="Q98" s="66">
        <v>0</v>
      </c>
      <c r="R98" s="67">
        <v>0</v>
      </c>
      <c r="S98" s="66">
        <v>7.6058000000000003</v>
      </c>
      <c r="T98" s="66">
        <v>0</v>
      </c>
      <c r="U98" s="66">
        <v>8.00610526</v>
      </c>
      <c r="V98" s="66">
        <v>7.6058000000000003</v>
      </c>
      <c r="W98" s="66">
        <v>0.40030526</v>
      </c>
      <c r="X98" s="66">
        <v>7.6058000000000003</v>
      </c>
      <c r="Y98" s="66">
        <v>0</v>
      </c>
      <c r="Z98" s="66">
        <v>8.00610526</v>
      </c>
      <c r="AA98" s="66">
        <v>7.6058000000000003</v>
      </c>
      <c r="AB98" s="66">
        <v>0</v>
      </c>
      <c r="AC98" s="66">
        <v>0.40030526</v>
      </c>
      <c r="AD98" s="67">
        <v>100</v>
      </c>
      <c r="AE98" s="67">
        <v>100</v>
      </c>
      <c r="AF98" s="67">
        <v>4.9999999625285962</v>
      </c>
      <c r="AG98" s="67">
        <v>0</v>
      </c>
      <c r="AH98" s="67">
        <v>0</v>
      </c>
      <c r="AI98" s="66">
        <v>0</v>
      </c>
      <c r="AJ98" s="66">
        <v>0</v>
      </c>
      <c r="AK98" s="66">
        <v>0</v>
      </c>
      <c r="AL98" s="66">
        <v>0</v>
      </c>
      <c r="AM98" s="66">
        <v>0</v>
      </c>
      <c r="AN98" s="66">
        <v>0</v>
      </c>
      <c r="AO98" s="66">
        <v>0</v>
      </c>
      <c r="AP98" s="66">
        <v>0</v>
      </c>
      <c r="AQ98" s="66">
        <v>0</v>
      </c>
      <c r="AR98" s="66">
        <v>0</v>
      </c>
      <c r="AS98" s="66">
        <v>0</v>
      </c>
      <c r="AT98" s="67" t="s">
        <v>1094</v>
      </c>
      <c r="AU98" s="67" t="s">
        <v>1094</v>
      </c>
      <c r="AV98" s="67">
        <v>0</v>
      </c>
      <c r="AW98" s="67">
        <v>0</v>
      </c>
      <c r="AX98" s="67">
        <v>0</v>
      </c>
      <c r="AY98" s="66">
        <v>0</v>
      </c>
      <c r="AZ98" s="66">
        <v>0</v>
      </c>
      <c r="BA98" s="66">
        <v>0</v>
      </c>
      <c r="BB98" s="66">
        <v>0</v>
      </c>
      <c r="BC98" s="66">
        <v>0</v>
      </c>
      <c r="BD98" s="66">
        <v>0</v>
      </c>
      <c r="BE98" s="66">
        <v>0</v>
      </c>
      <c r="BF98" s="66">
        <v>0</v>
      </c>
      <c r="BG98" s="66">
        <v>0</v>
      </c>
      <c r="BH98" s="66">
        <v>0</v>
      </c>
      <c r="BI98" s="66">
        <v>0</v>
      </c>
      <c r="BJ98" s="67" t="s">
        <v>1094</v>
      </c>
      <c r="BK98" s="67" t="s">
        <v>1094</v>
      </c>
      <c r="BL98" s="67">
        <v>0</v>
      </c>
      <c r="BM98" s="67">
        <v>0</v>
      </c>
      <c r="BN98" s="67">
        <v>0</v>
      </c>
      <c r="BO98" s="66">
        <v>0</v>
      </c>
      <c r="BP98" s="66">
        <v>0</v>
      </c>
      <c r="BQ98" s="66">
        <v>0</v>
      </c>
      <c r="BR98" s="66">
        <v>0</v>
      </c>
      <c r="BS98" s="66">
        <v>0</v>
      </c>
      <c r="BT98" s="66">
        <v>0</v>
      </c>
      <c r="BU98" s="66">
        <v>0</v>
      </c>
      <c r="BV98" s="66">
        <v>0</v>
      </c>
      <c r="BW98" s="66">
        <v>0</v>
      </c>
      <c r="BX98" s="66">
        <v>0</v>
      </c>
      <c r="BY98" s="66">
        <v>0</v>
      </c>
      <c r="BZ98" s="67" t="s">
        <v>1094</v>
      </c>
      <c r="CA98" s="67" t="s">
        <v>1094</v>
      </c>
      <c r="CB98" s="67">
        <v>0</v>
      </c>
      <c r="CC98" s="67">
        <v>0</v>
      </c>
      <c r="CD98" s="67">
        <v>0</v>
      </c>
      <c r="CE98" s="66">
        <v>0</v>
      </c>
      <c r="CF98" s="66">
        <v>0</v>
      </c>
      <c r="CG98" s="66">
        <v>0</v>
      </c>
      <c r="CH98" s="66">
        <v>0</v>
      </c>
      <c r="CI98" s="66">
        <v>0</v>
      </c>
      <c r="CJ98" s="66">
        <v>0</v>
      </c>
      <c r="CK98" s="66">
        <v>0</v>
      </c>
      <c r="CL98" s="66">
        <v>0</v>
      </c>
      <c r="CM98" s="66">
        <v>0</v>
      </c>
      <c r="CN98" s="66">
        <v>0</v>
      </c>
      <c r="CO98" s="66">
        <v>0</v>
      </c>
      <c r="CP98" s="67" t="s">
        <v>1094</v>
      </c>
      <c r="CQ98" s="67" t="s">
        <v>1094</v>
      </c>
      <c r="CR98" s="67">
        <v>0</v>
      </c>
      <c r="CS98" s="67">
        <v>0</v>
      </c>
      <c r="CT98" s="67">
        <v>0</v>
      </c>
      <c r="CU98" s="66">
        <v>0</v>
      </c>
      <c r="CV98" s="66">
        <v>0</v>
      </c>
      <c r="CW98" s="66">
        <v>0</v>
      </c>
      <c r="CX98" s="66">
        <v>0</v>
      </c>
      <c r="CY98" s="66">
        <v>0</v>
      </c>
      <c r="CZ98" s="66">
        <v>0</v>
      </c>
      <c r="DA98" s="66">
        <v>0</v>
      </c>
      <c r="DB98" s="66">
        <v>0</v>
      </c>
      <c r="DC98" s="66">
        <v>0</v>
      </c>
      <c r="DD98" s="66">
        <v>0</v>
      </c>
      <c r="DE98" s="66">
        <v>0</v>
      </c>
      <c r="DF98" s="67" t="s">
        <v>1094</v>
      </c>
      <c r="DG98" s="67" t="s">
        <v>1094</v>
      </c>
      <c r="DH98" s="67">
        <v>0</v>
      </c>
      <c r="DI98" s="67">
        <v>0</v>
      </c>
      <c r="DJ98" s="67">
        <v>0</v>
      </c>
      <c r="DK98" s="66">
        <v>0</v>
      </c>
      <c r="DL98" s="66">
        <v>0</v>
      </c>
      <c r="DM98" s="66">
        <v>0</v>
      </c>
      <c r="DN98" s="66">
        <v>0</v>
      </c>
      <c r="DO98" s="66">
        <v>0</v>
      </c>
      <c r="DP98" s="66">
        <v>0</v>
      </c>
      <c r="DQ98" s="66">
        <v>0</v>
      </c>
      <c r="DR98" s="66">
        <v>0</v>
      </c>
      <c r="DS98" s="66">
        <v>0</v>
      </c>
      <c r="DT98" s="66">
        <v>0</v>
      </c>
      <c r="DU98" s="66">
        <v>0</v>
      </c>
      <c r="DV98" s="67" t="s">
        <v>1094</v>
      </c>
      <c r="DW98" s="67" t="s">
        <v>1094</v>
      </c>
      <c r="DX98" s="67">
        <v>0</v>
      </c>
      <c r="DY98" s="67">
        <v>0</v>
      </c>
      <c r="DZ98" s="67">
        <v>0</v>
      </c>
      <c r="EA98" s="66">
        <v>0</v>
      </c>
      <c r="EB98" s="66">
        <v>0</v>
      </c>
      <c r="EC98" s="66">
        <v>0</v>
      </c>
      <c r="ED98" s="66">
        <v>0</v>
      </c>
      <c r="EE98" s="66">
        <v>0</v>
      </c>
      <c r="EF98" s="66">
        <v>0</v>
      </c>
      <c r="EG98" s="66">
        <v>0</v>
      </c>
      <c r="EH98" s="66">
        <v>0</v>
      </c>
      <c r="EI98" s="66">
        <v>0</v>
      </c>
      <c r="EJ98" s="66">
        <v>0</v>
      </c>
      <c r="EK98" s="66">
        <v>0</v>
      </c>
      <c r="EL98" s="67" t="s">
        <v>1094</v>
      </c>
      <c r="EM98" s="67" t="s">
        <v>1094</v>
      </c>
      <c r="EN98" s="67">
        <v>0</v>
      </c>
      <c r="EO98" s="67">
        <v>0</v>
      </c>
      <c r="EP98" s="67">
        <v>0</v>
      </c>
      <c r="EQ98" s="66">
        <v>0</v>
      </c>
      <c r="ER98" s="66">
        <v>0</v>
      </c>
      <c r="ES98" s="66">
        <v>0</v>
      </c>
      <c r="ET98" s="66">
        <v>0</v>
      </c>
      <c r="EU98" s="66">
        <v>0</v>
      </c>
      <c r="EV98" s="66">
        <v>0</v>
      </c>
      <c r="EW98" s="66">
        <v>0</v>
      </c>
      <c r="EX98" s="66">
        <v>0</v>
      </c>
      <c r="EY98" s="66">
        <v>0</v>
      </c>
      <c r="EZ98" s="66">
        <v>0</v>
      </c>
      <c r="FA98" s="66">
        <v>0</v>
      </c>
      <c r="FB98" s="67" t="s">
        <v>1094</v>
      </c>
      <c r="FC98" s="67" t="s">
        <v>1094</v>
      </c>
      <c r="FD98" s="67">
        <v>0</v>
      </c>
      <c r="FE98" s="67">
        <v>0</v>
      </c>
      <c r="FF98" s="67">
        <v>0</v>
      </c>
      <c r="FG98" s="66">
        <v>0</v>
      </c>
      <c r="FH98" s="66">
        <v>0</v>
      </c>
      <c r="FI98" s="66">
        <v>0</v>
      </c>
      <c r="FJ98" s="66">
        <v>0</v>
      </c>
      <c r="FK98" s="66">
        <v>0</v>
      </c>
      <c r="FL98" s="66">
        <v>0</v>
      </c>
      <c r="FM98" s="66">
        <v>0</v>
      </c>
      <c r="FN98" s="66">
        <v>0</v>
      </c>
      <c r="FO98" s="66">
        <v>0</v>
      </c>
      <c r="FP98" s="66">
        <v>0</v>
      </c>
      <c r="FQ98" s="66">
        <v>0</v>
      </c>
      <c r="FR98" s="67" t="s">
        <v>1094</v>
      </c>
      <c r="FS98" s="67" t="s">
        <v>1094</v>
      </c>
      <c r="FT98" s="67">
        <v>0</v>
      </c>
      <c r="FU98" s="67">
        <v>0</v>
      </c>
      <c r="FV98" s="67">
        <v>0</v>
      </c>
      <c r="FW98" s="66">
        <v>0</v>
      </c>
      <c r="FX98" s="66">
        <v>0</v>
      </c>
      <c r="FY98" s="66">
        <v>0</v>
      </c>
      <c r="FZ98" s="66">
        <v>0</v>
      </c>
      <c r="GA98" s="66">
        <v>0</v>
      </c>
      <c r="GB98" s="66">
        <v>0</v>
      </c>
      <c r="GC98" s="66">
        <v>0</v>
      </c>
      <c r="GD98" s="66">
        <v>0</v>
      </c>
      <c r="GE98" s="66">
        <v>0</v>
      </c>
      <c r="GF98" s="66">
        <v>0</v>
      </c>
      <c r="GG98" s="66">
        <v>0</v>
      </c>
      <c r="GH98" s="67" t="s">
        <v>1094</v>
      </c>
      <c r="GI98" s="67" t="s">
        <v>1094</v>
      </c>
      <c r="GJ98" s="67">
        <v>0</v>
      </c>
      <c r="GK98" s="67">
        <v>0</v>
      </c>
      <c r="GL98" s="67">
        <v>0</v>
      </c>
      <c r="GM98" s="66">
        <v>0</v>
      </c>
      <c r="GN98" s="66">
        <v>0</v>
      </c>
      <c r="GO98" s="66">
        <v>0</v>
      </c>
      <c r="GP98" s="66">
        <v>0</v>
      </c>
      <c r="GQ98" s="66">
        <v>0</v>
      </c>
      <c r="GR98" s="66">
        <v>0</v>
      </c>
      <c r="GS98" s="66">
        <v>0</v>
      </c>
      <c r="GT98" s="66">
        <v>0</v>
      </c>
      <c r="GU98" s="66">
        <v>0</v>
      </c>
      <c r="GV98" s="66">
        <v>0</v>
      </c>
      <c r="GW98" s="66">
        <v>0</v>
      </c>
      <c r="GX98" s="67" t="s">
        <v>1094</v>
      </c>
      <c r="GY98" s="67" t="s">
        <v>1094</v>
      </c>
      <c r="GZ98" s="67">
        <v>0</v>
      </c>
      <c r="HA98" s="67">
        <v>0</v>
      </c>
      <c r="HB98" s="67">
        <v>0</v>
      </c>
      <c r="HC98" s="66">
        <v>0</v>
      </c>
      <c r="HD98" s="66">
        <v>0</v>
      </c>
      <c r="HE98" s="66">
        <v>0</v>
      </c>
      <c r="HF98" s="66">
        <v>0</v>
      </c>
      <c r="HG98" s="66">
        <v>0</v>
      </c>
      <c r="HH98" s="66">
        <v>0</v>
      </c>
      <c r="HI98" s="66">
        <v>0</v>
      </c>
      <c r="HJ98" s="66">
        <v>0</v>
      </c>
      <c r="HK98" s="66">
        <v>0</v>
      </c>
      <c r="HL98" s="66">
        <v>0</v>
      </c>
      <c r="HM98" s="66">
        <v>0</v>
      </c>
      <c r="HN98" s="67" t="s">
        <v>1094</v>
      </c>
      <c r="HO98" s="67" t="s">
        <v>1094</v>
      </c>
      <c r="HP98" s="67">
        <v>0</v>
      </c>
      <c r="HQ98" s="67">
        <v>0</v>
      </c>
      <c r="HR98" s="67">
        <v>0</v>
      </c>
      <c r="HS98" s="66">
        <v>0</v>
      </c>
      <c r="HT98" s="66">
        <v>0</v>
      </c>
      <c r="HU98" s="66">
        <v>0</v>
      </c>
      <c r="HV98" s="66">
        <v>0</v>
      </c>
      <c r="HW98" s="66">
        <v>0</v>
      </c>
      <c r="HX98" s="66">
        <v>0</v>
      </c>
      <c r="HY98" s="66">
        <v>0</v>
      </c>
      <c r="HZ98" s="66">
        <v>0</v>
      </c>
      <c r="IA98" s="66">
        <v>0</v>
      </c>
      <c r="IB98" s="66">
        <v>0</v>
      </c>
      <c r="IC98" s="66">
        <v>0</v>
      </c>
      <c r="ID98" s="67" t="s">
        <v>1094</v>
      </c>
      <c r="IE98" s="67" t="s">
        <v>1094</v>
      </c>
      <c r="IF98" s="67">
        <v>0</v>
      </c>
      <c r="IG98" s="67">
        <v>0</v>
      </c>
      <c r="IH98" s="67">
        <v>0</v>
      </c>
    </row>
    <row r="99" spans="1:242" ht="15.75" x14ac:dyDescent="0.25">
      <c r="A99" s="11">
        <v>88</v>
      </c>
      <c r="B99" s="189" t="s">
        <v>240</v>
      </c>
      <c r="C99" s="66">
        <v>18.9361</v>
      </c>
      <c r="D99" s="66">
        <v>0</v>
      </c>
      <c r="E99" s="66">
        <v>96.936099999999996</v>
      </c>
      <c r="F99" s="66">
        <v>18.9361</v>
      </c>
      <c r="G99" s="66">
        <v>78</v>
      </c>
      <c r="H99" s="66">
        <v>18.896012519999999</v>
      </c>
      <c r="I99" s="66">
        <v>0</v>
      </c>
      <c r="J99" s="66">
        <v>96.730887530000004</v>
      </c>
      <c r="K99" s="66">
        <v>18.896012519999999</v>
      </c>
      <c r="L99" s="66">
        <v>0</v>
      </c>
      <c r="M99" s="66">
        <v>77.834875010000005</v>
      </c>
      <c r="N99" s="67">
        <v>99.788301286959822</v>
      </c>
      <c r="O99" s="67">
        <v>99.7883012948718</v>
      </c>
      <c r="P99" s="67">
        <v>80.465378740436336</v>
      </c>
      <c r="Q99" s="66">
        <v>0</v>
      </c>
      <c r="R99" s="67">
        <v>0</v>
      </c>
      <c r="S99" s="66">
        <v>18.9361</v>
      </c>
      <c r="T99" s="66">
        <v>0</v>
      </c>
      <c r="U99" s="66">
        <v>96.936099999999996</v>
      </c>
      <c r="V99" s="66">
        <v>18.9361</v>
      </c>
      <c r="W99" s="66">
        <v>78</v>
      </c>
      <c r="X99" s="66">
        <v>18.896012519999999</v>
      </c>
      <c r="Y99" s="66">
        <v>0</v>
      </c>
      <c r="Z99" s="66">
        <v>96.730887530000004</v>
      </c>
      <c r="AA99" s="66">
        <v>18.896012519999999</v>
      </c>
      <c r="AB99" s="66">
        <v>0</v>
      </c>
      <c r="AC99" s="66">
        <v>77.834875010000005</v>
      </c>
      <c r="AD99" s="67">
        <v>99.788301286959822</v>
      </c>
      <c r="AE99" s="67">
        <v>99.7883012948718</v>
      </c>
      <c r="AF99" s="67">
        <v>80.465378740436336</v>
      </c>
      <c r="AG99" s="67">
        <v>0</v>
      </c>
      <c r="AH99" s="67">
        <v>0</v>
      </c>
      <c r="AI99" s="66">
        <v>0</v>
      </c>
      <c r="AJ99" s="66">
        <v>0</v>
      </c>
      <c r="AK99" s="66">
        <v>0</v>
      </c>
      <c r="AL99" s="66">
        <v>0</v>
      </c>
      <c r="AM99" s="66">
        <v>0</v>
      </c>
      <c r="AN99" s="66">
        <v>0</v>
      </c>
      <c r="AO99" s="66">
        <v>0</v>
      </c>
      <c r="AP99" s="66">
        <v>0</v>
      </c>
      <c r="AQ99" s="66">
        <v>0</v>
      </c>
      <c r="AR99" s="66">
        <v>0</v>
      </c>
      <c r="AS99" s="66">
        <v>0</v>
      </c>
      <c r="AT99" s="67" t="s">
        <v>1094</v>
      </c>
      <c r="AU99" s="67" t="s">
        <v>1094</v>
      </c>
      <c r="AV99" s="67">
        <v>0</v>
      </c>
      <c r="AW99" s="67">
        <v>0</v>
      </c>
      <c r="AX99" s="67">
        <v>0</v>
      </c>
      <c r="AY99" s="66">
        <v>0</v>
      </c>
      <c r="AZ99" s="66">
        <v>0</v>
      </c>
      <c r="BA99" s="66">
        <v>0</v>
      </c>
      <c r="BB99" s="66">
        <v>0</v>
      </c>
      <c r="BC99" s="66">
        <v>0</v>
      </c>
      <c r="BD99" s="66">
        <v>0</v>
      </c>
      <c r="BE99" s="66">
        <v>0</v>
      </c>
      <c r="BF99" s="66">
        <v>0</v>
      </c>
      <c r="BG99" s="66">
        <v>0</v>
      </c>
      <c r="BH99" s="66">
        <v>0</v>
      </c>
      <c r="BI99" s="66">
        <v>0</v>
      </c>
      <c r="BJ99" s="67" t="s">
        <v>1094</v>
      </c>
      <c r="BK99" s="67" t="s">
        <v>1094</v>
      </c>
      <c r="BL99" s="67">
        <v>0</v>
      </c>
      <c r="BM99" s="67">
        <v>0</v>
      </c>
      <c r="BN99" s="67">
        <v>0</v>
      </c>
      <c r="BO99" s="66">
        <v>0</v>
      </c>
      <c r="BP99" s="66">
        <v>0</v>
      </c>
      <c r="BQ99" s="66">
        <v>0</v>
      </c>
      <c r="BR99" s="66">
        <v>0</v>
      </c>
      <c r="BS99" s="66">
        <v>0</v>
      </c>
      <c r="BT99" s="66">
        <v>0</v>
      </c>
      <c r="BU99" s="66">
        <v>0</v>
      </c>
      <c r="BV99" s="66">
        <v>0</v>
      </c>
      <c r="BW99" s="66">
        <v>0</v>
      </c>
      <c r="BX99" s="66">
        <v>0</v>
      </c>
      <c r="BY99" s="66">
        <v>0</v>
      </c>
      <c r="BZ99" s="67" t="s">
        <v>1094</v>
      </c>
      <c r="CA99" s="67" t="s">
        <v>1094</v>
      </c>
      <c r="CB99" s="67">
        <v>0</v>
      </c>
      <c r="CC99" s="67">
        <v>0</v>
      </c>
      <c r="CD99" s="67">
        <v>0</v>
      </c>
      <c r="CE99" s="66">
        <v>0</v>
      </c>
      <c r="CF99" s="66">
        <v>0</v>
      </c>
      <c r="CG99" s="66">
        <v>0</v>
      </c>
      <c r="CH99" s="66">
        <v>0</v>
      </c>
      <c r="CI99" s="66">
        <v>0</v>
      </c>
      <c r="CJ99" s="66">
        <v>0</v>
      </c>
      <c r="CK99" s="66">
        <v>0</v>
      </c>
      <c r="CL99" s="66">
        <v>0</v>
      </c>
      <c r="CM99" s="66">
        <v>0</v>
      </c>
      <c r="CN99" s="66">
        <v>0</v>
      </c>
      <c r="CO99" s="66">
        <v>0</v>
      </c>
      <c r="CP99" s="67" t="s">
        <v>1094</v>
      </c>
      <c r="CQ99" s="67" t="s">
        <v>1094</v>
      </c>
      <c r="CR99" s="67">
        <v>0</v>
      </c>
      <c r="CS99" s="67">
        <v>0</v>
      </c>
      <c r="CT99" s="67">
        <v>0</v>
      </c>
      <c r="CU99" s="66">
        <v>0</v>
      </c>
      <c r="CV99" s="66">
        <v>0</v>
      </c>
      <c r="CW99" s="66">
        <v>0</v>
      </c>
      <c r="CX99" s="66">
        <v>0</v>
      </c>
      <c r="CY99" s="66">
        <v>0</v>
      </c>
      <c r="CZ99" s="66">
        <v>0</v>
      </c>
      <c r="DA99" s="66">
        <v>0</v>
      </c>
      <c r="DB99" s="66">
        <v>0</v>
      </c>
      <c r="DC99" s="66">
        <v>0</v>
      </c>
      <c r="DD99" s="66">
        <v>0</v>
      </c>
      <c r="DE99" s="66">
        <v>0</v>
      </c>
      <c r="DF99" s="67" t="s">
        <v>1094</v>
      </c>
      <c r="DG99" s="67" t="s">
        <v>1094</v>
      </c>
      <c r="DH99" s="67">
        <v>0</v>
      </c>
      <c r="DI99" s="67">
        <v>0</v>
      </c>
      <c r="DJ99" s="67">
        <v>0</v>
      </c>
      <c r="DK99" s="66">
        <v>0</v>
      </c>
      <c r="DL99" s="66">
        <v>0</v>
      </c>
      <c r="DM99" s="66">
        <v>0</v>
      </c>
      <c r="DN99" s="66">
        <v>0</v>
      </c>
      <c r="DO99" s="66">
        <v>0</v>
      </c>
      <c r="DP99" s="66">
        <v>0</v>
      </c>
      <c r="DQ99" s="66">
        <v>0</v>
      </c>
      <c r="DR99" s="66">
        <v>0</v>
      </c>
      <c r="DS99" s="66">
        <v>0</v>
      </c>
      <c r="DT99" s="66">
        <v>0</v>
      </c>
      <c r="DU99" s="66">
        <v>0</v>
      </c>
      <c r="DV99" s="67" t="s">
        <v>1094</v>
      </c>
      <c r="DW99" s="67" t="s">
        <v>1094</v>
      </c>
      <c r="DX99" s="67">
        <v>0</v>
      </c>
      <c r="DY99" s="67">
        <v>0</v>
      </c>
      <c r="DZ99" s="67">
        <v>0</v>
      </c>
      <c r="EA99" s="66">
        <v>0</v>
      </c>
      <c r="EB99" s="66">
        <v>0</v>
      </c>
      <c r="EC99" s="66">
        <v>0</v>
      </c>
      <c r="ED99" s="66">
        <v>0</v>
      </c>
      <c r="EE99" s="66">
        <v>0</v>
      </c>
      <c r="EF99" s="66">
        <v>0</v>
      </c>
      <c r="EG99" s="66">
        <v>0</v>
      </c>
      <c r="EH99" s="66">
        <v>0</v>
      </c>
      <c r="EI99" s="66">
        <v>0</v>
      </c>
      <c r="EJ99" s="66">
        <v>0</v>
      </c>
      <c r="EK99" s="66">
        <v>0</v>
      </c>
      <c r="EL99" s="67" t="s">
        <v>1094</v>
      </c>
      <c r="EM99" s="67" t="s">
        <v>1094</v>
      </c>
      <c r="EN99" s="67">
        <v>0</v>
      </c>
      <c r="EO99" s="67">
        <v>0</v>
      </c>
      <c r="EP99" s="67">
        <v>0</v>
      </c>
      <c r="EQ99" s="66">
        <v>0</v>
      </c>
      <c r="ER99" s="66">
        <v>0</v>
      </c>
      <c r="ES99" s="66">
        <v>0</v>
      </c>
      <c r="ET99" s="66">
        <v>0</v>
      </c>
      <c r="EU99" s="66">
        <v>0</v>
      </c>
      <c r="EV99" s="66">
        <v>0</v>
      </c>
      <c r="EW99" s="66">
        <v>0</v>
      </c>
      <c r="EX99" s="66">
        <v>0</v>
      </c>
      <c r="EY99" s="66">
        <v>0</v>
      </c>
      <c r="EZ99" s="66">
        <v>0</v>
      </c>
      <c r="FA99" s="66">
        <v>0</v>
      </c>
      <c r="FB99" s="67" t="s">
        <v>1094</v>
      </c>
      <c r="FC99" s="67" t="s">
        <v>1094</v>
      </c>
      <c r="FD99" s="67">
        <v>0</v>
      </c>
      <c r="FE99" s="67">
        <v>0</v>
      </c>
      <c r="FF99" s="67">
        <v>0</v>
      </c>
      <c r="FG99" s="66">
        <v>0</v>
      </c>
      <c r="FH99" s="66">
        <v>0</v>
      </c>
      <c r="FI99" s="66">
        <v>0</v>
      </c>
      <c r="FJ99" s="66">
        <v>0</v>
      </c>
      <c r="FK99" s="66">
        <v>0</v>
      </c>
      <c r="FL99" s="66">
        <v>0</v>
      </c>
      <c r="FM99" s="66">
        <v>0</v>
      </c>
      <c r="FN99" s="66">
        <v>0</v>
      </c>
      <c r="FO99" s="66">
        <v>0</v>
      </c>
      <c r="FP99" s="66">
        <v>0</v>
      </c>
      <c r="FQ99" s="66">
        <v>0</v>
      </c>
      <c r="FR99" s="67" t="s">
        <v>1094</v>
      </c>
      <c r="FS99" s="67" t="s">
        <v>1094</v>
      </c>
      <c r="FT99" s="67">
        <v>0</v>
      </c>
      <c r="FU99" s="67">
        <v>0</v>
      </c>
      <c r="FV99" s="67">
        <v>0</v>
      </c>
      <c r="FW99" s="66">
        <v>0</v>
      </c>
      <c r="FX99" s="66">
        <v>0</v>
      </c>
      <c r="FY99" s="66">
        <v>0</v>
      </c>
      <c r="FZ99" s="66">
        <v>0</v>
      </c>
      <c r="GA99" s="66">
        <v>0</v>
      </c>
      <c r="GB99" s="66">
        <v>0</v>
      </c>
      <c r="GC99" s="66">
        <v>0</v>
      </c>
      <c r="GD99" s="66">
        <v>0</v>
      </c>
      <c r="GE99" s="66">
        <v>0</v>
      </c>
      <c r="GF99" s="66">
        <v>0</v>
      </c>
      <c r="GG99" s="66">
        <v>0</v>
      </c>
      <c r="GH99" s="67" t="s">
        <v>1094</v>
      </c>
      <c r="GI99" s="67" t="s">
        <v>1094</v>
      </c>
      <c r="GJ99" s="67">
        <v>0</v>
      </c>
      <c r="GK99" s="67">
        <v>0</v>
      </c>
      <c r="GL99" s="67">
        <v>0</v>
      </c>
      <c r="GM99" s="66">
        <v>0</v>
      </c>
      <c r="GN99" s="66">
        <v>0</v>
      </c>
      <c r="GO99" s="66">
        <v>0</v>
      </c>
      <c r="GP99" s="66">
        <v>0</v>
      </c>
      <c r="GQ99" s="66">
        <v>0</v>
      </c>
      <c r="GR99" s="66">
        <v>0</v>
      </c>
      <c r="GS99" s="66">
        <v>0</v>
      </c>
      <c r="GT99" s="66">
        <v>0</v>
      </c>
      <c r="GU99" s="66">
        <v>0</v>
      </c>
      <c r="GV99" s="66">
        <v>0</v>
      </c>
      <c r="GW99" s="66">
        <v>0</v>
      </c>
      <c r="GX99" s="67" t="s">
        <v>1094</v>
      </c>
      <c r="GY99" s="67" t="s">
        <v>1094</v>
      </c>
      <c r="GZ99" s="67">
        <v>0</v>
      </c>
      <c r="HA99" s="67">
        <v>0</v>
      </c>
      <c r="HB99" s="67">
        <v>0</v>
      </c>
      <c r="HC99" s="66">
        <v>0</v>
      </c>
      <c r="HD99" s="66">
        <v>0</v>
      </c>
      <c r="HE99" s="66">
        <v>0</v>
      </c>
      <c r="HF99" s="66">
        <v>0</v>
      </c>
      <c r="HG99" s="66">
        <v>0</v>
      </c>
      <c r="HH99" s="66">
        <v>0</v>
      </c>
      <c r="HI99" s="66">
        <v>0</v>
      </c>
      <c r="HJ99" s="66">
        <v>0</v>
      </c>
      <c r="HK99" s="66">
        <v>0</v>
      </c>
      <c r="HL99" s="66">
        <v>0</v>
      </c>
      <c r="HM99" s="66">
        <v>0</v>
      </c>
      <c r="HN99" s="67" t="s">
        <v>1094</v>
      </c>
      <c r="HO99" s="67" t="s">
        <v>1094</v>
      </c>
      <c r="HP99" s="67">
        <v>0</v>
      </c>
      <c r="HQ99" s="67">
        <v>0</v>
      </c>
      <c r="HR99" s="67">
        <v>0</v>
      </c>
      <c r="HS99" s="66">
        <v>0</v>
      </c>
      <c r="HT99" s="66">
        <v>0</v>
      </c>
      <c r="HU99" s="66">
        <v>0</v>
      </c>
      <c r="HV99" s="66">
        <v>0</v>
      </c>
      <c r="HW99" s="66">
        <v>0</v>
      </c>
      <c r="HX99" s="66">
        <v>0</v>
      </c>
      <c r="HY99" s="66">
        <v>0</v>
      </c>
      <c r="HZ99" s="66">
        <v>0</v>
      </c>
      <c r="IA99" s="66">
        <v>0</v>
      </c>
      <c r="IB99" s="66">
        <v>0</v>
      </c>
      <c r="IC99" s="66">
        <v>0</v>
      </c>
      <c r="ID99" s="67" t="s">
        <v>1094</v>
      </c>
      <c r="IE99" s="67" t="s">
        <v>1094</v>
      </c>
      <c r="IF99" s="67">
        <v>0</v>
      </c>
      <c r="IG99" s="67">
        <v>0</v>
      </c>
      <c r="IH99" s="67">
        <v>0</v>
      </c>
    </row>
    <row r="100" spans="1:242" ht="15.75" x14ac:dyDescent="0.25">
      <c r="A100" s="11">
        <v>89</v>
      </c>
      <c r="B100" s="189" t="s">
        <v>243</v>
      </c>
      <c r="C100" s="66">
        <v>20.129000000000001</v>
      </c>
      <c r="D100" s="66">
        <v>0</v>
      </c>
      <c r="E100" s="66">
        <v>46.878899999999994</v>
      </c>
      <c r="F100" s="66">
        <v>20.129000000000001</v>
      </c>
      <c r="G100" s="66">
        <v>26.7499</v>
      </c>
      <c r="H100" s="66">
        <v>19.386070319999998</v>
      </c>
      <c r="I100" s="66">
        <v>0</v>
      </c>
      <c r="J100" s="66">
        <v>45.817571789999995</v>
      </c>
      <c r="K100" s="66">
        <v>19.386070319999998</v>
      </c>
      <c r="L100" s="66">
        <v>0</v>
      </c>
      <c r="M100" s="66">
        <v>26.431501470000001</v>
      </c>
      <c r="N100" s="67">
        <v>96.309157533906287</v>
      </c>
      <c r="O100" s="67">
        <v>98.809720671852986</v>
      </c>
      <c r="P100" s="67">
        <v>57.688568899168203</v>
      </c>
      <c r="Q100" s="66">
        <v>0</v>
      </c>
      <c r="R100" s="67">
        <v>0</v>
      </c>
      <c r="S100" s="66">
        <v>9.4558999999999997</v>
      </c>
      <c r="T100" s="66">
        <v>0</v>
      </c>
      <c r="U100" s="66">
        <v>30.655899999999999</v>
      </c>
      <c r="V100" s="66">
        <v>9.4558999999999997</v>
      </c>
      <c r="W100" s="66">
        <v>21.2</v>
      </c>
      <c r="X100" s="66">
        <v>9.4558999999999997</v>
      </c>
      <c r="Y100" s="66">
        <v>0</v>
      </c>
      <c r="Z100" s="66">
        <v>30.655899909999999</v>
      </c>
      <c r="AA100" s="66">
        <v>9.4558999999999997</v>
      </c>
      <c r="AB100" s="66">
        <v>0</v>
      </c>
      <c r="AC100" s="66">
        <v>21.199999909999999</v>
      </c>
      <c r="AD100" s="67">
        <v>100</v>
      </c>
      <c r="AE100" s="67">
        <v>99.999999575471705</v>
      </c>
      <c r="AF100" s="67">
        <v>69.154714010155445</v>
      </c>
      <c r="AG100" s="67">
        <v>0</v>
      </c>
      <c r="AH100" s="67">
        <v>0</v>
      </c>
      <c r="AI100" s="66">
        <v>0</v>
      </c>
      <c r="AJ100" s="66">
        <v>0</v>
      </c>
      <c r="AK100" s="66">
        <v>0</v>
      </c>
      <c r="AL100" s="66">
        <v>0</v>
      </c>
      <c r="AM100" s="66">
        <v>0</v>
      </c>
      <c r="AN100" s="66">
        <v>0</v>
      </c>
      <c r="AO100" s="66">
        <v>0</v>
      </c>
      <c r="AP100" s="66">
        <v>0</v>
      </c>
      <c r="AQ100" s="66">
        <v>0</v>
      </c>
      <c r="AR100" s="66">
        <v>0</v>
      </c>
      <c r="AS100" s="66">
        <v>0</v>
      </c>
      <c r="AT100" s="67" t="s">
        <v>1094</v>
      </c>
      <c r="AU100" s="67" t="s">
        <v>1094</v>
      </c>
      <c r="AV100" s="67">
        <v>0</v>
      </c>
      <c r="AW100" s="67">
        <v>0</v>
      </c>
      <c r="AX100" s="67">
        <v>0</v>
      </c>
      <c r="AY100" s="66">
        <v>0</v>
      </c>
      <c r="AZ100" s="66">
        <v>0</v>
      </c>
      <c r="BA100" s="66">
        <v>0</v>
      </c>
      <c r="BB100" s="66">
        <v>0</v>
      </c>
      <c r="BC100" s="66">
        <v>0</v>
      </c>
      <c r="BD100" s="66">
        <v>0</v>
      </c>
      <c r="BE100" s="66">
        <v>0</v>
      </c>
      <c r="BF100" s="66">
        <v>0</v>
      </c>
      <c r="BG100" s="66">
        <v>0</v>
      </c>
      <c r="BH100" s="66">
        <v>0</v>
      </c>
      <c r="BI100" s="66">
        <v>0</v>
      </c>
      <c r="BJ100" s="67" t="s">
        <v>1094</v>
      </c>
      <c r="BK100" s="67" t="s">
        <v>1094</v>
      </c>
      <c r="BL100" s="67">
        <v>0</v>
      </c>
      <c r="BM100" s="67">
        <v>0</v>
      </c>
      <c r="BN100" s="67">
        <v>0</v>
      </c>
      <c r="BO100" s="66">
        <v>0</v>
      </c>
      <c r="BP100" s="66">
        <v>0</v>
      </c>
      <c r="BQ100" s="66">
        <v>0</v>
      </c>
      <c r="BR100" s="66">
        <v>0</v>
      </c>
      <c r="BS100" s="66">
        <v>0</v>
      </c>
      <c r="BT100" s="66">
        <v>0</v>
      </c>
      <c r="BU100" s="66">
        <v>0</v>
      </c>
      <c r="BV100" s="66">
        <v>0</v>
      </c>
      <c r="BW100" s="66">
        <v>0</v>
      </c>
      <c r="BX100" s="66">
        <v>0</v>
      </c>
      <c r="BY100" s="66">
        <v>0</v>
      </c>
      <c r="BZ100" s="67" t="s">
        <v>1094</v>
      </c>
      <c r="CA100" s="67" t="s">
        <v>1094</v>
      </c>
      <c r="CB100" s="67">
        <v>0</v>
      </c>
      <c r="CC100" s="67">
        <v>0</v>
      </c>
      <c r="CD100" s="67">
        <v>0</v>
      </c>
      <c r="CE100" s="66">
        <v>0</v>
      </c>
      <c r="CF100" s="66">
        <v>0</v>
      </c>
      <c r="CG100" s="66">
        <v>0</v>
      </c>
      <c r="CH100" s="66">
        <v>0</v>
      </c>
      <c r="CI100" s="66">
        <v>0</v>
      </c>
      <c r="CJ100" s="66">
        <v>0</v>
      </c>
      <c r="CK100" s="66">
        <v>0</v>
      </c>
      <c r="CL100" s="66">
        <v>0</v>
      </c>
      <c r="CM100" s="66">
        <v>0</v>
      </c>
      <c r="CN100" s="66">
        <v>0</v>
      </c>
      <c r="CO100" s="66">
        <v>0</v>
      </c>
      <c r="CP100" s="67" t="s">
        <v>1094</v>
      </c>
      <c r="CQ100" s="67" t="s">
        <v>1094</v>
      </c>
      <c r="CR100" s="67">
        <v>0</v>
      </c>
      <c r="CS100" s="67">
        <v>0</v>
      </c>
      <c r="CT100" s="67">
        <v>0</v>
      </c>
      <c r="CU100" s="66">
        <v>0</v>
      </c>
      <c r="CV100" s="66">
        <v>0</v>
      </c>
      <c r="CW100" s="66">
        <v>0</v>
      </c>
      <c r="CX100" s="66">
        <v>0</v>
      </c>
      <c r="CY100" s="66">
        <v>0</v>
      </c>
      <c r="CZ100" s="66">
        <v>0</v>
      </c>
      <c r="DA100" s="66">
        <v>0</v>
      </c>
      <c r="DB100" s="66">
        <v>0</v>
      </c>
      <c r="DC100" s="66">
        <v>0</v>
      </c>
      <c r="DD100" s="66">
        <v>0</v>
      </c>
      <c r="DE100" s="66">
        <v>0</v>
      </c>
      <c r="DF100" s="67" t="s">
        <v>1094</v>
      </c>
      <c r="DG100" s="67" t="s">
        <v>1094</v>
      </c>
      <c r="DH100" s="67">
        <v>0</v>
      </c>
      <c r="DI100" s="67">
        <v>0</v>
      </c>
      <c r="DJ100" s="67">
        <v>0</v>
      </c>
      <c r="DK100" s="66">
        <v>0</v>
      </c>
      <c r="DL100" s="66">
        <v>0</v>
      </c>
      <c r="DM100" s="66">
        <v>0</v>
      </c>
      <c r="DN100" s="66">
        <v>0</v>
      </c>
      <c r="DO100" s="66">
        <v>0</v>
      </c>
      <c r="DP100" s="66">
        <v>0</v>
      </c>
      <c r="DQ100" s="66">
        <v>0</v>
      </c>
      <c r="DR100" s="66">
        <v>0</v>
      </c>
      <c r="DS100" s="66">
        <v>0</v>
      </c>
      <c r="DT100" s="66">
        <v>0</v>
      </c>
      <c r="DU100" s="66">
        <v>0</v>
      </c>
      <c r="DV100" s="67" t="s">
        <v>1094</v>
      </c>
      <c r="DW100" s="67" t="s">
        <v>1094</v>
      </c>
      <c r="DX100" s="67">
        <v>0</v>
      </c>
      <c r="DY100" s="67">
        <v>0</v>
      </c>
      <c r="DZ100" s="67">
        <v>0</v>
      </c>
      <c r="EA100" s="66">
        <v>0</v>
      </c>
      <c r="EB100" s="66">
        <v>0</v>
      </c>
      <c r="EC100" s="66">
        <v>0</v>
      </c>
      <c r="ED100" s="66">
        <v>0</v>
      </c>
      <c r="EE100" s="66">
        <v>0</v>
      </c>
      <c r="EF100" s="66">
        <v>0</v>
      </c>
      <c r="EG100" s="66">
        <v>0</v>
      </c>
      <c r="EH100" s="66">
        <v>0</v>
      </c>
      <c r="EI100" s="66">
        <v>0</v>
      </c>
      <c r="EJ100" s="66">
        <v>0</v>
      </c>
      <c r="EK100" s="66">
        <v>0</v>
      </c>
      <c r="EL100" s="67" t="s">
        <v>1094</v>
      </c>
      <c r="EM100" s="67" t="s">
        <v>1094</v>
      </c>
      <c r="EN100" s="67">
        <v>0</v>
      </c>
      <c r="EO100" s="67">
        <v>0</v>
      </c>
      <c r="EP100" s="67">
        <v>0</v>
      </c>
      <c r="EQ100" s="66">
        <v>0</v>
      </c>
      <c r="ER100" s="66">
        <v>0</v>
      </c>
      <c r="ES100" s="66">
        <v>0</v>
      </c>
      <c r="ET100" s="66">
        <v>0</v>
      </c>
      <c r="EU100" s="66">
        <v>0</v>
      </c>
      <c r="EV100" s="66">
        <v>0</v>
      </c>
      <c r="EW100" s="66">
        <v>0</v>
      </c>
      <c r="EX100" s="66">
        <v>0</v>
      </c>
      <c r="EY100" s="66">
        <v>0</v>
      </c>
      <c r="EZ100" s="66">
        <v>0</v>
      </c>
      <c r="FA100" s="66">
        <v>0</v>
      </c>
      <c r="FB100" s="67" t="s">
        <v>1094</v>
      </c>
      <c r="FC100" s="67" t="s">
        <v>1094</v>
      </c>
      <c r="FD100" s="67">
        <v>0</v>
      </c>
      <c r="FE100" s="67">
        <v>0</v>
      </c>
      <c r="FF100" s="67">
        <v>0</v>
      </c>
      <c r="FG100" s="66">
        <v>0</v>
      </c>
      <c r="FH100" s="66">
        <v>0</v>
      </c>
      <c r="FI100" s="66">
        <v>0</v>
      </c>
      <c r="FJ100" s="66">
        <v>0</v>
      </c>
      <c r="FK100" s="66">
        <v>0</v>
      </c>
      <c r="FL100" s="66">
        <v>0</v>
      </c>
      <c r="FM100" s="66">
        <v>0</v>
      </c>
      <c r="FN100" s="66">
        <v>0</v>
      </c>
      <c r="FO100" s="66">
        <v>0</v>
      </c>
      <c r="FP100" s="66">
        <v>0</v>
      </c>
      <c r="FQ100" s="66">
        <v>0</v>
      </c>
      <c r="FR100" s="67" t="s">
        <v>1094</v>
      </c>
      <c r="FS100" s="67" t="s">
        <v>1094</v>
      </c>
      <c r="FT100" s="67">
        <v>0</v>
      </c>
      <c r="FU100" s="67">
        <v>0</v>
      </c>
      <c r="FV100" s="67">
        <v>0</v>
      </c>
      <c r="FW100" s="66">
        <v>10.376099999999999</v>
      </c>
      <c r="FX100" s="66">
        <v>0</v>
      </c>
      <c r="FY100" s="66">
        <v>14.823</v>
      </c>
      <c r="FZ100" s="66">
        <v>10.376099999999999</v>
      </c>
      <c r="GA100" s="66">
        <v>4.4469000000000003</v>
      </c>
      <c r="GB100" s="66">
        <v>9.6331703199999996</v>
      </c>
      <c r="GC100" s="66">
        <v>0</v>
      </c>
      <c r="GD100" s="66">
        <v>13.761671880000002</v>
      </c>
      <c r="GE100" s="66">
        <v>9.6331703199999996</v>
      </c>
      <c r="GF100" s="66">
        <v>0</v>
      </c>
      <c r="GG100" s="66">
        <v>4.1285015600000001</v>
      </c>
      <c r="GH100" s="67">
        <v>92.839991133470193</v>
      </c>
      <c r="GI100" s="67">
        <v>92.839991004969747</v>
      </c>
      <c r="GJ100" s="67">
        <v>29.999999970933761</v>
      </c>
      <c r="GK100" s="67">
        <v>0</v>
      </c>
      <c r="GL100" s="67">
        <v>0</v>
      </c>
      <c r="GM100" s="66">
        <v>0</v>
      </c>
      <c r="GN100" s="66">
        <v>0</v>
      </c>
      <c r="GO100" s="66">
        <v>0</v>
      </c>
      <c r="GP100" s="66">
        <v>0</v>
      </c>
      <c r="GQ100" s="66">
        <v>0</v>
      </c>
      <c r="GR100" s="66">
        <v>0</v>
      </c>
      <c r="GS100" s="66">
        <v>0</v>
      </c>
      <c r="GT100" s="66">
        <v>0</v>
      </c>
      <c r="GU100" s="66">
        <v>0</v>
      </c>
      <c r="GV100" s="66">
        <v>0</v>
      </c>
      <c r="GW100" s="66">
        <v>0</v>
      </c>
      <c r="GX100" s="67" t="s">
        <v>1094</v>
      </c>
      <c r="GY100" s="67" t="s">
        <v>1094</v>
      </c>
      <c r="GZ100" s="67">
        <v>0</v>
      </c>
      <c r="HA100" s="67">
        <v>0</v>
      </c>
      <c r="HB100" s="67">
        <v>0</v>
      </c>
      <c r="HC100" s="66">
        <v>0.29699999999999999</v>
      </c>
      <c r="HD100" s="66">
        <v>0</v>
      </c>
      <c r="HE100" s="66">
        <v>1.4</v>
      </c>
      <c r="HF100" s="66">
        <v>0.29699999999999999</v>
      </c>
      <c r="HG100" s="66">
        <v>1.103</v>
      </c>
      <c r="HH100" s="66">
        <v>0.29699999999999999</v>
      </c>
      <c r="HI100" s="66">
        <v>0</v>
      </c>
      <c r="HJ100" s="66">
        <v>1.4</v>
      </c>
      <c r="HK100" s="66">
        <v>0.29699999999999999</v>
      </c>
      <c r="HL100" s="66">
        <v>0</v>
      </c>
      <c r="HM100" s="66">
        <v>1.103</v>
      </c>
      <c r="HN100" s="67">
        <v>100</v>
      </c>
      <c r="HO100" s="67">
        <v>100</v>
      </c>
      <c r="HP100" s="67">
        <v>78.785714285714292</v>
      </c>
      <c r="HQ100" s="67">
        <v>0</v>
      </c>
      <c r="HR100" s="67">
        <v>0</v>
      </c>
      <c r="HS100" s="66">
        <v>0</v>
      </c>
      <c r="HT100" s="66">
        <v>0</v>
      </c>
      <c r="HU100" s="66">
        <v>0</v>
      </c>
      <c r="HV100" s="66">
        <v>0</v>
      </c>
      <c r="HW100" s="66">
        <v>0</v>
      </c>
      <c r="HX100" s="66">
        <v>0</v>
      </c>
      <c r="HY100" s="66">
        <v>0</v>
      </c>
      <c r="HZ100" s="66">
        <v>0</v>
      </c>
      <c r="IA100" s="66">
        <v>0</v>
      </c>
      <c r="IB100" s="66">
        <v>0</v>
      </c>
      <c r="IC100" s="66">
        <v>0</v>
      </c>
      <c r="ID100" s="67" t="s">
        <v>1094</v>
      </c>
      <c r="IE100" s="67" t="s">
        <v>1094</v>
      </c>
      <c r="IF100" s="67">
        <v>0</v>
      </c>
      <c r="IG100" s="67">
        <v>0</v>
      </c>
      <c r="IH100" s="67">
        <v>0</v>
      </c>
    </row>
    <row r="101" spans="1:242" ht="15.75" x14ac:dyDescent="0.25">
      <c r="A101" s="11">
        <v>90</v>
      </c>
      <c r="B101" s="189" t="s">
        <v>246</v>
      </c>
      <c r="C101" s="66">
        <v>13.4763</v>
      </c>
      <c r="D101" s="66">
        <v>0</v>
      </c>
      <c r="E101" s="66">
        <v>32.839300000000001</v>
      </c>
      <c r="F101" s="66">
        <v>13.4763</v>
      </c>
      <c r="G101" s="66">
        <v>19.363</v>
      </c>
      <c r="H101" s="66">
        <v>13.4763</v>
      </c>
      <c r="I101" s="66">
        <v>0.58529246999999995</v>
      </c>
      <c r="J101" s="66">
        <v>32.839300000000001</v>
      </c>
      <c r="K101" s="66">
        <v>13.4763</v>
      </c>
      <c r="L101" s="66">
        <v>0</v>
      </c>
      <c r="M101" s="66">
        <v>19.363</v>
      </c>
      <c r="N101" s="67">
        <v>100</v>
      </c>
      <c r="O101" s="67">
        <v>100</v>
      </c>
      <c r="P101" s="67">
        <v>58.962888977536053</v>
      </c>
      <c r="Q101" s="66">
        <v>0.58529246999999995</v>
      </c>
      <c r="R101" s="67">
        <v>6.6613381477509392E-16</v>
      </c>
      <c r="S101" s="66">
        <v>12.0448</v>
      </c>
      <c r="T101" s="66">
        <v>0</v>
      </c>
      <c r="U101" s="66">
        <v>27.5198</v>
      </c>
      <c r="V101" s="66">
        <v>12.0448</v>
      </c>
      <c r="W101" s="66">
        <v>15.475</v>
      </c>
      <c r="X101" s="66">
        <v>12.0448</v>
      </c>
      <c r="Y101" s="66">
        <v>0.38986765000000001</v>
      </c>
      <c r="Z101" s="66">
        <v>27.5198</v>
      </c>
      <c r="AA101" s="66">
        <v>12.0448</v>
      </c>
      <c r="AB101" s="66">
        <v>0</v>
      </c>
      <c r="AC101" s="66">
        <v>15.475</v>
      </c>
      <c r="AD101" s="67">
        <v>100</v>
      </c>
      <c r="AE101" s="67">
        <v>100</v>
      </c>
      <c r="AF101" s="67">
        <v>56.232240059884155</v>
      </c>
      <c r="AG101" s="67">
        <v>0.38986765000000001</v>
      </c>
      <c r="AH101" s="67">
        <v>-6.6613381477509392E-16</v>
      </c>
      <c r="AI101" s="66">
        <v>0</v>
      </c>
      <c r="AJ101" s="66">
        <v>0</v>
      </c>
      <c r="AK101" s="66">
        <v>0</v>
      </c>
      <c r="AL101" s="66">
        <v>0</v>
      </c>
      <c r="AM101" s="66">
        <v>0</v>
      </c>
      <c r="AN101" s="66">
        <v>0</v>
      </c>
      <c r="AO101" s="66">
        <v>0.19542482</v>
      </c>
      <c r="AP101" s="66">
        <v>0</v>
      </c>
      <c r="AQ101" s="66">
        <v>0</v>
      </c>
      <c r="AR101" s="66">
        <v>0</v>
      </c>
      <c r="AS101" s="66">
        <v>0</v>
      </c>
      <c r="AT101" s="67" t="s">
        <v>1094</v>
      </c>
      <c r="AU101" s="67" t="s">
        <v>1094</v>
      </c>
      <c r="AV101" s="67">
        <v>0</v>
      </c>
      <c r="AW101" s="67">
        <v>0.19542482</v>
      </c>
      <c r="AX101" s="67">
        <v>0</v>
      </c>
      <c r="AY101" s="66">
        <v>0</v>
      </c>
      <c r="AZ101" s="66">
        <v>0</v>
      </c>
      <c r="BA101" s="66">
        <v>0</v>
      </c>
      <c r="BB101" s="66">
        <v>0</v>
      </c>
      <c r="BC101" s="66">
        <v>0</v>
      </c>
      <c r="BD101" s="66">
        <v>0</v>
      </c>
      <c r="BE101" s="66">
        <v>0</v>
      </c>
      <c r="BF101" s="66">
        <v>0</v>
      </c>
      <c r="BG101" s="66">
        <v>0</v>
      </c>
      <c r="BH101" s="66">
        <v>0</v>
      </c>
      <c r="BI101" s="66">
        <v>0</v>
      </c>
      <c r="BJ101" s="67" t="s">
        <v>1094</v>
      </c>
      <c r="BK101" s="67" t="s">
        <v>1094</v>
      </c>
      <c r="BL101" s="67">
        <v>0</v>
      </c>
      <c r="BM101" s="67">
        <v>0</v>
      </c>
      <c r="BN101" s="67">
        <v>0</v>
      </c>
      <c r="BO101" s="66">
        <v>0</v>
      </c>
      <c r="BP101" s="66">
        <v>0</v>
      </c>
      <c r="BQ101" s="66">
        <v>0</v>
      </c>
      <c r="BR101" s="66">
        <v>0</v>
      </c>
      <c r="BS101" s="66">
        <v>0</v>
      </c>
      <c r="BT101" s="66">
        <v>0</v>
      </c>
      <c r="BU101" s="66">
        <v>0</v>
      </c>
      <c r="BV101" s="66">
        <v>0</v>
      </c>
      <c r="BW101" s="66">
        <v>0</v>
      </c>
      <c r="BX101" s="66">
        <v>0</v>
      </c>
      <c r="BY101" s="66">
        <v>0</v>
      </c>
      <c r="BZ101" s="67" t="s">
        <v>1094</v>
      </c>
      <c r="CA101" s="67" t="s">
        <v>1094</v>
      </c>
      <c r="CB101" s="67">
        <v>0</v>
      </c>
      <c r="CC101" s="67">
        <v>0</v>
      </c>
      <c r="CD101" s="67">
        <v>0</v>
      </c>
      <c r="CE101" s="66">
        <v>0</v>
      </c>
      <c r="CF101" s="66">
        <v>0</v>
      </c>
      <c r="CG101" s="66">
        <v>0</v>
      </c>
      <c r="CH101" s="66">
        <v>0</v>
      </c>
      <c r="CI101" s="66">
        <v>0</v>
      </c>
      <c r="CJ101" s="66">
        <v>0</v>
      </c>
      <c r="CK101" s="66">
        <v>0</v>
      </c>
      <c r="CL101" s="66">
        <v>0</v>
      </c>
      <c r="CM101" s="66">
        <v>0</v>
      </c>
      <c r="CN101" s="66">
        <v>0</v>
      </c>
      <c r="CO101" s="66">
        <v>0</v>
      </c>
      <c r="CP101" s="67" t="s">
        <v>1094</v>
      </c>
      <c r="CQ101" s="67" t="s">
        <v>1094</v>
      </c>
      <c r="CR101" s="67">
        <v>0</v>
      </c>
      <c r="CS101" s="67">
        <v>0</v>
      </c>
      <c r="CT101" s="67">
        <v>0</v>
      </c>
      <c r="CU101" s="66">
        <v>0</v>
      </c>
      <c r="CV101" s="66">
        <v>0</v>
      </c>
      <c r="CW101" s="66">
        <v>0</v>
      </c>
      <c r="CX101" s="66">
        <v>0</v>
      </c>
      <c r="CY101" s="66">
        <v>0</v>
      </c>
      <c r="CZ101" s="66">
        <v>0</v>
      </c>
      <c r="DA101" s="66">
        <v>0</v>
      </c>
      <c r="DB101" s="66">
        <v>0</v>
      </c>
      <c r="DC101" s="66">
        <v>0</v>
      </c>
      <c r="DD101" s="66">
        <v>0</v>
      </c>
      <c r="DE101" s="66">
        <v>0</v>
      </c>
      <c r="DF101" s="67" t="s">
        <v>1094</v>
      </c>
      <c r="DG101" s="67" t="s">
        <v>1094</v>
      </c>
      <c r="DH101" s="67">
        <v>0</v>
      </c>
      <c r="DI101" s="67">
        <v>0</v>
      </c>
      <c r="DJ101" s="67">
        <v>0</v>
      </c>
      <c r="DK101" s="66">
        <v>0</v>
      </c>
      <c r="DL101" s="66">
        <v>0</v>
      </c>
      <c r="DM101" s="66">
        <v>0</v>
      </c>
      <c r="DN101" s="66">
        <v>0</v>
      </c>
      <c r="DO101" s="66">
        <v>0</v>
      </c>
      <c r="DP101" s="66">
        <v>0</v>
      </c>
      <c r="DQ101" s="66">
        <v>0</v>
      </c>
      <c r="DR101" s="66">
        <v>0</v>
      </c>
      <c r="DS101" s="66">
        <v>0</v>
      </c>
      <c r="DT101" s="66">
        <v>0</v>
      </c>
      <c r="DU101" s="66">
        <v>0</v>
      </c>
      <c r="DV101" s="67" t="s">
        <v>1094</v>
      </c>
      <c r="DW101" s="67" t="s">
        <v>1094</v>
      </c>
      <c r="DX101" s="67">
        <v>0</v>
      </c>
      <c r="DY101" s="67">
        <v>0</v>
      </c>
      <c r="DZ101" s="67">
        <v>0</v>
      </c>
      <c r="EA101" s="66">
        <v>0</v>
      </c>
      <c r="EB101" s="66">
        <v>0</v>
      </c>
      <c r="EC101" s="66">
        <v>0</v>
      </c>
      <c r="ED101" s="66">
        <v>0</v>
      </c>
      <c r="EE101" s="66">
        <v>0</v>
      </c>
      <c r="EF101" s="66">
        <v>0</v>
      </c>
      <c r="EG101" s="66">
        <v>0</v>
      </c>
      <c r="EH101" s="66">
        <v>0</v>
      </c>
      <c r="EI101" s="66">
        <v>0</v>
      </c>
      <c r="EJ101" s="66">
        <v>0</v>
      </c>
      <c r="EK101" s="66">
        <v>0</v>
      </c>
      <c r="EL101" s="67" t="s">
        <v>1094</v>
      </c>
      <c r="EM101" s="67" t="s">
        <v>1094</v>
      </c>
      <c r="EN101" s="67">
        <v>0</v>
      </c>
      <c r="EO101" s="67">
        <v>0</v>
      </c>
      <c r="EP101" s="67">
        <v>0</v>
      </c>
      <c r="EQ101" s="66">
        <v>0.94899999999999995</v>
      </c>
      <c r="ER101" s="66">
        <v>0</v>
      </c>
      <c r="ES101" s="66">
        <v>2.9489999999999998</v>
      </c>
      <c r="ET101" s="66">
        <v>0.94899999999999995</v>
      </c>
      <c r="EU101" s="66">
        <v>2</v>
      </c>
      <c r="EV101" s="66">
        <v>0.94899999999999995</v>
      </c>
      <c r="EW101" s="66">
        <v>0</v>
      </c>
      <c r="EX101" s="66">
        <v>2.9489999999999998</v>
      </c>
      <c r="EY101" s="66">
        <v>0.94899999999999995</v>
      </c>
      <c r="EZ101" s="66">
        <v>0</v>
      </c>
      <c r="FA101" s="66">
        <v>2</v>
      </c>
      <c r="FB101" s="67">
        <v>100</v>
      </c>
      <c r="FC101" s="67">
        <v>100</v>
      </c>
      <c r="FD101" s="67">
        <v>67.819599864360796</v>
      </c>
      <c r="FE101" s="67">
        <v>0</v>
      </c>
      <c r="FF101" s="67">
        <v>0</v>
      </c>
      <c r="FG101" s="66">
        <v>0</v>
      </c>
      <c r="FH101" s="66">
        <v>0</v>
      </c>
      <c r="FI101" s="66">
        <v>0</v>
      </c>
      <c r="FJ101" s="66">
        <v>0</v>
      </c>
      <c r="FK101" s="66">
        <v>0</v>
      </c>
      <c r="FL101" s="66">
        <v>0</v>
      </c>
      <c r="FM101" s="66">
        <v>0</v>
      </c>
      <c r="FN101" s="66">
        <v>0</v>
      </c>
      <c r="FO101" s="66">
        <v>0</v>
      </c>
      <c r="FP101" s="66">
        <v>0</v>
      </c>
      <c r="FQ101" s="66">
        <v>0</v>
      </c>
      <c r="FR101" s="67" t="s">
        <v>1094</v>
      </c>
      <c r="FS101" s="67" t="s">
        <v>1094</v>
      </c>
      <c r="FT101" s="67">
        <v>0</v>
      </c>
      <c r="FU101" s="67">
        <v>0</v>
      </c>
      <c r="FV101" s="67">
        <v>0</v>
      </c>
      <c r="FW101" s="66">
        <v>0</v>
      </c>
      <c r="FX101" s="66">
        <v>0</v>
      </c>
      <c r="FY101" s="66">
        <v>0</v>
      </c>
      <c r="FZ101" s="66">
        <v>0</v>
      </c>
      <c r="GA101" s="66">
        <v>0</v>
      </c>
      <c r="GB101" s="66">
        <v>0</v>
      </c>
      <c r="GC101" s="66">
        <v>0</v>
      </c>
      <c r="GD101" s="66">
        <v>0</v>
      </c>
      <c r="GE101" s="66">
        <v>0</v>
      </c>
      <c r="GF101" s="66">
        <v>0</v>
      </c>
      <c r="GG101" s="66">
        <v>0</v>
      </c>
      <c r="GH101" s="67" t="s">
        <v>1094</v>
      </c>
      <c r="GI101" s="67" t="s">
        <v>1094</v>
      </c>
      <c r="GJ101" s="67">
        <v>0</v>
      </c>
      <c r="GK101" s="67">
        <v>0</v>
      </c>
      <c r="GL101" s="67">
        <v>0</v>
      </c>
      <c r="GM101" s="66">
        <v>0</v>
      </c>
      <c r="GN101" s="66">
        <v>0</v>
      </c>
      <c r="GO101" s="66">
        <v>0</v>
      </c>
      <c r="GP101" s="66">
        <v>0</v>
      </c>
      <c r="GQ101" s="66">
        <v>0</v>
      </c>
      <c r="GR101" s="66">
        <v>0</v>
      </c>
      <c r="GS101" s="66">
        <v>0</v>
      </c>
      <c r="GT101" s="66">
        <v>0</v>
      </c>
      <c r="GU101" s="66">
        <v>0</v>
      </c>
      <c r="GV101" s="66">
        <v>0</v>
      </c>
      <c r="GW101" s="66">
        <v>0</v>
      </c>
      <c r="GX101" s="67" t="s">
        <v>1094</v>
      </c>
      <c r="GY101" s="67" t="s">
        <v>1094</v>
      </c>
      <c r="GZ101" s="67">
        <v>0</v>
      </c>
      <c r="HA101" s="67">
        <v>0</v>
      </c>
      <c r="HB101" s="67">
        <v>0</v>
      </c>
      <c r="HC101" s="66">
        <v>0.48249999999999998</v>
      </c>
      <c r="HD101" s="66">
        <v>0</v>
      </c>
      <c r="HE101" s="66">
        <v>2.3704999999999998</v>
      </c>
      <c r="HF101" s="66">
        <v>0.48249999999999998</v>
      </c>
      <c r="HG101" s="66">
        <v>1.8879999999999999</v>
      </c>
      <c r="HH101" s="66">
        <v>0.48249999999999998</v>
      </c>
      <c r="HI101" s="66">
        <v>0</v>
      </c>
      <c r="HJ101" s="66">
        <v>2.3704999999999998</v>
      </c>
      <c r="HK101" s="66">
        <v>0.48249999999999998</v>
      </c>
      <c r="HL101" s="66">
        <v>0</v>
      </c>
      <c r="HM101" s="66">
        <v>1.8879999999999999</v>
      </c>
      <c r="HN101" s="67">
        <v>100</v>
      </c>
      <c r="HO101" s="67">
        <v>100</v>
      </c>
      <c r="HP101" s="67">
        <v>79.645644378823036</v>
      </c>
      <c r="HQ101" s="67">
        <v>0</v>
      </c>
      <c r="HR101" s="67">
        <v>0</v>
      </c>
      <c r="HS101" s="66">
        <v>0</v>
      </c>
      <c r="HT101" s="66">
        <v>0</v>
      </c>
      <c r="HU101" s="66">
        <v>0</v>
      </c>
      <c r="HV101" s="66">
        <v>0</v>
      </c>
      <c r="HW101" s="66">
        <v>0</v>
      </c>
      <c r="HX101" s="66">
        <v>0</v>
      </c>
      <c r="HY101" s="66">
        <v>0</v>
      </c>
      <c r="HZ101" s="66">
        <v>0</v>
      </c>
      <c r="IA101" s="66">
        <v>0</v>
      </c>
      <c r="IB101" s="66">
        <v>0</v>
      </c>
      <c r="IC101" s="66">
        <v>0</v>
      </c>
      <c r="ID101" s="67" t="s">
        <v>1094</v>
      </c>
      <c r="IE101" s="67" t="s">
        <v>1094</v>
      </c>
      <c r="IF101" s="67">
        <v>0</v>
      </c>
      <c r="IG101" s="67">
        <v>0</v>
      </c>
      <c r="IH101" s="67">
        <v>0</v>
      </c>
    </row>
    <row r="102" spans="1:242" ht="15.75" x14ac:dyDescent="0.25">
      <c r="A102" s="11">
        <v>91</v>
      </c>
      <c r="B102" s="189" t="s">
        <v>249</v>
      </c>
      <c r="C102" s="66">
        <v>0</v>
      </c>
      <c r="D102" s="66">
        <v>0</v>
      </c>
      <c r="E102" s="66">
        <v>0</v>
      </c>
      <c r="F102" s="66">
        <v>0</v>
      </c>
      <c r="G102" s="66">
        <v>0</v>
      </c>
      <c r="H102" s="66">
        <v>0</v>
      </c>
      <c r="I102" s="66">
        <v>0</v>
      </c>
      <c r="J102" s="66">
        <v>0</v>
      </c>
      <c r="K102" s="66">
        <v>0</v>
      </c>
      <c r="L102" s="66">
        <v>0</v>
      </c>
      <c r="M102" s="66">
        <v>0</v>
      </c>
      <c r="N102" s="67" t="s">
        <v>1094</v>
      </c>
      <c r="O102" s="67" t="s">
        <v>1094</v>
      </c>
      <c r="P102" s="67">
        <v>0</v>
      </c>
      <c r="Q102" s="66">
        <v>0</v>
      </c>
      <c r="R102" s="67">
        <v>0</v>
      </c>
      <c r="S102" s="66">
        <v>0</v>
      </c>
      <c r="T102" s="66">
        <v>0</v>
      </c>
      <c r="U102" s="66">
        <v>0</v>
      </c>
      <c r="V102" s="66">
        <v>0</v>
      </c>
      <c r="W102" s="66">
        <v>0</v>
      </c>
      <c r="X102" s="66">
        <v>0</v>
      </c>
      <c r="Y102" s="66">
        <v>0</v>
      </c>
      <c r="Z102" s="66">
        <v>0</v>
      </c>
      <c r="AA102" s="66">
        <v>0</v>
      </c>
      <c r="AB102" s="66">
        <v>0</v>
      </c>
      <c r="AC102" s="66">
        <v>0</v>
      </c>
      <c r="AD102" s="67" t="s">
        <v>1094</v>
      </c>
      <c r="AE102" s="67" t="s">
        <v>1094</v>
      </c>
      <c r="AF102" s="67">
        <v>0</v>
      </c>
      <c r="AG102" s="67">
        <v>0</v>
      </c>
      <c r="AH102" s="67">
        <v>0</v>
      </c>
      <c r="AI102" s="66">
        <v>0</v>
      </c>
      <c r="AJ102" s="66">
        <v>0</v>
      </c>
      <c r="AK102" s="66">
        <v>0</v>
      </c>
      <c r="AL102" s="66">
        <v>0</v>
      </c>
      <c r="AM102" s="66">
        <v>0</v>
      </c>
      <c r="AN102" s="66">
        <v>0</v>
      </c>
      <c r="AO102" s="66">
        <v>0</v>
      </c>
      <c r="AP102" s="66">
        <v>0</v>
      </c>
      <c r="AQ102" s="66">
        <v>0</v>
      </c>
      <c r="AR102" s="66">
        <v>0</v>
      </c>
      <c r="AS102" s="66">
        <v>0</v>
      </c>
      <c r="AT102" s="67" t="s">
        <v>1094</v>
      </c>
      <c r="AU102" s="67" t="s">
        <v>1094</v>
      </c>
      <c r="AV102" s="67">
        <v>0</v>
      </c>
      <c r="AW102" s="67">
        <v>0</v>
      </c>
      <c r="AX102" s="67">
        <v>0</v>
      </c>
      <c r="AY102" s="66">
        <v>0</v>
      </c>
      <c r="AZ102" s="66">
        <v>0</v>
      </c>
      <c r="BA102" s="66">
        <v>0</v>
      </c>
      <c r="BB102" s="66">
        <v>0</v>
      </c>
      <c r="BC102" s="66">
        <v>0</v>
      </c>
      <c r="BD102" s="66">
        <v>0</v>
      </c>
      <c r="BE102" s="66">
        <v>0</v>
      </c>
      <c r="BF102" s="66">
        <v>0</v>
      </c>
      <c r="BG102" s="66">
        <v>0</v>
      </c>
      <c r="BH102" s="66">
        <v>0</v>
      </c>
      <c r="BI102" s="66">
        <v>0</v>
      </c>
      <c r="BJ102" s="67" t="s">
        <v>1094</v>
      </c>
      <c r="BK102" s="67" t="s">
        <v>1094</v>
      </c>
      <c r="BL102" s="67">
        <v>0</v>
      </c>
      <c r="BM102" s="67">
        <v>0</v>
      </c>
      <c r="BN102" s="67">
        <v>0</v>
      </c>
      <c r="BO102" s="66">
        <v>0</v>
      </c>
      <c r="BP102" s="66">
        <v>0</v>
      </c>
      <c r="BQ102" s="66">
        <v>0</v>
      </c>
      <c r="BR102" s="66">
        <v>0</v>
      </c>
      <c r="BS102" s="66">
        <v>0</v>
      </c>
      <c r="BT102" s="66">
        <v>0</v>
      </c>
      <c r="BU102" s="66">
        <v>0</v>
      </c>
      <c r="BV102" s="66">
        <v>0</v>
      </c>
      <c r="BW102" s="66">
        <v>0</v>
      </c>
      <c r="BX102" s="66">
        <v>0</v>
      </c>
      <c r="BY102" s="66">
        <v>0</v>
      </c>
      <c r="BZ102" s="67" t="s">
        <v>1094</v>
      </c>
      <c r="CA102" s="67" t="s">
        <v>1094</v>
      </c>
      <c r="CB102" s="67">
        <v>0</v>
      </c>
      <c r="CC102" s="67">
        <v>0</v>
      </c>
      <c r="CD102" s="67">
        <v>0</v>
      </c>
      <c r="CE102" s="66">
        <v>0</v>
      </c>
      <c r="CF102" s="66">
        <v>0</v>
      </c>
      <c r="CG102" s="66">
        <v>0</v>
      </c>
      <c r="CH102" s="66">
        <v>0</v>
      </c>
      <c r="CI102" s="66">
        <v>0</v>
      </c>
      <c r="CJ102" s="66">
        <v>0</v>
      </c>
      <c r="CK102" s="66">
        <v>0</v>
      </c>
      <c r="CL102" s="66">
        <v>0</v>
      </c>
      <c r="CM102" s="66">
        <v>0</v>
      </c>
      <c r="CN102" s="66">
        <v>0</v>
      </c>
      <c r="CO102" s="66">
        <v>0</v>
      </c>
      <c r="CP102" s="67" t="s">
        <v>1094</v>
      </c>
      <c r="CQ102" s="67" t="s">
        <v>1094</v>
      </c>
      <c r="CR102" s="67">
        <v>0</v>
      </c>
      <c r="CS102" s="67">
        <v>0</v>
      </c>
      <c r="CT102" s="67">
        <v>0</v>
      </c>
      <c r="CU102" s="66">
        <v>0</v>
      </c>
      <c r="CV102" s="66">
        <v>0</v>
      </c>
      <c r="CW102" s="66">
        <v>0</v>
      </c>
      <c r="CX102" s="66">
        <v>0</v>
      </c>
      <c r="CY102" s="66">
        <v>0</v>
      </c>
      <c r="CZ102" s="66">
        <v>0</v>
      </c>
      <c r="DA102" s="66">
        <v>0</v>
      </c>
      <c r="DB102" s="66">
        <v>0</v>
      </c>
      <c r="DC102" s="66">
        <v>0</v>
      </c>
      <c r="DD102" s="66">
        <v>0</v>
      </c>
      <c r="DE102" s="66">
        <v>0</v>
      </c>
      <c r="DF102" s="67" t="s">
        <v>1094</v>
      </c>
      <c r="DG102" s="67" t="s">
        <v>1094</v>
      </c>
      <c r="DH102" s="67">
        <v>0</v>
      </c>
      <c r="DI102" s="67">
        <v>0</v>
      </c>
      <c r="DJ102" s="67">
        <v>0</v>
      </c>
      <c r="DK102" s="66">
        <v>0</v>
      </c>
      <c r="DL102" s="66">
        <v>0</v>
      </c>
      <c r="DM102" s="66">
        <v>0</v>
      </c>
      <c r="DN102" s="66">
        <v>0</v>
      </c>
      <c r="DO102" s="66">
        <v>0</v>
      </c>
      <c r="DP102" s="66">
        <v>0</v>
      </c>
      <c r="DQ102" s="66">
        <v>0</v>
      </c>
      <c r="DR102" s="66">
        <v>0</v>
      </c>
      <c r="DS102" s="66">
        <v>0</v>
      </c>
      <c r="DT102" s="66">
        <v>0</v>
      </c>
      <c r="DU102" s="66">
        <v>0</v>
      </c>
      <c r="DV102" s="67" t="s">
        <v>1094</v>
      </c>
      <c r="DW102" s="67" t="s">
        <v>1094</v>
      </c>
      <c r="DX102" s="67">
        <v>0</v>
      </c>
      <c r="DY102" s="67">
        <v>0</v>
      </c>
      <c r="DZ102" s="67">
        <v>0</v>
      </c>
      <c r="EA102" s="66">
        <v>0</v>
      </c>
      <c r="EB102" s="66">
        <v>0</v>
      </c>
      <c r="EC102" s="66">
        <v>0</v>
      </c>
      <c r="ED102" s="66">
        <v>0</v>
      </c>
      <c r="EE102" s="66">
        <v>0</v>
      </c>
      <c r="EF102" s="66">
        <v>0</v>
      </c>
      <c r="EG102" s="66">
        <v>0</v>
      </c>
      <c r="EH102" s="66">
        <v>0</v>
      </c>
      <c r="EI102" s="66">
        <v>0</v>
      </c>
      <c r="EJ102" s="66">
        <v>0</v>
      </c>
      <c r="EK102" s="66">
        <v>0</v>
      </c>
      <c r="EL102" s="67" t="s">
        <v>1094</v>
      </c>
      <c r="EM102" s="67" t="s">
        <v>1094</v>
      </c>
      <c r="EN102" s="67">
        <v>0</v>
      </c>
      <c r="EO102" s="67">
        <v>0</v>
      </c>
      <c r="EP102" s="67">
        <v>0</v>
      </c>
      <c r="EQ102" s="66">
        <v>0</v>
      </c>
      <c r="ER102" s="66">
        <v>0</v>
      </c>
      <c r="ES102" s="66">
        <v>0</v>
      </c>
      <c r="ET102" s="66">
        <v>0</v>
      </c>
      <c r="EU102" s="66">
        <v>0</v>
      </c>
      <c r="EV102" s="66">
        <v>0</v>
      </c>
      <c r="EW102" s="66">
        <v>0</v>
      </c>
      <c r="EX102" s="66">
        <v>0</v>
      </c>
      <c r="EY102" s="66">
        <v>0</v>
      </c>
      <c r="EZ102" s="66">
        <v>0</v>
      </c>
      <c r="FA102" s="66">
        <v>0</v>
      </c>
      <c r="FB102" s="67" t="s">
        <v>1094</v>
      </c>
      <c r="FC102" s="67" t="s">
        <v>1094</v>
      </c>
      <c r="FD102" s="67">
        <v>0</v>
      </c>
      <c r="FE102" s="67">
        <v>0</v>
      </c>
      <c r="FF102" s="67">
        <v>0</v>
      </c>
      <c r="FG102" s="66">
        <v>0</v>
      </c>
      <c r="FH102" s="66">
        <v>0</v>
      </c>
      <c r="FI102" s="66">
        <v>0</v>
      </c>
      <c r="FJ102" s="66">
        <v>0</v>
      </c>
      <c r="FK102" s="66">
        <v>0</v>
      </c>
      <c r="FL102" s="66">
        <v>0</v>
      </c>
      <c r="FM102" s="66">
        <v>0</v>
      </c>
      <c r="FN102" s="66">
        <v>0</v>
      </c>
      <c r="FO102" s="66">
        <v>0</v>
      </c>
      <c r="FP102" s="66">
        <v>0</v>
      </c>
      <c r="FQ102" s="66">
        <v>0</v>
      </c>
      <c r="FR102" s="67" t="s">
        <v>1094</v>
      </c>
      <c r="FS102" s="67" t="s">
        <v>1094</v>
      </c>
      <c r="FT102" s="67">
        <v>0</v>
      </c>
      <c r="FU102" s="67">
        <v>0</v>
      </c>
      <c r="FV102" s="67">
        <v>0</v>
      </c>
      <c r="FW102" s="66">
        <v>0</v>
      </c>
      <c r="FX102" s="66">
        <v>0</v>
      </c>
      <c r="FY102" s="66">
        <v>0</v>
      </c>
      <c r="FZ102" s="66">
        <v>0</v>
      </c>
      <c r="GA102" s="66">
        <v>0</v>
      </c>
      <c r="GB102" s="66">
        <v>0</v>
      </c>
      <c r="GC102" s="66">
        <v>0</v>
      </c>
      <c r="GD102" s="66">
        <v>0</v>
      </c>
      <c r="GE102" s="66">
        <v>0</v>
      </c>
      <c r="GF102" s="66">
        <v>0</v>
      </c>
      <c r="GG102" s="66">
        <v>0</v>
      </c>
      <c r="GH102" s="67" t="s">
        <v>1094</v>
      </c>
      <c r="GI102" s="67" t="s">
        <v>1094</v>
      </c>
      <c r="GJ102" s="67">
        <v>0</v>
      </c>
      <c r="GK102" s="67">
        <v>0</v>
      </c>
      <c r="GL102" s="67">
        <v>0</v>
      </c>
      <c r="GM102" s="66">
        <v>0</v>
      </c>
      <c r="GN102" s="66">
        <v>0</v>
      </c>
      <c r="GO102" s="66">
        <v>0</v>
      </c>
      <c r="GP102" s="66">
        <v>0</v>
      </c>
      <c r="GQ102" s="66">
        <v>0</v>
      </c>
      <c r="GR102" s="66">
        <v>0</v>
      </c>
      <c r="GS102" s="66">
        <v>0</v>
      </c>
      <c r="GT102" s="66">
        <v>0</v>
      </c>
      <c r="GU102" s="66">
        <v>0</v>
      </c>
      <c r="GV102" s="66">
        <v>0</v>
      </c>
      <c r="GW102" s="66">
        <v>0</v>
      </c>
      <c r="GX102" s="67" t="s">
        <v>1094</v>
      </c>
      <c r="GY102" s="67" t="s">
        <v>1094</v>
      </c>
      <c r="GZ102" s="67">
        <v>0</v>
      </c>
      <c r="HA102" s="67">
        <v>0</v>
      </c>
      <c r="HB102" s="67">
        <v>0</v>
      </c>
      <c r="HC102" s="66">
        <v>0</v>
      </c>
      <c r="HD102" s="66">
        <v>0</v>
      </c>
      <c r="HE102" s="66">
        <v>0</v>
      </c>
      <c r="HF102" s="66">
        <v>0</v>
      </c>
      <c r="HG102" s="66">
        <v>0</v>
      </c>
      <c r="HH102" s="66">
        <v>0</v>
      </c>
      <c r="HI102" s="66">
        <v>0</v>
      </c>
      <c r="HJ102" s="66">
        <v>0</v>
      </c>
      <c r="HK102" s="66">
        <v>0</v>
      </c>
      <c r="HL102" s="66">
        <v>0</v>
      </c>
      <c r="HM102" s="66">
        <v>0</v>
      </c>
      <c r="HN102" s="67" t="s">
        <v>1094</v>
      </c>
      <c r="HO102" s="67" t="s">
        <v>1094</v>
      </c>
      <c r="HP102" s="67">
        <v>0</v>
      </c>
      <c r="HQ102" s="67">
        <v>0</v>
      </c>
      <c r="HR102" s="67">
        <v>0</v>
      </c>
      <c r="HS102" s="66">
        <v>0</v>
      </c>
      <c r="HT102" s="66">
        <v>0</v>
      </c>
      <c r="HU102" s="66">
        <v>0</v>
      </c>
      <c r="HV102" s="66">
        <v>0</v>
      </c>
      <c r="HW102" s="66">
        <v>0</v>
      </c>
      <c r="HX102" s="66">
        <v>0</v>
      </c>
      <c r="HY102" s="66">
        <v>0</v>
      </c>
      <c r="HZ102" s="66">
        <v>0</v>
      </c>
      <c r="IA102" s="66">
        <v>0</v>
      </c>
      <c r="IB102" s="66">
        <v>0</v>
      </c>
      <c r="IC102" s="66">
        <v>0</v>
      </c>
      <c r="ID102" s="67" t="s">
        <v>1094</v>
      </c>
      <c r="IE102" s="67" t="s">
        <v>1094</v>
      </c>
      <c r="IF102" s="67">
        <v>0</v>
      </c>
      <c r="IG102" s="67">
        <v>0</v>
      </c>
      <c r="IH102" s="67">
        <v>0</v>
      </c>
    </row>
    <row r="103" spans="1:242" ht="15.75" x14ac:dyDescent="0.25">
      <c r="A103" s="11">
        <v>92</v>
      </c>
      <c r="B103" s="189" t="s">
        <v>252</v>
      </c>
      <c r="C103" s="66">
        <v>32.127099999999999</v>
      </c>
      <c r="D103" s="66">
        <v>0</v>
      </c>
      <c r="E103" s="66">
        <v>82.127099999999999</v>
      </c>
      <c r="F103" s="66">
        <v>32.127099999999999</v>
      </c>
      <c r="G103" s="66">
        <v>50</v>
      </c>
      <c r="H103" s="66">
        <v>0</v>
      </c>
      <c r="I103" s="66">
        <v>0</v>
      </c>
      <c r="J103" s="66">
        <v>0</v>
      </c>
      <c r="K103" s="66">
        <v>0</v>
      </c>
      <c r="L103" s="66">
        <v>0</v>
      </c>
      <c r="M103" s="66">
        <v>0</v>
      </c>
      <c r="N103" s="67">
        <v>0</v>
      </c>
      <c r="O103" s="67">
        <v>0</v>
      </c>
      <c r="P103" s="67">
        <v>0</v>
      </c>
      <c r="Q103" s="66">
        <v>0</v>
      </c>
      <c r="R103" s="67">
        <v>0</v>
      </c>
      <c r="S103" s="66">
        <v>0</v>
      </c>
      <c r="T103" s="66">
        <v>0</v>
      </c>
      <c r="U103" s="66">
        <v>0</v>
      </c>
      <c r="V103" s="66">
        <v>0</v>
      </c>
      <c r="W103" s="66">
        <v>0</v>
      </c>
      <c r="X103" s="66">
        <v>0</v>
      </c>
      <c r="Y103" s="66">
        <v>0</v>
      </c>
      <c r="Z103" s="66">
        <v>0</v>
      </c>
      <c r="AA103" s="66">
        <v>0</v>
      </c>
      <c r="AB103" s="66">
        <v>0</v>
      </c>
      <c r="AC103" s="66">
        <v>0</v>
      </c>
      <c r="AD103" s="67" t="s">
        <v>1094</v>
      </c>
      <c r="AE103" s="67" t="s">
        <v>1094</v>
      </c>
      <c r="AF103" s="67">
        <v>0</v>
      </c>
      <c r="AG103" s="67">
        <v>0</v>
      </c>
      <c r="AH103" s="67">
        <v>0</v>
      </c>
      <c r="AI103" s="66">
        <v>0</v>
      </c>
      <c r="AJ103" s="66">
        <v>0</v>
      </c>
      <c r="AK103" s="66">
        <v>0</v>
      </c>
      <c r="AL103" s="66">
        <v>0</v>
      </c>
      <c r="AM103" s="66">
        <v>0</v>
      </c>
      <c r="AN103" s="66">
        <v>0</v>
      </c>
      <c r="AO103" s="66">
        <v>0</v>
      </c>
      <c r="AP103" s="66">
        <v>0</v>
      </c>
      <c r="AQ103" s="66">
        <v>0</v>
      </c>
      <c r="AR103" s="66">
        <v>0</v>
      </c>
      <c r="AS103" s="66">
        <v>0</v>
      </c>
      <c r="AT103" s="67" t="s">
        <v>1094</v>
      </c>
      <c r="AU103" s="67" t="s">
        <v>1094</v>
      </c>
      <c r="AV103" s="67">
        <v>0</v>
      </c>
      <c r="AW103" s="67">
        <v>0</v>
      </c>
      <c r="AX103" s="67">
        <v>0</v>
      </c>
      <c r="AY103" s="66">
        <v>0</v>
      </c>
      <c r="AZ103" s="66">
        <v>0</v>
      </c>
      <c r="BA103" s="66">
        <v>0</v>
      </c>
      <c r="BB103" s="66">
        <v>0</v>
      </c>
      <c r="BC103" s="66">
        <v>0</v>
      </c>
      <c r="BD103" s="66">
        <v>0</v>
      </c>
      <c r="BE103" s="66">
        <v>0</v>
      </c>
      <c r="BF103" s="66">
        <v>0</v>
      </c>
      <c r="BG103" s="66">
        <v>0</v>
      </c>
      <c r="BH103" s="66">
        <v>0</v>
      </c>
      <c r="BI103" s="66">
        <v>0</v>
      </c>
      <c r="BJ103" s="67" t="s">
        <v>1094</v>
      </c>
      <c r="BK103" s="67" t="s">
        <v>1094</v>
      </c>
      <c r="BL103" s="67">
        <v>0</v>
      </c>
      <c r="BM103" s="67">
        <v>0</v>
      </c>
      <c r="BN103" s="67">
        <v>0</v>
      </c>
      <c r="BO103" s="66">
        <v>0</v>
      </c>
      <c r="BP103" s="66">
        <v>0</v>
      </c>
      <c r="BQ103" s="66">
        <v>0</v>
      </c>
      <c r="BR103" s="66">
        <v>0</v>
      </c>
      <c r="BS103" s="66">
        <v>0</v>
      </c>
      <c r="BT103" s="66">
        <v>0</v>
      </c>
      <c r="BU103" s="66">
        <v>0</v>
      </c>
      <c r="BV103" s="66">
        <v>0</v>
      </c>
      <c r="BW103" s="66">
        <v>0</v>
      </c>
      <c r="BX103" s="66">
        <v>0</v>
      </c>
      <c r="BY103" s="66">
        <v>0</v>
      </c>
      <c r="BZ103" s="67" t="s">
        <v>1094</v>
      </c>
      <c r="CA103" s="67" t="s">
        <v>1094</v>
      </c>
      <c r="CB103" s="67">
        <v>0</v>
      </c>
      <c r="CC103" s="67">
        <v>0</v>
      </c>
      <c r="CD103" s="67">
        <v>0</v>
      </c>
      <c r="CE103" s="66">
        <v>0</v>
      </c>
      <c r="CF103" s="66">
        <v>0</v>
      </c>
      <c r="CG103" s="66">
        <v>0</v>
      </c>
      <c r="CH103" s="66">
        <v>0</v>
      </c>
      <c r="CI103" s="66">
        <v>0</v>
      </c>
      <c r="CJ103" s="66">
        <v>0</v>
      </c>
      <c r="CK103" s="66">
        <v>0</v>
      </c>
      <c r="CL103" s="66">
        <v>0</v>
      </c>
      <c r="CM103" s="66">
        <v>0</v>
      </c>
      <c r="CN103" s="66">
        <v>0</v>
      </c>
      <c r="CO103" s="66">
        <v>0</v>
      </c>
      <c r="CP103" s="67" t="s">
        <v>1094</v>
      </c>
      <c r="CQ103" s="67" t="s">
        <v>1094</v>
      </c>
      <c r="CR103" s="67">
        <v>0</v>
      </c>
      <c r="CS103" s="67">
        <v>0</v>
      </c>
      <c r="CT103" s="67">
        <v>0</v>
      </c>
      <c r="CU103" s="66">
        <v>0</v>
      </c>
      <c r="CV103" s="66">
        <v>0</v>
      </c>
      <c r="CW103" s="66">
        <v>0</v>
      </c>
      <c r="CX103" s="66">
        <v>0</v>
      </c>
      <c r="CY103" s="66">
        <v>0</v>
      </c>
      <c r="CZ103" s="66">
        <v>0</v>
      </c>
      <c r="DA103" s="66">
        <v>0</v>
      </c>
      <c r="DB103" s="66">
        <v>0</v>
      </c>
      <c r="DC103" s="66">
        <v>0</v>
      </c>
      <c r="DD103" s="66">
        <v>0</v>
      </c>
      <c r="DE103" s="66">
        <v>0</v>
      </c>
      <c r="DF103" s="67" t="s">
        <v>1094</v>
      </c>
      <c r="DG103" s="67" t="s">
        <v>1094</v>
      </c>
      <c r="DH103" s="67">
        <v>0</v>
      </c>
      <c r="DI103" s="67">
        <v>0</v>
      </c>
      <c r="DJ103" s="67">
        <v>0</v>
      </c>
      <c r="DK103" s="66">
        <v>0</v>
      </c>
      <c r="DL103" s="66">
        <v>0</v>
      </c>
      <c r="DM103" s="66">
        <v>0</v>
      </c>
      <c r="DN103" s="66">
        <v>0</v>
      </c>
      <c r="DO103" s="66">
        <v>0</v>
      </c>
      <c r="DP103" s="66">
        <v>0</v>
      </c>
      <c r="DQ103" s="66">
        <v>0</v>
      </c>
      <c r="DR103" s="66">
        <v>0</v>
      </c>
      <c r="DS103" s="66">
        <v>0</v>
      </c>
      <c r="DT103" s="66">
        <v>0</v>
      </c>
      <c r="DU103" s="66">
        <v>0</v>
      </c>
      <c r="DV103" s="67" t="s">
        <v>1094</v>
      </c>
      <c r="DW103" s="67" t="s">
        <v>1094</v>
      </c>
      <c r="DX103" s="67">
        <v>0</v>
      </c>
      <c r="DY103" s="67">
        <v>0</v>
      </c>
      <c r="DZ103" s="67">
        <v>0</v>
      </c>
      <c r="EA103" s="66">
        <v>0</v>
      </c>
      <c r="EB103" s="66">
        <v>0</v>
      </c>
      <c r="EC103" s="66">
        <v>0</v>
      </c>
      <c r="ED103" s="66">
        <v>0</v>
      </c>
      <c r="EE103" s="66">
        <v>0</v>
      </c>
      <c r="EF103" s="66">
        <v>0</v>
      </c>
      <c r="EG103" s="66">
        <v>0</v>
      </c>
      <c r="EH103" s="66">
        <v>0</v>
      </c>
      <c r="EI103" s="66">
        <v>0</v>
      </c>
      <c r="EJ103" s="66">
        <v>0</v>
      </c>
      <c r="EK103" s="66">
        <v>0</v>
      </c>
      <c r="EL103" s="67" t="s">
        <v>1094</v>
      </c>
      <c r="EM103" s="67" t="s">
        <v>1094</v>
      </c>
      <c r="EN103" s="67">
        <v>0</v>
      </c>
      <c r="EO103" s="67">
        <v>0</v>
      </c>
      <c r="EP103" s="67">
        <v>0</v>
      </c>
      <c r="EQ103" s="66">
        <v>0</v>
      </c>
      <c r="ER103" s="66">
        <v>0</v>
      </c>
      <c r="ES103" s="66">
        <v>0</v>
      </c>
      <c r="ET103" s="66">
        <v>0</v>
      </c>
      <c r="EU103" s="66">
        <v>0</v>
      </c>
      <c r="EV103" s="66">
        <v>0</v>
      </c>
      <c r="EW103" s="66">
        <v>0</v>
      </c>
      <c r="EX103" s="66">
        <v>0</v>
      </c>
      <c r="EY103" s="66">
        <v>0</v>
      </c>
      <c r="EZ103" s="66">
        <v>0</v>
      </c>
      <c r="FA103" s="66">
        <v>0</v>
      </c>
      <c r="FB103" s="67" t="s">
        <v>1094</v>
      </c>
      <c r="FC103" s="67" t="s">
        <v>1094</v>
      </c>
      <c r="FD103" s="67">
        <v>0</v>
      </c>
      <c r="FE103" s="67">
        <v>0</v>
      </c>
      <c r="FF103" s="67">
        <v>0</v>
      </c>
      <c r="FG103" s="66">
        <v>0</v>
      </c>
      <c r="FH103" s="66">
        <v>0</v>
      </c>
      <c r="FI103" s="66">
        <v>0</v>
      </c>
      <c r="FJ103" s="66">
        <v>0</v>
      </c>
      <c r="FK103" s="66">
        <v>0</v>
      </c>
      <c r="FL103" s="66">
        <v>0</v>
      </c>
      <c r="FM103" s="66">
        <v>0</v>
      </c>
      <c r="FN103" s="66">
        <v>0</v>
      </c>
      <c r="FO103" s="66">
        <v>0</v>
      </c>
      <c r="FP103" s="66">
        <v>0</v>
      </c>
      <c r="FQ103" s="66">
        <v>0</v>
      </c>
      <c r="FR103" s="67" t="s">
        <v>1094</v>
      </c>
      <c r="FS103" s="67" t="s">
        <v>1094</v>
      </c>
      <c r="FT103" s="67">
        <v>0</v>
      </c>
      <c r="FU103" s="67">
        <v>0</v>
      </c>
      <c r="FV103" s="67">
        <v>0</v>
      </c>
      <c r="FW103" s="66">
        <v>32.127099999999999</v>
      </c>
      <c r="FX103" s="66">
        <v>0</v>
      </c>
      <c r="FY103" s="66">
        <v>82.127099999999999</v>
      </c>
      <c r="FZ103" s="66">
        <v>32.127099999999999</v>
      </c>
      <c r="GA103" s="66">
        <v>50</v>
      </c>
      <c r="GB103" s="66">
        <v>0</v>
      </c>
      <c r="GC103" s="66">
        <v>0</v>
      </c>
      <c r="GD103" s="66">
        <v>0</v>
      </c>
      <c r="GE103" s="66">
        <v>0</v>
      </c>
      <c r="GF103" s="66">
        <v>0</v>
      </c>
      <c r="GG103" s="66">
        <v>0</v>
      </c>
      <c r="GH103" s="67">
        <v>0</v>
      </c>
      <c r="GI103" s="67">
        <v>0</v>
      </c>
      <c r="GJ103" s="67">
        <v>0</v>
      </c>
      <c r="GK103" s="67">
        <v>0</v>
      </c>
      <c r="GL103" s="67">
        <v>0</v>
      </c>
      <c r="GM103" s="66">
        <v>0</v>
      </c>
      <c r="GN103" s="66">
        <v>0</v>
      </c>
      <c r="GO103" s="66">
        <v>0</v>
      </c>
      <c r="GP103" s="66">
        <v>0</v>
      </c>
      <c r="GQ103" s="66">
        <v>0</v>
      </c>
      <c r="GR103" s="66">
        <v>0</v>
      </c>
      <c r="GS103" s="66">
        <v>0</v>
      </c>
      <c r="GT103" s="66">
        <v>0</v>
      </c>
      <c r="GU103" s="66">
        <v>0</v>
      </c>
      <c r="GV103" s="66">
        <v>0</v>
      </c>
      <c r="GW103" s="66">
        <v>0</v>
      </c>
      <c r="GX103" s="67" t="s">
        <v>1094</v>
      </c>
      <c r="GY103" s="67" t="s">
        <v>1094</v>
      </c>
      <c r="GZ103" s="67">
        <v>0</v>
      </c>
      <c r="HA103" s="67">
        <v>0</v>
      </c>
      <c r="HB103" s="67">
        <v>0</v>
      </c>
      <c r="HC103" s="66">
        <v>0</v>
      </c>
      <c r="HD103" s="66">
        <v>0</v>
      </c>
      <c r="HE103" s="66">
        <v>0</v>
      </c>
      <c r="HF103" s="66">
        <v>0</v>
      </c>
      <c r="HG103" s="66">
        <v>0</v>
      </c>
      <c r="HH103" s="66">
        <v>0</v>
      </c>
      <c r="HI103" s="66">
        <v>0</v>
      </c>
      <c r="HJ103" s="66">
        <v>0</v>
      </c>
      <c r="HK103" s="66">
        <v>0</v>
      </c>
      <c r="HL103" s="66">
        <v>0</v>
      </c>
      <c r="HM103" s="66">
        <v>0</v>
      </c>
      <c r="HN103" s="67" t="s">
        <v>1094</v>
      </c>
      <c r="HO103" s="67" t="s">
        <v>1094</v>
      </c>
      <c r="HP103" s="67">
        <v>0</v>
      </c>
      <c r="HQ103" s="67">
        <v>0</v>
      </c>
      <c r="HR103" s="67">
        <v>0</v>
      </c>
      <c r="HS103" s="66">
        <v>0</v>
      </c>
      <c r="HT103" s="66">
        <v>0</v>
      </c>
      <c r="HU103" s="66">
        <v>0</v>
      </c>
      <c r="HV103" s="66">
        <v>0</v>
      </c>
      <c r="HW103" s="66">
        <v>0</v>
      </c>
      <c r="HX103" s="66">
        <v>0</v>
      </c>
      <c r="HY103" s="66">
        <v>0</v>
      </c>
      <c r="HZ103" s="66">
        <v>0</v>
      </c>
      <c r="IA103" s="66">
        <v>0</v>
      </c>
      <c r="IB103" s="66">
        <v>0</v>
      </c>
      <c r="IC103" s="66">
        <v>0</v>
      </c>
      <c r="ID103" s="67" t="s">
        <v>1094</v>
      </c>
      <c r="IE103" s="67" t="s">
        <v>1094</v>
      </c>
      <c r="IF103" s="67">
        <v>0</v>
      </c>
      <c r="IG103" s="67">
        <v>0</v>
      </c>
      <c r="IH103" s="67">
        <v>0</v>
      </c>
    </row>
    <row r="104" spans="1:242" ht="15.75" x14ac:dyDescent="0.25">
      <c r="A104" s="11">
        <v>93</v>
      </c>
      <c r="B104" s="189" t="s">
        <v>254</v>
      </c>
      <c r="C104" s="66">
        <v>0.80590000000000006</v>
      </c>
      <c r="D104" s="66">
        <v>0</v>
      </c>
      <c r="E104" s="66">
        <v>3.4054601600000001</v>
      </c>
      <c r="F104" s="66">
        <v>0.80590000000000006</v>
      </c>
      <c r="G104" s="66">
        <v>2.5995601599999998</v>
      </c>
      <c r="H104" s="66">
        <v>0.80589332999999996</v>
      </c>
      <c r="I104" s="66">
        <v>0.25775990999999998</v>
      </c>
      <c r="J104" s="66">
        <v>3.4054445700000002</v>
      </c>
      <c r="K104" s="66">
        <v>0.80589332999999996</v>
      </c>
      <c r="L104" s="66">
        <v>0</v>
      </c>
      <c r="M104" s="66">
        <v>2.5995512399999998</v>
      </c>
      <c r="N104" s="67">
        <v>99.99917235389006</v>
      </c>
      <c r="O104" s="67">
        <v>99.999656865029038</v>
      </c>
      <c r="P104" s="67">
        <v>76.335150567433828</v>
      </c>
      <c r="Q104" s="66">
        <v>0.25775990999999998</v>
      </c>
      <c r="R104" s="67">
        <v>-1.1102230246251565E-16</v>
      </c>
      <c r="S104" s="66">
        <v>0.35730000000000001</v>
      </c>
      <c r="T104" s="66">
        <v>0</v>
      </c>
      <c r="U104" s="66">
        <v>2.3568601600000001</v>
      </c>
      <c r="V104" s="66">
        <v>0.35730000000000001</v>
      </c>
      <c r="W104" s="66">
        <v>1.9995601599999999</v>
      </c>
      <c r="X104" s="66">
        <v>0.35730000000000001</v>
      </c>
      <c r="Y104" s="66">
        <v>0.25775990999999998</v>
      </c>
      <c r="Z104" s="66">
        <v>2.3568601600000001</v>
      </c>
      <c r="AA104" s="66">
        <v>0.35730000000000001</v>
      </c>
      <c r="AB104" s="66">
        <v>0</v>
      </c>
      <c r="AC104" s="66">
        <v>1.9995601599999999</v>
      </c>
      <c r="AD104" s="67">
        <v>100</v>
      </c>
      <c r="AE104" s="67">
        <v>100</v>
      </c>
      <c r="AF104" s="67">
        <v>84.8400000108619</v>
      </c>
      <c r="AG104" s="67">
        <v>0.25775990999999998</v>
      </c>
      <c r="AH104" s="67">
        <v>5.5511151231257827E-17</v>
      </c>
      <c r="AI104" s="66">
        <v>0</v>
      </c>
      <c r="AJ104" s="66">
        <v>0</v>
      </c>
      <c r="AK104" s="66">
        <v>0</v>
      </c>
      <c r="AL104" s="66">
        <v>0</v>
      </c>
      <c r="AM104" s="66">
        <v>0</v>
      </c>
      <c r="AN104" s="66">
        <v>0</v>
      </c>
      <c r="AO104" s="66">
        <v>0</v>
      </c>
      <c r="AP104" s="66">
        <v>0</v>
      </c>
      <c r="AQ104" s="66">
        <v>0</v>
      </c>
      <c r="AR104" s="66">
        <v>0</v>
      </c>
      <c r="AS104" s="66">
        <v>0</v>
      </c>
      <c r="AT104" s="67" t="s">
        <v>1094</v>
      </c>
      <c r="AU104" s="67" t="s">
        <v>1094</v>
      </c>
      <c r="AV104" s="67">
        <v>0</v>
      </c>
      <c r="AW104" s="67">
        <v>0</v>
      </c>
      <c r="AX104" s="67">
        <v>0</v>
      </c>
      <c r="AY104" s="66">
        <v>0</v>
      </c>
      <c r="AZ104" s="66">
        <v>0</v>
      </c>
      <c r="BA104" s="66">
        <v>0</v>
      </c>
      <c r="BB104" s="66">
        <v>0</v>
      </c>
      <c r="BC104" s="66">
        <v>0</v>
      </c>
      <c r="BD104" s="66">
        <v>0</v>
      </c>
      <c r="BE104" s="66">
        <v>0</v>
      </c>
      <c r="BF104" s="66">
        <v>0</v>
      </c>
      <c r="BG104" s="66">
        <v>0</v>
      </c>
      <c r="BH104" s="66">
        <v>0</v>
      </c>
      <c r="BI104" s="66">
        <v>0</v>
      </c>
      <c r="BJ104" s="67" t="s">
        <v>1094</v>
      </c>
      <c r="BK104" s="67" t="s">
        <v>1094</v>
      </c>
      <c r="BL104" s="67">
        <v>0</v>
      </c>
      <c r="BM104" s="67">
        <v>0</v>
      </c>
      <c r="BN104" s="67">
        <v>0</v>
      </c>
      <c r="BO104" s="66">
        <v>0</v>
      </c>
      <c r="BP104" s="66">
        <v>0</v>
      </c>
      <c r="BQ104" s="66">
        <v>0</v>
      </c>
      <c r="BR104" s="66">
        <v>0</v>
      </c>
      <c r="BS104" s="66">
        <v>0</v>
      </c>
      <c r="BT104" s="66">
        <v>0</v>
      </c>
      <c r="BU104" s="66">
        <v>0</v>
      </c>
      <c r="BV104" s="66">
        <v>0</v>
      </c>
      <c r="BW104" s="66">
        <v>0</v>
      </c>
      <c r="BX104" s="66">
        <v>0</v>
      </c>
      <c r="BY104" s="66">
        <v>0</v>
      </c>
      <c r="BZ104" s="67" t="s">
        <v>1094</v>
      </c>
      <c r="CA104" s="67" t="s">
        <v>1094</v>
      </c>
      <c r="CB104" s="67">
        <v>0</v>
      </c>
      <c r="CC104" s="67">
        <v>0</v>
      </c>
      <c r="CD104" s="67">
        <v>0</v>
      </c>
      <c r="CE104" s="66">
        <v>0</v>
      </c>
      <c r="CF104" s="66">
        <v>0</v>
      </c>
      <c r="CG104" s="66">
        <v>0</v>
      </c>
      <c r="CH104" s="66">
        <v>0</v>
      </c>
      <c r="CI104" s="66">
        <v>0</v>
      </c>
      <c r="CJ104" s="66">
        <v>0</v>
      </c>
      <c r="CK104" s="66">
        <v>0</v>
      </c>
      <c r="CL104" s="66">
        <v>0</v>
      </c>
      <c r="CM104" s="66">
        <v>0</v>
      </c>
      <c r="CN104" s="66">
        <v>0</v>
      </c>
      <c r="CO104" s="66">
        <v>0</v>
      </c>
      <c r="CP104" s="67" t="s">
        <v>1094</v>
      </c>
      <c r="CQ104" s="67" t="s">
        <v>1094</v>
      </c>
      <c r="CR104" s="67">
        <v>0</v>
      </c>
      <c r="CS104" s="67">
        <v>0</v>
      </c>
      <c r="CT104" s="67">
        <v>0</v>
      </c>
      <c r="CU104" s="66">
        <v>0</v>
      </c>
      <c r="CV104" s="66">
        <v>0</v>
      </c>
      <c r="CW104" s="66">
        <v>0</v>
      </c>
      <c r="CX104" s="66">
        <v>0</v>
      </c>
      <c r="CY104" s="66">
        <v>0</v>
      </c>
      <c r="CZ104" s="66">
        <v>0</v>
      </c>
      <c r="DA104" s="66">
        <v>0</v>
      </c>
      <c r="DB104" s="66">
        <v>0</v>
      </c>
      <c r="DC104" s="66">
        <v>0</v>
      </c>
      <c r="DD104" s="66">
        <v>0</v>
      </c>
      <c r="DE104" s="66">
        <v>0</v>
      </c>
      <c r="DF104" s="67" t="s">
        <v>1094</v>
      </c>
      <c r="DG104" s="67" t="s">
        <v>1094</v>
      </c>
      <c r="DH104" s="67">
        <v>0</v>
      </c>
      <c r="DI104" s="67">
        <v>0</v>
      </c>
      <c r="DJ104" s="67">
        <v>0</v>
      </c>
      <c r="DK104" s="66">
        <v>0</v>
      </c>
      <c r="DL104" s="66">
        <v>0</v>
      </c>
      <c r="DM104" s="66">
        <v>0</v>
      </c>
      <c r="DN104" s="66">
        <v>0</v>
      </c>
      <c r="DO104" s="66">
        <v>0</v>
      </c>
      <c r="DP104" s="66">
        <v>0</v>
      </c>
      <c r="DQ104" s="66">
        <v>0</v>
      </c>
      <c r="DR104" s="66">
        <v>0</v>
      </c>
      <c r="DS104" s="66">
        <v>0</v>
      </c>
      <c r="DT104" s="66">
        <v>0</v>
      </c>
      <c r="DU104" s="66">
        <v>0</v>
      </c>
      <c r="DV104" s="67" t="s">
        <v>1094</v>
      </c>
      <c r="DW104" s="67" t="s">
        <v>1094</v>
      </c>
      <c r="DX104" s="67">
        <v>0</v>
      </c>
      <c r="DY104" s="67">
        <v>0</v>
      </c>
      <c r="DZ104" s="67">
        <v>0</v>
      </c>
      <c r="EA104" s="66">
        <v>0</v>
      </c>
      <c r="EB104" s="66">
        <v>0</v>
      </c>
      <c r="EC104" s="66">
        <v>0</v>
      </c>
      <c r="ED104" s="66">
        <v>0</v>
      </c>
      <c r="EE104" s="66">
        <v>0</v>
      </c>
      <c r="EF104" s="66">
        <v>0</v>
      </c>
      <c r="EG104" s="66">
        <v>0</v>
      </c>
      <c r="EH104" s="66">
        <v>0</v>
      </c>
      <c r="EI104" s="66">
        <v>0</v>
      </c>
      <c r="EJ104" s="66">
        <v>0</v>
      </c>
      <c r="EK104" s="66">
        <v>0</v>
      </c>
      <c r="EL104" s="67" t="s">
        <v>1094</v>
      </c>
      <c r="EM104" s="67" t="s">
        <v>1094</v>
      </c>
      <c r="EN104" s="67">
        <v>0</v>
      </c>
      <c r="EO104" s="67">
        <v>0</v>
      </c>
      <c r="EP104" s="67">
        <v>0</v>
      </c>
      <c r="EQ104" s="66">
        <v>0</v>
      </c>
      <c r="ER104" s="66">
        <v>0</v>
      </c>
      <c r="ES104" s="66">
        <v>0</v>
      </c>
      <c r="ET104" s="66">
        <v>0</v>
      </c>
      <c r="EU104" s="66">
        <v>0</v>
      </c>
      <c r="EV104" s="66">
        <v>0</v>
      </c>
      <c r="EW104" s="66">
        <v>0</v>
      </c>
      <c r="EX104" s="66">
        <v>0</v>
      </c>
      <c r="EY104" s="66">
        <v>0</v>
      </c>
      <c r="EZ104" s="66">
        <v>0</v>
      </c>
      <c r="FA104" s="66">
        <v>0</v>
      </c>
      <c r="FB104" s="67" t="s">
        <v>1094</v>
      </c>
      <c r="FC104" s="67" t="s">
        <v>1094</v>
      </c>
      <c r="FD104" s="67">
        <v>0</v>
      </c>
      <c r="FE104" s="67">
        <v>0</v>
      </c>
      <c r="FF104" s="67">
        <v>0</v>
      </c>
      <c r="FG104" s="66">
        <v>0</v>
      </c>
      <c r="FH104" s="66">
        <v>0</v>
      </c>
      <c r="FI104" s="66">
        <v>0</v>
      </c>
      <c r="FJ104" s="66">
        <v>0</v>
      </c>
      <c r="FK104" s="66">
        <v>0</v>
      </c>
      <c r="FL104" s="66">
        <v>0</v>
      </c>
      <c r="FM104" s="66">
        <v>0</v>
      </c>
      <c r="FN104" s="66">
        <v>0</v>
      </c>
      <c r="FO104" s="66">
        <v>0</v>
      </c>
      <c r="FP104" s="66">
        <v>0</v>
      </c>
      <c r="FQ104" s="66">
        <v>0</v>
      </c>
      <c r="FR104" s="67" t="s">
        <v>1094</v>
      </c>
      <c r="FS104" s="67" t="s">
        <v>1094</v>
      </c>
      <c r="FT104" s="67">
        <v>0</v>
      </c>
      <c r="FU104" s="67">
        <v>0</v>
      </c>
      <c r="FV104" s="67">
        <v>0</v>
      </c>
      <c r="FW104" s="66">
        <v>0</v>
      </c>
      <c r="FX104" s="66">
        <v>0</v>
      </c>
      <c r="FY104" s="66">
        <v>0</v>
      </c>
      <c r="FZ104" s="66">
        <v>0</v>
      </c>
      <c r="GA104" s="66">
        <v>0</v>
      </c>
      <c r="GB104" s="66">
        <v>0</v>
      </c>
      <c r="GC104" s="66">
        <v>0</v>
      </c>
      <c r="GD104" s="66">
        <v>0</v>
      </c>
      <c r="GE104" s="66">
        <v>0</v>
      </c>
      <c r="GF104" s="66">
        <v>0</v>
      </c>
      <c r="GG104" s="66">
        <v>0</v>
      </c>
      <c r="GH104" s="67" t="s">
        <v>1094</v>
      </c>
      <c r="GI104" s="67" t="s">
        <v>1094</v>
      </c>
      <c r="GJ104" s="67">
        <v>0</v>
      </c>
      <c r="GK104" s="67">
        <v>0</v>
      </c>
      <c r="GL104" s="67">
        <v>0</v>
      </c>
      <c r="GM104" s="66">
        <v>0</v>
      </c>
      <c r="GN104" s="66">
        <v>0</v>
      </c>
      <c r="GO104" s="66">
        <v>0</v>
      </c>
      <c r="GP104" s="66">
        <v>0</v>
      </c>
      <c r="GQ104" s="66">
        <v>0</v>
      </c>
      <c r="GR104" s="66">
        <v>0</v>
      </c>
      <c r="GS104" s="66">
        <v>0</v>
      </c>
      <c r="GT104" s="66">
        <v>0</v>
      </c>
      <c r="GU104" s="66">
        <v>0</v>
      </c>
      <c r="GV104" s="66">
        <v>0</v>
      </c>
      <c r="GW104" s="66">
        <v>0</v>
      </c>
      <c r="GX104" s="67" t="s">
        <v>1094</v>
      </c>
      <c r="GY104" s="67" t="s">
        <v>1094</v>
      </c>
      <c r="GZ104" s="67">
        <v>0</v>
      </c>
      <c r="HA104" s="67">
        <v>0</v>
      </c>
      <c r="HB104" s="67">
        <v>0</v>
      </c>
      <c r="HC104" s="66">
        <v>0.4486</v>
      </c>
      <c r="HD104" s="66">
        <v>0</v>
      </c>
      <c r="HE104" s="66">
        <v>1.0486</v>
      </c>
      <c r="HF104" s="66">
        <v>0.4486</v>
      </c>
      <c r="HG104" s="66">
        <v>0.6</v>
      </c>
      <c r="HH104" s="66">
        <v>0.44859333000000001</v>
      </c>
      <c r="HI104" s="66">
        <v>0</v>
      </c>
      <c r="HJ104" s="66">
        <v>1.0485844099999999</v>
      </c>
      <c r="HK104" s="66">
        <v>0.44859333000000001</v>
      </c>
      <c r="HL104" s="66">
        <v>0</v>
      </c>
      <c r="HM104" s="66">
        <v>0.59999108000000001</v>
      </c>
      <c r="HN104" s="67">
        <v>99.998513152028536</v>
      </c>
      <c r="HO104" s="67">
        <v>99.998513333333335</v>
      </c>
      <c r="HP104" s="67">
        <v>57.219149386361757</v>
      </c>
      <c r="HQ104" s="67">
        <v>0</v>
      </c>
      <c r="HR104" s="67">
        <v>0</v>
      </c>
      <c r="HS104" s="66">
        <v>0</v>
      </c>
      <c r="HT104" s="66">
        <v>0</v>
      </c>
      <c r="HU104" s="66">
        <v>0</v>
      </c>
      <c r="HV104" s="66">
        <v>0</v>
      </c>
      <c r="HW104" s="66">
        <v>0</v>
      </c>
      <c r="HX104" s="66">
        <v>0</v>
      </c>
      <c r="HY104" s="66">
        <v>0</v>
      </c>
      <c r="HZ104" s="66">
        <v>0</v>
      </c>
      <c r="IA104" s="66">
        <v>0</v>
      </c>
      <c r="IB104" s="66">
        <v>0</v>
      </c>
      <c r="IC104" s="66">
        <v>0</v>
      </c>
      <c r="ID104" s="67" t="s">
        <v>1094</v>
      </c>
      <c r="IE104" s="67" t="s">
        <v>1094</v>
      </c>
      <c r="IF104" s="67">
        <v>0</v>
      </c>
      <c r="IG104" s="67">
        <v>0</v>
      </c>
      <c r="IH104" s="67">
        <v>0</v>
      </c>
    </row>
    <row r="105" spans="1:242" ht="15.75" x14ac:dyDescent="0.25">
      <c r="A105" s="9">
        <v>94</v>
      </c>
      <c r="B105" s="189" t="s">
        <v>256</v>
      </c>
      <c r="C105" s="66">
        <v>0.2064</v>
      </c>
      <c r="D105" s="66">
        <v>0</v>
      </c>
      <c r="E105" s="66">
        <v>3.0394999999999999</v>
      </c>
      <c r="F105" s="66">
        <v>0.2064</v>
      </c>
      <c r="G105" s="66">
        <v>2.8331</v>
      </c>
      <c r="H105" s="66">
        <v>0.2064</v>
      </c>
      <c r="I105" s="66">
        <v>1.6948000000000001</v>
      </c>
      <c r="J105" s="66">
        <v>3.0394999999999999</v>
      </c>
      <c r="K105" s="66">
        <v>0.2064</v>
      </c>
      <c r="L105" s="66">
        <v>0</v>
      </c>
      <c r="M105" s="66">
        <v>2.8331</v>
      </c>
      <c r="N105" s="67">
        <v>100</v>
      </c>
      <c r="O105" s="67">
        <v>100</v>
      </c>
      <c r="P105" s="67">
        <v>93.209409442342491</v>
      </c>
      <c r="Q105" s="66">
        <v>1.6948000000000001</v>
      </c>
      <c r="R105" s="67">
        <v>0</v>
      </c>
      <c r="S105" s="66">
        <v>0.2064</v>
      </c>
      <c r="T105" s="66">
        <v>0</v>
      </c>
      <c r="U105" s="66">
        <v>3.0394999999999999</v>
      </c>
      <c r="V105" s="66">
        <v>0.2064</v>
      </c>
      <c r="W105" s="66">
        <v>2.8331</v>
      </c>
      <c r="X105" s="66">
        <v>0.2064</v>
      </c>
      <c r="Y105" s="66">
        <v>1.6948000000000001</v>
      </c>
      <c r="Z105" s="66">
        <v>3.0394999999999999</v>
      </c>
      <c r="AA105" s="66">
        <v>0.2064</v>
      </c>
      <c r="AB105" s="66">
        <v>0</v>
      </c>
      <c r="AC105" s="66">
        <v>2.8331</v>
      </c>
      <c r="AD105" s="67">
        <v>100</v>
      </c>
      <c r="AE105" s="67">
        <v>100</v>
      </c>
      <c r="AF105" s="67">
        <v>93.209409442342491</v>
      </c>
      <c r="AG105" s="67">
        <v>1.6948000000000001</v>
      </c>
      <c r="AH105" s="67">
        <v>0</v>
      </c>
      <c r="AI105" s="66">
        <v>0</v>
      </c>
      <c r="AJ105" s="66">
        <v>0</v>
      </c>
      <c r="AK105" s="66">
        <v>0</v>
      </c>
      <c r="AL105" s="66">
        <v>0</v>
      </c>
      <c r="AM105" s="66">
        <v>0</v>
      </c>
      <c r="AN105" s="66">
        <v>0</v>
      </c>
      <c r="AO105" s="66">
        <v>0</v>
      </c>
      <c r="AP105" s="66">
        <v>0</v>
      </c>
      <c r="AQ105" s="66">
        <v>0</v>
      </c>
      <c r="AR105" s="66">
        <v>0</v>
      </c>
      <c r="AS105" s="66">
        <v>0</v>
      </c>
      <c r="AT105" s="67" t="s">
        <v>1094</v>
      </c>
      <c r="AU105" s="67" t="s">
        <v>1094</v>
      </c>
      <c r="AV105" s="67">
        <v>0</v>
      </c>
      <c r="AW105" s="67">
        <v>0</v>
      </c>
      <c r="AX105" s="67">
        <v>0</v>
      </c>
      <c r="AY105" s="66">
        <v>0</v>
      </c>
      <c r="AZ105" s="66">
        <v>0</v>
      </c>
      <c r="BA105" s="66">
        <v>0</v>
      </c>
      <c r="BB105" s="66">
        <v>0</v>
      </c>
      <c r="BC105" s="66">
        <v>0</v>
      </c>
      <c r="BD105" s="66">
        <v>0</v>
      </c>
      <c r="BE105" s="66">
        <v>0</v>
      </c>
      <c r="BF105" s="66">
        <v>0</v>
      </c>
      <c r="BG105" s="66">
        <v>0</v>
      </c>
      <c r="BH105" s="66">
        <v>0</v>
      </c>
      <c r="BI105" s="66">
        <v>0</v>
      </c>
      <c r="BJ105" s="67" t="s">
        <v>1094</v>
      </c>
      <c r="BK105" s="67" t="s">
        <v>1094</v>
      </c>
      <c r="BL105" s="67">
        <v>0</v>
      </c>
      <c r="BM105" s="67">
        <v>0</v>
      </c>
      <c r="BN105" s="67">
        <v>0</v>
      </c>
      <c r="BO105" s="66">
        <v>0</v>
      </c>
      <c r="BP105" s="66">
        <v>0</v>
      </c>
      <c r="BQ105" s="66">
        <v>0</v>
      </c>
      <c r="BR105" s="66">
        <v>0</v>
      </c>
      <c r="BS105" s="66">
        <v>0</v>
      </c>
      <c r="BT105" s="66">
        <v>0</v>
      </c>
      <c r="BU105" s="66">
        <v>0</v>
      </c>
      <c r="BV105" s="66">
        <v>0</v>
      </c>
      <c r="BW105" s="66">
        <v>0</v>
      </c>
      <c r="BX105" s="66">
        <v>0</v>
      </c>
      <c r="BY105" s="66">
        <v>0</v>
      </c>
      <c r="BZ105" s="67" t="s">
        <v>1094</v>
      </c>
      <c r="CA105" s="67" t="s">
        <v>1094</v>
      </c>
      <c r="CB105" s="67">
        <v>0</v>
      </c>
      <c r="CC105" s="67">
        <v>0</v>
      </c>
      <c r="CD105" s="67">
        <v>0</v>
      </c>
      <c r="CE105" s="66">
        <v>0</v>
      </c>
      <c r="CF105" s="66">
        <v>0</v>
      </c>
      <c r="CG105" s="66">
        <v>0</v>
      </c>
      <c r="CH105" s="66">
        <v>0</v>
      </c>
      <c r="CI105" s="66">
        <v>0</v>
      </c>
      <c r="CJ105" s="66">
        <v>0</v>
      </c>
      <c r="CK105" s="66">
        <v>0</v>
      </c>
      <c r="CL105" s="66">
        <v>0</v>
      </c>
      <c r="CM105" s="66">
        <v>0</v>
      </c>
      <c r="CN105" s="66">
        <v>0</v>
      </c>
      <c r="CO105" s="66">
        <v>0</v>
      </c>
      <c r="CP105" s="67" t="s">
        <v>1094</v>
      </c>
      <c r="CQ105" s="67" t="s">
        <v>1094</v>
      </c>
      <c r="CR105" s="67">
        <v>0</v>
      </c>
      <c r="CS105" s="67">
        <v>0</v>
      </c>
      <c r="CT105" s="67">
        <v>0</v>
      </c>
      <c r="CU105" s="66">
        <v>0</v>
      </c>
      <c r="CV105" s="66">
        <v>0</v>
      </c>
      <c r="CW105" s="66">
        <v>0</v>
      </c>
      <c r="CX105" s="66">
        <v>0</v>
      </c>
      <c r="CY105" s="66">
        <v>0</v>
      </c>
      <c r="CZ105" s="66">
        <v>0</v>
      </c>
      <c r="DA105" s="66">
        <v>0</v>
      </c>
      <c r="DB105" s="66">
        <v>0</v>
      </c>
      <c r="DC105" s="66">
        <v>0</v>
      </c>
      <c r="DD105" s="66">
        <v>0</v>
      </c>
      <c r="DE105" s="66">
        <v>0</v>
      </c>
      <c r="DF105" s="67" t="s">
        <v>1094</v>
      </c>
      <c r="DG105" s="67" t="s">
        <v>1094</v>
      </c>
      <c r="DH105" s="67">
        <v>0</v>
      </c>
      <c r="DI105" s="67">
        <v>0</v>
      </c>
      <c r="DJ105" s="67">
        <v>0</v>
      </c>
      <c r="DK105" s="66">
        <v>0</v>
      </c>
      <c r="DL105" s="66">
        <v>0</v>
      </c>
      <c r="DM105" s="66">
        <v>0</v>
      </c>
      <c r="DN105" s="66">
        <v>0</v>
      </c>
      <c r="DO105" s="66">
        <v>0</v>
      </c>
      <c r="DP105" s="66">
        <v>0</v>
      </c>
      <c r="DQ105" s="66">
        <v>0</v>
      </c>
      <c r="DR105" s="66">
        <v>0</v>
      </c>
      <c r="DS105" s="66">
        <v>0</v>
      </c>
      <c r="DT105" s="66">
        <v>0</v>
      </c>
      <c r="DU105" s="66">
        <v>0</v>
      </c>
      <c r="DV105" s="67" t="s">
        <v>1094</v>
      </c>
      <c r="DW105" s="67" t="s">
        <v>1094</v>
      </c>
      <c r="DX105" s="67">
        <v>0</v>
      </c>
      <c r="DY105" s="67">
        <v>0</v>
      </c>
      <c r="DZ105" s="67">
        <v>0</v>
      </c>
      <c r="EA105" s="66">
        <v>0</v>
      </c>
      <c r="EB105" s="66">
        <v>0</v>
      </c>
      <c r="EC105" s="66">
        <v>0</v>
      </c>
      <c r="ED105" s="66">
        <v>0</v>
      </c>
      <c r="EE105" s="66">
        <v>0</v>
      </c>
      <c r="EF105" s="66">
        <v>0</v>
      </c>
      <c r="EG105" s="66">
        <v>0</v>
      </c>
      <c r="EH105" s="66">
        <v>0</v>
      </c>
      <c r="EI105" s="66">
        <v>0</v>
      </c>
      <c r="EJ105" s="66">
        <v>0</v>
      </c>
      <c r="EK105" s="66">
        <v>0</v>
      </c>
      <c r="EL105" s="67" t="s">
        <v>1094</v>
      </c>
      <c r="EM105" s="67" t="s">
        <v>1094</v>
      </c>
      <c r="EN105" s="67">
        <v>0</v>
      </c>
      <c r="EO105" s="67">
        <v>0</v>
      </c>
      <c r="EP105" s="67">
        <v>0</v>
      </c>
      <c r="EQ105" s="66">
        <v>0</v>
      </c>
      <c r="ER105" s="66">
        <v>0</v>
      </c>
      <c r="ES105" s="66">
        <v>0</v>
      </c>
      <c r="ET105" s="66">
        <v>0</v>
      </c>
      <c r="EU105" s="66">
        <v>0</v>
      </c>
      <c r="EV105" s="66">
        <v>0</v>
      </c>
      <c r="EW105" s="66">
        <v>0</v>
      </c>
      <c r="EX105" s="66">
        <v>0</v>
      </c>
      <c r="EY105" s="66">
        <v>0</v>
      </c>
      <c r="EZ105" s="66">
        <v>0</v>
      </c>
      <c r="FA105" s="66">
        <v>0</v>
      </c>
      <c r="FB105" s="67" t="s">
        <v>1094</v>
      </c>
      <c r="FC105" s="67" t="s">
        <v>1094</v>
      </c>
      <c r="FD105" s="67">
        <v>0</v>
      </c>
      <c r="FE105" s="67">
        <v>0</v>
      </c>
      <c r="FF105" s="67">
        <v>0</v>
      </c>
      <c r="FG105" s="66">
        <v>0</v>
      </c>
      <c r="FH105" s="66">
        <v>0</v>
      </c>
      <c r="FI105" s="66">
        <v>0</v>
      </c>
      <c r="FJ105" s="66">
        <v>0</v>
      </c>
      <c r="FK105" s="66">
        <v>0</v>
      </c>
      <c r="FL105" s="66">
        <v>0</v>
      </c>
      <c r="FM105" s="66">
        <v>0</v>
      </c>
      <c r="FN105" s="66">
        <v>0</v>
      </c>
      <c r="FO105" s="66">
        <v>0</v>
      </c>
      <c r="FP105" s="66">
        <v>0</v>
      </c>
      <c r="FQ105" s="66">
        <v>0</v>
      </c>
      <c r="FR105" s="67" t="s">
        <v>1094</v>
      </c>
      <c r="FS105" s="67" t="s">
        <v>1094</v>
      </c>
      <c r="FT105" s="67">
        <v>0</v>
      </c>
      <c r="FU105" s="67">
        <v>0</v>
      </c>
      <c r="FV105" s="67">
        <v>0</v>
      </c>
      <c r="FW105" s="66">
        <v>0</v>
      </c>
      <c r="FX105" s="66">
        <v>0</v>
      </c>
      <c r="FY105" s="66">
        <v>0</v>
      </c>
      <c r="FZ105" s="66">
        <v>0</v>
      </c>
      <c r="GA105" s="66">
        <v>0</v>
      </c>
      <c r="GB105" s="66">
        <v>0</v>
      </c>
      <c r="GC105" s="66">
        <v>0</v>
      </c>
      <c r="GD105" s="66">
        <v>0</v>
      </c>
      <c r="GE105" s="66">
        <v>0</v>
      </c>
      <c r="GF105" s="66">
        <v>0</v>
      </c>
      <c r="GG105" s="66">
        <v>0</v>
      </c>
      <c r="GH105" s="67" t="s">
        <v>1094</v>
      </c>
      <c r="GI105" s="67" t="s">
        <v>1094</v>
      </c>
      <c r="GJ105" s="67">
        <v>0</v>
      </c>
      <c r="GK105" s="67">
        <v>0</v>
      </c>
      <c r="GL105" s="67">
        <v>0</v>
      </c>
      <c r="GM105" s="66">
        <v>0</v>
      </c>
      <c r="GN105" s="66">
        <v>0</v>
      </c>
      <c r="GO105" s="66">
        <v>0</v>
      </c>
      <c r="GP105" s="66">
        <v>0</v>
      </c>
      <c r="GQ105" s="66">
        <v>0</v>
      </c>
      <c r="GR105" s="66">
        <v>0</v>
      </c>
      <c r="GS105" s="66">
        <v>0</v>
      </c>
      <c r="GT105" s="66">
        <v>0</v>
      </c>
      <c r="GU105" s="66">
        <v>0</v>
      </c>
      <c r="GV105" s="66">
        <v>0</v>
      </c>
      <c r="GW105" s="66">
        <v>0</v>
      </c>
      <c r="GX105" s="67" t="s">
        <v>1094</v>
      </c>
      <c r="GY105" s="67" t="s">
        <v>1094</v>
      </c>
      <c r="GZ105" s="67">
        <v>0</v>
      </c>
      <c r="HA105" s="67">
        <v>0</v>
      </c>
      <c r="HB105" s="67">
        <v>0</v>
      </c>
      <c r="HC105" s="66">
        <v>0</v>
      </c>
      <c r="HD105" s="66">
        <v>0</v>
      </c>
      <c r="HE105" s="66">
        <v>0</v>
      </c>
      <c r="HF105" s="66">
        <v>0</v>
      </c>
      <c r="HG105" s="66">
        <v>0</v>
      </c>
      <c r="HH105" s="66">
        <v>0</v>
      </c>
      <c r="HI105" s="66">
        <v>0</v>
      </c>
      <c r="HJ105" s="66">
        <v>0</v>
      </c>
      <c r="HK105" s="66">
        <v>0</v>
      </c>
      <c r="HL105" s="66">
        <v>0</v>
      </c>
      <c r="HM105" s="66">
        <v>0</v>
      </c>
      <c r="HN105" s="67" t="s">
        <v>1094</v>
      </c>
      <c r="HO105" s="67" t="s">
        <v>1094</v>
      </c>
      <c r="HP105" s="67">
        <v>0</v>
      </c>
      <c r="HQ105" s="67">
        <v>0</v>
      </c>
      <c r="HR105" s="67">
        <v>0</v>
      </c>
      <c r="HS105" s="66">
        <v>0</v>
      </c>
      <c r="HT105" s="66">
        <v>0</v>
      </c>
      <c r="HU105" s="66">
        <v>0</v>
      </c>
      <c r="HV105" s="66">
        <v>0</v>
      </c>
      <c r="HW105" s="66">
        <v>0</v>
      </c>
      <c r="HX105" s="66">
        <v>0</v>
      </c>
      <c r="HY105" s="66">
        <v>0</v>
      </c>
      <c r="HZ105" s="66">
        <v>0</v>
      </c>
      <c r="IA105" s="66">
        <v>0</v>
      </c>
      <c r="IB105" s="66">
        <v>0</v>
      </c>
      <c r="IC105" s="66">
        <v>0</v>
      </c>
      <c r="ID105" s="67" t="s">
        <v>1094</v>
      </c>
      <c r="IE105" s="67" t="s">
        <v>1094</v>
      </c>
      <c r="IF105" s="67">
        <v>0</v>
      </c>
      <c r="IG105" s="67">
        <v>0</v>
      </c>
      <c r="IH105" s="67">
        <v>0</v>
      </c>
    </row>
  </sheetData>
  <mergeCells count="227">
    <mergeCell ref="HS7:IH8"/>
    <mergeCell ref="HS9:HS11"/>
    <mergeCell ref="HT9:HT11"/>
    <mergeCell ref="HU9:HW9"/>
    <mergeCell ref="HX9:HX11"/>
    <mergeCell ref="HY9:HY11"/>
    <mergeCell ref="HZ9:IC9"/>
    <mergeCell ref="ID9:IE10"/>
    <mergeCell ref="IF9:IF11"/>
    <mergeCell ref="IG9:IG11"/>
    <mergeCell ref="IH9:IH11"/>
    <mergeCell ref="HU10:HU11"/>
    <mergeCell ref="HV10:HW10"/>
    <mergeCell ref="HZ10:HZ11"/>
    <mergeCell ref="IA10:IC10"/>
    <mergeCell ref="GM7:HB8"/>
    <mergeCell ref="GM9:GM11"/>
    <mergeCell ref="GN9:GN11"/>
    <mergeCell ref="GO9:GQ9"/>
    <mergeCell ref="GR9:GR11"/>
    <mergeCell ref="GS9:GS11"/>
    <mergeCell ref="GT9:GW9"/>
    <mergeCell ref="GX9:GY10"/>
    <mergeCell ref="GZ9:GZ11"/>
    <mergeCell ref="HA9:HA11"/>
    <mergeCell ref="HB9:HB11"/>
    <mergeCell ref="GO10:GO11"/>
    <mergeCell ref="GP10:GQ10"/>
    <mergeCell ref="GT10:GT11"/>
    <mergeCell ref="GU10:GW10"/>
    <mergeCell ref="FG7:FV8"/>
    <mergeCell ref="FG9:FG11"/>
    <mergeCell ref="FH9:FH11"/>
    <mergeCell ref="FI9:FK9"/>
    <mergeCell ref="FL9:FL11"/>
    <mergeCell ref="FM9:FM11"/>
    <mergeCell ref="FN9:FQ9"/>
    <mergeCell ref="FR9:FS10"/>
    <mergeCell ref="FT9:FT11"/>
    <mergeCell ref="FU9:FU11"/>
    <mergeCell ref="FV9:FV11"/>
    <mergeCell ref="FI10:FI11"/>
    <mergeCell ref="FJ10:FK10"/>
    <mergeCell ref="FN10:FN11"/>
    <mergeCell ref="FO10:FQ10"/>
    <mergeCell ref="EQ7:FF8"/>
    <mergeCell ref="EQ9:EQ11"/>
    <mergeCell ref="ER9:ER11"/>
    <mergeCell ref="ES9:EU9"/>
    <mergeCell ref="EV9:EV11"/>
    <mergeCell ref="EW9:EW11"/>
    <mergeCell ref="EX9:FA9"/>
    <mergeCell ref="FB9:FC10"/>
    <mergeCell ref="FD9:FD11"/>
    <mergeCell ref="FE9:FE11"/>
    <mergeCell ref="FF9:FF11"/>
    <mergeCell ref="ES10:ES11"/>
    <mergeCell ref="ET10:EU10"/>
    <mergeCell ref="EX10:EX11"/>
    <mergeCell ref="EY10:FA10"/>
    <mergeCell ref="EA7:EP8"/>
    <mergeCell ref="EA9:EA11"/>
    <mergeCell ref="EB9:EB11"/>
    <mergeCell ref="EC9:EE9"/>
    <mergeCell ref="EF9:EF11"/>
    <mergeCell ref="EG9:EG11"/>
    <mergeCell ref="EH9:EK9"/>
    <mergeCell ref="EL9:EM10"/>
    <mergeCell ref="EN9:EN11"/>
    <mergeCell ref="EO9:EO11"/>
    <mergeCell ref="EP9:EP11"/>
    <mergeCell ref="EC10:EC11"/>
    <mergeCell ref="ED10:EE10"/>
    <mergeCell ref="EH10:EH11"/>
    <mergeCell ref="EI10:EK10"/>
    <mergeCell ref="DK7:DZ8"/>
    <mergeCell ref="DK9:DK11"/>
    <mergeCell ref="DL9:DL11"/>
    <mergeCell ref="DM9:DO9"/>
    <mergeCell ref="DP9:DP11"/>
    <mergeCell ref="DQ9:DQ11"/>
    <mergeCell ref="DR9:DU9"/>
    <mergeCell ref="DV9:DW10"/>
    <mergeCell ref="DX9:DX11"/>
    <mergeCell ref="DY9:DY11"/>
    <mergeCell ref="DZ9:DZ11"/>
    <mergeCell ref="DM10:DM11"/>
    <mergeCell ref="DN10:DO10"/>
    <mergeCell ref="DR10:DR11"/>
    <mergeCell ref="DS10:DU10"/>
    <mergeCell ref="CU7:DJ8"/>
    <mergeCell ref="CU9:CU11"/>
    <mergeCell ref="CV9:CV11"/>
    <mergeCell ref="CW9:CY9"/>
    <mergeCell ref="CZ9:CZ11"/>
    <mergeCell ref="DA9:DA11"/>
    <mergeCell ref="DB9:DE9"/>
    <mergeCell ref="DF9:DG10"/>
    <mergeCell ref="DH9:DH11"/>
    <mergeCell ref="DI9:DI11"/>
    <mergeCell ref="DJ9:DJ11"/>
    <mergeCell ref="CW10:CW11"/>
    <mergeCell ref="CX10:CY10"/>
    <mergeCell ref="DB10:DB11"/>
    <mergeCell ref="DC10:DE10"/>
    <mergeCell ref="CC9:CC11"/>
    <mergeCell ref="CD9:CD11"/>
    <mergeCell ref="BQ10:BQ11"/>
    <mergeCell ref="BR10:BS10"/>
    <mergeCell ref="BW10:BY10"/>
    <mergeCell ref="CE7:CT8"/>
    <mergeCell ref="CE9:CE11"/>
    <mergeCell ref="CF9:CF11"/>
    <mergeCell ref="CG9:CI9"/>
    <mergeCell ref="CJ9:CJ11"/>
    <mergeCell ref="CK9:CK11"/>
    <mergeCell ref="CL9:CO9"/>
    <mergeCell ref="CP9:CQ10"/>
    <mergeCell ref="CR9:CR11"/>
    <mergeCell ref="CS9:CS11"/>
    <mergeCell ref="CT9:CT11"/>
    <mergeCell ref="CG10:CG11"/>
    <mergeCell ref="CH10:CI10"/>
    <mergeCell ref="CL10:CL11"/>
    <mergeCell ref="CM10:CO10"/>
    <mergeCell ref="AA10:AC10"/>
    <mergeCell ref="U9:W9"/>
    <mergeCell ref="X9:X11"/>
    <mergeCell ref="Y9:Y11"/>
    <mergeCell ref="AI7:AX8"/>
    <mergeCell ref="AI9:AI11"/>
    <mergeCell ref="AJ9:AJ11"/>
    <mergeCell ref="AK9:AM9"/>
    <mergeCell ref="AN9:AN11"/>
    <mergeCell ref="AO9:AO11"/>
    <mergeCell ref="AP9:AS9"/>
    <mergeCell ref="AT9:AU10"/>
    <mergeCell ref="AV9:AV11"/>
    <mergeCell ref="AW9:AW11"/>
    <mergeCell ref="AX9:AX11"/>
    <mergeCell ref="AK10:AK11"/>
    <mergeCell ref="AL10:AM10"/>
    <mergeCell ref="AP10:AP11"/>
    <mergeCell ref="AQ10:AS10"/>
    <mergeCell ref="Z9:AC9"/>
    <mergeCell ref="AD9:AE10"/>
    <mergeCell ref="AY7:BN8"/>
    <mergeCell ref="AY9:AY11"/>
    <mergeCell ref="AZ9:AZ11"/>
    <mergeCell ref="BL9:BL11"/>
    <mergeCell ref="BM9:BM11"/>
    <mergeCell ref="BN9:BN11"/>
    <mergeCell ref="BA10:BA11"/>
    <mergeCell ref="BB10:BC10"/>
    <mergeCell ref="BF10:BF11"/>
    <mergeCell ref="BG10:BI10"/>
    <mergeCell ref="BA9:BC9"/>
    <mergeCell ref="BD9:BD11"/>
    <mergeCell ref="BE9:BE11"/>
    <mergeCell ref="S7:AH8"/>
    <mergeCell ref="S9:S11"/>
    <mergeCell ref="T9:T11"/>
    <mergeCell ref="AF9:AF11"/>
    <mergeCell ref="AG9:AG11"/>
    <mergeCell ref="AH9:AH11"/>
    <mergeCell ref="U10:U11"/>
    <mergeCell ref="V10:W10"/>
    <mergeCell ref="Z10:Z11"/>
    <mergeCell ref="BF9:BI9"/>
    <mergeCell ref="BJ9:BK10"/>
    <mergeCell ref="GH9:GI10"/>
    <mergeCell ref="FW7:GL8"/>
    <mergeCell ref="FW9:FW11"/>
    <mergeCell ref="FX9:FX11"/>
    <mergeCell ref="FY10:FY11"/>
    <mergeCell ref="FZ10:GA10"/>
    <mergeCell ref="GD10:GD11"/>
    <mergeCell ref="GE10:GG10"/>
    <mergeCell ref="FY9:GA9"/>
    <mergeCell ref="GB9:GB11"/>
    <mergeCell ref="GC9:GC11"/>
    <mergeCell ref="GD9:GG9"/>
    <mergeCell ref="BV10:BV11"/>
    <mergeCell ref="BO7:CD8"/>
    <mergeCell ref="BO9:BO11"/>
    <mergeCell ref="BP9:BP11"/>
    <mergeCell ref="BQ9:BS9"/>
    <mergeCell ref="BT9:BT11"/>
    <mergeCell ref="BU9:BU11"/>
    <mergeCell ref="BV9:BY9"/>
    <mergeCell ref="BZ9:CA10"/>
    <mergeCell ref="CB9:CB11"/>
    <mergeCell ref="A7:A11"/>
    <mergeCell ref="B7:B11"/>
    <mergeCell ref="C9:C11"/>
    <mergeCell ref="HP9:HP11"/>
    <mergeCell ref="HC7:HR8"/>
    <mergeCell ref="HC9:HC11"/>
    <mergeCell ref="HD9:HD11"/>
    <mergeCell ref="GJ9:GJ11"/>
    <mergeCell ref="GK9:GK11"/>
    <mergeCell ref="GL9:GL11"/>
    <mergeCell ref="C7:R8"/>
    <mergeCell ref="N9:O10"/>
    <mergeCell ref="P9:P11"/>
    <mergeCell ref="HQ9:HQ11"/>
    <mergeCell ref="HR9:HR11"/>
    <mergeCell ref="HE10:HE11"/>
    <mergeCell ref="HF10:HG10"/>
    <mergeCell ref="HJ10:HJ11"/>
    <mergeCell ref="HK10:HM10"/>
    <mergeCell ref="HE9:HG9"/>
    <mergeCell ref="HH9:HH11"/>
    <mergeCell ref="HI9:HI11"/>
    <mergeCell ref="HJ9:HM9"/>
    <mergeCell ref="HN9:HO10"/>
    <mergeCell ref="Q9:Q11"/>
    <mergeCell ref="R9:R11"/>
    <mergeCell ref="E10:E11"/>
    <mergeCell ref="F10:G10"/>
    <mergeCell ref="J10:J11"/>
    <mergeCell ref="K10:M10"/>
    <mergeCell ref="D9:D11"/>
    <mergeCell ref="E9:G9"/>
    <mergeCell ref="H9:H11"/>
    <mergeCell ref="I9:I11"/>
    <mergeCell ref="J9:M9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R106"/>
  <sheetViews>
    <sheetView view="pageBreakPreview" zoomScale="60" zoomScaleNormal="70" workbookViewId="0">
      <pane xSplit="2" ySplit="12" topLeftCell="C13" activePane="bottomRight" state="frozen"/>
      <selection activeCell="F34" sqref="F34"/>
      <selection pane="topRight" activeCell="F34" sqref="F34"/>
      <selection pane="bottomLeft" activeCell="F34" sqref="F34"/>
      <selection pane="bottomRight" activeCell="G35" sqref="G35"/>
    </sheetView>
  </sheetViews>
  <sheetFormatPr defaultColWidth="9.140625" defaultRowHeight="15" outlineLevelCol="1" x14ac:dyDescent="0.25"/>
  <cols>
    <col min="1" max="1" width="5" style="126" customWidth="1"/>
    <col min="2" max="2" width="34" style="126" customWidth="1"/>
    <col min="3" max="4" width="18.7109375" style="126" customWidth="1"/>
    <col min="5" max="6" width="18.7109375" style="126" customWidth="1" outlineLevel="1"/>
    <col min="7" max="15" width="18.7109375" style="126" customWidth="1"/>
    <col min="16" max="18" width="18.7109375" style="126" customWidth="1" outlineLevel="1"/>
    <col min="19" max="16384" width="9.140625" style="126"/>
  </cols>
  <sheetData>
    <row r="1" spans="1:18" ht="15.75" x14ac:dyDescent="0.25">
      <c r="B1" s="127"/>
    </row>
    <row r="2" spans="1:18" ht="15" customHeight="1" x14ac:dyDescent="0.3">
      <c r="C2" s="216"/>
      <c r="D2" s="217"/>
      <c r="E2" s="217"/>
      <c r="F2" s="217"/>
      <c r="G2" s="217"/>
      <c r="H2" s="217"/>
      <c r="I2" s="217"/>
      <c r="J2" s="217"/>
      <c r="K2" s="217"/>
      <c r="L2" s="217"/>
    </row>
    <row r="3" spans="1:18" ht="20.25" x14ac:dyDescent="0.3">
      <c r="A3" s="128"/>
      <c r="B3" s="128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38"/>
      <c r="N3" s="38"/>
      <c r="O3" s="38"/>
      <c r="P3" s="38"/>
    </row>
    <row r="4" spans="1:18" ht="20.25" customHeight="1" x14ac:dyDescent="0.3">
      <c r="A4" s="128"/>
      <c r="B4" s="128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38"/>
      <c r="N4" s="38"/>
      <c r="O4" s="38"/>
      <c r="P4" s="38"/>
    </row>
    <row r="5" spans="1:18" ht="20.25" x14ac:dyDescent="0.3">
      <c r="A5" s="128"/>
      <c r="B5" s="128"/>
      <c r="D5" s="215"/>
      <c r="E5" s="215"/>
      <c r="F5" s="214"/>
      <c r="G5" s="42"/>
      <c r="H5" s="43"/>
      <c r="I5" s="43"/>
    </row>
    <row r="6" spans="1:18" ht="15.75" x14ac:dyDescent="0.25">
      <c r="B6" s="44" t="s">
        <v>1093</v>
      </c>
      <c r="C6" s="76"/>
      <c r="Q6" s="76"/>
      <c r="R6" s="76"/>
    </row>
    <row r="7" spans="1:18" x14ac:dyDescent="0.25">
      <c r="A7" s="275" t="s">
        <v>284</v>
      </c>
      <c r="B7" s="275" t="s">
        <v>285</v>
      </c>
      <c r="C7" s="282" t="s">
        <v>1005</v>
      </c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</row>
    <row r="8" spans="1:18" ht="15.75" thickBot="1" x14ac:dyDescent="0.3">
      <c r="A8" s="275"/>
      <c r="B8" s="275"/>
      <c r="C8" s="284"/>
      <c r="D8" s="279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79"/>
    </row>
    <row r="9" spans="1:18" ht="15" customHeight="1" x14ac:dyDescent="0.25">
      <c r="A9" s="275"/>
      <c r="B9" s="275"/>
      <c r="C9" s="253" t="s">
        <v>315</v>
      </c>
      <c r="D9" s="254" t="s">
        <v>1096</v>
      </c>
      <c r="E9" s="254" t="s">
        <v>287</v>
      </c>
      <c r="F9" s="254"/>
      <c r="G9" s="254"/>
      <c r="H9" s="254" t="s">
        <v>312</v>
      </c>
      <c r="I9" s="254" t="s">
        <v>262</v>
      </c>
      <c r="J9" s="254" t="s">
        <v>288</v>
      </c>
      <c r="K9" s="254"/>
      <c r="L9" s="254"/>
      <c r="M9" s="254"/>
      <c r="N9" s="269" t="s">
        <v>289</v>
      </c>
      <c r="O9" s="269"/>
      <c r="P9" s="254" t="s">
        <v>290</v>
      </c>
      <c r="Q9" s="254" t="s">
        <v>266</v>
      </c>
      <c r="R9" s="254" t="s">
        <v>291</v>
      </c>
    </row>
    <row r="10" spans="1:18" x14ac:dyDescent="0.25">
      <c r="A10" s="275"/>
      <c r="B10" s="275"/>
      <c r="C10" s="220"/>
      <c r="D10" s="224"/>
      <c r="E10" s="224" t="s">
        <v>292</v>
      </c>
      <c r="F10" s="224" t="s">
        <v>293</v>
      </c>
      <c r="G10" s="224"/>
      <c r="H10" s="224"/>
      <c r="I10" s="224"/>
      <c r="J10" s="224" t="s">
        <v>292</v>
      </c>
      <c r="K10" s="224" t="s">
        <v>294</v>
      </c>
      <c r="L10" s="224"/>
      <c r="M10" s="224"/>
      <c r="N10" s="270"/>
      <c r="O10" s="270"/>
      <c r="P10" s="224"/>
      <c r="Q10" s="224"/>
      <c r="R10" s="224"/>
    </row>
    <row r="11" spans="1:18" ht="105" x14ac:dyDescent="0.25">
      <c r="A11" s="275"/>
      <c r="B11" s="275"/>
      <c r="C11" s="254"/>
      <c r="D11" s="224"/>
      <c r="E11" s="224"/>
      <c r="F11" s="163" t="s">
        <v>259</v>
      </c>
      <c r="G11" s="163" t="s">
        <v>260</v>
      </c>
      <c r="H11" s="224"/>
      <c r="I11" s="224"/>
      <c r="J11" s="224"/>
      <c r="K11" s="163" t="s">
        <v>264</v>
      </c>
      <c r="L11" s="163" t="s">
        <v>303</v>
      </c>
      <c r="M11" s="163" t="s">
        <v>260</v>
      </c>
      <c r="N11" s="163" t="s">
        <v>965</v>
      </c>
      <c r="O11" s="163" t="s">
        <v>295</v>
      </c>
      <c r="P11" s="224"/>
      <c r="Q11" s="224"/>
      <c r="R11" s="224"/>
    </row>
    <row r="12" spans="1:18" ht="15.75" x14ac:dyDescent="0.25">
      <c r="A12" s="196" t="s">
        <v>2</v>
      </c>
      <c r="B12" s="195" t="s">
        <v>3</v>
      </c>
      <c r="C12" s="53">
        <v>0</v>
      </c>
      <c r="D12" s="53">
        <v>0</v>
      </c>
      <c r="E12" s="53">
        <v>0</v>
      </c>
      <c r="F12" s="53">
        <v>0</v>
      </c>
      <c r="G12" s="53">
        <v>0</v>
      </c>
      <c r="H12" s="53">
        <v>0</v>
      </c>
      <c r="I12" s="53">
        <v>625.21667414000001</v>
      </c>
      <c r="J12" s="53">
        <v>0</v>
      </c>
      <c r="K12" s="53">
        <v>0</v>
      </c>
      <c r="L12" s="53">
        <v>0</v>
      </c>
      <c r="M12" s="53">
        <v>0</v>
      </c>
      <c r="N12" s="53" t="s">
        <v>1094</v>
      </c>
      <c r="O12" s="53" t="s">
        <v>1094</v>
      </c>
      <c r="P12" s="53">
        <v>0</v>
      </c>
      <c r="Q12" s="53">
        <v>617.94410596000012</v>
      </c>
      <c r="R12" s="53">
        <v>7.2725681800000004</v>
      </c>
    </row>
    <row r="13" spans="1:18" ht="15.75" x14ac:dyDescent="0.25">
      <c r="A13" s="197" t="s">
        <v>6</v>
      </c>
      <c r="B13" s="190" t="s">
        <v>7</v>
      </c>
      <c r="C13" s="61">
        <v>0</v>
      </c>
      <c r="D13" s="61">
        <v>0</v>
      </c>
      <c r="E13" s="61">
        <v>0</v>
      </c>
      <c r="F13" s="61">
        <v>0</v>
      </c>
      <c r="G13" s="61">
        <v>0</v>
      </c>
      <c r="H13" s="61">
        <v>0</v>
      </c>
      <c r="I13" s="61">
        <v>163.17735060000004</v>
      </c>
      <c r="J13" s="61">
        <v>0</v>
      </c>
      <c r="K13" s="61">
        <v>0</v>
      </c>
      <c r="L13" s="61">
        <v>0</v>
      </c>
      <c r="M13" s="61">
        <v>0</v>
      </c>
      <c r="N13" s="61" t="s">
        <v>1094</v>
      </c>
      <c r="O13" s="61" t="s">
        <v>1094</v>
      </c>
      <c r="P13" s="61">
        <v>0</v>
      </c>
      <c r="Q13" s="61">
        <v>163.01480870000003</v>
      </c>
      <c r="R13" s="61">
        <v>0.16254190000000066</v>
      </c>
    </row>
    <row r="14" spans="1:18" ht="15.75" x14ac:dyDescent="0.25">
      <c r="A14" s="198" t="s">
        <v>9</v>
      </c>
      <c r="B14" s="189" t="s">
        <v>10</v>
      </c>
      <c r="C14" s="66">
        <v>0</v>
      </c>
      <c r="D14" s="66">
        <v>0</v>
      </c>
      <c r="E14" s="66">
        <v>0</v>
      </c>
      <c r="F14" s="66">
        <v>0</v>
      </c>
      <c r="G14" s="66">
        <v>0</v>
      </c>
      <c r="H14" s="66">
        <v>0</v>
      </c>
      <c r="I14" s="66">
        <v>0</v>
      </c>
      <c r="J14" s="66">
        <v>0</v>
      </c>
      <c r="K14" s="66">
        <v>0</v>
      </c>
      <c r="L14" s="66">
        <v>0</v>
      </c>
      <c r="M14" s="66">
        <v>0</v>
      </c>
      <c r="N14" s="67" t="s">
        <v>1094</v>
      </c>
      <c r="O14" s="67" t="s">
        <v>1094</v>
      </c>
      <c r="P14" s="67">
        <v>0</v>
      </c>
      <c r="Q14" s="66">
        <v>0</v>
      </c>
      <c r="R14" s="67">
        <v>0</v>
      </c>
    </row>
    <row r="15" spans="1:18" ht="15.75" x14ac:dyDescent="0.25">
      <c r="A15" s="198" t="s">
        <v>12</v>
      </c>
      <c r="B15" s="189" t="s">
        <v>13</v>
      </c>
      <c r="C15" s="66">
        <v>0</v>
      </c>
      <c r="D15" s="66">
        <v>0</v>
      </c>
      <c r="E15" s="66">
        <v>0</v>
      </c>
      <c r="F15" s="66">
        <v>0</v>
      </c>
      <c r="G15" s="66">
        <v>0</v>
      </c>
      <c r="H15" s="66">
        <v>0</v>
      </c>
      <c r="I15" s="66">
        <v>8.2437409499999994</v>
      </c>
      <c r="J15" s="66">
        <v>0</v>
      </c>
      <c r="K15" s="66">
        <v>0</v>
      </c>
      <c r="L15" s="66">
        <v>0</v>
      </c>
      <c r="M15" s="66">
        <v>0</v>
      </c>
      <c r="N15" s="67" t="s">
        <v>1094</v>
      </c>
      <c r="O15" s="67" t="s">
        <v>1094</v>
      </c>
      <c r="P15" s="67">
        <v>0</v>
      </c>
      <c r="Q15" s="66">
        <v>8.2437409499999994</v>
      </c>
      <c r="R15" s="67">
        <v>0</v>
      </c>
    </row>
    <row r="16" spans="1:18" ht="15.75" x14ac:dyDescent="0.25">
      <c r="A16" s="198" t="s">
        <v>15</v>
      </c>
      <c r="B16" s="189" t="s">
        <v>16</v>
      </c>
      <c r="C16" s="66">
        <v>0</v>
      </c>
      <c r="D16" s="66">
        <v>0</v>
      </c>
      <c r="E16" s="66">
        <v>0</v>
      </c>
      <c r="F16" s="66">
        <v>0</v>
      </c>
      <c r="G16" s="66">
        <v>0</v>
      </c>
      <c r="H16" s="66">
        <v>0</v>
      </c>
      <c r="I16" s="66">
        <v>0</v>
      </c>
      <c r="J16" s="66">
        <v>0</v>
      </c>
      <c r="K16" s="66">
        <v>0</v>
      </c>
      <c r="L16" s="66">
        <v>0</v>
      </c>
      <c r="M16" s="66">
        <v>0</v>
      </c>
      <c r="N16" s="67" t="s">
        <v>1094</v>
      </c>
      <c r="O16" s="67" t="s">
        <v>1094</v>
      </c>
      <c r="P16" s="67">
        <v>0</v>
      </c>
      <c r="Q16" s="66">
        <v>0</v>
      </c>
      <c r="R16" s="67">
        <v>0</v>
      </c>
    </row>
    <row r="17" spans="1:18" ht="15.75" x14ac:dyDescent="0.25">
      <c r="A17" s="198" t="s">
        <v>18</v>
      </c>
      <c r="B17" s="189" t="s">
        <v>19</v>
      </c>
      <c r="C17" s="66">
        <v>0</v>
      </c>
      <c r="D17" s="66">
        <v>0</v>
      </c>
      <c r="E17" s="66">
        <v>0</v>
      </c>
      <c r="F17" s="66">
        <v>0</v>
      </c>
      <c r="G17" s="66">
        <v>0</v>
      </c>
      <c r="H17" s="66">
        <v>0</v>
      </c>
      <c r="I17" s="66">
        <v>92.595689309999997</v>
      </c>
      <c r="J17" s="66">
        <v>0</v>
      </c>
      <c r="K17" s="66">
        <v>0</v>
      </c>
      <c r="L17" s="66">
        <v>0</v>
      </c>
      <c r="M17" s="66">
        <v>0</v>
      </c>
      <c r="N17" s="67" t="s">
        <v>1094</v>
      </c>
      <c r="O17" s="67" t="s">
        <v>1094</v>
      </c>
      <c r="P17" s="67">
        <v>0</v>
      </c>
      <c r="Q17" s="66">
        <v>92.595689309999997</v>
      </c>
      <c r="R17" s="67">
        <v>0</v>
      </c>
    </row>
    <row r="18" spans="1:18" ht="15.75" x14ac:dyDescent="0.25">
      <c r="A18" s="198" t="s">
        <v>21</v>
      </c>
      <c r="B18" s="189" t="s">
        <v>22</v>
      </c>
      <c r="C18" s="66">
        <v>0</v>
      </c>
      <c r="D18" s="66">
        <v>0</v>
      </c>
      <c r="E18" s="66">
        <v>0</v>
      </c>
      <c r="F18" s="66">
        <v>0</v>
      </c>
      <c r="G18" s="66">
        <v>0</v>
      </c>
      <c r="H18" s="66">
        <v>0</v>
      </c>
      <c r="I18" s="66">
        <v>0.17411210000000002</v>
      </c>
      <c r="J18" s="66">
        <v>0</v>
      </c>
      <c r="K18" s="66">
        <v>0</v>
      </c>
      <c r="L18" s="66">
        <v>0</v>
      </c>
      <c r="M18" s="66">
        <v>0</v>
      </c>
      <c r="N18" s="67" t="s">
        <v>1094</v>
      </c>
      <c r="O18" s="67" t="s">
        <v>1094</v>
      </c>
      <c r="P18" s="67">
        <v>0</v>
      </c>
      <c r="Q18" s="66">
        <v>0.17411210000000002</v>
      </c>
      <c r="R18" s="67">
        <v>0</v>
      </c>
    </row>
    <row r="19" spans="1:18" ht="15.75" x14ac:dyDescent="0.25">
      <c r="A19" s="198" t="s">
        <v>24</v>
      </c>
      <c r="B19" s="189" t="s">
        <v>25</v>
      </c>
      <c r="C19" s="66">
        <v>0</v>
      </c>
      <c r="D19" s="66">
        <v>0</v>
      </c>
      <c r="E19" s="66">
        <v>0</v>
      </c>
      <c r="F19" s="66">
        <v>0</v>
      </c>
      <c r="G19" s="66">
        <v>0</v>
      </c>
      <c r="H19" s="66">
        <v>0</v>
      </c>
      <c r="I19" s="66">
        <v>0.12590000000000001</v>
      </c>
      <c r="J19" s="66">
        <v>0</v>
      </c>
      <c r="K19" s="66">
        <v>0</v>
      </c>
      <c r="L19" s="66">
        <v>0</v>
      </c>
      <c r="M19" s="66">
        <v>0</v>
      </c>
      <c r="N19" s="67" t="s">
        <v>1094</v>
      </c>
      <c r="O19" s="67" t="s">
        <v>1094</v>
      </c>
      <c r="P19" s="67">
        <v>0</v>
      </c>
      <c r="Q19" s="66">
        <v>0.12590000000000001</v>
      </c>
      <c r="R19" s="67">
        <v>0</v>
      </c>
    </row>
    <row r="20" spans="1:18" ht="15.75" x14ac:dyDescent="0.25">
      <c r="A20" s="198" t="s">
        <v>27</v>
      </c>
      <c r="B20" s="189" t="s">
        <v>28</v>
      </c>
      <c r="C20" s="66">
        <v>0</v>
      </c>
      <c r="D20" s="66">
        <v>0</v>
      </c>
      <c r="E20" s="66">
        <v>0</v>
      </c>
      <c r="F20" s="66">
        <v>0</v>
      </c>
      <c r="G20" s="66">
        <v>0</v>
      </c>
      <c r="H20" s="66">
        <v>0</v>
      </c>
      <c r="I20" s="66">
        <v>8.04243065</v>
      </c>
      <c r="J20" s="66">
        <v>0</v>
      </c>
      <c r="K20" s="66">
        <v>0</v>
      </c>
      <c r="L20" s="66">
        <v>0</v>
      </c>
      <c r="M20" s="66">
        <v>0</v>
      </c>
      <c r="N20" s="67" t="s">
        <v>1094</v>
      </c>
      <c r="O20" s="67" t="s">
        <v>1094</v>
      </c>
      <c r="P20" s="67">
        <v>0</v>
      </c>
      <c r="Q20" s="66">
        <v>8.04243065</v>
      </c>
      <c r="R20" s="67">
        <v>0</v>
      </c>
    </row>
    <row r="21" spans="1:18" ht="15.75" x14ac:dyDescent="0.25">
      <c r="A21" s="198" t="s">
        <v>30</v>
      </c>
      <c r="B21" s="189" t="s">
        <v>31</v>
      </c>
      <c r="C21" s="66">
        <v>0</v>
      </c>
      <c r="D21" s="66">
        <v>0</v>
      </c>
      <c r="E21" s="66">
        <v>0</v>
      </c>
      <c r="F21" s="66">
        <v>0</v>
      </c>
      <c r="G21" s="66">
        <v>0</v>
      </c>
      <c r="H21" s="66">
        <v>0</v>
      </c>
      <c r="I21" s="66">
        <v>8.0757396000000004</v>
      </c>
      <c r="J21" s="66">
        <v>0</v>
      </c>
      <c r="K21" s="66">
        <v>0</v>
      </c>
      <c r="L21" s="66">
        <v>0</v>
      </c>
      <c r="M21" s="66">
        <v>0</v>
      </c>
      <c r="N21" s="67" t="s">
        <v>1094</v>
      </c>
      <c r="O21" s="67" t="s">
        <v>1094</v>
      </c>
      <c r="P21" s="67">
        <v>0</v>
      </c>
      <c r="Q21" s="66">
        <v>8.0757396000000004</v>
      </c>
      <c r="R21" s="67">
        <v>0</v>
      </c>
    </row>
    <row r="22" spans="1:18" ht="15.75" x14ac:dyDescent="0.25">
      <c r="A22" s="198" t="s">
        <v>33</v>
      </c>
      <c r="B22" s="189" t="s">
        <v>34</v>
      </c>
      <c r="C22" s="66">
        <v>0</v>
      </c>
      <c r="D22" s="66">
        <v>0</v>
      </c>
      <c r="E22" s="66">
        <v>0</v>
      </c>
      <c r="F22" s="66">
        <v>0</v>
      </c>
      <c r="G22" s="66">
        <v>0</v>
      </c>
      <c r="H22" s="66">
        <v>0</v>
      </c>
      <c r="I22" s="66">
        <v>5.8158714699999994</v>
      </c>
      <c r="J22" s="66">
        <v>0</v>
      </c>
      <c r="K22" s="66">
        <v>0</v>
      </c>
      <c r="L22" s="66">
        <v>0</v>
      </c>
      <c r="M22" s="66">
        <v>0</v>
      </c>
      <c r="N22" s="67" t="s">
        <v>1094</v>
      </c>
      <c r="O22" s="67" t="s">
        <v>1094</v>
      </c>
      <c r="P22" s="67">
        <v>0</v>
      </c>
      <c r="Q22" s="66">
        <v>5.8158714699999994</v>
      </c>
      <c r="R22" s="67">
        <v>0</v>
      </c>
    </row>
    <row r="23" spans="1:18" ht="15.75" x14ac:dyDescent="0.25">
      <c r="A23" s="198" t="s">
        <v>36</v>
      </c>
      <c r="B23" s="189" t="s">
        <v>37</v>
      </c>
      <c r="C23" s="66">
        <v>0</v>
      </c>
      <c r="D23" s="66">
        <v>0</v>
      </c>
      <c r="E23" s="66">
        <v>0</v>
      </c>
      <c r="F23" s="66">
        <v>0</v>
      </c>
      <c r="G23" s="66">
        <v>0</v>
      </c>
      <c r="H23" s="66">
        <v>0</v>
      </c>
      <c r="I23" s="66">
        <v>12.140779500000001</v>
      </c>
      <c r="J23" s="66">
        <v>0</v>
      </c>
      <c r="K23" s="66">
        <v>0</v>
      </c>
      <c r="L23" s="66">
        <v>0</v>
      </c>
      <c r="M23" s="66">
        <v>0</v>
      </c>
      <c r="N23" s="67" t="s">
        <v>1094</v>
      </c>
      <c r="O23" s="67" t="s">
        <v>1094</v>
      </c>
      <c r="P23" s="67">
        <v>0</v>
      </c>
      <c r="Q23" s="66">
        <v>12.140779500000001</v>
      </c>
      <c r="R23" s="67">
        <v>0</v>
      </c>
    </row>
    <row r="24" spans="1:18" ht="15.75" x14ac:dyDescent="0.25">
      <c r="A24" s="198" t="s">
        <v>39</v>
      </c>
      <c r="B24" s="189" t="s">
        <v>297</v>
      </c>
      <c r="C24" s="66">
        <v>0</v>
      </c>
      <c r="D24" s="66">
        <v>0</v>
      </c>
      <c r="E24" s="66">
        <v>0</v>
      </c>
      <c r="F24" s="66">
        <v>0</v>
      </c>
      <c r="G24" s="66">
        <v>0</v>
      </c>
      <c r="H24" s="66">
        <v>0</v>
      </c>
      <c r="I24" s="66">
        <v>0</v>
      </c>
      <c r="J24" s="66">
        <v>0</v>
      </c>
      <c r="K24" s="66">
        <v>0</v>
      </c>
      <c r="L24" s="66">
        <v>0</v>
      </c>
      <c r="M24" s="66">
        <v>0</v>
      </c>
      <c r="N24" s="67" t="s">
        <v>1094</v>
      </c>
      <c r="O24" s="67" t="s">
        <v>1094</v>
      </c>
      <c r="P24" s="67">
        <v>0</v>
      </c>
      <c r="Q24" s="66">
        <v>0</v>
      </c>
      <c r="R24" s="67">
        <v>0</v>
      </c>
    </row>
    <row r="25" spans="1:18" ht="15.75" x14ac:dyDescent="0.25">
      <c r="A25" s="198" t="s">
        <v>41</v>
      </c>
      <c r="B25" s="189" t="s">
        <v>42</v>
      </c>
      <c r="C25" s="66">
        <v>0</v>
      </c>
      <c r="D25" s="66">
        <v>0</v>
      </c>
      <c r="E25" s="66">
        <v>0</v>
      </c>
      <c r="F25" s="66">
        <v>0</v>
      </c>
      <c r="G25" s="66">
        <v>0</v>
      </c>
      <c r="H25" s="66">
        <v>0</v>
      </c>
      <c r="I25" s="66">
        <v>13.357171060000001</v>
      </c>
      <c r="J25" s="66">
        <v>0</v>
      </c>
      <c r="K25" s="66">
        <v>0</v>
      </c>
      <c r="L25" s="66">
        <v>0</v>
      </c>
      <c r="M25" s="66">
        <v>0</v>
      </c>
      <c r="N25" s="67" t="s">
        <v>1094</v>
      </c>
      <c r="O25" s="67" t="s">
        <v>1094</v>
      </c>
      <c r="P25" s="67">
        <v>0</v>
      </c>
      <c r="Q25" s="66">
        <v>13.35462916</v>
      </c>
      <c r="R25" s="67">
        <v>2.541900000000652E-3</v>
      </c>
    </row>
    <row r="26" spans="1:18" ht="15.75" x14ac:dyDescent="0.25">
      <c r="A26" s="198" t="s">
        <v>44</v>
      </c>
      <c r="B26" s="189" t="s">
        <v>45</v>
      </c>
      <c r="C26" s="66">
        <v>0</v>
      </c>
      <c r="D26" s="66">
        <v>0</v>
      </c>
      <c r="E26" s="66">
        <v>0</v>
      </c>
      <c r="F26" s="66">
        <v>0</v>
      </c>
      <c r="G26" s="66">
        <v>0</v>
      </c>
      <c r="H26" s="66">
        <v>0</v>
      </c>
      <c r="I26" s="66">
        <v>0</v>
      </c>
      <c r="J26" s="66">
        <v>0</v>
      </c>
      <c r="K26" s="66">
        <v>0</v>
      </c>
      <c r="L26" s="66">
        <v>0</v>
      </c>
      <c r="M26" s="66">
        <v>0</v>
      </c>
      <c r="N26" s="67" t="s">
        <v>1094</v>
      </c>
      <c r="O26" s="67" t="s">
        <v>1094</v>
      </c>
      <c r="P26" s="67">
        <v>0</v>
      </c>
      <c r="Q26" s="66">
        <v>0</v>
      </c>
      <c r="R26" s="67">
        <v>0</v>
      </c>
    </row>
    <row r="27" spans="1:18" ht="15.75" x14ac:dyDescent="0.25">
      <c r="A27" s="198" t="s">
        <v>47</v>
      </c>
      <c r="B27" s="189" t="s">
        <v>48</v>
      </c>
      <c r="C27" s="66">
        <v>0</v>
      </c>
      <c r="D27" s="66">
        <v>0</v>
      </c>
      <c r="E27" s="66">
        <v>0</v>
      </c>
      <c r="F27" s="66">
        <v>0</v>
      </c>
      <c r="G27" s="66">
        <v>0</v>
      </c>
      <c r="H27" s="66">
        <v>0</v>
      </c>
      <c r="I27" s="66">
        <v>1.9206153500000001</v>
      </c>
      <c r="J27" s="66">
        <v>0</v>
      </c>
      <c r="K27" s="66">
        <v>0</v>
      </c>
      <c r="L27" s="66">
        <v>0</v>
      </c>
      <c r="M27" s="66">
        <v>0</v>
      </c>
      <c r="N27" s="67" t="s">
        <v>1094</v>
      </c>
      <c r="O27" s="67" t="s">
        <v>1094</v>
      </c>
      <c r="P27" s="67">
        <v>0</v>
      </c>
      <c r="Q27" s="66">
        <v>1.9206153500000001</v>
      </c>
      <c r="R27" s="67">
        <v>0</v>
      </c>
    </row>
    <row r="28" spans="1:18" ht="15.75" x14ac:dyDescent="0.25">
      <c r="A28" s="198" t="s">
        <v>50</v>
      </c>
      <c r="B28" s="189" t="s">
        <v>51</v>
      </c>
      <c r="C28" s="66">
        <v>0</v>
      </c>
      <c r="D28" s="66">
        <v>0</v>
      </c>
      <c r="E28" s="66">
        <v>0</v>
      </c>
      <c r="F28" s="66">
        <v>0</v>
      </c>
      <c r="G28" s="66">
        <v>0</v>
      </c>
      <c r="H28" s="66">
        <v>0</v>
      </c>
      <c r="I28" s="66">
        <v>3.95905189</v>
      </c>
      <c r="J28" s="66">
        <v>0</v>
      </c>
      <c r="K28" s="66">
        <v>0</v>
      </c>
      <c r="L28" s="66">
        <v>0</v>
      </c>
      <c r="M28" s="66">
        <v>0</v>
      </c>
      <c r="N28" s="67" t="s">
        <v>1094</v>
      </c>
      <c r="O28" s="67" t="s">
        <v>1094</v>
      </c>
      <c r="P28" s="67">
        <v>0</v>
      </c>
      <c r="Q28" s="66">
        <v>3.95905189</v>
      </c>
      <c r="R28" s="67">
        <v>0</v>
      </c>
    </row>
    <row r="29" spans="1:18" ht="15.75" x14ac:dyDescent="0.25">
      <c r="A29" s="198" t="s">
        <v>53</v>
      </c>
      <c r="B29" s="189" t="s">
        <v>54</v>
      </c>
      <c r="C29" s="66">
        <v>0</v>
      </c>
      <c r="D29" s="66">
        <v>0</v>
      </c>
      <c r="E29" s="66">
        <v>0</v>
      </c>
      <c r="F29" s="66">
        <v>0</v>
      </c>
      <c r="G29" s="66">
        <v>0</v>
      </c>
      <c r="H29" s="66">
        <v>0</v>
      </c>
      <c r="I29" s="66">
        <v>1.6813868300000001</v>
      </c>
      <c r="J29" s="66">
        <v>0</v>
      </c>
      <c r="K29" s="66">
        <v>0</v>
      </c>
      <c r="L29" s="66">
        <v>0</v>
      </c>
      <c r="M29" s="66">
        <v>0</v>
      </c>
      <c r="N29" s="67" t="s">
        <v>1094</v>
      </c>
      <c r="O29" s="67" t="s">
        <v>1094</v>
      </c>
      <c r="P29" s="67">
        <v>0</v>
      </c>
      <c r="Q29" s="66">
        <v>1.6813868300000001</v>
      </c>
      <c r="R29" s="67">
        <v>0</v>
      </c>
    </row>
    <row r="30" spans="1:18" ht="15.75" x14ac:dyDescent="0.25">
      <c r="A30" s="198" t="s">
        <v>56</v>
      </c>
      <c r="B30" s="189" t="s">
        <v>57</v>
      </c>
      <c r="C30" s="66">
        <v>0</v>
      </c>
      <c r="D30" s="66">
        <v>0</v>
      </c>
      <c r="E30" s="66">
        <v>0</v>
      </c>
      <c r="F30" s="66">
        <v>0</v>
      </c>
      <c r="G30" s="66">
        <v>0</v>
      </c>
      <c r="H30" s="66">
        <v>0</v>
      </c>
      <c r="I30" s="66">
        <v>6.70602096</v>
      </c>
      <c r="J30" s="66">
        <v>0</v>
      </c>
      <c r="K30" s="66">
        <v>0</v>
      </c>
      <c r="L30" s="66">
        <v>0</v>
      </c>
      <c r="M30" s="66">
        <v>0</v>
      </c>
      <c r="N30" s="67" t="s">
        <v>1094</v>
      </c>
      <c r="O30" s="67" t="s">
        <v>1094</v>
      </c>
      <c r="P30" s="67">
        <v>0</v>
      </c>
      <c r="Q30" s="66">
        <v>6.70602096</v>
      </c>
      <c r="R30" s="67">
        <v>0</v>
      </c>
    </row>
    <row r="31" spans="1:18" ht="15.75" x14ac:dyDescent="0.25">
      <c r="A31" s="198" t="s">
        <v>59</v>
      </c>
      <c r="B31" s="189" t="s">
        <v>60</v>
      </c>
      <c r="C31" s="66">
        <v>0</v>
      </c>
      <c r="D31" s="66">
        <v>0</v>
      </c>
      <c r="E31" s="66">
        <v>0</v>
      </c>
      <c r="F31" s="66">
        <v>0</v>
      </c>
      <c r="G31" s="66">
        <v>0</v>
      </c>
      <c r="H31" s="66">
        <v>0</v>
      </c>
      <c r="I31" s="66">
        <v>0.33884092999999998</v>
      </c>
      <c r="J31" s="66">
        <v>0</v>
      </c>
      <c r="K31" s="66">
        <v>0</v>
      </c>
      <c r="L31" s="66">
        <v>0</v>
      </c>
      <c r="M31" s="66">
        <v>0</v>
      </c>
      <c r="N31" s="67" t="s">
        <v>1094</v>
      </c>
      <c r="O31" s="67" t="s">
        <v>1094</v>
      </c>
      <c r="P31" s="67">
        <v>0</v>
      </c>
      <c r="Q31" s="66">
        <v>0.17884092999999998</v>
      </c>
      <c r="R31" s="67">
        <v>0.16</v>
      </c>
    </row>
    <row r="32" spans="1:18" ht="15.75" x14ac:dyDescent="0.25">
      <c r="A32" s="197" t="s">
        <v>62</v>
      </c>
      <c r="B32" s="190" t="s">
        <v>63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5.4585280899999997</v>
      </c>
      <c r="J32" s="61">
        <v>0</v>
      </c>
      <c r="K32" s="61">
        <v>0</v>
      </c>
      <c r="L32" s="61">
        <v>0</v>
      </c>
      <c r="M32" s="61">
        <v>0</v>
      </c>
      <c r="N32" s="61" t="s">
        <v>1094</v>
      </c>
      <c r="O32" s="61" t="s">
        <v>1094</v>
      </c>
      <c r="P32" s="61">
        <v>0</v>
      </c>
      <c r="Q32" s="61">
        <v>5.4585280899999997</v>
      </c>
      <c r="R32" s="61">
        <v>0</v>
      </c>
    </row>
    <row r="33" spans="1:18" ht="15.75" x14ac:dyDescent="0.25">
      <c r="A33" s="198" t="s">
        <v>65</v>
      </c>
      <c r="B33" s="189" t="s">
        <v>66</v>
      </c>
      <c r="C33" s="66">
        <v>0</v>
      </c>
      <c r="D33" s="66">
        <v>0</v>
      </c>
      <c r="E33" s="66">
        <v>0</v>
      </c>
      <c r="F33" s="66">
        <v>0</v>
      </c>
      <c r="G33" s="66">
        <v>0</v>
      </c>
      <c r="H33" s="66">
        <v>0</v>
      </c>
      <c r="I33" s="66">
        <v>0</v>
      </c>
      <c r="J33" s="66">
        <v>0</v>
      </c>
      <c r="K33" s="66">
        <v>0</v>
      </c>
      <c r="L33" s="66">
        <v>0</v>
      </c>
      <c r="M33" s="66">
        <v>0</v>
      </c>
      <c r="N33" s="67" t="s">
        <v>1094</v>
      </c>
      <c r="O33" s="67" t="s">
        <v>1094</v>
      </c>
      <c r="P33" s="67">
        <v>0</v>
      </c>
      <c r="Q33" s="66">
        <v>0</v>
      </c>
      <c r="R33" s="67">
        <v>0</v>
      </c>
    </row>
    <row r="34" spans="1:18" ht="15.75" x14ac:dyDescent="0.25">
      <c r="A34" s="198" t="s">
        <v>68</v>
      </c>
      <c r="B34" s="189" t="s">
        <v>69</v>
      </c>
      <c r="C34" s="66">
        <v>0</v>
      </c>
      <c r="D34" s="66">
        <v>0</v>
      </c>
      <c r="E34" s="66">
        <v>0</v>
      </c>
      <c r="F34" s="66">
        <v>0</v>
      </c>
      <c r="G34" s="66">
        <v>0</v>
      </c>
      <c r="H34" s="66">
        <v>0</v>
      </c>
      <c r="I34" s="66">
        <v>0.10054898</v>
      </c>
      <c r="J34" s="66">
        <v>0</v>
      </c>
      <c r="K34" s="66">
        <v>0</v>
      </c>
      <c r="L34" s="66">
        <v>0</v>
      </c>
      <c r="M34" s="66">
        <v>0</v>
      </c>
      <c r="N34" s="67" t="s">
        <v>1094</v>
      </c>
      <c r="O34" s="67" t="s">
        <v>1094</v>
      </c>
      <c r="P34" s="67">
        <v>0</v>
      </c>
      <c r="Q34" s="66">
        <v>0.10054898</v>
      </c>
      <c r="R34" s="67">
        <v>0</v>
      </c>
    </row>
    <row r="35" spans="1:18" ht="15.75" x14ac:dyDescent="0.25">
      <c r="A35" s="198" t="s">
        <v>71</v>
      </c>
      <c r="B35" s="189" t="s">
        <v>72</v>
      </c>
      <c r="C35" s="66">
        <v>0</v>
      </c>
      <c r="D35" s="66">
        <v>0</v>
      </c>
      <c r="E35" s="66">
        <v>0</v>
      </c>
      <c r="F35" s="66">
        <v>0</v>
      </c>
      <c r="G35" s="66">
        <v>0</v>
      </c>
      <c r="H35" s="66">
        <v>0</v>
      </c>
      <c r="I35" s="66">
        <v>0.80803196999999993</v>
      </c>
      <c r="J35" s="66">
        <v>0</v>
      </c>
      <c r="K35" s="66">
        <v>0</v>
      </c>
      <c r="L35" s="66">
        <v>0</v>
      </c>
      <c r="M35" s="66">
        <v>0</v>
      </c>
      <c r="N35" s="67" t="s">
        <v>1094</v>
      </c>
      <c r="O35" s="67" t="s">
        <v>1094</v>
      </c>
      <c r="P35" s="67">
        <v>0</v>
      </c>
      <c r="Q35" s="66">
        <v>0.80803196999999993</v>
      </c>
      <c r="R35" s="67">
        <v>0</v>
      </c>
    </row>
    <row r="36" spans="1:18" ht="15.75" x14ac:dyDescent="0.25">
      <c r="A36" s="198" t="s">
        <v>74</v>
      </c>
      <c r="B36" s="189" t="s">
        <v>298</v>
      </c>
      <c r="C36" s="66">
        <v>0</v>
      </c>
      <c r="D36" s="66">
        <v>0</v>
      </c>
      <c r="E36" s="66">
        <v>0</v>
      </c>
      <c r="F36" s="66">
        <v>0</v>
      </c>
      <c r="G36" s="66">
        <v>0</v>
      </c>
      <c r="H36" s="66">
        <v>0</v>
      </c>
      <c r="I36" s="66">
        <v>0</v>
      </c>
      <c r="J36" s="66">
        <v>0</v>
      </c>
      <c r="K36" s="66">
        <v>0</v>
      </c>
      <c r="L36" s="66">
        <v>0</v>
      </c>
      <c r="M36" s="66">
        <v>0</v>
      </c>
      <c r="N36" s="67" t="s">
        <v>1094</v>
      </c>
      <c r="O36" s="67" t="s">
        <v>1094</v>
      </c>
      <c r="P36" s="67">
        <v>0</v>
      </c>
      <c r="Q36" s="66">
        <v>0</v>
      </c>
      <c r="R36" s="67">
        <v>0</v>
      </c>
    </row>
    <row r="37" spans="1:18" ht="15.75" x14ac:dyDescent="0.25">
      <c r="A37" s="198" t="s">
        <v>76</v>
      </c>
      <c r="B37" s="189" t="s">
        <v>77</v>
      </c>
      <c r="C37" s="66">
        <v>0</v>
      </c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1.3716255100000001</v>
      </c>
      <c r="J37" s="66">
        <v>0</v>
      </c>
      <c r="K37" s="66">
        <v>0</v>
      </c>
      <c r="L37" s="66">
        <v>0</v>
      </c>
      <c r="M37" s="66">
        <v>0</v>
      </c>
      <c r="N37" s="67" t="s">
        <v>1094</v>
      </c>
      <c r="O37" s="67" t="s">
        <v>1094</v>
      </c>
      <c r="P37" s="67">
        <v>0</v>
      </c>
      <c r="Q37" s="66">
        <v>1.3716255100000001</v>
      </c>
      <c r="R37" s="67">
        <v>0</v>
      </c>
    </row>
    <row r="38" spans="1:18" ht="15.75" x14ac:dyDescent="0.25">
      <c r="A38" s="198" t="s">
        <v>79</v>
      </c>
      <c r="B38" s="189" t="s">
        <v>80</v>
      </c>
      <c r="C38" s="66">
        <v>0</v>
      </c>
      <c r="D38" s="66">
        <v>0</v>
      </c>
      <c r="E38" s="66">
        <v>0</v>
      </c>
      <c r="F38" s="66">
        <v>0</v>
      </c>
      <c r="G38" s="66">
        <v>0</v>
      </c>
      <c r="H38" s="66">
        <v>0</v>
      </c>
      <c r="I38" s="66">
        <v>0.847858</v>
      </c>
      <c r="J38" s="66">
        <v>0</v>
      </c>
      <c r="K38" s="66">
        <v>0</v>
      </c>
      <c r="L38" s="66">
        <v>0</v>
      </c>
      <c r="M38" s="66">
        <v>0</v>
      </c>
      <c r="N38" s="67" t="s">
        <v>1094</v>
      </c>
      <c r="O38" s="67" t="s">
        <v>1094</v>
      </c>
      <c r="P38" s="67">
        <v>0</v>
      </c>
      <c r="Q38" s="66">
        <v>0.847858</v>
      </c>
      <c r="R38" s="67">
        <v>0</v>
      </c>
    </row>
    <row r="39" spans="1:18" ht="15.75" x14ac:dyDescent="0.25">
      <c r="A39" s="198" t="s">
        <v>82</v>
      </c>
      <c r="B39" s="189" t="s">
        <v>83</v>
      </c>
      <c r="C39" s="66">
        <v>0</v>
      </c>
      <c r="D39" s="66">
        <v>0</v>
      </c>
      <c r="E39" s="66">
        <v>0</v>
      </c>
      <c r="F39" s="66">
        <v>0</v>
      </c>
      <c r="G39" s="66">
        <v>0</v>
      </c>
      <c r="H39" s="66">
        <v>0</v>
      </c>
      <c r="I39" s="66">
        <v>2.4964E-2</v>
      </c>
      <c r="J39" s="66">
        <v>0</v>
      </c>
      <c r="K39" s="66">
        <v>0</v>
      </c>
      <c r="L39" s="66">
        <v>0</v>
      </c>
      <c r="M39" s="66">
        <v>0</v>
      </c>
      <c r="N39" s="67" t="s">
        <v>1094</v>
      </c>
      <c r="O39" s="67" t="s">
        <v>1094</v>
      </c>
      <c r="P39" s="67">
        <v>0</v>
      </c>
      <c r="Q39" s="66">
        <v>2.4964E-2</v>
      </c>
      <c r="R39" s="67">
        <v>0</v>
      </c>
    </row>
    <row r="40" spans="1:18" ht="15.75" x14ac:dyDescent="0.25">
      <c r="A40" s="198" t="s">
        <v>85</v>
      </c>
      <c r="B40" s="189" t="s">
        <v>299</v>
      </c>
      <c r="C40" s="66">
        <v>0</v>
      </c>
      <c r="D40" s="66">
        <v>0</v>
      </c>
      <c r="E40" s="66">
        <v>0</v>
      </c>
      <c r="F40" s="66">
        <v>0</v>
      </c>
      <c r="G40" s="66">
        <v>0</v>
      </c>
      <c r="H40" s="66">
        <v>0</v>
      </c>
      <c r="I40" s="66">
        <v>0</v>
      </c>
      <c r="J40" s="66">
        <v>0</v>
      </c>
      <c r="K40" s="66">
        <v>0</v>
      </c>
      <c r="L40" s="66">
        <v>0</v>
      </c>
      <c r="M40" s="66">
        <v>0</v>
      </c>
      <c r="N40" s="67" t="s">
        <v>1094</v>
      </c>
      <c r="O40" s="67" t="s">
        <v>1094</v>
      </c>
      <c r="P40" s="67">
        <v>0</v>
      </c>
      <c r="Q40" s="66">
        <v>0</v>
      </c>
      <c r="R40" s="67">
        <v>0</v>
      </c>
    </row>
    <row r="41" spans="1:18" ht="15.75" x14ac:dyDescent="0.25">
      <c r="A41" s="198" t="s">
        <v>87</v>
      </c>
      <c r="B41" s="189" t="s">
        <v>88</v>
      </c>
      <c r="C41" s="66">
        <v>0</v>
      </c>
      <c r="D41" s="66">
        <v>0</v>
      </c>
      <c r="E41" s="66">
        <v>0</v>
      </c>
      <c r="F41" s="66">
        <v>0</v>
      </c>
      <c r="G41" s="66">
        <v>0</v>
      </c>
      <c r="H41" s="66">
        <v>0</v>
      </c>
      <c r="I41" s="66">
        <v>0</v>
      </c>
      <c r="J41" s="66">
        <v>0</v>
      </c>
      <c r="K41" s="66">
        <v>0</v>
      </c>
      <c r="L41" s="66">
        <v>0</v>
      </c>
      <c r="M41" s="66">
        <v>0</v>
      </c>
      <c r="N41" s="67" t="s">
        <v>1094</v>
      </c>
      <c r="O41" s="67" t="s">
        <v>1094</v>
      </c>
      <c r="P41" s="67">
        <v>0</v>
      </c>
      <c r="Q41" s="66">
        <v>0</v>
      </c>
      <c r="R41" s="67">
        <v>0</v>
      </c>
    </row>
    <row r="42" spans="1:18" ht="15.75" x14ac:dyDescent="0.25">
      <c r="A42" s="198" t="s">
        <v>90</v>
      </c>
      <c r="B42" s="189" t="s">
        <v>91</v>
      </c>
      <c r="C42" s="66">
        <v>0</v>
      </c>
      <c r="D42" s="66">
        <v>0</v>
      </c>
      <c r="E42" s="66">
        <v>0</v>
      </c>
      <c r="F42" s="66">
        <v>0</v>
      </c>
      <c r="G42" s="66">
        <v>0</v>
      </c>
      <c r="H42" s="66">
        <v>0</v>
      </c>
      <c r="I42" s="66">
        <v>0.47263317999999999</v>
      </c>
      <c r="J42" s="66">
        <v>0</v>
      </c>
      <c r="K42" s="66">
        <v>0</v>
      </c>
      <c r="L42" s="66">
        <v>0</v>
      </c>
      <c r="M42" s="66">
        <v>0</v>
      </c>
      <c r="N42" s="67" t="s">
        <v>1094</v>
      </c>
      <c r="O42" s="67" t="s">
        <v>1094</v>
      </c>
      <c r="P42" s="67">
        <v>0</v>
      </c>
      <c r="Q42" s="66">
        <v>0.47263317999999999</v>
      </c>
      <c r="R42" s="67">
        <v>0</v>
      </c>
    </row>
    <row r="43" spans="1:18" ht="15.75" x14ac:dyDescent="0.25">
      <c r="A43" s="199">
        <v>32</v>
      </c>
      <c r="B43" s="189" t="s">
        <v>93</v>
      </c>
      <c r="C43" s="66">
        <v>0</v>
      </c>
      <c r="D43" s="66">
        <v>0</v>
      </c>
      <c r="E43" s="66">
        <v>0</v>
      </c>
      <c r="F43" s="66">
        <v>0</v>
      </c>
      <c r="G43" s="66">
        <v>0</v>
      </c>
      <c r="H43" s="66">
        <v>0</v>
      </c>
      <c r="I43" s="66">
        <v>1.83286645</v>
      </c>
      <c r="J43" s="66">
        <v>0</v>
      </c>
      <c r="K43" s="66">
        <v>0</v>
      </c>
      <c r="L43" s="66">
        <v>0</v>
      </c>
      <c r="M43" s="66">
        <v>0</v>
      </c>
      <c r="N43" s="67" t="s">
        <v>1094</v>
      </c>
      <c r="O43" s="67" t="s">
        <v>1094</v>
      </c>
      <c r="P43" s="67">
        <v>0</v>
      </c>
      <c r="Q43" s="66">
        <v>1.83286645</v>
      </c>
      <c r="R43" s="67">
        <v>0</v>
      </c>
    </row>
    <row r="44" spans="1:18" ht="15.75" x14ac:dyDescent="0.25">
      <c r="A44" s="200">
        <v>33</v>
      </c>
      <c r="B44" s="191" t="s">
        <v>95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115.24616707999999</v>
      </c>
      <c r="J44" s="61">
        <v>0</v>
      </c>
      <c r="K44" s="61">
        <v>0</v>
      </c>
      <c r="L44" s="61">
        <v>0</v>
      </c>
      <c r="M44" s="61">
        <v>0</v>
      </c>
      <c r="N44" s="61" t="s">
        <v>1094</v>
      </c>
      <c r="O44" s="61" t="s">
        <v>1094</v>
      </c>
      <c r="P44" s="61">
        <v>0</v>
      </c>
      <c r="Q44" s="61">
        <v>112.9399914</v>
      </c>
      <c r="R44" s="61">
        <v>2.3061756799999991</v>
      </c>
    </row>
    <row r="45" spans="1:18" ht="15.75" x14ac:dyDescent="0.25">
      <c r="A45" s="201">
        <v>34</v>
      </c>
      <c r="B45" s="192" t="s">
        <v>97</v>
      </c>
      <c r="C45" s="66">
        <v>0</v>
      </c>
      <c r="D45" s="66">
        <v>0</v>
      </c>
      <c r="E45" s="66">
        <v>0</v>
      </c>
      <c r="F45" s="66">
        <v>0</v>
      </c>
      <c r="G45" s="66">
        <v>0</v>
      </c>
      <c r="H45" s="66">
        <v>0</v>
      </c>
      <c r="I45" s="66">
        <v>0.12565688999999999</v>
      </c>
      <c r="J45" s="66">
        <v>0</v>
      </c>
      <c r="K45" s="66">
        <v>0</v>
      </c>
      <c r="L45" s="66">
        <v>0</v>
      </c>
      <c r="M45" s="66">
        <v>0</v>
      </c>
      <c r="N45" s="67" t="s">
        <v>1094</v>
      </c>
      <c r="O45" s="67" t="s">
        <v>1094</v>
      </c>
      <c r="P45" s="67">
        <v>0</v>
      </c>
      <c r="Q45" s="66">
        <v>0.12565688999999999</v>
      </c>
      <c r="R45" s="67">
        <v>0</v>
      </c>
    </row>
    <row r="46" spans="1:18" ht="15.75" x14ac:dyDescent="0.25">
      <c r="A46" s="201">
        <v>35</v>
      </c>
      <c r="B46" s="192" t="s">
        <v>99</v>
      </c>
      <c r="C46" s="66">
        <v>0</v>
      </c>
      <c r="D46" s="66">
        <v>0</v>
      </c>
      <c r="E46" s="66">
        <v>0</v>
      </c>
      <c r="F46" s="66">
        <v>0</v>
      </c>
      <c r="G46" s="66">
        <v>0</v>
      </c>
      <c r="H46" s="66">
        <v>0</v>
      </c>
      <c r="I46" s="66">
        <v>6.9033797400000001</v>
      </c>
      <c r="J46" s="66">
        <v>0</v>
      </c>
      <c r="K46" s="66">
        <v>0</v>
      </c>
      <c r="L46" s="66">
        <v>0</v>
      </c>
      <c r="M46" s="66">
        <v>0</v>
      </c>
      <c r="N46" s="67" t="s">
        <v>1094</v>
      </c>
      <c r="O46" s="67" t="s">
        <v>1094</v>
      </c>
      <c r="P46" s="67">
        <v>0</v>
      </c>
      <c r="Q46" s="66">
        <v>6.9033797400000001</v>
      </c>
      <c r="R46" s="67">
        <v>0</v>
      </c>
    </row>
    <row r="47" spans="1:18" ht="15.75" x14ac:dyDescent="0.25">
      <c r="A47" s="198">
        <v>36</v>
      </c>
      <c r="B47" s="189" t="s">
        <v>318</v>
      </c>
      <c r="C47" s="66">
        <v>0</v>
      </c>
      <c r="D47" s="66">
        <v>0</v>
      </c>
      <c r="E47" s="66">
        <v>0</v>
      </c>
      <c r="F47" s="66">
        <v>0</v>
      </c>
      <c r="G47" s="66">
        <v>0</v>
      </c>
      <c r="H47" s="66">
        <v>0</v>
      </c>
      <c r="I47" s="66">
        <v>37.255451289999996</v>
      </c>
      <c r="J47" s="66">
        <v>0</v>
      </c>
      <c r="K47" s="66">
        <v>0</v>
      </c>
      <c r="L47" s="66">
        <v>0</v>
      </c>
      <c r="M47" s="66">
        <v>0</v>
      </c>
      <c r="N47" s="67" t="s">
        <v>1094</v>
      </c>
      <c r="O47" s="67" t="s">
        <v>1094</v>
      </c>
      <c r="P47" s="67">
        <v>0</v>
      </c>
      <c r="Q47" s="66">
        <v>37.255451289999996</v>
      </c>
      <c r="R47" s="67">
        <v>0</v>
      </c>
    </row>
    <row r="48" spans="1:18" ht="15.75" x14ac:dyDescent="0.25">
      <c r="A48" s="201">
        <v>37</v>
      </c>
      <c r="B48" s="192" t="s">
        <v>101</v>
      </c>
      <c r="C48" s="66">
        <v>0</v>
      </c>
      <c r="D48" s="66">
        <v>0</v>
      </c>
      <c r="E48" s="66">
        <v>0</v>
      </c>
      <c r="F48" s="66">
        <v>0</v>
      </c>
      <c r="G48" s="66">
        <v>0</v>
      </c>
      <c r="H48" s="66">
        <v>0</v>
      </c>
      <c r="I48" s="66">
        <v>39.094085749999998</v>
      </c>
      <c r="J48" s="66">
        <v>0</v>
      </c>
      <c r="K48" s="66">
        <v>0</v>
      </c>
      <c r="L48" s="66">
        <v>0</v>
      </c>
      <c r="M48" s="66">
        <v>0</v>
      </c>
      <c r="N48" s="67" t="s">
        <v>1094</v>
      </c>
      <c r="O48" s="67" t="s">
        <v>1094</v>
      </c>
      <c r="P48" s="67">
        <v>0</v>
      </c>
      <c r="Q48" s="66">
        <v>38.024097869999999</v>
      </c>
      <c r="R48" s="67">
        <v>1.0699878799999993</v>
      </c>
    </row>
    <row r="49" spans="1:18" ht="15.75" x14ac:dyDescent="0.25">
      <c r="A49" s="201">
        <v>38</v>
      </c>
      <c r="B49" s="192" t="s">
        <v>103</v>
      </c>
      <c r="C49" s="66">
        <v>0</v>
      </c>
      <c r="D49" s="66">
        <v>0</v>
      </c>
      <c r="E49" s="66">
        <v>0</v>
      </c>
      <c r="F49" s="66">
        <v>0</v>
      </c>
      <c r="G49" s="66">
        <v>0</v>
      </c>
      <c r="H49" s="66">
        <v>0</v>
      </c>
      <c r="I49" s="66">
        <v>0</v>
      </c>
      <c r="J49" s="66">
        <v>0</v>
      </c>
      <c r="K49" s="66">
        <v>0</v>
      </c>
      <c r="L49" s="66">
        <v>0</v>
      </c>
      <c r="M49" s="66">
        <v>0</v>
      </c>
      <c r="N49" s="67" t="s">
        <v>1094</v>
      </c>
      <c r="O49" s="67" t="s">
        <v>1094</v>
      </c>
      <c r="P49" s="67">
        <v>0</v>
      </c>
      <c r="Q49" s="66">
        <v>0</v>
      </c>
      <c r="R49" s="67">
        <v>0</v>
      </c>
    </row>
    <row r="50" spans="1:18" ht="15.75" x14ac:dyDescent="0.25">
      <c r="A50" s="201">
        <v>39</v>
      </c>
      <c r="B50" s="192" t="s">
        <v>105</v>
      </c>
      <c r="C50" s="66">
        <v>0</v>
      </c>
      <c r="D50" s="66">
        <v>0</v>
      </c>
      <c r="E50" s="66">
        <v>0</v>
      </c>
      <c r="F50" s="66">
        <v>0</v>
      </c>
      <c r="G50" s="66">
        <v>0</v>
      </c>
      <c r="H50" s="66">
        <v>0</v>
      </c>
      <c r="I50" s="66">
        <v>7.04040468</v>
      </c>
      <c r="J50" s="66">
        <v>0</v>
      </c>
      <c r="K50" s="66">
        <v>0</v>
      </c>
      <c r="L50" s="66">
        <v>0</v>
      </c>
      <c r="M50" s="66">
        <v>0</v>
      </c>
      <c r="N50" s="67" t="s">
        <v>1094</v>
      </c>
      <c r="O50" s="67" t="s">
        <v>1094</v>
      </c>
      <c r="P50" s="67">
        <v>0</v>
      </c>
      <c r="Q50" s="66">
        <v>7.04040468</v>
      </c>
      <c r="R50" s="67">
        <v>0</v>
      </c>
    </row>
    <row r="51" spans="1:18" ht="15.75" x14ac:dyDescent="0.25">
      <c r="A51" s="199">
        <v>40</v>
      </c>
      <c r="B51" s="192" t="s">
        <v>107</v>
      </c>
      <c r="C51" s="66">
        <v>0</v>
      </c>
      <c r="D51" s="66">
        <v>0</v>
      </c>
      <c r="E51" s="66">
        <v>0</v>
      </c>
      <c r="F51" s="66">
        <v>0</v>
      </c>
      <c r="G51" s="66">
        <v>0</v>
      </c>
      <c r="H51" s="66">
        <v>0</v>
      </c>
      <c r="I51" s="66">
        <v>24.82718873</v>
      </c>
      <c r="J51" s="66">
        <v>0</v>
      </c>
      <c r="K51" s="66">
        <v>0</v>
      </c>
      <c r="L51" s="66">
        <v>0</v>
      </c>
      <c r="M51" s="66">
        <v>0</v>
      </c>
      <c r="N51" s="67" t="s">
        <v>1094</v>
      </c>
      <c r="O51" s="67" t="s">
        <v>1094</v>
      </c>
      <c r="P51" s="67">
        <v>0</v>
      </c>
      <c r="Q51" s="66">
        <v>23.59100093</v>
      </c>
      <c r="R51" s="67">
        <v>1.2361877999999997</v>
      </c>
    </row>
    <row r="52" spans="1:18" ht="15.75" x14ac:dyDescent="0.25">
      <c r="A52" s="198">
        <v>41</v>
      </c>
      <c r="B52" s="189" t="s">
        <v>319</v>
      </c>
      <c r="C52" s="66">
        <v>0</v>
      </c>
      <c r="D52" s="66">
        <v>0</v>
      </c>
      <c r="E52" s="66">
        <v>0</v>
      </c>
      <c r="F52" s="66">
        <v>0</v>
      </c>
      <c r="G52" s="66">
        <v>0</v>
      </c>
      <c r="H52" s="66">
        <v>0</v>
      </c>
      <c r="I52" s="66">
        <v>0</v>
      </c>
      <c r="J52" s="66">
        <v>0</v>
      </c>
      <c r="K52" s="66">
        <v>0</v>
      </c>
      <c r="L52" s="66">
        <v>0</v>
      </c>
      <c r="M52" s="66">
        <v>0</v>
      </c>
      <c r="N52" s="67" t="s">
        <v>1094</v>
      </c>
      <c r="O52" s="67" t="s">
        <v>1094</v>
      </c>
      <c r="P52" s="67">
        <v>0</v>
      </c>
      <c r="Q52" s="66">
        <v>0</v>
      </c>
      <c r="R52" s="67">
        <v>0</v>
      </c>
    </row>
    <row r="53" spans="1:18" ht="15.75" x14ac:dyDescent="0.25">
      <c r="A53" s="200">
        <v>42</v>
      </c>
      <c r="B53" s="193" t="s">
        <v>109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51.887459530000001</v>
      </c>
      <c r="J53" s="61">
        <v>0</v>
      </c>
      <c r="K53" s="61">
        <v>0</v>
      </c>
      <c r="L53" s="61">
        <v>0</v>
      </c>
      <c r="M53" s="61">
        <v>0</v>
      </c>
      <c r="N53" s="61" t="s">
        <v>1094</v>
      </c>
      <c r="O53" s="61" t="s">
        <v>1094</v>
      </c>
      <c r="P53" s="61">
        <v>0</v>
      </c>
      <c r="Q53" s="61">
        <v>51.887459530000001</v>
      </c>
      <c r="R53" s="61">
        <v>0</v>
      </c>
    </row>
    <row r="54" spans="1:18" ht="15.75" x14ac:dyDescent="0.25">
      <c r="A54" s="201">
        <v>43</v>
      </c>
      <c r="B54" s="192" t="s">
        <v>111</v>
      </c>
      <c r="C54" s="66">
        <v>0</v>
      </c>
      <c r="D54" s="66">
        <v>0</v>
      </c>
      <c r="E54" s="66">
        <v>0</v>
      </c>
      <c r="F54" s="66">
        <v>0</v>
      </c>
      <c r="G54" s="66">
        <v>0</v>
      </c>
      <c r="H54" s="66">
        <v>0</v>
      </c>
      <c r="I54" s="66">
        <v>30.163686269999999</v>
      </c>
      <c r="J54" s="66">
        <v>0</v>
      </c>
      <c r="K54" s="66">
        <v>0</v>
      </c>
      <c r="L54" s="66">
        <v>0</v>
      </c>
      <c r="M54" s="66">
        <v>0</v>
      </c>
      <c r="N54" s="67" t="s">
        <v>1094</v>
      </c>
      <c r="O54" s="67" t="s">
        <v>1094</v>
      </c>
      <c r="P54" s="67">
        <v>0</v>
      </c>
      <c r="Q54" s="66">
        <v>30.163686269999999</v>
      </c>
      <c r="R54" s="67">
        <v>0</v>
      </c>
    </row>
    <row r="55" spans="1:18" ht="15.75" x14ac:dyDescent="0.25">
      <c r="A55" s="201">
        <v>44</v>
      </c>
      <c r="B55" s="192" t="s">
        <v>113</v>
      </c>
      <c r="C55" s="66">
        <v>0</v>
      </c>
      <c r="D55" s="66">
        <v>0</v>
      </c>
      <c r="E55" s="66">
        <v>0</v>
      </c>
      <c r="F55" s="66">
        <v>0</v>
      </c>
      <c r="G55" s="66">
        <v>0</v>
      </c>
      <c r="H55" s="66">
        <v>0</v>
      </c>
      <c r="I55" s="66">
        <v>1.78778971</v>
      </c>
      <c r="J55" s="66">
        <v>0</v>
      </c>
      <c r="K55" s="66">
        <v>0</v>
      </c>
      <c r="L55" s="66">
        <v>0</v>
      </c>
      <c r="M55" s="66">
        <v>0</v>
      </c>
      <c r="N55" s="67" t="s">
        <v>1094</v>
      </c>
      <c r="O55" s="67" t="s">
        <v>1094</v>
      </c>
      <c r="P55" s="67">
        <v>0</v>
      </c>
      <c r="Q55" s="66">
        <v>1.78778971</v>
      </c>
      <c r="R55" s="67">
        <v>0</v>
      </c>
    </row>
    <row r="56" spans="1:18" ht="31.5" x14ac:dyDescent="0.25">
      <c r="A56" s="201">
        <v>45</v>
      </c>
      <c r="B56" s="192" t="s">
        <v>115</v>
      </c>
      <c r="C56" s="66">
        <v>0</v>
      </c>
      <c r="D56" s="66">
        <v>0</v>
      </c>
      <c r="E56" s="66">
        <v>0</v>
      </c>
      <c r="F56" s="66">
        <v>0</v>
      </c>
      <c r="G56" s="66">
        <v>0</v>
      </c>
      <c r="H56" s="66">
        <v>0</v>
      </c>
      <c r="I56" s="66">
        <v>3.8243206700000001</v>
      </c>
      <c r="J56" s="66">
        <v>0</v>
      </c>
      <c r="K56" s="66">
        <v>0</v>
      </c>
      <c r="L56" s="66">
        <v>0</v>
      </c>
      <c r="M56" s="66">
        <v>0</v>
      </c>
      <c r="N56" s="67" t="s">
        <v>1094</v>
      </c>
      <c r="O56" s="67" t="s">
        <v>1094</v>
      </c>
      <c r="P56" s="67">
        <v>0</v>
      </c>
      <c r="Q56" s="66">
        <v>3.8243206700000001</v>
      </c>
      <c r="R56" s="67">
        <v>0</v>
      </c>
    </row>
    <row r="57" spans="1:18" ht="31.5" x14ac:dyDescent="0.25">
      <c r="A57" s="201">
        <v>46</v>
      </c>
      <c r="B57" s="192" t="s">
        <v>117</v>
      </c>
      <c r="C57" s="66">
        <v>0</v>
      </c>
      <c r="D57" s="66">
        <v>0</v>
      </c>
      <c r="E57" s="66">
        <v>0</v>
      </c>
      <c r="F57" s="66">
        <v>0</v>
      </c>
      <c r="G57" s="66">
        <v>0</v>
      </c>
      <c r="H57" s="66">
        <v>0</v>
      </c>
      <c r="I57" s="66">
        <v>3.2437541099999998</v>
      </c>
      <c r="J57" s="66">
        <v>0</v>
      </c>
      <c r="K57" s="66">
        <v>0</v>
      </c>
      <c r="L57" s="66">
        <v>0</v>
      </c>
      <c r="M57" s="66">
        <v>0</v>
      </c>
      <c r="N57" s="67" t="s">
        <v>1094</v>
      </c>
      <c r="O57" s="67" t="s">
        <v>1094</v>
      </c>
      <c r="P57" s="67">
        <v>0</v>
      </c>
      <c r="Q57" s="66">
        <v>3.2437541099999998</v>
      </c>
      <c r="R57" s="67">
        <v>0</v>
      </c>
    </row>
    <row r="58" spans="1:18" ht="31.5" x14ac:dyDescent="0.25">
      <c r="A58" s="201">
        <v>47</v>
      </c>
      <c r="B58" s="192" t="s">
        <v>119</v>
      </c>
      <c r="C58" s="66">
        <v>0</v>
      </c>
      <c r="D58" s="66">
        <v>0</v>
      </c>
      <c r="E58" s="66">
        <v>0</v>
      </c>
      <c r="F58" s="66">
        <v>0</v>
      </c>
      <c r="G58" s="66">
        <v>0</v>
      </c>
      <c r="H58" s="66">
        <v>0</v>
      </c>
      <c r="I58" s="66">
        <v>6.4513178700000005</v>
      </c>
      <c r="J58" s="66">
        <v>0</v>
      </c>
      <c r="K58" s="66">
        <v>0</v>
      </c>
      <c r="L58" s="66">
        <v>0</v>
      </c>
      <c r="M58" s="66">
        <v>0</v>
      </c>
      <c r="N58" s="67" t="s">
        <v>1094</v>
      </c>
      <c r="O58" s="67" t="s">
        <v>1094</v>
      </c>
      <c r="P58" s="67">
        <v>0</v>
      </c>
      <c r="Q58" s="66">
        <v>6.4513178700000005</v>
      </c>
      <c r="R58" s="67">
        <v>0</v>
      </c>
    </row>
    <row r="59" spans="1:18" ht="15.75" x14ac:dyDescent="0.25">
      <c r="A59" s="198">
        <v>48</v>
      </c>
      <c r="B59" s="192" t="s">
        <v>122</v>
      </c>
      <c r="C59" s="66">
        <v>0</v>
      </c>
      <c r="D59" s="66">
        <v>0</v>
      </c>
      <c r="E59" s="66">
        <v>0</v>
      </c>
      <c r="F59" s="66">
        <v>0</v>
      </c>
      <c r="G59" s="66">
        <v>0</v>
      </c>
      <c r="H59" s="66">
        <v>0</v>
      </c>
      <c r="I59" s="66">
        <v>0</v>
      </c>
      <c r="J59" s="66">
        <v>0</v>
      </c>
      <c r="K59" s="66">
        <v>0</v>
      </c>
      <c r="L59" s="66">
        <v>0</v>
      </c>
      <c r="M59" s="66">
        <v>0</v>
      </c>
      <c r="N59" s="67" t="s">
        <v>1094</v>
      </c>
      <c r="O59" s="67" t="s">
        <v>1094</v>
      </c>
      <c r="P59" s="67">
        <v>0</v>
      </c>
      <c r="Q59" s="66">
        <v>0</v>
      </c>
      <c r="R59" s="67">
        <v>0</v>
      </c>
    </row>
    <row r="60" spans="1:18" ht="15.75" x14ac:dyDescent="0.25">
      <c r="A60" s="202">
        <v>49</v>
      </c>
      <c r="B60" s="192" t="s">
        <v>125</v>
      </c>
      <c r="C60" s="66">
        <v>0</v>
      </c>
      <c r="D60" s="66">
        <v>0</v>
      </c>
      <c r="E60" s="66">
        <v>0</v>
      </c>
      <c r="F60" s="66">
        <v>0</v>
      </c>
      <c r="G60" s="66">
        <v>0</v>
      </c>
      <c r="H60" s="66">
        <v>0</v>
      </c>
      <c r="I60" s="66">
        <v>6.4165909000000001</v>
      </c>
      <c r="J60" s="66">
        <v>0</v>
      </c>
      <c r="K60" s="66">
        <v>0</v>
      </c>
      <c r="L60" s="66">
        <v>0</v>
      </c>
      <c r="M60" s="66">
        <v>0</v>
      </c>
      <c r="N60" s="67" t="s">
        <v>1094</v>
      </c>
      <c r="O60" s="67" t="s">
        <v>1094</v>
      </c>
      <c r="P60" s="67">
        <v>0</v>
      </c>
      <c r="Q60" s="66">
        <v>6.4165909000000001</v>
      </c>
      <c r="R60" s="67">
        <v>0</v>
      </c>
    </row>
    <row r="61" spans="1:18" ht="15.75" x14ac:dyDescent="0.25">
      <c r="A61" s="197">
        <v>50</v>
      </c>
      <c r="B61" s="190" t="s">
        <v>128</v>
      </c>
      <c r="C61" s="61">
        <v>0</v>
      </c>
      <c r="D61" s="61">
        <v>0</v>
      </c>
      <c r="E61" s="61">
        <v>0</v>
      </c>
      <c r="F61" s="61">
        <v>0</v>
      </c>
      <c r="G61" s="61">
        <v>0</v>
      </c>
      <c r="H61" s="61">
        <v>0</v>
      </c>
      <c r="I61" s="61">
        <v>67.996121349999996</v>
      </c>
      <c r="J61" s="61">
        <v>0</v>
      </c>
      <c r="K61" s="61">
        <v>0</v>
      </c>
      <c r="L61" s="61">
        <v>0</v>
      </c>
      <c r="M61" s="61">
        <v>0</v>
      </c>
      <c r="N61" s="61" t="s">
        <v>1094</v>
      </c>
      <c r="O61" s="61" t="s">
        <v>1094</v>
      </c>
      <c r="P61" s="61">
        <v>0</v>
      </c>
      <c r="Q61" s="61">
        <v>67.881907290000001</v>
      </c>
      <c r="R61" s="61">
        <v>0.11421405999999956</v>
      </c>
    </row>
    <row r="62" spans="1:18" ht="15.75" x14ac:dyDescent="0.25">
      <c r="A62" s="198">
        <v>51</v>
      </c>
      <c r="B62" s="189" t="s">
        <v>131</v>
      </c>
      <c r="C62" s="66">
        <v>0</v>
      </c>
      <c r="D62" s="66">
        <v>0</v>
      </c>
      <c r="E62" s="66">
        <v>0</v>
      </c>
      <c r="F62" s="66">
        <v>0</v>
      </c>
      <c r="G62" s="66">
        <v>0</v>
      </c>
      <c r="H62" s="66">
        <v>0</v>
      </c>
      <c r="I62" s="66">
        <v>34.809063259999995</v>
      </c>
      <c r="J62" s="66">
        <v>0</v>
      </c>
      <c r="K62" s="66">
        <v>0</v>
      </c>
      <c r="L62" s="66">
        <v>0</v>
      </c>
      <c r="M62" s="66">
        <v>0</v>
      </c>
      <c r="N62" s="67" t="s">
        <v>1094</v>
      </c>
      <c r="O62" s="67" t="s">
        <v>1094</v>
      </c>
      <c r="P62" s="67">
        <v>0</v>
      </c>
      <c r="Q62" s="66">
        <v>34.809063259999995</v>
      </c>
      <c r="R62" s="67">
        <v>0</v>
      </c>
    </row>
    <row r="63" spans="1:18" ht="15.75" x14ac:dyDescent="0.25">
      <c r="A63" s="198">
        <v>52</v>
      </c>
      <c r="B63" s="189" t="s">
        <v>134</v>
      </c>
      <c r="C63" s="66">
        <v>0</v>
      </c>
      <c r="D63" s="66">
        <v>0</v>
      </c>
      <c r="E63" s="66">
        <v>0</v>
      </c>
      <c r="F63" s="66">
        <v>0</v>
      </c>
      <c r="G63" s="66">
        <v>0</v>
      </c>
      <c r="H63" s="66">
        <v>0</v>
      </c>
      <c r="I63" s="66">
        <v>0</v>
      </c>
      <c r="J63" s="66">
        <v>0</v>
      </c>
      <c r="K63" s="66">
        <v>0</v>
      </c>
      <c r="L63" s="66">
        <v>0</v>
      </c>
      <c r="M63" s="66">
        <v>0</v>
      </c>
      <c r="N63" s="67" t="s">
        <v>1094</v>
      </c>
      <c r="O63" s="67" t="s">
        <v>1094</v>
      </c>
      <c r="P63" s="67">
        <v>0</v>
      </c>
      <c r="Q63" s="66">
        <v>0</v>
      </c>
      <c r="R63" s="67">
        <v>0</v>
      </c>
    </row>
    <row r="64" spans="1:18" ht="15.75" x14ac:dyDescent="0.25">
      <c r="A64" s="198">
        <v>53</v>
      </c>
      <c r="B64" s="189" t="s">
        <v>137</v>
      </c>
      <c r="C64" s="66">
        <v>0</v>
      </c>
      <c r="D64" s="66">
        <v>0</v>
      </c>
      <c r="E64" s="66">
        <v>0</v>
      </c>
      <c r="F64" s="66">
        <v>0</v>
      </c>
      <c r="G64" s="66">
        <v>0</v>
      </c>
      <c r="H64" s="66">
        <v>0</v>
      </c>
      <c r="I64" s="66">
        <v>0</v>
      </c>
      <c r="J64" s="66">
        <v>0</v>
      </c>
      <c r="K64" s="66">
        <v>0</v>
      </c>
      <c r="L64" s="66">
        <v>0</v>
      </c>
      <c r="M64" s="66">
        <v>0</v>
      </c>
      <c r="N64" s="67" t="s">
        <v>1094</v>
      </c>
      <c r="O64" s="67" t="s">
        <v>1094</v>
      </c>
      <c r="P64" s="67">
        <v>0</v>
      </c>
      <c r="Q64" s="66">
        <v>0</v>
      </c>
      <c r="R64" s="67">
        <v>0</v>
      </c>
    </row>
    <row r="65" spans="1:18" ht="15.75" x14ac:dyDescent="0.25">
      <c r="A65" s="198">
        <v>54</v>
      </c>
      <c r="B65" s="189" t="s">
        <v>140</v>
      </c>
      <c r="C65" s="66">
        <v>0</v>
      </c>
      <c r="D65" s="66">
        <v>0</v>
      </c>
      <c r="E65" s="66">
        <v>0</v>
      </c>
      <c r="F65" s="66">
        <v>0</v>
      </c>
      <c r="G65" s="66">
        <v>0</v>
      </c>
      <c r="H65" s="66">
        <v>0</v>
      </c>
      <c r="I65" s="66">
        <v>0.78833576999999999</v>
      </c>
      <c r="J65" s="66">
        <v>0</v>
      </c>
      <c r="K65" s="66">
        <v>0</v>
      </c>
      <c r="L65" s="66">
        <v>0</v>
      </c>
      <c r="M65" s="66">
        <v>0</v>
      </c>
      <c r="N65" s="67" t="s">
        <v>1094</v>
      </c>
      <c r="O65" s="67" t="s">
        <v>1094</v>
      </c>
      <c r="P65" s="67">
        <v>0</v>
      </c>
      <c r="Q65" s="66">
        <v>0.78833576999999999</v>
      </c>
      <c r="R65" s="67">
        <v>0</v>
      </c>
    </row>
    <row r="66" spans="1:18" ht="15.75" x14ac:dyDescent="0.25">
      <c r="A66" s="198">
        <v>55</v>
      </c>
      <c r="B66" s="189" t="s">
        <v>143</v>
      </c>
      <c r="C66" s="66">
        <v>0</v>
      </c>
      <c r="D66" s="66">
        <v>0</v>
      </c>
      <c r="E66" s="66">
        <v>0</v>
      </c>
      <c r="F66" s="66">
        <v>0</v>
      </c>
      <c r="G66" s="66">
        <v>0</v>
      </c>
      <c r="H66" s="66">
        <v>0</v>
      </c>
      <c r="I66" s="66">
        <v>2.4504544199999998</v>
      </c>
      <c r="J66" s="66">
        <v>0</v>
      </c>
      <c r="K66" s="66">
        <v>0</v>
      </c>
      <c r="L66" s="66">
        <v>0</v>
      </c>
      <c r="M66" s="66">
        <v>0</v>
      </c>
      <c r="N66" s="67" t="s">
        <v>1094</v>
      </c>
      <c r="O66" s="67" t="s">
        <v>1094</v>
      </c>
      <c r="P66" s="67">
        <v>0</v>
      </c>
      <c r="Q66" s="66">
        <v>2.4504544199999998</v>
      </c>
      <c r="R66" s="67">
        <v>0</v>
      </c>
    </row>
    <row r="67" spans="1:18" ht="15.75" x14ac:dyDescent="0.25">
      <c r="A67" s="198">
        <v>56</v>
      </c>
      <c r="B67" s="189" t="s">
        <v>146</v>
      </c>
      <c r="C67" s="66">
        <v>0</v>
      </c>
      <c r="D67" s="66">
        <v>0</v>
      </c>
      <c r="E67" s="66">
        <v>0</v>
      </c>
      <c r="F67" s="66">
        <v>0</v>
      </c>
      <c r="G67" s="66">
        <v>0</v>
      </c>
      <c r="H67" s="66">
        <v>0</v>
      </c>
      <c r="I67" s="66">
        <v>10.514064789999999</v>
      </c>
      <c r="J67" s="66">
        <v>0</v>
      </c>
      <c r="K67" s="66">
        <v>0</v>
      </c>
      <c r="L67" s="66">
        <v>0</v>
      </c>
      <c r="M67" s="66">
        <v>0</v>
      </c>
      <c r="N67" s="67" t="s">
        <v>1094</v>
      </c>
      <c r="O67" s="67" t="s">
        <v>1094</v>
      </c>
      <c r="P67" s="67">
        <v>0</v>
      </c>
      <c r="Q67" s="66">
        <v>10.514064789999999</v>
      </c>
      <c r="R67" s="67">
        <v>0</v>
      </c>
    </row>
    <row r="68" spans="1:18" ht="15.75" x14ac:dyDescent="0.25">
      <c r="A68" s="198">
        <v>57</v>
      </c>
      <c r="B68" s="189" t="s">
        <v>149</v>
      </c>
      <c r="C68" s="66">
        <v>0</v>
      </c>
      <c r="D68" s="66">
        <v>0</v>
      </c>
      <c r="E68" s="66">
        <v>0</v>
      </c>
      <c r="F68" s="66">
        <v>0</v>
      </c>
      <c r="G68" s="66">
        <v>0</v>
      </c>
      <c r="H68" s="66">
        <v>0</v>
      </c>
      <c r="I68" s="66">
        <v>0.80191743000000004</v>
      </c>
      <c r="J68" s="66">
        <v>0</v>
      </c>
      <c r="K68" s="66">
        <v>0</v>
      </c>
      <c r="L68" s="66">
        <v>0</v>
      </c>
      <c r="M68" s="66">
        <v>0</v>
      </c>
      <c r="N68" s="67" t="s">
        <v>1094</v>
      </c>
      <c r="O68" s="67" t="s">
        <v>1094</v>
      </c>
      <c r="P68" s="67">
        <v>0</v>
      </c>
      <c r="Q68" s="66">
        <v>0.80191743000000004</v>
      </c>
      <c r="R68" s="67">
        <v>0</v>
      </c>
    </row>
    <row r="69" spans="1:18" ht="15.75" x14ac:dyDescent="0.25">
      <c r="A69" s="198">
        <v>58</v>
      </c>
      <c r="B69" s="189" t="s">
        <v>152</v>
      </c>
      <c r="C69" s="66">
        <v>0</v>
      </c>
      <c r="D69" s="66">
        <v>0</v>
      </c>
      <c r="E69" s="66">
        <v>0</v>
      </c>
      <c r="F69" s="66">
        <v>0</v>
      </c>
      <c r="G69" s="66">
        <v>0</v>
      </c>
      <c r="H69" s="66">
        <v>0</v>
      </c>
      <c r="I69" s="66">
        <v>0.54983800000000005</v>
      </c>
      <c r="J69" s="66">
        <v>0</v>
      </c>
      <c r="K69" s="66">
        <v>0</v>
      </c>
      <c r="L69" s="66">
        <v>0</v>
      </c>
      <c r="M69" s="66">
        <v>0</v>
      </c>
      <c r="N69" s="67" t="s">
        <v>1094</v>
      </c>
      <c r="O69" s="67" t="s">
        <v>1094</v>
      </c>
      <c r="P69" s="67">
        <v>0</v>
      </c>
      <c r="Q69" s="66">
        <v>0.54983800000000005</v>
      </c>
      <c r="R69" s="67">
        <v>0</v>
      </c>
    </row>
    <row r="70" spans="1:18" ht="15.75" x14ac:dyDescent="0.25">
      <c r="A70" s="198">
        <v>59</v>
      </c>
      <c r="B70" s="189" t="s">
        <v>155</v>
      </c>
      <c r="C70" s="66">
        <v>0</v>
      </c>
      <c r="D70" s="66">
        <v>0</v>
      </c>
      <c r="E70" s="66">
        <v>0</v>
      </c>
      <c r="F70" s="66">
        <v>0</v>
      </c>
      <c r="G70" s="66">
        <v>0</v>
      </c>
      <c r="H70" s="66">
        <v>0</v>
      </c>
      <c r="I70" s="66">
        <v>0.80493263999999998</v>
      </c>
      <c r="J70" s="66">
        <v>0</v>
      </c>
      <c r="K70" s="66">
        <v>0</v>
      </c>
      <c r="L70" s="66">
        <v>0</v>
      </c>
      <c r="M70" s="66">
        <v>0</v>
      </c>
      <c r="N70" s="67" t="s">
        <v>1094</v>
      </c>
      <c r="O70" s="67" t="s">
        <v>1094</v>
      </c>
      <c r="P70" s="67">
        <v>0</v>
      </c>
      <c r="Q70" s="66">
        <v>0.78896297999999998</v>
      </c>
      <c r="R70" s="67">
        <v>1.5969659999999997E-2</v>
      </c>
    </row>
    <row r="71" spans="1:18" ht="15.75" x14ac:dyDescent="0.25">
      <c r="A71" s="198">
        <v>60</v>
      </c>
      <c r="B71" s="189" t="s">
        <v>158</v>
      </c>
      <c r="C71" s="66">
        <v>0</v>
      </c>
      <c r="D71" s="66">
        <v>0</v>
      </c>
      <c r="E71" s="66">
        <v>0</v>
      </c>
      <c r="F71" s="66">
        <v>0</v>
      </c>
      <c r="G71" s="66">
        <v>0</v>
      </c>
      <c r="H71" s="66">
        <v>0</v>
      </c>
      <c r="I71" s="66">
        <v>4.0018139100000001</v>
      </c>
      <c r="J71" s="66">
        <v>0</v>
      </c>
      <c r="K71" s="66">
        <v>0</v>
      </c>
      <c r="L71" s="66">
        <v>0</v>
      </c>
      <c r="M71" s="66">
        <v>0</v>
      </c>
      <c r="N71" s="67" t="s">
        <v>1094</v>
      </c>
      <c r="O71" s="67" t="s">
        <v>1094</v>
      </c>
      <c r="P71" s="67">
        <v>0</v>
      </c>
      <c r="Q71" s="66">
        <v>3.9807935099999998</v>
      </c>
      <c r="R71" s="67">
        <v>2.1020400000000272E-2</v>
      </c>
    </row>
    <row r="72" spans="1:18" ht="15.75" x14ac:dyDescent="0.25">
      <c r="A72" s="198">
        <v>61</v>
      </c>
      <c r="B72" s="189" t="s">
        <v>161</v>
      </c>
      <c r="C72" s="66">
        <v>0</v>
      </c>
      <c r="D72" s="66">
        <v>0</v>
      </c>
      <c r="E72" s="66">
        <v>0</v>
      </c>
      <c r="F72" s="66">
        <v>0</v>
      </c>
      <c r="G72" s="66">
        <v>0</v>
      </c>
      <c r="H72" s="66">
        <v>0</v>
      </c>
      <c r="I72" s="66">
        <v>1.6178471699999999</v>
      </c>
      <c r="J72" s="66">
        <v>0</v>
      </c>
      <c r="K72" s="66">
        <v>0</v>
      </c>
      <c r="L72" s="66">
        <v>0</v>
      </c>
      <c r="M72" s="66">
        <v>0</v>
      </c>
      <c r="N72" s="67" t="s">
        <v>1094</v>
      </c>
      <c r="O72" s="67" t="s">
        <v>1094</v>
      </c>
      <c r="P72" s="67">
        <v>0</v>
      </c>
      <c r="Q72" s="66">
        <v>1.6178471699999999</v>
      </c>
      <c r="R72" s="67">
        <v>0</v>
      </c>
    </row>
    <row r="73" spans="1:18" ht="15.75" x14ac:dyDescent="0.25">
      <c r="A73" s="198">
        <v>62</v>
      </c>
      <c r="B73" s="189" t="s">
        <v>164</v>
      </c>
      <c r="C73" s="66">
        <v>0</v>
      </c>
      <c r="D73" s="66">
        <v>0</v>
      </c>
      <c r="E73" s="66">
        <v>0</v>
      </c>
      <c r="F73" s="66">
        <v>0</v>
      </c>
      <c r="G73" s="66">
        <v>0</v>
      </c>
      <c r="H73" s="66">
        <v>0</v>
      </c>
      <c r="I73" s="66">
        <v>5.2692378799999995</v>
      </c>
      <c r="J73" s="66">
        <v>0</v>
      </c>
      <c r="K73" s="66">
        <v>0</v>
      </c>
      <c r="L73" s="66">
        <v>0</v>
      </c>
      <c r="M73" s="66">
        <v>0</v>
      </c>
      <c r="N73" s="67" t="s">
        <v>1094</v>
      </c>
      <c r="O73" s="67" t="s">
        <v>1094</v>
      </c>
      <c r="P73" s="67">
        <v>0</v>
      </c>
      <c r="Q73" s="66">
        <v>5.1920138800000002</v>
      </c>
      <c r="R73" s="67">
        <v>7.7223999999999293E-2</v>
      </c>
    </row>
    <row r="74" spans="1:18" ht="15.75" x14ac:dyDescent="0.25">
      <c r="A74" s="198">
        <v>63</v>
      </c>
      <c r="B74" s="189" t="s">
        <v>167</v>
      </c>
      <c r="C74" s="66">
        <v>0</v>
      </c>
      <c r="D74" s="66">
        <v>0</v>
      </c>
      <c r="E74" s="66">
        <v>0</v>
      </c>
      <c r="F74" s="66">
        <v>0</v>
      </c>
      <c r="G74" s="66">
        <v>0</v>
      </c>
      <c r="H74" s="66">
        <v>0</v>
      </c>
      <c r="I74" s="66">
        <v>1.39252E-3</v>
      </c>
      <c r="J74" s="66">
        <v>0</v>
      </c>
      <c r="K74" s="66">
        <v>0</v>
      </c>
      <c r="L74" s="66">
        <v>0</v>
      </c>
      <c r="M74" s="66">
        <v>0</v>
      </c>
      <c r="N74" s="67" t="s">
        <v>1094</v>
      </c>
      <c r="O74" s="67" t="s">
        <v>1094</v>
      </c>
      <c r="P74" s="67">
        <v>0</v>
      </c>
      <c r="Q74" s="66">
        <v>1.39252E-3</v>
      </c>
      <c r="R74" s="67">
        <v>0</v>
      </c>
    </row>
    <row r="75" spans="1:18" ht="15.75" x14ac:dyDescent="0.25">
      <c r="A75" s="202">
        <v>64</v>
      </c>
      <c r="B75" s="189" t="s">
        <v>170</v>
      </c>
      <c r="C75" s="66">
        <v>0</v>
      </c>
      <c r="D75" s="66">
        <v>0</v>
      </c>
      <c r="E75" s="66">
        <v>0</v>
      </c>
      <c r="F75" s="66">
        <v>0</v>
      </c>
      <c r="G75" s="66">
        <v>0</v>
      </c>
      <c r="H75" s="66">
        <v>0</v>
      </c>
      <c r="I75" s="66">
        <v>6.3872235599999998</v>
      </c>
      <c r="J75" s="66">
        <v>0</v>
      </c>
      <c r="K75" s="66">
        <v>0</v>
      </c>
      <c r="L75" s="66">
        <v>0</v>
      </c>
      <c r="M75" s="66">
        <v>0</v>
      </c>
      <c r="N75" s="67" t="s">
        <v>1094</v>
      </c>
      <c r="O75" s="67" t="s">
        <v>1094</v>
      </c>
      <c r="P75" s="67">
        <v>0</v>
      </c>
      <c r="Q75" s="66">
        <v>6.3872235599999998</v>
      </c>
      <c r="R75" s="67">
        <v>0</v>
      </c>
    </row>
    <row r="76" spans="1:18" ht="15.75" x14ac:dyDescent="0.25">
      <c r="A76" s="197">
        <v>65</v>
      </c>
      <c r="B76" s="190" t="s">
        <v>173</v>
      </c>
      <c r="C76" s="61">
        <v>0</v>
      </c>
      <c r="D76" s="61">
        <v>0</v>
      </c>
      <c r="E76" s="61">
        <v>0</v>
      </c>
      <c r="F76" s="61">
        <v>0</v>
      </c>
      <c r="G76" s="61">
        <v>0</v>
      </c>
      <c r="H76" s="61">
        <v>0</v>
      </c>
      <c r="I76" s="61">
        <v>94.576434070000005</v>
      </c>
      <c r="J76" s="61">
        <v>0</v>
      </c>
      <c r="K76" s="61">
        <v>0</v>
      </c>
      <c r="L76" s="61">
        <v>0</v>
      </c>
      <c r="M76" s="61">
        <v>0</v>
      </c>
      <c r="N76" s="61" t="s">
        <v>1094</v>
      </c>
      <c r="O76" s="61" t="s">
        <v>1094</v>
      </c>
      <c r="P76" s="61">
        <v>0</v>
      </c>
      <c r="Q76" s="61">
        <v>94.181938070000015</v>
      </c>
      <c r="R76" s="61">
        <v>0.39449599999999663</v>
      </c>
    </row>
    <row r="77" spans="1:18" ht="15.75" x14ac:dyDescent="0.25">
      <c r="A77" s="198">
        <v>66</v>
      </c>
      <c r="B77" s="189" t="s">
        <v>176</v>
      </c>
      <c r="C77" s="66">
        <v>0</v>
      </c>
      <c r="D77" s="66">
        <v>0</v>
      </c>
      <c r="E77" s="66">
        <v>0</v>
      </c>
      <c r="F77" s="66">
        <v>0</v>
      </c>
      <c r="G77" s="66">
        <v>0</v>
      </c>
      <c r="H77" s="66">
        <v>0</v>
      </c>
      <c r="I77" s="66">
        <v>65.306885690000001</v>
      </c>
      <c r="J77" s="66">
        <v>0</v>
      </c>
      <c r="K77" s="66">
        <v>0</v>
      </c>
      <c r="L77" s="66">
        <v>0</v>
      </c>
      <c r="M77" s="66">
        <v>0</v>
      </c>
      <c r="N77" s="67" t="s">
        <v>1094</v>
      </c>
      <c r="O77" s="67" t="s">
        <v>1094</v>
      </c>
      <c r="P77" s="67">
        <v>0</v>
      </c>
      <c r="Q77" s="66">
        <v>65.306885690000001</v>
      </c>
      <c r="R77" s="67">
        <v>0</v>
      </c>
    </row>
    <row r="78" spans="1:18" ht="15.75" x14ac:dyDescent="0.25">
      <c r="A78" s="198">
        <v>67</v>
      </c>
      <c r="B78" s="189" t="s">
        <v>179</v>
      </c>
      <c r="C78" s="66">
        <v>0</v>
      </c>
      <c r="D78" s="66">
        <v>0</v>
      </c>
      <c r="E78" s="66">
        <v>0</v>
      </c>
      <c r="F78" s="66">
        <v>0</v>
      </c>
      <c r="G78" s="66">
        <v>0</v>
      </c>
      <c r="H78" s="66">
        <v>0</v>
      </c>
      <c r="I78" s="66">
        <v>6.1939355300000001</v>
      </c>
      <c r="J78" s="66">
        <v>0</v>
      </c>
      <c r="K78" s="66">
        <v>0</v>
      </c>
      <c r="L78" s="66">
        <v>0</v>
      </c>
      <c r="M78" s="66">
        <v>0</v>
      </c>
      <c r="N78" s="67" t="s">
        <v>1094</v>
      </c>
      <c r="O78" s="67" t="s">
        <v>1094</v>
      </c>
      <c r="P78" s="67">
        <v>0</v>
      </c>
      <c r="Q78" s="66">
        <v>6.1939355300000001</v>
      </c>
      <c r="R78" s="67">
        <v>0</v>
      </c>
    </row>
    <row r="79" spans="1:18" ht="15.75" x14ac:dyDescent="0.25">
      <c r="A79" s="198">
        <v>68</v>
      </c>
      <c r="B79" s="189" t="s">
        <v>182</v>
      </c>
      <c r="C79" s="66">
        <v>0</v>
      </c>
      <c r="D79" s="66">
        <v>0</v>
      </c>
      <c r="E79" s="66">
        <v>0</v>
      </c>
      <c r="F79" s="66">
        <v>0</v>
      </c>
      <c r="G79" s="66">
        <v>0</v>
      </c>
      <c r="H79" s="66">
        <v>0</v>
      </c>
      <c r="I79" s="66">
        <v>19.421990809999997</v>
      </c>
      <c r="J79" s="66">
        <v>0</v>
      </c>
      <c r="K79" s="66">
        <v>0</v>
      </c>
      <c r="L79" s="66">
        <v>0</v>
      </c>
      <c r="M79" s="66">
        <v>0</v>
      </c>
      <c r="N79" s="67" t="s">
        <v>1094</v>
      </c>
      <c r="O79" s="67" t="s">
        <v>1094</v>
      </c>
      <c r="P79" s="67">
        <v>0</v>
      </c>
      <c r="Q79" s="66">
        <v>19.02749481</v>
      </c>
      <c r="R79" s="67">
        <v>0.39449599999999663</v>
      </c>
    </row>
    <row r="80" spans="1:18" ht="31.5" x14ac:dyDescent="0.25">
      <c r="A80" s="198">
        <v>69</v>
      </c>
      <c r="B80" s="194" t="s">
        <v>300</v>
      </c>
      <c r="C80" s="66">
        <v>0</v>
      </c>
      <c r="D80" s="66">
        <v>0</v>
      </c>
      <c r="E80" s="66">
        <v>0</v>
      </c>
      <c r="F80" s="66">
        <v>0</v>
      </c>
      <c r="G80" s="66">
        <v>0</v>
      </c>
      <c r="H80" s="66">
        <v>0</v>
      </c>
      <c r="I80" s="66">
        <v>0</v>
      </c>
      <c r="J80" s="66">
        <v>0</v>
      </c>
      <c r="K80" s="66">
        <v>0</v>
      </c>
      <c r="L80" s="66">
        <v>0</v>
      </c>
      <c r="M80" s="66">
        <v>0</v>
      </c>
      <c r="N80" s="67" t="s">
        <v>1094</v>
      </c>
      <c r="O80" s="67" t="s">
        <v>1094</v>
      </c>
      <c r="P80" s="67">
        <v>0</v>
      </c>
      <c r="Q80" s="66">
        <v>0</v>
      </c>
      <c r="R80" s="67">
        <v>0</v>
      </c>
    </row>
    <row r="81" spans="1:18" ht="31.5" x14ac:dyDescent="0.25">
      <c r="A81" s="198">
        <v>70</v>
      </c>
      <c r="B81" s="194" t="s">
        <v>301</v>
      </c>
      <c r="C81" s="66">
        <v>0</v>
      </c>
      <c r="D81" s="66">
        <v>0</v>
      </c>
      <c r="E81" s="66">
        <v>0</v>
      </c>
      <c r="F81" s="66">
        <v>0</v>
      </c>
      <c r="G81" s="66">
        <v>0</v>
      </c>
      <c r="H81" s="66">
        <v>0</v>
      </c>
      <c r="I81" s="66">
        <v>0</v>
      </c>
      <c r="J81" s="66">
        <v>0</v>
      </c>
      <c r="K81" s="66">
        <v>0</v>
      </c>
      <c r="L81" s="66">
        <v>0</v>
      </c>
      <c r="M81" s="66">
        <v>0</v>
      </c>
      <c r="N81" s="67" t="s">
        <v>1094</v>
      </c>
      <c r="O81" s="67" t="s">
        <v>1094</v>
      </c>
      <c r="P81" s="67">
        <v>0</v>
      </c>
      <c r="Q81" s="66">
        <v>0</v>
      </c>
      <c r="R81" s="67">
        <v>0</v>
      </c>
    </row>
    <row r="82" spans="1:18" ht="15.75" x14ac:dyDescent="0.25">
      <c r="A82" s="202">
        <v>71</v>
      </c>
      <c r="B82" s="189" t="s">
        <v>189</v>
      </c>
      <c r="C82" s="66">
        <v>0</v>
      </c>
      <c r="D82" s="66">
        <v>0</v>
      </c>
      <c r="E82" s="66">
        <v>0</v>
      </c>
      <c r="F82" s="66">
        <v>0</v>
      </c>
      <c r="G82" s="66">
        <v>0</v>
      </c>
      <c r="H82" s="66">
        <v>0</v>
      </c>
      <c r="I82" s="66">
        <v>3.6536220400000001</v>
      </c>
      <c r="J82" s="66">
        <v>0</v>
      </c>
      <c r="K82" s="66">
        <v>0</v>
      </c>
      <c r="L82" s="66">
        <v>0</v>
      </c>
      <c r="M82" s="66">
        <v>0</v>
      </c>
      <c r="N82" s="67" t="s">
        <v>1094</v>
      </c>
      <c r="O82" s="67" t="s">
        <v>1094</v>
      </c>
      <c r="P82" s="67">
        <v>0</v>
      </c>
      <c r="Q82" s="66">
        <v>3.6536220400000001</v>
      </c>
      <c r="R82" s="67">
        <v>0</v>
      </c>
    </row>
    <row r="83" spans="1:18" ht="15.75" x14ac:dyDescent="0.25">
      <c r="A83" s="197">
        <v>72</v>
      </c>
      <c r="B83" s="190" t="s">
        <v>192</v>
      </c>
      <c r="C83" s="61">
        <v>0</v>
      </c>
      <c r="D83" s="61">
        <v>0</v>
      </c>
      <c r="E83" s="61">
        <v>0</v>
      </c>
      <c r="F83" s="61">
        <v>0</v>
      </c>
      <c r="G83" s="61">
        <v>0</v>
      </c>
      <c r="H83" s="61">
        <v>0</v>
      </c>
      <c r="I83" s="61">
        <v>100.77130229999999</v>
      </c>
      <c r="J83" s="61">
        <v>0</v>
      </c>
      <c r="K83" s="61">
        <v>0</v>
      </c>
      <c r="L83" s="61">
        <v>0</v>
      </c>
      <c r="M83" s="61">
        <v>0</v>
      </c>
      <c r="N83" s="61" t="s">
        <v>1094</v>
      </c>
      <c r="O83" s="61" t="s">
        <v>1094</v>
      </c>
      <c r="P83" s="61">
        <v>0</v>
      </c>
      <c r="Q83" s="61">
        <v>99.810535760000008</v>
      </c>
      <c r="R83" s="61">
        <v>0.96076654000000428</v>
      </c>
    </row>
    <row r="84" spans="1:18" ht="15.75" x14ac:dyDescent="0.25">
      <c r="A84" s="198">
        <v>73</v>
      </c>
      <c r="B84" s="189" t="s">
        <v>195</v>
      </c>
      <c r="C84" s="66">
        <v>0</v>
      </c>
      <c r="D84" s="66">
        <v>0</v>
      </c>
      <c r="E84" s="66">
        <v>0</v>
      </c>
      <c r="F84" s="66">
        <v>0</v>
      </c>
      <c r="G84" s="66">
        <v>0</v>
      </c>
      <c r="H84" s="66">
        <v>0</v>
      </c>
      <c r="I84" s="66">
        <v>0.2496746</v>
      </c>
      <c r="J84" s="66">
        <v>0</v>
      </c>
      <c r="K84" s="66">
        <v>0</v>
      </c>
      <c r="L84" s="66">
        <v>0</v>
      </c>
      <c r="M84" s="66">
        <v>0</v>
      </c>
      <c r="N84" s="67" t="s">
        <v>1094</v>
      </c>
      <c r="O84" s="67" t="s">
        <v>1094</v>
      </c>
      <c r="P84" s="67">
        <v>0</v>
      </c>
      <c r="Q84" s="66">
        <v>0.2496746</v>
      </c>
      <c r="R84" s="67">
        <v>0</v>
      </c>
    </row>
    <row r="85" spans="1:18" ht="15.75" x14ac:dyDescent="0.25">
      <c r="A85" s="198">
        <v>74</v>
      </c>
      <c r="B85" s="189" t="s">
        <v>198</v>
      </c>
      <c r="C85" s="66">
        <v>0</v>
      </c>
      <c r="D85" s="66">
        <v>0</v>
      </c>
      <c r="E85" s="66">
        <v>0</v>
      </c>
      <c r="F85" s="66">
        <v>0</v>
      </c>
      <c r="G85" s="66">
        <v>0</v>
      </c>
      <c r="H85" s="66">
        <v>0</v>
      </c>
      <c r="I85" s="66">
        <v>2.9646666000000002</v>
      </c>
      <c r="J85" s="66">
        <v>0</v>
      </c>
      <c r="K85" s="66">
        <v>0</v>
      </c>
      <c r="L85" s="66">
        <v>0</v>
      </c>
      <c r="M85" s="66">
        <v>0</v>
      </c>
      <c r="N85" s="67" t="s">
        <v>1094</v>
      </c>
      <c r="O85" s="67" t="s">
        <v>1094</v>
      </c>
      <c r="P85" s="67">
        <v>0</v>
      </c>
      <c r="Q85" s="66">
        <v>2.9646666000000002</v>
      </c>
      <c r="R85" s="67">
        <v>0</v>
      </c>
    </row>
    <row r="86" spans="1:18" ht="15.75" x14ac:dyDescent="0.25">
      <c r="A86" s="198">
        <v>75</v>
      </c>
      <c r="B86" s="189" t="s">
        <v>201</v>
      </c>
      <c r="C86" s="66">
        <v>0</v>
      </c>
      <c r="D86" s="66">
        <v>0</v>
      </c>
      <c r="E86" s="66">
        <v>0</v>
      </c>
      <c r="F86" s="66">
        <v>0</v>
      </c>
      <c r="G86" s="66">
        <v>0</v>
      </c>
      <c r="H86" s="66">
        <v>0</v>
      </c>
      <c r="I86" s="66">
        <v>1.6575172499999999</v>
      </c>
      <c r="J86" s="66">
        <v>0</v>
      </c>
      <c r="K86" s="66">
        <v>0</v>
      </c>
      <c r="L86" s="66">
        <v>0</v>
      </c>
      <c r="M86" s="66">
        <v>0</v>
      </c>
      <c r="N86" s="67" t="s">
        <v>1094</v>
      </c>
      <c r="O86" s="67" t="s">
        <v>1094</v>
      </c>
      <c r="P86" s="67">
        <v>0</v>
      </c>
      <c r="Q86" s="66">
        <v>1.6575172499999999</v>
      </c>
      <c r="R86" s="67">
        <v>0</v>
      </c>
    </row>
    <row r="87" spans="1:18" ht="15.75" x14ac:dyDescent="0.25">
      <c r="A87" s="198">
        <v>76</v>
      </c>
      <c r="B87" s="189" t="s">
        <v>204</v>
      </c>
      <c r="C87" s="66">
        <v>0</v>
      </c>
      <c r="D87" s="66">
        <v>0</v>
      </c>
      <c r="E87" s="66">
        <v>0</v>
      </c>
      <c r="F87" s="66">
        <v>0</v>
      </c>
      <c r="G87" s="66">
        <v>0</v>
      </c>
      <c r="H87" s="66">
        <v>0</v>
      </c>
      <c r="I87" s="66">
        <v>6.2220704900000001</v>
      </c>
      <c r="J87" s="66">
        <v>0</v>
      </c>
      <c r="K87" s="66">
        <v>0</v>
      </c>
      <c r="L87" s="66">
        <v>0</v>
      </c>
      <c r="M87" s="66">
        <v>0</v>
      </c>
      <c r="N87" s="67" t="s">
        <v>1094</v>
      </c>
      <c r="O87" s="67" t="s">
        <v>1094</v>
      </c>
      <c r="P87" s="67">
        <v>0</v>
      </c>
      <c r="Q87" s="66">
        <v>5.8797034899999998</v>
      </c>
      <c r="R87" s="67">
        <v>0.34236700000000031</v>
      </c>
    </row>
    <row r="88" spans="1:18" ht="15.75" x14ac:dyDescent="0.25">
      <c r="A88" s="198">
        <v>77</v>
      </c>
      <c r="B88" s="189" t="s">
        <v>207</v>
      </c>
      <c r="C88" s="66">
        <v>0</v>
      </c>
      <c r="D88" s="66">
        <v>0</v>
      </c>
      <c r="E88" s="66">
        <v>0</v>
      </c>
      <c r="F88" s="66">
        <v>0</v>
      </c>
      <c r="G88" s="66">
        <v>0</v>
      </c>
      <c r="H88" s="66">
        <v>0</v>
      </c>
      <c r="I88" s="66">
        <v>50.522931820000004</v>
      </c>
      <c r="J88" s="66">
        <v>0</v>
      </c>
      <c r="K88" s="66">
        <v>0</v>
      </c>
      <c r="L88" s="66">
        <v>0</v>
      </c>
      <c r="M88" s="66">
        <v>0</v>
      </c>
      <c r="N88" s="67" t="s">
        <v>1094</v>
      </c>
      <c r="O88" s="67" t="s">
        <v>1094</v>
      </c>
      <c r="P88" s="67">
        <v>0</v>
      </c>
      <c r="Q88" s="66">
        <v>50.514612020000001</v>
      </c>
      <c r="R88" s="67">
        <v>8.3198000000024308E-3</v>
      </c>
    </row>
    <row r="89" spans="1:18" ht="15.75" x14ac:dyDescent="0.25">
      <c r="A89" s="198">
        <v>78</v>
      </c>
      <c r="B89" s="189" t="s">
        <v>210</v>
      </c>
      <c r="C89" s="66">
        <v>0</v>
      </c>
      <c r="D89" s="66">
        <v>0</v>
      </c>
      <c r="E89" s="66">
        <v>0</v>
      </c>
      <c r="F89" s="66">
        <v>0</v>
      </c>
      <c r="G89" s="66">
        <v>0</v>
      </c>
      <c r="H89" s="66">
        <v>0</v>
      </c>
      <c r="I89" s="66">
        <v>12.05601401</v>
      </c>
      <c r="J89" s="66">
        <v>0</v>
      </c>
      <c r="K89" s="66">
        <v>0</v>
      </c>
      <c r="L89" s="66">
        <v>0</v>
      </c>
      <c r="M89" s="66">
        <v>0</v>
      </c>
      <c r="N89" s="67" t="s">
        <v>1094</v>
      </c>
      <c r="O89" s="67" t="s">
        <v>1094</v>
      </c>
      <c r="P89" s="67">
        <v>0</v>
      </c>
      <c r="Q89" s="66">
        <v>12.05601401</v>
      </c>
      <c r="R89" s="67">
        <v>0</v>
      </c>
    </row>
    <row r="90" spans="1:18" ht="15.75" x14ac:dyDescent="0.25">
      <c r="A90" s="198">
        <v>79</v>
      </c>
      <c r="B90" s="189" t="s">
        <v>213</v>
      </c>
      <c r="C90" s="66">
        <v>0</v>
      </c>
      <c r="D90" s="66">
        <v>0</v>
      </c>
      <c r="E90" s="66">
        <v>0</v>
      </c>
      <c r="F90" s="66">
        <v>0</v>
      </c>
      <c r="G90" s="66">
        <v>0</v>
      </c>
      <c r="H90" s="66">
        <v>0</v>
      </c>
      <c r="I90" s="66">
        <v>10.04069134</v>
      </c>
      <c r="J90" s="66">
        <v>0</v>
      </c>
      <c r="K90" s="66">
        <v>0</v>
      </c>
      <c r="L90" s="66">
        <v>0</v>
      </c>
      <c r="M90" s="66">
        <v>0</v>
      </c>
      <c r="N90" s="67" t="s">
        <v>1094</v>
      </c>
      <c r="O90" s="67" t="s">
        <v>1094</v>
      </c>
      <c r="P90" s="67">
        <v>0</v>
      </c>
      <c r="Q90" s="66">
        <v>9.4306115999999989</v>
      </c>
      <c r="R90" s="67">
        <v>0.61007974000000154</v>
      </c>
    </row>
    <row r="91" spans="1:18" ht="15.75" x14ac:dyDescent="0.25">
      <c r="A91" s="198">
        <v>80</v>
      </c>
      <c r="B91" s="189" t="s">
        <v>216</v>
      </c>
      <c r="C91" s="66">
        <v>0</v>
      </c>
      <c r="D91" s="66">
        <v>0</v>
      </c>
      <c r="E91" s="66">
        <v>0</v>
      </c>
      <c r="F91" s="66">
        <v>0</v>
      </c>
      <c r="G91" s="66">
        <v>0</v>
      </c>
      <c r="H91" s="66">
        <v>0</v>
      </c>
      <c r="I91" s="66">
        <v>8.5157547400000002</v>
      </c>
      <c r="J91" s="66">
        <v>0</v>
      </c>
      <c r="K91" s="66">
        <v>0</v>
      </c>
      <c r="L91" s="66">
        <v>0</v>
      </c>
      <c r="M91" s="66">
        <v>0</v>
      </c>
      <c r="N91" s="67" t="s">
        <v>1094</v>
      </c>
      <c r="O91" s="67" t="s">
        <v>1094</v>
      </c>
      <c r="P91" s="67">
        <v>0</v>
      </c>
      <c r="Q91" s="66">
        <v>8.5157547400000002</v>
      </c>
      <c r="R91" s="67">
        <v>0</v>
      </c>
    </row>
    <row r="92" spans="1:18" ht="15.75" x14ac:dyDescent="0.25">
      <c r="A92" s="198">
        <v>81</v>
      </c>
      <c r="B92" s="189" t="s">
        <v>219</v>
      </c>
      <c r="C92" s="66">
        <v>0</v>
      </c>
      <c r="D92" s="66">
        <v>0</v>
      </c>
      <c r="E92" s="66">
        <v>0</v>
      </c>
      <c r="F92" s="66">
        <v>0</v>
      </c>
      <c r="G92" s="66">
        <v>0</v>
      </c>
      <c r="H92" s="66">
        <v>0</v>
      </c>
      <c r="I92" s="66">
        <v>7.1180843899999999</v>
      </c>
      <c r="J92" s="66">
        <v>0</v>
      </c>
      <c r="K92" s="66">
        <v>0</v>
      </c>
      <c r="L92" s="66">
        <v>0</v>
      </c>
      <c r="M92" s="66">
        <v>0</v>
      </c>
      <c r="N92" s="67" t="s">
        <v>1094</v>
      </c>
      <c r="O92" s="67" t="s">
        <v>1094</v>
      </c>
      <c r="P92" s="67">
        <v>0</v>
      </c>
      <c r="Q92" s="66">
        <v>7.1180843899999999</v>
      </c>
      <c r="R92" s="67">
        <v>0</v>
      </c>
    </row>
    <row r="93" spans="1:18" ht="15.75" x14ac:dyDescent="0.25">
      <c r="A93" s="198">
        <v>82</v>
      </c>
      <c r="B93" s="189" t="s">
        <v>222</v>
      </c>
      <c r="C93" s="66">
        <v>0</v>
      </c>
      <c r="D93" s="66">
        <v>0</v>
      </c>
      <c r="E93" s="66">
        <v>0</v>
      </c>
      <c r="F93" s="66">
        <v>0</v>
      </c>
      <c r="G93" s="66">
        <v>0</v>
      </c>
      <c r="H93" s="66">
        <v>0</v>
      </c>
      <c r="I93" s="66">
        <v>0.93482772999999997</v>
      </c>
      <c r="J93" s="66">
        <v>0</v>
      </c>
      <c r="K93" s="66">
        <v>0</v>
      </c>
      <c r="L93" s="66">
        <v>0</v>
      </c>
      <c r="M93" s="66">
        <v>0</v>
      </c>
      <c r="N93" s="67" t="s">
        <v>1094</v>
      </c>
      <c r="O93" s="67" t="s">
        <v>1094</v>
      </c>
      <c r="P93" s="67">
        <v>0</v>
      </c>
      <c r="Q93" s="66">
        <v>0.93482772999999997</v>
      </c>
      <c r="R93" s="67">
        <v>0</v>
      </c>
    </row>
    <row r="94" spans="1:18" ht="15.75" x14ac:dyDescent="0.25">
      <c r="A94" s="198">
        <v>83</v>
      </c>
      <c r="B94" s="189" t="s">
        <v>225</v>
      </c>
      <c r="C94" s="66">
        <v>0</v>
      </c>
      <c r="D94" s="66">
        <v>0</v>
      </c>
      <c r="E94" s="66">
        <v>0</v>
      </c>
      <c r="F94" s="66">
        <v>0</v>
      </c>
      <c r="G94" s="66">
        <v>0</v>
      </c>
      <c r="H94" s="66">
        <v>0</v>
      </c>
      <c r="I94" s="66">
        <v>0.30633863</v>
      </c>
      <c r="J94" s="66">
        <v>0</v>
      </c>
      <c r="K94" s="66">
        <v>0</v>
      </c>
      <c r="L94" s="66">
        <v>0</v>
      </c>
      <c r="M94" s="66">
        <v>0</v>
      </c>
      <c r="N94" s="67" t="s">
        <v>1094</v>
      </c>
      <c r="O94" s="67" t="s">
        <v>1094</v>
      </c>
      <c r="P94" s="67">
        <v>0</v>
      </c>
      <c r="Q94" s="66">
        <v>0.30633863</v>
      </c>
      <c r="R94" s="67">
        <v>0</v>
      </c>
    </row>
    <row r="95" spans="1:18" ht="15.75" x14ac:dyDescent="0.25">
      <c r="A95" s="202">
        <v>84</v>
      </c>
      <c r="B95" s="189" t="s">
        <v>228</v>
      </c>
      <c r="C95" s="66">
        <v>0</v>
      </c>
      <c r="D95" s="66">
        <v>0</v>
      </c>
      <c r="E95" s="66">
        <v>0</v>
      </c>
      <c r="F95" s="66">
        <v>0</v>
      </c>
      <c r="G95" s="66">
        <v>0</v>
      </c>
      <c r="H95" s="66">
        <v>0</v>
      </c>
      <c r="I95" s="66">
        <v>0.18273070000000002</v>
      </c>
      <c r="J95" s="66">
        <v>0</v>
      </c>
      <c r="K95" s="66">
        <v>0</v>
      </c>
      <c r="L95" s="66">
        <v>0</v>
      </c>
      <c r="M95" s="66">
        <v>0</v>
      </c>
      <c r="N95" s="67" t="s">
        <v>1094</v>
      </c>
      <c r="O95" s="67" t="s">
        <v>1094</v>
      </c>
      <c r="P95" s="67">
        <v>0</v>
      </c>
      <c r="Q95" s="66">
        <v>0.18273070000000002</v>
      </c>
      <c r="R95" s="67">
        <v>0</v>
      </c>
    </row>
    <row r="96" spans="1:18" ht="15.75" x14ac:dyDescent="0.25">
      <c r="A96" s="197">
        <v>85</v>
      </c>
      <c r="B96" s="190" t="s">
        <v>231</v>
      </c>
      <c r="C96" s="61">
        <v>0</v>
      </c>
      <c r="D96" s="61">
        <v>0</v>
      </c>
      <c r="E96" s="61">
        <v>0</v>
      </c>
      <c r="F96" s="61">
        <v>0</v>
      </c>
      <c r="G96" s="61">
        <v>0</v>
      </c>
      <c r="H96" s="61">
        <v>0</v>
      </c>
      <c r="I96" s="61">
        <v>26.103311120000004</v>
      </c>
      <c r="J96" s="61">
        <v>0</v>
      </c>
      <c r="K96" s="61">
        <v>0</v>
      </c>
      <c r="L96" s="61">
        <v>0</v>
      </c>
      <c r="M96" s="61">
        <v>0</v>
      </c>
      <c r="N96" s="61" t="s">
        <v>1094</v>
      </c>
      <c r="O96" s="61" t="s">
        <v>1094</v>
      </c>
      <c r="P96" s="61">
        <v>0</v>
      </c>
      <c r="Q96" s="61">
        <v>22.76893712</v>
      </c>
      <c r="R96" s="61">
        <v>3.3343740000000004</v>
      </c>
    </row>
    <row r="97" spans="1:18" ht="15.75" x14ac:dyDescent="0.25">
      <c r="A97" s="198">
        <v>86</v>
      </c>
      <c r="B97" s="189" t="s">
        <v>234</v>
      </c>
      <c r="C97" s="66">
        <v>0</v>
      </c>
      <c r="D97" s="66">
        <v>0</v>
      </c>
      <c r="E97" s="66">
        <v>0</v>
      </c>
      <c r="F97" s="66">
        <v>0</v>
      </c>
      <c r="G97" s="66">
        <v>0</v>
      </c>
      <c r="H97" s="66">
        <v>0</v>
      </c>
      <c r="I97" s="66">
        <v>0</v>
      </c>
      <c r="J97" s="66">
        <v>0</v>
      </c>
      <c r="K97" s="66">
        <v>0</v>
      </c>
      <c r="L97" s="66">
        <v>0</v>
      </c>
      <c r="M97" s="66">
        <v>0</v>
      </c>
      <c r="N97" s="67" t="s">
        <v>1094</v>
      </c>
      <c r="O97" s="67" t="s">
        <v>1094</v>
      </c>
      <c r="P97" s="67">
        <v>0</v>
      </c>
      <c r="Q97" s="66">
        <v>0</v>
      </c>
      <c r="R97" s="67">
        <v>0</v>
      </c>
    </row>
    <row r="98" spans="1:18" ht="15.75" x14ac:dyDescent="0.25">
      <c r="A98" s="198">
        <v>87</v>
      </c>
      <c r="B98" s="189" t="s">
        <v>237</v>
      </c>
      <c r="C98" s="66">
        <v>0</v>
      </c>
      <c r="D98" s="66">
        <v>0</v>
      </c>
      <c r="E98" s="66">
        <v>0</v>
      </c>
      <c r="F98" s="66">
        <v>0</v>
      </c>
      <c r="G98" s="66">
        <v>0</v>
      </c>
      <c r="H98" s="66">
        <v>0</v>
      </c>
      <c r="I98" s="66">
        <v>4.7354830000000003</v>
      </c>
      <c r="J98" s="66">
        <v>0</v>
      </c>
      <c r="K98" s="66">
        <v>0</v>
      </c>
      <c r="L98" s="66">
        <v>0</v>
      </c>
      <c r="M98" s="66">
        <v>0</v>
      </c>
      <c r="N98" s="67" t="s">
        <v>1094</v>
      </c>
      <c r="O98" s="67" t="s">
        <v>1094</v>
      </c>
      <c r="P98" s="67">
        <v>0</v>
      </c>
      <c r="Q98" s="66">
        <v>1.4011089999999999</v>
      </c>
      <c r="R98" s="67">
        <v>3.3343740000000004</v>
      </c>
    </row>
    <row r="99" spans="1:18" ht="15.75" x14ac:dyDescent="0.25">
      <c r="A99" s="198">
        <v>88</v>
      </c>
      <c r="B99" s="189" t="s">
        <v>240</v>
      </c>
      <c r="C99" s="66">
        <v>0</v>
      </c>
      <c r="D99" s="66">
        <v>0</v>
      </c>
      <c r="E99" s="66">
        <v>0</v>
      </c>
      <c r="F99" s="66">
        <v>0</v>
      </c>
      <c r="G99" s="66">
        <v>0</v>
      </c>
      <c r="H99" s="66">
        <v>0</v>
      </c>
      <c r="I99" s="66">
        <v>18.86410326</v>
      </c>
      <c r="J99" s="66">
        <v>0</v>
      </c>
      <c r="K99" s="66">
        <v>0</v>
      </c>
      <c r="L99" s="66">
        <v>0</v>
      </c>
      <c r="M99" s="66">
        <v>0</v>
      </c>
      <c r="N99" s="67" t="s">
        <v>1094</v>
      </c>
      <c r="O99" s="67" t="s">
        <v>1094</v>
      </c>
      <c r="P99" s="67">
        <v>0</v>
      </c>
      <c r="Q99" s="66">
        <v>18.86410326</v>
      </c>
      <c r="R99" s="67">
        <v>0</v>
      </c>
    </row>
    <row r="100" spans="1:18" ht="15.75" x14ac:dyDescent="0.25">
      <c r="A100" s="198">
        <v>89</v>
      </c>
      <c r="B100" s="189" t="s">
        <v>243</v>
      </c>
      <c r="C100" s="66">
        <v>0</v>
      </c>
      <c r="D100" s="66">
        <v>0</v>
      </c>
      <c r="E100" s="66">
        <v>0</v>
      </c>
      <c r="F100" s="66">
        <v>0</v>
      </c>
      <c r="G100" s="66">
        <v>0</v>
      </c>
      <c r="H100" s="66">
        <v>0</v>
      </c>
      <c r="I100" s="66">
        <v>0</v>
      </c>
      <c r="J100" s="66">
        <v>0</v>
      </c>
      <c r="K100" s="66">
        <v>0</v>
      </c>
      <c r="L100" s="66">
        <v>0</v>
      </c>
      <c r="M100" s="66">
        <v>0</v>
      </c>
      <c r="N100" s="67" t="s">
        <v>1094</v>
      </c>
      <c r="O100" s="67" t="s">
        <v>1094</v>
      </c>
      <c r="P100" s="67">
        <v>0</v>
      </c>
      <c r="Q100" s="66">
        <v>0</v>
      </c>
      <c r="R100" s="67">
        <v>0</v>
      </c>
    </row>
    <row r="101" spans="1:18" ht="15.75" x14ac:dyDescent="0.25">
      <c r="A101" s="198">
        <v>90</v>
      </c>
      <c r="B101" s="189" t="s">
        <v>246</v>
      </c>
      <c r="C101" s="66">
        <v>0</v>
      </c>
      <c r="D101" s="66">
        <v>0</v>
      </c>
      <c r="E101" s="66">
        <v>0</v>
      </c>
      <c r="F101" s="66">
        <v>0</v>
      </c>
      <c r="G101" s="66">
        <v>0</v>
      </c>
      <c r="H101" s="66">
        <v>0</v>
      </c>
      <c r="I101" s="66">
        <v>0.13615778000000001</v>
      </c>
      <c r="J101" s="66">
        <v>0</v>
      </c>
      <c r="K101" s="66">
        <v>0</v>
      </c>
      <c r="L101" s="66">
        <v>0</v>
      </c>
      <c r="M101" s="66">
        <v>0</v>
      </c>
      <c r="N101" s="67" t="s">
        <v>1094</v>
      </c>
      <c r="O101" s="67" t="s">
        <v>1094</v>
      </c>
      <c r="P101" s="67">
        <v>0</v>
      </c>
      <c r="Q101" s="66">
        <v>0.13615778000000001</v>
      </c>
      <c r="R101" s="67">
        <v>0</v>
      </c>
    </row>
    <row r="102" spans="1:18" ht="15.75" x14ac:dyDescent="0.25">
      <c r="A102" s="198">
        <v>91</v>
      </c>
      <c r="B102" s="189" t="s">
        <v>249</v>
      </c>
      <c r="C102" s="66">
        <v>0</v>
      </c>
      <c r="D102" s="66">
        <v>0</v>
      </c>
      <c r="E102" s="66">
        <v>0</v>
      </c>
      <c r="F102" s="66">
        <v>0</v>
      </c>
      <c r="G102" s="66">
        <v>0</v>
      </c>
      <c r="H102" s="66">
        <v>0</v>
      </c>
      <c r="I102" s="66">
        <v>2.3595855999999999</v>
      </c>
      <c r="J102" s="66">
        <v>0</v>
      </c>
      <c r="K102" s="66">
        <v>0</v>
      </c>
      <c r="L102" s="66">
        <v>0</v>
      </c>
      <c r="M102" s="66">
        <v>0</v>
      </c>
      <c r="N102" s="67" t="s">
        <v>1094</v>
      </c>
      <c r="O102" s="67" t="s">
        <v>1094</v>
      </c>
      <c r="P102" s="67">
        <v>0</v>
      </c>
      <c r="Q102" s="66">
        <v>2.3595855999999999</v>
      </c>
      <c r="R102" s="67">
        <v>0</v>
      </c>
    </row>
    <row r="103" spans="1:18" ht="15.75" x14ac:dyDescent="0.25">
      <c r="A103" s="198">
        <v>92</v>
      </c>
      <c r="B103" s="189" t="s">
        <v>252</v>
      </c>
      <c r="C103" s="66">
        <v>0</v>
      </c>
      <c r="D103" s="66">
        <v>0</v>
      </c>
      <c r="E103" s="66">
        <v>0</v>
      </c>
      <c r="F103" s="66">
        <v>0</v>
      </c>
      <c r="G103" s="66">
        <v>0</v>
      </c>
      <c r="H103" s="66">
        <v>0</v>
      </c>
      <c r="I103" s="66">
        <v>7.9814799999999991E-3</v>
      </c>
      <c r="J103" s="66">
        <v>0</v>
      </c>
      <c r="K103" s="66">
        <v>0</v>
      </c>
      <c r="L103" s="66">
        <v>0</v>
      </c>
      <c r="M103" s="66">
        <v>0</v>
      </c>
      <c r="N103" s="67" t="s">
        <v>1094</v>
      </c>
      <c r="O103" s="67" t="s">
        <v>1094</v>
      </c>
      <c r="P103" s="67">
        <v>0</v>
      </c>
      <c r="Q103" s="66">
        <v>7.9814799999999991E-3</v>
      </c>
      <c r="R103" s="67">
        <v>0</v>
      </c>
    </row>
    <row r="104" spans="1:18" ht="15.75" x14ac:dyDescent="0.25">
      <c r="A104" s="198">
        <v>93</v>
      </c>
      <c r="B104" s="189" t="s">
        <v>254</v>
      </c>
      <c r="C104" s="66">
        <v>0</v>
      </c>
      <c r="D104" s="66">
        <v>0</v>
      </c>
      <c r="E104" s="66">
        <v>0</v>
      </c>
      <c r="F104" s="66">
        <v>0</v>
      </c>
      <c r="G104" s="66">
        <v>0</v>
      </c>
      <c r="H104" s="66">
        <v>0</v>
      </c>
      <c r="I104" s="66">
        <v>0</v>
      </c>
      <c r="J104" s="66">
        <v>0</v>
      </c>
      <c r="K104" s="66">
        <v>0</v>
      </c>
      <c r="L104" s="66">
        <v>0</v>
      </c>
      <c r="M104" s="66">
        <v>0</v>
      </c>
      <c r="N104" s="67" t="s">
        <v>1094</v>
      </c>
      <c r="O104" s="67" t="s">
        <v>1094</v>
      </c>
      <c r="P104" s="67">
        <v>0</v>
      </c>
      <c r="Q104" s="66">
        <v>0</v>
      </c>
      <c r="R104" s="67">
        <v>0</v>
      </c>
    </row>
    <row r="105" spans="1:18" ht="15.75" x14ac:dyDescent="0.25">
      <c r="A105" s="203">
        <v>94</v>
      </c>
      <c r="B105" s="189" t="s">
        <v>256</v>
      </c>
      <c r="C105" s="66">
        <v>0</v>
      </c>
      <c r="D105" s="66">
        <v>0</v>
      </c>
      <c r="E105" s="66">
        <v>0</v>
      </c>
      <c r="F105" s="66">
        <v>0</v>
      </c>
      <c r="G105" s="66">
        <v>0</v>
      </c>
      <c r="H105" s="66">
        <v>0</v>
      </c>
      <c r="I105" s="66">
        <v>0</v>
      </c>
      <c r="J105" s="66">
        <v>0</v>
      </c>
      <c r="K105" s="66">
        <v>0</v>
      </c>
      <c r="L105" s="66">
        <v>0</v>
      </c>
      <c r="M105" s="66">
        <v>0</v>
      </c>
      <c r="N105" s="67" t="s">
        <v>1094</v>
      </c>
      <c r="O105" s="67" t="s">
        <v>1094</v>
      </c>
      <c r="P105" s="67">
        <v>0</v>
      </c>
      <c r="Q105" s="66">
        <v>0</v>
      </c>
      <c r="R105" s="67">
        <v>0</v>
      </c>
    </row>
    <row r="106" spans="1:18" ht="15.75" x14ac:dyDescent="0.25">
      <c r="A106" s="204"/>
      <c r="B106" s="204"/>
    </row>
  </sheetData>
  <mergeCells count="17">
    <mergeCell ref="N9:O10"/>
    <mergeCell ref="A7:A11"/>
    <mergeCell ref="B7:B11"/>
    <mergeCell ref="C7:R8"/>
    <mergeCell ref="C9:C11"/>
    <mergeCell ref="D9:D11"/>
    <mergeCell ref="E9:G9"/>
    <mergeCell ref="H9:H11"/>
    <mergeCell ref="R9:R11"/>
    <mergeCell ref="E10:E11"/>
    <mergeCell ref="F10:G10"/>
    <mergeCell ref="J10:J11"/>
    <mergeCell ref="P9:P11"/>
    <mergeCell ref="Q9:Q11"/>
    <mergeCell ref="K10:M10"/>
    <mergeCell ref="I9:I11"/>
    <mergeCell ref="J9:M9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15</vt:i4>
      </vt:variant>
      <vt:variant>
        <vt:lpstr>Именованные диапазоны</vt:lpstr>
      </vt:variant>
      <vt:variant>
        <vt:i4>476</vt:i4>
      </vt:variant>
    </vt:vector>
  </HeadingPairs>
  <TitlesOfParts>
    <vt:vector size="491" baseType="lpstr">
      <vt:lpstr>data_1</vt:lpstr>
      <vt:lpstr>1.4 (1.4.1-1.4.2)</vt:lpstr>
      <vt:lpstr>Направления</vt:lpstr>
      <vt:lpstr>dataФО</vt:lpstr>
      <vt:lpstr>Списки</vt:lpstr>
      <vt:lpstr>Итого</vt:lpstr>
      <vt:lpstr>1</vt:lpstr>
      <vt:lpstr>1,1</vt:lpstr>
      <vt:lpstr>1,2</vt:lpstr>
      <vt:lpstr>1,3</vt:lpstr>
      <vt:lpstr>1,4</vt:lpstr>
      <vt:lpstr>1,5</vt:lpstr>
      <vt:lpstr>1,6</vt:lpstr>
      <vt:lpstr>2</vt:lpstr>
      <vt:lpstr>3</vt:lpstr>
      <vt:lpstr>date</vt:lpstr>
      <vt:lpstr>'1.4 (1.4.1-1.4.2)'!Print_Area</vt:lpstr>
      <vt:lpstr>'1.4 (1.4.1-1.4.2)'!Print_Titles</vt:lpstr>
      <vt:lpstr>ЕдиницаВыбор</vt:lpstr>
      <vt:lpstr>ЕдиницаМатрица</vt:lpstr>
      <vt:lpstr>'1'!Заголовки_для_печати</vt:lpstr>
      <vt:lpstr>'1,1'!Заголовки_для_печати</vt:lpstr>
      <vt:lpstr>'1,2'!Заголовки_для_печати</vt:lpstr>
      <vt:lpstr>'1,3'!Заголовки_для_печати</vt:lpstr>
      <vt:lpstr>'1,4'!Заголовки_для_печати</vt:lpstr>
      <vt:lpstr>'1,5'!Заголовки_для_печати</vt:lpstr>
      <vt:lpstr>'1,6'!Заголовки_для_печати</vt:lpstr>
      <vt:lpstr>'2'!Заголовки_для_печати</vt:lpstr>
      <vt:lpstr>'3'!Заголовки_для_печати</vt:lpstr>
      <vt:lpstr>Итого!Заголовки_для_печати</vt:lpstr>
      <vt:lpstr>КОЛ01704</vt:lpstr>
      <vt:lpstr>КОЛ01705</vt:lpstr>
      <vt:lpstr>КОЛ01706</vt:lpstr>
      <vt:lpstr>КОЛ01707</vt:lpstr>
      <vt:lpstr>КОЛ01708</vt:lpstr>
      <vt:lpstr>КОЛ01709</vt:lpstr>
      <vt:lpstr>КОЛ01710</vt:lpstr>
      <vt:lpstr>КОЛ01711</vt:lpstr>
      <vt:lpstr>КОЛ01712</vt:lpstr>
      <vt:lpstr>КОЛ01713</vt:lpstr>
      <vt:lpstr>КОЛ01714</vt:lpstr>
      <vt:lpstr>КОЛ01715</vt:lpstr>
      <vt:lpstr>КОЛ01716</vt:lpstr>
      <vt:lpstr>КОЛ01719</vt:lpstr>
      <vt:lpstr>КОЛ01721</vt:lpstr>
      <vt:lpstr>КОЛ01723</vt:lpstr>
      <vt:lpstr>КОЛ01751</vt:lpstr>
      <vt:lpstr>КОЛ01752</vt:lpstr>
      <vt:lpstr>КОЛ04504</vt:lpstr>
      <vt:lpstr>КОЛ04505</vt:lpstr>
      <vt:lpstr>КОЛ04506</vt:lpstr>
      <vt:lpstr>КОЛ04507</vt:lpstr>
      <vt:lpstr>КОЛ04508</vt:lpstr>
      <vt:lpstr>КОЛ04509</vt:lpstr>
      <vt:lpstr>КОЛ04510</vt:lpstr>
      <vt:lpstr>КОЛ04511</vt:lpstr>
      <vt:lpstr>КОЛ04512</vt:lpstr>
      <vt:lpstr>КОЛ04513</vt:lpstr>
      <vt:lpstr>КОЛ04514</vt:lpstr>
      <vt:lpstr>КОЛ04515</vt:lpstr>
      <vt:lpstr>КОЛ04516</vt:lpstr>
      <vt:lpstr>КОЛ04519</vt:lpstr>
      <vt:lpstr>КОЛ04521</vt:lpstr>
      <vt:lpstr>КОЛ04523</vt:lpstr>
      <vt:lpstr>КОЛ04551</vt:lpstr>
      <vt:lpstr>КОЛ04552</vt:lpstr>
      <vt:lpstr>КОЛ04904</vt:lpstr>
      <vt:lpstr>КОЛ04905</vt:lpstr>
      <vt:lpstr>КОЛ04906</vt:lpstr>
      <vt:lpstr>КОЛ04907</vt:lpstr>
      <vt:lpstr>КОЛ04908</vt:lpstr>
      <vt:lpstr>КОЛ04909</vt:lpstr>
      <vt:lpstr>КОЛ04910</vt:lpstr>
      <vt:lpstr>КОЛ04911</vt:lpstr>
      <vt:lpstr>КОЛ04912</vt:lpstr>
      <vt:lpstr>КОЛ04913</vt:lpstr>
      <vt:lpstr>КОЛ04914</vt:lpstr>
      <vt:lpstr>КОЛ04915</vt:lpstr>
      <vt:lpstr>КОЛ04916</vt:lpstr>
      <vt:lpstr>КОЛ04919</vt:lpstr>
      <vt:lpstr>КОЛ04921</vt:lpstr>
      <vt:lpstr>КОЛ04923</vt:lpstr>
      <vt:lpstr>КОЛ04951</vt:lpstr>
      <vt:lpstr>КОЛ04952</vt:lpstr>
      <vt:lpstr>КОЛ05104</vt:lpstr>
      <vt:lpstr>КОЛ05105</vt:lpstr>
      <vt:lpstr>КОЛ05106</vt:lpstr>
      <vt:lpstr>КОЛ05107</vt:lpstr>
      <vt:lpstr>КОЛ05108</vt:lpstr>
      <vt:lpstr>КОЛ05109</vt:lpstr>
      <vt:lpstr>КОЛ05110</vt:lpstr>
      <vt:lpstr>КОЛ05111</vt:lpstr>
      <vt:lpstr>КОЛ05112</vt:lpstr>
      <vt:lpstr>КОЛ05113</vt:lpstr>
      <vt:lpstr>КОЛ05114</vt:lpstr>
      <vt:lpstr>КОЛ05115</vt:lpstr>
      <vt:lpstr>КОЛ05116</vt:lpstr>
      <vt:lpstr>КОЛ05119</vt:lpstr>
      <vt:lpstr>КОЛ05121</vt:lpstr>
      <vt:lpstr>КОЛ05123</vt:lpstr>
      <vt:lpstr>КОЛ05151</vt:lpstr>
      <vt:lpstr>КОЛ05152</vt:lpstr>
      <vt:lpstr>КОЛ05204</vt:lpstr>
      <vt:lpstr>КОЛ05205</vt:lpstr>
      <vt:lpstr>КОЛ05206</vt:lpstr>
      <vt:lpstr>КОЛ05207</vt:lpstr>
      <vt:lpstr>КОЛ05208</vt:lpstr>
      <vt:lpstr>КОЛ05209</vt:lpstr>
      <vt:lpstr>КОЛ05210</vt:lpstr>
      <vt:lpstr>КОЛ05211</vt:lpstr>
      <vt:lpstr>КОЛ05212</vt:lpstr>
      <vt:lpstr>КОЛ05213</vt:lpstr>
      <vt:lpstr>КОЛ05214</vt:lpstr>
      <vt:lpstr>КОЛ05215</vt:lpstr>
      <vt:lpstr>КОЛ05216</vt:lpstr>
      <vt:lpstr>КОЛ05219</vt:lpstr>
      <vt:lpstr>КОЛ05221</vt:lpstr>
      <vt:lpstr>КОЛ05223</vt:lpstr>
      <vt:lpstr>КОЛ05251</vt:lpstr>
      <vt:lpstr>КОЛ05252</vt:lpstr>
      <vt:lpstr>КОЛ05304</vt:lpstr>
      <vt:lpstr>КОЛ05305</vt:lpstr>
      <vt:lpstr>КОЛ05306</vt:lpstr>
      <vt:lpstr>КОЛ05307</vt:lpstr>
      <vt:lpstr>КОЛ05308</vt:lpstr>
      <vt:lpstr>КОЛ05309</vt:lpstr>
      <vt:lpstr>КОЛ05310</vt:lpstr>
      <vt:lpstr>КОЛ05311</vt:lpstr>
      <vt:lpstr>КОЛ05312</vt:lpstr>
      <vt:lpstr>КОЛ05313</vt:lpstr>
      <vt:lpstr>КОЛ05314</vt:lpstr>
      <vt:lpstr>КОЛ05315</vt:lpstr>
      <vt:lpstr>КОЛ05316</vt:lpstr>
      <vt:lpstr>КОЛ05319</vt:lpstr>
      <vt:lpstr>КОЛ05321</vt:lpstr>
      <vt:lpstr>КОЛ05323</vt:lpstr>
      <vt:lpstr>КОЛ05351</vt:lpstr>
      <vt:lpstr>КОЛ05352</vt:lpstr>
      <vt:lpstr>КОЛ05404</vt:lpstr>
      <vt:lpstr>КОЛ05405</vt:lpstr>
      <vt:lpstr>КОЛ05406</vt:lpstr>
      <vt:lpstr>КОЛ05407</vt:lpstr>
      <vt:lpstr>КОЛ05408</vt:lpstr>
      <vt:lpstr>КОЛ05409</vt:lpstr>
      <vt:lpstr>КОЛ05410</vt:lpstr>
      <vt:lpstr>КОЛ05411</vt:lpstr>
      <vt:lpstr>КОЛ05412</vt:lpstr>
      <vt:lpstr>КОЛ05413</vt:lpstr>
      <vt:lpstr>КОЛ05414</vt:lpstr>
      <vt:lpstr>КОЛ05415</vt:lpstr>
      <vt:lpstr>КОЛ05416</vt:lpstr>
      <vt:lpstr>КОЛ05419</vt:lpstr>
      <vt:lpstr>КОЛ05421</vt:lpstr>
      <vt:lpstr>КОЛ05423</vt:lpstr>
      <vt:lpstr>КОЛ05451</vt:lpstr>
      <vt:lpstr>КОЛ05452</vt:lpstr>
      <vt:lpstr>КОЛ05504</vt:lpstr>
      <vt:lpstr>КОЛ05505</vt:lpstr>
      <vt:lpstr>КОЛ05506</vt:lpstr>
      <vt:lpstr>КОЛ05507</vt:lpstr>
      <vt:lpstr>КОЛ05508</vt:lpstr>
      <vt:lpstr>КОЛ05509</vt:lpstr>
      <vt:lpstr>КОЛ05510</vt:lpstr>
      <vt:lpstr>КОЛ05511</vt:lpstr>
      <vt:lpstr>КОЛ05512</vt:lpstr>
      <vt:lpstr>КОЛ05513</vt:lpstr>
      <vt:lpstr>КОЛ05514</vt:lpstr>
      <vt:lpstr>КОЛ05515</vt:lpstr>
      <vt:lpstr>КОЛ05516</vt:lpstr>
      <vt:lpstr>КОЛ05519</vt:lpstr>
      <vt:lpstr>КОЛ05521</vt:lpstr>
      <vt:lpstr>КОЛ05523</vt:lpstr>
      <vt:lpstr>КОЛ05551</vt:lpstr>
      <vt:lpstr>КОЛ05552</vt:lpstr>
      <vt:lpstr>КОЛ06004</vt:lpstr>
      <vt:lpstr>КОЛ06005</vt:lpstr>
      <vt:lpstr>КОЛ06006</vt:lpstr>
      <vt:lpstr>КОЛ06007</vt:lpstr>
      <vt:lpstr>КОЛ06008</vt:lpstr>
      <vt:lpstr>КОЛ06009</vt:lpstr>
      <vt:lpstr>КОЛ06010</vt:lpstr>
      <vt:lpstr>КОЛ06011</vt:lpstr>
      <vt:lpstr>КОЛ06012</vt:lpstr>
      <vt:lpstr>КОЛ06013</vt:lpstr>
      <vt:lpstr>КОЛ06014</vt:lpstr>
      <vt:lpstr>КОЛ06015</vt:lpstr>
      <vt:lpstr>КОЛ06016</vt:lpstr>
      <vt:lpstr>КОЛ06019</vt:lpstr>
      <vt:lpstr>КОЛ06021</vt:lpstr>
      <vt:lpstr>КОЛ06023</vt:lpstr>
      <vt:lpstr>КОЛ06051</vt:lpstr>
      <vt:lpstr>КОЛ06052</vt:lpstr>
      <vt:lpstr>КОЛ06204</vt:lpstr>
      <vt:lpstr>КОЛ06205</vt:lpstr>
      <vt:lpstr>КОЛ06206</vt:lpstr>
      <vt:lpstr>КОЛ06207</vt:lpstr>
      <vt:lpstr>КОЛ06208</vt:lpstr>
      <vt:lpstr>КОЛ06209</vt:lpstr>
      <vt:lpstr>КОЛ06210</vt:lpstr>
      <vt:lpstr>КОЛ06211</vt:lpstr>
      <vt:lpstr>КОЛ06212</vt:lpstr>
      <vt:lpstr>КОЛ06213</vt:lpstr>
      <vt:lpstr>КОЛ06214</vt:lpstr>
      <vt:lpstr>КОЛ06215</vt:lpstr>
      <vt:lpstr>КОЛ06216</vt:lpstr>
      <vt:lpstr>КОЛ06219</vt:lpstr>
      <vt:lpstr>КОЛ06221</vt:lpstr>
      <vt:lpstr>КОЛ06223</vt:lpstr>
      <vt:lpstr>КОЛ06251</vt:lpstr>
      <vt:lpstr>КОЛ06252</vt:lpstr>
      <vt:lpstr>КОЛ07504</vt:lpstr>
      <vt:lpstr>КОЛ07505</vt:lpstr>
      <vt:lpstr>КОЛ07506</vt:lpstr>
      <vt:lpstr>КОЛ07507</vt:lpstr>
      <vt:lpstr>КОЛ07508</vt:lpstr>
      <vt:lpstr>КОЛ07509</vt:lpstr>
      <vt:lpstr>КОЛ07510</vt:lpstr>
      <vt:lpstr>КОЛ07511</vt:lpstr>
      <vt:lpstr>КОЛ07512</vt:lpstr>
      <vt:lpstr>КОЛ07513</vt:lpstr>
      <vt:lpstr>КОЛ07514</vt:lpstr>
      <vt:lpstr>КОЛ07515</vt:lpstr>
      <vt:lpstr>КОЛ07516</vt:lpstr>
      <vt:lpstr>КОЛ07519</vt:lpstr>
      <vt:lpstr>КОЛ07521</vt:lpstr>
      <vt:lpstr>КОЛ07523</vt:lpstr>
      <vt:lpstr>КОЛ07551</vt:lpstr>
      <vt:lpstr>КОЛ07552</vt:lpstr>
      <vt:lpstr>КОЛ1020</vt:lpstr>
      <vt:lpstr>КОЛ1704</vt:lpstr>
      <vt:lpstr>КОЛ1705</vt:lpstr>
      <vt:lpstr>КОЛ1706</vt:lpstr>
      <vt:lpstr>КОЛ1707</vt:lpstr>
      <vt:lpstr>КОЛ1708</vt:lpstr>
      <vt:lpstr>КОЛ1709</vt:lpstr>
      <vt:lpstr>КОЛ1710</vt:lpstr>
      <vt:lpstr>КОЛ1711</vt:lpstr>
      <vt:lpstr>КОЛ1712</vt:lpstr>
      <vt:lpstr>КОЛ1713</vt:lpstr>
      <vt:lpstr>КОЛ1714</vt:lpstr>
      <vt:lpstr>КОЛ1715</vt:lpstr>
      <vt:lpstr>КОЛ1716</vt:lpstr>
      <vt:lpstr>КОЛ1719</vt:lpstr>
      <vt:lpstr>КОЛ1721</vt:lpstr>
      <vt:lpstr>КОЛ1723</vt:lpstr>
      <vt:lpstr>КОЛ1751</vt:lpstr>
      <vt:lpstr>КОЛ1752</vt:lpstr>
      <vt:lpstr>КОЛ3704</vt:lpstr>
      <vt:lpstr>КОЛ3705</vt:lpstr>
      <vt:lpstr>КОЛ3706</vt:lpstr>
      <vt:lpstr>КОЛ3707</vt:lpstr>
      <vt:lpstr>КОЛ3708</vt:lpstr>
      <vt:lpstr>КОЛ3709</vt:lpstr>
      <vt:lpstr>КОЛ3710</vt:lpstr>
      <vt:lpstr>КОЛ3711</vt:lpstr>
      <vt:lpstr>КОЛ3712</vt:lpstr>
      <vt:lpstr>КОЛ3713</vt:lpstr>
      <vt:lpstr>КОЛ3714</vt:lpstr>
      <vt:lpstr>КОЛ3715</vt:lpstr>
      <vt:lpstr>КОЛ3716</vt:lpstr>
      <vt:lpstr>КОЛ3719</vt:lpstr>
      <vt:lpstr>КОЛ3721</vt:lpstr>
      <vt:lpstr>КОЛ3723</vt:lpstr>
      <vt:lpstr>КОЛ3751</vt:lpstr>
      <vt:lpstr>КОЛ3752</vt:lpstr>
      <vt:lpstr>КОЛ4504</vt:lpstr>
      <vt:lpstr>КОЛ4505</vt:lpstr>
      <vt:lpstr>КОЛ4506</vt:lpstr>
      <vt:lpstr>КОЛ4507</vt:lpstr>
      <vt:lpstr>КОЛ4508</vt:lpstr>
      <vt:lpstr>КОЛ4509</vt:lpstr>
      <vt:lpstr>КОЛ4510</vt:lpstr>
      <vt:lpstr>КОЛ4511</vt:lpstr>
      <vt:lpstr>КОЛ4512</vt:lpstr>
      <vt:lpstr>КОЛ4513</vt:lpstr>
      <vt:lpstr>КОЛ4514</vt:lpstr>
      <vt:lpstr>КОЛ4515</vt:lpstr>
      <vt:lpstr>КОЛ4516</vt:lpstr>
      <vt:lpstr>КОЛ4519</vt:lpstr>
      <vt:lpstr>КОЛ4521</vt:lpstr>
      <vt:lpstr>КОЛ4523</vt:lpstr>
      <vt:lpstr>КОЛ4551</vt:lpstr>
      <vt:lpstr>КОЛ4552</vt:lpstr>
      <vt:lpstr>КОЛ4904</vt:lpstr>
      <vt:lpstr>КОЛ4905</vt:lpstr>
      <vt:lpstr>КОЛ4906</vt:lpstr>
      <vt:lpstr>КОЛ4907</vt:lpstr>
      <vt:lpstr>КОЛ4908</vt:lpstr>
      <vt:lpstr>КОЛ4909</vt:lpstr>
      <vt:lpstr>КОЛ4910</vt:lpstr>
      <vt:lpstr>КОЛ4911</vt:lpstr>
      <vt:lpstr>КОЛ4912</vt:lpstr>
      <vt:lpstr>КОЛ4913</vt:lpstr>
      <vt:lpstr>КОЛ4914</vt:lpstr>
      <vt:lpstr>КОЛ4915</vt:lpstr>
      <vt:lpstr>КОЛ4916</vt:lpstr>
      <vt:lpstr>КОЛ4919</vt:lpstr>
      <vt:lpstr>КОЛ4921</vt:lpstr>
      <vt:lpstr>КОЛ4923</vt:lpstr>
      <vt:lpstr>КОЛ4951</vt:lpstr>
      <vt:lpstr>КОЛ4952</vt:lpstr>
      <vt:lpstr>КОЛ5104</vt:lpstr>
      <vt:lpstr>КОЛ5105</vt:lpstr>
      <vt:lpstr>КОЛ5106</vt:lpstr>
      <vt:lpstr>КОЛ5107</vt:lpstr>
      <vt:lpstr>КОЛ5108</vt:lpstr>
      <vt:lpstr>КОЛ5109</vt:lpstr>
      <vt:lpstr>КОЛ5110</vt:lpstr>
      <vt:lpstr>КОЛ5111</vt:lpstr>
      <vt:lpstr>КОЛ5112</vt:lpstr>
      <vt:lpstr>КОЛ5113</vt:lpstr>
      <vt:lpstr>КОЛ5114</vt:lpstr>
      <vt:lpstr>КОЛ5115</vt:lpstr>
      <vt:lpstr>КОЛ5116</vt:lpstr>
      <vt:lpstr>КОЛ5119</vt:lpstr>
      <vt:lpstr>КОЛ5121</vt:lpstr>
      <vt:lpstr>КОЛ5123</vt:lpstr>
      <vt:lpstr>КОЛ5151</vt:lpstr>
      <vt:lpstr>КОЛ5152</vt:lpstr>
      <vt:lpstr>КОЛ5204</vt:lpstr>
      <vt:lpstr>КОЛ5205</vt:lpstr>
      <vt:lpstr>КОЛ5206</vt:lpstr>
      <vt:lpstr>КОЛ5207</vt:lpstr>
      <vt:lpstr>КОЛ5208</vt:lpstr>
      <vt:lpstr>КОЛ5209</vt:lpstr>
      <vt:lpstr>КОЛ5210</vt:lpstr>
      <vt:lpstr>КОЛ5211</vt:lpstr>
      <vt:lpstr>КОЛ5212</vt:lpstr>
      <vt:lpstr>КОЛ5213</vt:lpstr>
      <vt:lpstr>КОЛ5214</vt:lpstr>
      <vt:lpstr>КОЛ5215</vt:lpstr>
      <vt:lpstr>КОЛ5216</vt:lpstr>
      <vt:lpstr>КОЛ5219</vt:lpstr>
      <vt:lpstr>КОЛ5221</vt:lpstr>
      <vt:lpstr>КОЛ5223</vt:lpstr>
      <vt:lpstr>КОЛ5251</vt:lpstr>
      <vt:lpstr>КОЛ5252</vt:lpstr>
      <vt:lpstr>КОЛ5304</vt:lpstr>
      <vt:lpstr>КОЛ5305</vt:lpstr>
      <vt:lpstr>КОЛ5306</vt:lpstr>
      <vt:lpstr>КОЛ5307</vt:lpstr>
      <vt:lpstr>КОЛ5308</vt:lpstr>
      <vt:lpstr>КОЛ5309</vt:lpstr>
      <vt:lpstr>КОЛ5310</vt:lpstr>
      <vt:lpstr>КОЛ5311</vt:lpstr>
      <vt:lpstr>КОЛ5312</vt:lpstr>
      <vt:lpstr>КОЛ5313</vt:lpstr>
      <vt:lpstr>КОЛ5314</vt:lpstr>
      <vt:lpstr>КОЛ5315</vt:lpstr>
      <vt:lpstr>КОЛ5316</vt:lpstr>
      <vt:lpstr>КОЛ5319</vt:lpstr>
      <vt:lpstr>КОЛ5321</vt:lpstr>
      <vt:lpstr>КОЛ5323</vt:lpstr>
      <vt:lpstr>КОЛ5351</vt:lpstr>
      <vt:lpstr>КОЛ5352</vt:lpstr>
      <vt:lpstr>КОЛ5404</vt:lpstr>
      <vt:lpstr>КОЛ5405</vt:lpstr>
      <vt:lpstr>КОЛ5406</vt:lpstr>
      <vt:lpstr>КОЛ5407</vt:lpstr>
      <vt:lpstr>КОЛ5408</vt:lpstr>
      <vt:lpstr>КОЛ5409</vt:lpstr>
      <vt:lpstr>КОЛ5410</vt:lpstr>
      <vt:lpstr>КОЛ5411</vt:lpstr>
      <vt:lpstr>КОЛ5412</vt:lpstr>
      <vt:lpstr>КОЛ5413</vt:lpstr>
      <vt:lpstr>КОЛ5414</vt:lpstr>
      <vt:lpstr>КОЛ5415</vt:lpstr>
      <vt:lpstr>КОЛ5416</vt:lpstr>
      <vt:lpstr>КОЛ5419</vt:lpstr>
      <vt:lpstr>КОЛ5421</vt:lpstr>
      <vt:lpstr>КОЛ5423</vt:lpstr>
      <vt:lpstr>КОЛ5451</vt:lpstr>
      <vt:lpstr>КОЛ5452</vt:lpstr>
      <vt:lpstr>КОЛ5504</vt:lpstr>
      <vt:lpstr>КОЛ5505</vt:lpstr>
      <vt:lpstr>КОЛ5506</vt:lpstr>
      <vt:lpstr>КОЛ5507</vt:lpstr>
      <vt:lpstr>КОЛ5508</vt:lpstr>
      <vt:lpstr>КОЛ5509</vt:lpstr>
      <vt:lpstr>КОЛ5510</vt:lpstr>
      <vt:lpstr>КОЛ5511</vt:lpstr>
      <vt:lpstr>КОЛ5512</vt:lpstr>
      <vt:lpstr>КОЛ5513</vt:lpstr>
      <vt:lpstr>КОЛ5514</vt:lpstr>
      <vt:lpstr>КОЛ5515</vt:lpstr>
      <vt:lpstr>КОЛ5516</vt:lpstr>
      <vt:lpstr>КОЛ5519</vt:lpstr>
      <vt:lpstr>КОЛ5521</vt:lpstr>
      <vt:lpstr>КОЛ5523</vt:lpstr>
      <vt:lpstr>КОЛ5551</vt:lpstr>
      <vt:lpstr>КОЛ5552</vt:lpstr>
      <vt:lpstr>КОЛ5704</vt:lpstr>
      <vt:lpstr>КОЛ5705</vt:lpstr>
      <vt:lpstr>КОЛ5706</vt:lpstr>
      <vt:lpstr>КОЛ5707</vt:lpstr>
      <vt:lpstr>КОЛ5708</vt:lpstr>
      <vt:lpstr>КОЛ5709</vt:lpstr>
      <vt:lpstr>КОЛ5710</vt:lpstr>
      <vt:lpstr>КОЛ5711</vt:lpstr>
      <vt:lpstr>КОЛ5712</vt:lpstr>
      <vt:lpstr>КОЛ5713</vt:lpstr>
      <vt:lpstr>КОЛ5714</vt:lpstr>
      <vt:lpstr>КОЛ5715</vt:lpstr>
      <vt:lpstr>КОЛ5716</vt:lpstr>
      <vt:lpstr>КОЛ5719</vt:lpstr>
      <vt:lpstr>КОЛ5721</vt:lpstr>
      <vt:lpstr>КОЛ5723</vt:lpstr>
      <vt:lpstr>КОЛ5751</vt:lpstr>
      <vt:lpstr>КОЛ5752</vt:lpstr>
      <vt:lpstr>КОЛ6004</vt:lpstr>
      <vt:lpstr>КОЛ6005</vt:lpstr>
      <vt:lpstr>КОЛ6006</vt:lpstr>
      <vt:lpstr>КОЛ6007</vt:lpstr>
      <vt:lpstr>КОЛ6008</vt:lpstr>
      <vt:lpstr>КОЛ6009</vt:lpstr>
      <vt:lpstr>КОЛ6010</vt:lpstr>
      <vt:lpstr>КОЛ6011</vt:lpstr>
      <vt:lpstr>КОЛ6012</vt:lpstr>
      <vt:lpstr>КОЛ6013</vt:lpstr>
      <vt:lpstr>КОЛ6014</vt:lpstr>
      <vt:lpstr>КОЛ6015</vt:lpstr>
      <vt:lpstr>КОЛ6016</vt:lpstr>
      <vt:lpstr>КОЛ6019</vt:lpstr>
      <vt:lpstr>КОЛ6021</vt:lpstr>
      <vt:lpstr>КОЛ6023</vt:lpstr>
      <vt:lpstr>КОЛ6051</vt:lpstr>
      <vt:lpstr>КОЛ6052</vt:lpstr>
      <vt:lpstr>КОЛ6104</vt:lpstr>
      <vt:lpstr>КОЛ6105</vt:lpstr>
      <vt:lpstr>КОЛ6106</vt:lpstr>
      <vt:lpstr>КОЛ6107</vt:lpstr>
      <vt:lpstr>КОЛ6108</vt:lpstr>
      <vt:lpstr>КОЛ6109</vt:lpstr>
      <vt:lpstr>КОЛ6110</vt:lpstr>
      <vt:lpstr>КОЛ6111</vt:lpstr>
      <vt:lpstr>КОЛ6112</vt:lpstr>
      <vt:lpstr>КОЛ6113</vt:lpstr>
      <vt:lpstr>КОЛ6114</vt:lpstr>
      <vt:lpstr>КОЛ6115</vt:lpstr>
      <vt:lpstr>КОЛ6116</vt:lpstr>
      <vt:lpstr>КОЛ6119</vt:lpstr>
      <vt:lpstr>КОЛ6121</vt:lpstr>
      <vt:lpstr>КОЛ6123</vt:lpstr>
      <vt:lpstr>КОЛ6151</vt:lpstr>
      <vt:lpstr>КОЛ6152</vt:lpstr>
      <vt:lpstr>КОЛ6204</vt:lpstr>
      <vt:lpstr>КОЛ6205</vt:lpstr>
      <vt:lpstr>КОЛ6206</vt:lpstr>
      <vt:lpstr>КОЛ6207</vt:lpstr>
      <vt:lpstr>КОЛ6208</vt:lpstr>
      <vt:lpstr>КОЛ6209</vt:lpstr>
      <vt:lpstr>КОЛ6210</vt:lpstr>
      <vt:lpstr>КОЛ6211</vt:lpstr>
      <vt:lpstr>КОЛ6212</vt:lpstr>
      <vt:lpstr>КОЛ6213</vt:lpstr>
      <vt:lpstr>КОЛ6214</vt:lpstr>
      <vt:lpstr>КОЛ6215</vt:lpstr>
      <vt:lpstr>КОЛ6216</vt:lpstr>
      <vt:lpstr>КОЛ6219</vt:lpstr>
      <vt:lpstr>КОЛ6221</vt:lpstr>
      <vt:lpstr>КОЛ6223</vt:lpstr>
      <vt:lpstr>КОЛ6251</vt:lpstr>
      <vt:lpstr>КОЛ6252</vt:lpstr>
      <vt:lpstr>КОЛ7504</vt:lpstr>
      <vt:lpstr>КОЛ7505</vt:lpstr>
      <vt:lpstr>КОЛ7506</vt:lpstr>
      <vt:lpstr>КОЛ7507</vt:lpstr>
      <vt:lpstr>КОЛ7508</vt:lpstr>
      <vt:lpstr>КОЛ7509</vt:lpstr>
      <vt:lpstr>КОЛ7510</vt:lpstr>
      <vt:lpstr>КОЛ7511</vt:lpstr>
      <vt:lpstr>КОЛ7512</vt:lpstr>
      <vt:lpstr>КОЛ7513</vt:lpstr>
      <vt:lpstr>КОЛ7514</vt:lpstr>
      <vt:lpstr>КОЛ7515</vt:lpstr>
      <vt:lpstr>КОЛ7516</vt:lpstr>
      <vt:lpstr>КОЛ7519</vt:lpstr>
      <vt:lpstr>КОЛ7521</vt:lpstr>
      <vt:lpstr>КОЛ7523</vt:lpstr>
      <vt:lpstr>КОЛ7551</vt:lpstr>
      <vt:lpstr>КОЛ7552</vt:lpstr>
      <vt:lpstr>КолонкиМатрица</vt:lpstr>
      <vt:lpstr>МассивИтоговФО</vt:lpstr>
      <vt:lpstr>'1,1'!Область_печати</vt:lpstr>
      <vt:lpstr>'1,6'!Область_печати</vt:lpstr>
      <vt:lpstr>'3'!Область_печати</vt:lpstr>
      <vt:lpstr>Итого!Область_печати</vt:lpstr>
      <vt:lpstr>РегионыВыбор</vt:lpstr>
      <vt:lpstr>РегионыМатрица</vt:lpstr>
      <vt:lpstr>ФОвыбор</vt:lpstr>
      <vt:lpstr>ФОматрица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2018-04-09T13:20:45Z</dcterms:modified>
</cp:coreProperties>
</file>